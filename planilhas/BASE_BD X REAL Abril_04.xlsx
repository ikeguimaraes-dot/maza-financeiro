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meeteatsp.sharepoint.com/sites/RedeMeet/Documentos Compartilhados/Rede Administração/Rede MEET/MEET - Controladoria - Financeiro/CONTROLADORIA/2026/02 - DEMOSNTRAÇAO DE RESULTADO/04- ABRIL/"/>
    </mc:Choice>
  </mc:AlternateContent>
  <xr:revisionPtr revIDLastSave="1302" documentId="8_{839CC0EB-073E-4D9F-B02D-5581179E8D1F}" xr6:coauthVersionLast="47" xr6:coauthVersionMax="47" xr10:uidLastSave="{C8CA79AB-8055-4B33-9F3B-B76B1199F45D}"/>
  <bookViews>
    <workbookView xWindow="28680" yWindow="-120" windowWidth="29040" windowHeight="15720" tabRatio="823" activeTab="4" xr2:uid="{00000000-000D-0000-FFFF-FFFF00000000}"/>
  </bookViews>
  <sheets>
    <sheet name=" 01-INDIC" sheetId="15" r:id="rId1"/>
    <sheet name="02-Res M" sheetId="14" state="hidden" r:id="rId2"/>
    <sheet name="03- BD x RE 2026" sheetId="1" r:id="rId3"/>
    <sheet name="04 -Base Orçado 2026" sheetId="2" r:id="rId4"/>
    <sheet name="Base Realizado" sheetId="10" r:id="rId5"/>
    <sheet name="Planilha2" sheetId="16" state="hidden" r:id="rId6"/>
    <sheet name="Planilha3" sheetId="17" state="hidden" r:id="rId7"/>
    <sheet name="B. Despesa" sheetId="12" r:id="rId8"/>
    <sheet name="Planilha5" sheetId="20" r:id="rId9"/>
    <sheet name="Planilha4" sheetId="19" r:id="rId10"/>
    <sheet name="B.Receita" sheetId="13" r:id="rId11"/>
    <sheet name="Base Folha" sheetId="3" state="hidden" r:id="rId12"/>
    <sheet name="Serv" sheetId="5" state="hidden" r:id="rId13"/>
    <sheet name="Base Gorjeta" sheetId="6" state="hidden" r:id="rId14"/>
    <sheet name="METRICS" sheetId="7" r:id="rId15"/>
    <sheet name="INVESTIMENTO" sheetId="4" state="hidden" r:id="rId16"/>
    <sheet name="Planilha1" sheetId="11" state="hidden" r:id="rId17"/>
    <sheet name="Base Faturamento" sheetId="9" state="hidden" r:id="rId18"/>
  </sheets>
  <externalReferences>
    <externalReference r:id="rId19"/>
    <externalReference r:id="rId20"/>
  </externalReferences>
  <definedNames>
    <definedName name="__FDS_HYPERLINK_TOGGLE_STATE__">"ON"</definedName>
    <definedName name="_xlnm._FilterDatabase" localSheetId="7" hidden="1">'B. Despesa'!$A$1:$L$3240</definedName>
    <definedName name="_xlnm._FilterDatabase" localSheetId="10" hidden="1">B.Receita!$A$1:$H$2138</definedName>
    <definedName name="_xlnm._FilterDatabase" localSheetId="11" hidden="1">'Base Folha'!$A$5:$AC$88</definedName>
    <definedName name="_xlnm._FilterDatabase" localSheetId="14" hidden="1">METRICS!$C$1:$E$122</definedName>
    <definedName name="_xlnm._FilterDatabase" localSheetId="16" hidden="1">Planilha1!$A$1:$D$79</definedName>
    <definedName name="_xlnm._FilterDatabase" localSheetId="12" hidden="1">Serv!$D$1:$D$1012</definedName>
    <definedName name="_Order1">0</definedName>
    <definedName name="_Order2">0</definedName>
    <definedName name="a">-15987005.5299987</definedName>
    <definedName name="ADM" localSheetId="2">#REF!</definedName>
    <definedName name="ADM" localSheetId="3">#REF!</definedName>
    <definedName name="ADM" localSheetId="11">#REF!</definedName>
    <definedName name="ADM" localSheetId="13">#REF!</definedName>
    <definedName name="ADM" localSheetId="4">#REF!</definedName>
    <definedName name="ADM" localSheetId="12">#REF!</definedName>
    <definedName name="ADM">[0]!ADM</definedName>
    <definedName name="ALPHA" localSheetId="3">#REF!</definedName>
    <definedName name="ALPHA" localSheetId="11">#REF!</definedName>
    <definedName name="ALPHA" localSheetId="13">#REF!</definedName>
    <definedName name="ALPHA" localSheetId="4">#REF!</definedName>
    <definedName name="ALPHA" localSheetId="12">#REF!</definedName>
    <definedName name="ALPHA">#REF!</definedName>
    <definedName name="Amountin2">"Thousands"</definedName>
    <definedName name="AnoDoCalendário" localSheetId="11">#REF!</definedName>
    <definedName name="AnoDoCalendário" localSheetId="13">#REF!</definedName>
    <definedName name="AnoDoCalendário">#REF!</definedName>
    <definedName name="Ativo" localSheetId="11">#REF!</definedName>
    <definedName name="Ativo" localSheetId="13">#REF!</definedName>
    <definedName name="Ativo" localSheetId="12">#REF!</definedName>
    <definedName name="Ativo">#REF!</definedName>
    <definedName name="AV">#REF!</definedName>
    <definedName name="Balanço" localSheetId="11">#REF!</definedName>
    <definedName name="Balanço" localSheetId="13">#REF!</definedName>
    <definedName name="Balanço" localSheetId="12">#REF!</definedName>
    <definedName name="Balanço">#REF!</definedName>
    <definedName name="BaseYear" localSheetId="11">#REF!</definedName>
    <definedName name="BaseYear" localSheetId="13">#REF!</definedName>
    <definedName name="BaseYear">#REF!</definedName>
    <definedName name="BBQ">#REF!</definedName>
    <definedName name="BD_Fluxo_Entradas" localSheetId="2">#REF!</definedName>
    <definedName name="BD_Fluxo_Entradas" localSheetId="3">#REF!</definedName>
    <definedName name="BD_Fluxo_Entradas" localSheetId="11">#REF!</definedName>
    <definedName name="BD_Fluxo_Entradas" localSheetId="13">#REF!</definedName>
    <definedName name="BD_Fluxo_Entradas" localSheetId="4">#REF!</definedName>
    <definedName name="BD_Fluxo_Entradas" localSheetId="12">#REF!</definedName>
    <definedName name="BD_Fluxo_Entradas">#REF!</definedName>
    <definedName name="BD_Fluxo_Saidas" localSheetId="2">#REF!</definedName>
    <definedName name="BD_Fluxo_Saidas" localSheetId="3">#REF!</definedName>
    <definedName name="BD_Fluxo_Saidas" localSheetId="11">#REF!</definedName>
    <definedName name="BD_Fluxo_Saidas" localSheetId="13">#REF!</definedName>
    <definedName name="BD_Fluxo_Saidas" localSheetId="4">#REF!</definedName>
    <definedName name="BD_Fluxo_Saidas" localSheetId="12">#REF!</definedName>
    <definedName name="BD_Fluxo_Saidas">#REF!</definedName>
    <definedName name="BH">#REF!</definedName>
    <definedName name="BreakComercial" localSheetId="2">#REF!</definedName>
    <definedName name="BreakComercial" localSheetId="3">'04 -Base Orçado 2026'!BreakComercial</definedName>
    <definedName name="BreakComercial" localSheetId="11">#REF!</definedName>
    <definedName name="BreakComercial" localSheetId="13">#REF!</definedName>
    <definedName name="BreakComercial" localSheetId="4">'Base Realizado'!BreakComercial</definedName>
    <definedName name="BreakComercial" localSheetId="12">#REF!</definedName>
    <definedName name="BreakComercial">'04 -Base Orçado 2026'!BreakComercial</definedName>
    <definedName name="BS">#REF!</definedName>
    <definedName name="BS_Deferred_Taxes" localSheetId="11">#REF!</definedName>
    <definedName name="BS_Deferred_Taxes" localSheetId="13">#REF!</definedName>
    <definedName name="BS_Deferred_Taxes">#REF!</definedName>
    <definedName name="BS_Equity" localSheetId="11">#REF!</definedName>
    <definedName name="BS_Equity" localSheetId="13">#REF!</definedName>
    <definedName name="BS_Equity">#REF!</definedName>
    <definedName name="BT" localSheetId="11">#REF!</definedName>
    <definedName name="BT" localSheetId="13">#REF!</definedName>
    <definedName name="BT" localSheetId="12">#REF!</definedName>
    <definedName name="BT">#REF!</definedName>
    <definedName name="c_date" localSheetId="11">#REF!</definedName>
    <definedName name="c_date" localSheetId="13">#REF!</definedName>
    <definedName name="c_date">#REF!</definedName>
    <definedName name="ccc" localSheetId="11">#REF!</definedName>
    <definedName name="ccc" localSheetId="13">#REF!</definedName>
    <definedName name="ccc">#REF!</definedName>
    <definedName name="Cell_Errors" localSheetId="3">OFFSET('04 -Base Orçado 2026'!File_Name,0,5,1,1)</definedName>
    <definedName name="Cell_Errors" localSheetId="11">OFFSET(Serv!File_Name,0,5,1,1)</definedName>
    <definedName name="Cell_Errors" localSheetId="13">OFFSET('Base Gorjeta'!File_Name,0,5,1,1)</definedName>
    <definedName name="Cell_Errors" localSheetId="4">OFFSET('Base Realizado'!File_Name,0,5,1,1)</definedName>
    <definedName name="Cell_Errors" localSheetId="12">OFFSET('Base Folha'!File_Name,0,5,1,1)</definedName>
    <definedName name="Cell_Errors">OFFSET([0]!File_Name,0,5,1,1)</definedName>
    <definedName name="CJ">#REF!</definedName>
    <definedName name="Company" localSheetId="11">#REF!</definedName>
    <definedName name="Company" localSheetId="13">#REF!</definedName>
    <definedName name="Company">#REF!</definedName>
    <definedName name="Comps" localSheetId="3">OFFSET('04 -Base Orçado 2026'!File_Name,0,5,1,1)</definedName>
    <definedName name="Comps" localSheetId="11">OFFSET(Serv!File_Name,0,5,1,1)</definedName>
    <definedName name="Comps" localSheetId="13">OFFSET('Base Gorjeta'!File_Name,0,5,1,1)</definedName>
    <definedName name="Comps" localSheetId="4">OFFSET('Base Realizado'!File_Name,0,5,1,1)</definedName>
    <definedName name="Comps" localSheetId="12">OFFSET('Base Folha'!File_Name,0,5,1,1)</definedName>
    <definedName name="Comps">OFFSET([0]!File_Name,0,5,1,1)</definedName>
    <definedName name="comps2" localSheetId="3">OFFSET('04 -Base Orçado 2026'!File_Name,0,4,1,1)</definedName>
    <definedName name="comps2" localSheetId="11">OFFSET(Serv!File_Name,0,4,1,1)</definedName>
    <definedName name="comps2" localSheetId="13">OFFSET('Base Gorjeta'!File_Name,0,4,1,1)</definedName>
    <definedName name="comps2" localSheetId="4">OFFSET('Base Realizado'!File_Name,0,4,1,1)</definedName>
    <definedName name="comps2" localSheetId="12">OFFSET('Base Folha'!File_Name,0,4,1,1)</definedName>
    <definedName name="comps2">OFFSET([0]!File_Name,0,4,1,1)</definedName>
    <definedName name="CP">#REF!</definedName>
    <definedName name="cw">#REF!</definedName>
    <definedName name="DADOS">-4743493.45</definedName>
    <definedName name="DateHeader" localSheetId="11">#REF!</definedName>
    <definedName name="DateHeader" localSheetId="13">#REF!</definedName>
    <definedName name="DateHeader">#REF!</definedName>
    <definedName name="DemResultado" localSheetId="2">#REF!</definedName>
    <definedName name="DemResultado" localSheetId="3">'04 -Base Orçado 2026'!DemResultado</definedName>
    <definedName name="DemResultado" localSheetId="11">#REF!</definedName>
    <definedName name="DemResultado" localSheetId="13">#REF!</definedName>
    <definedName name="DemResultado" localSheetId="4">'Base Realizado'!DemResultado</definedName>
    <definedName name="DemResultado" localSheetId="12">#REF!</definedName>
    <definedName name="DemResultado">'04 -Base Orçado 2026'!DemResultado</definedName>
    <definedName name="DiasESemanas" localSheetId="11">{0,1,2,3,4,5,6} + {0;1;2;3;4;5}*7</definedName>
    <definedName name="DiasESemanas" localSheetId="13">{0,1,2,3,4,5,6} + {0;1;2;3;4;5}*7</definedName>
    <definedName name="DiasESemanas" localSheetId="12">{0,1,2,3,4,5,6} + {0;1;2;3;4;5}*7</definedName>
    <definedName name="DiasESemanas">{0,1,2,3,4,5,6} + {0;1;2;3;4;5}*7</definedName>
    <definedName name="DollarHeader" localSheetId="11">#REF!</definedName>
    <definedName name="DollarHeader" localSheetId="13">#REF!</definedName>
    <definedName name="DollarHeader">#REF!</definedName>
    <definedName name="Draft" localSheetId="3">OFFSET('04 -Base Orçado 2026'!File_Name,0,5,1,1)</definedName>
    <definedName name="Draft" localSheetId="11">OFFSET(Serv!File_Name,0,5,1,1)</definedName>
    <definedName name="Draft" localSheetId="13">OFFSET('Base Gorjeta'!File_Name,0,5,1,1)</definedName>
    <definedName name="Draft" localSheetId="4">OFFSET('Base Realizado'!File_Name,0,5,1,1)</definedName>
    <definedName name="Draft" localSheetId="12">OFFSET('Base Folha'!File_Name,0,5,1,1)</definedName>
    <definedName name="Draft">OFFSET([0]!File_Name,0,5,1,1)</definedName>
    <definedName name="DRE" localSheetId="11">#REF!</definedName>
    <definedName name="DRE" localSheetId="13">#REF!</definedName>
    <definedName name="DRE">#REF!</definedName>
    <definedName name="DREPEN" localSheetId="11">#REF!</definedName>
    <definedName name="DREPEN" localSheetId="13">#REF!</definedName>
    <definedName name="DREPEN">#REF!</definedName>
    <definedName name="DRERSM" localSheetId="11">#REF!</definedName>
    <definedName name="DRERSM" localSheetId="13">#REF!</definedName>
    <definedName name="DRERSM">#REF!</definedName>
    <definedName name="Entradas" localSheetId="2">#REF!</definedName>
    <definedName name="Entradas" localSheetId="3">#REF!</definedName>
    <definedName name="Entradas" localSheetId="11">#REF!</definedName>
    <definedName name="Entradas" localSheetId="13">#REF!</definedName>
    <definedName name="Entradas" localSheetId="4">#REF!</definedName>
    <definedName name="Entradas" localSheetId="12">#REF!</definedName>
    <definedName name="Entradas">#REF!</definedName>
    <definedName name="Entradas_BD_Colar_1" localSheetId="2">#REF!</definedName>
    <definedName name="Entradas_BD_Colar_1" localSheetId="3">#REF!</definedName>
    <definedName name="Entradas_BD_Colar_1" localSheetId="11">#REF!</definedName>
    <definedName name="Entradas_BD_Colar_1" localSheetId="13">#REF!</definedName>
    <definedName name="Entradas_BD_Colar_1" localSheetId="4">#REF!</definedName>
    <definedName name="Entradas_BD_Colar_1" localSheetId="12">#REF!</definedName>
    <definedName name="Entradas_BD_Colar_1">#REF!</definedName>
    <definedName name="Entradas_BD_Colar_2" localSheetId="2">#REF!</definedName>
    <definedName name="Entradas_BD_Colar_2" localSheetId="3">#REF!</definedName>
    <definedName name="Entradas_BD_Colar_2" localSheetId="11">#REF!</definedName>
    <definedName name="Entradas_BD_Colar_2" localSheetId="13">#REF!</definedName>
    <definedName name="Entradas_BD_Colar_2" localSheetId="4">#REF!</definedName>
    <definedName name="Entradas_BD_Colar_2" localSheetId="12">#REF!</definedName>
    <definedName name="Entradas_BD_Colar_2">#REF!</definedName>
    <definedName name="Entradas_BD_Colar_3" localSheetId="2">#REF!</definedName>
    <definedName name="Entradas_BD_Colar_3" localSheetId="3">#REF!</definedName>
    <definedName name="Entradas_BD_Colar_3" localSheetId="11">#REF!</definedName>
    <definedName name="Entradas_BD_Colar_3" localSheetId="13">#REF!</definedName>
    <definedName name="Entradas_BD_Colar_3" localSheetId="4">#REF!</definedName>
    <definedName name="Entradas_BD_Colar_3" localSheetId="12">#REF!</definedName>
    <definedName name="Entradas_BD_Colar_3">#REF!</definedName>
    <definedName name="Entradas_Linhas_Excluir" localSheetId="2">#REF!</definedName>
    <definedName name="Entradas_Linhas_Excluir" localSheetId="3">#REF!</definedName>
    <definedName name="Entradas_Linhas_Excluir" localSheetId="11">#REF!</definedName>
    <definedName name="Entradas_Linhas_Excluir" localSheetId="13">#REF!</definedName>
    <definedName name="Entradas_Linhas_Excluir" localSheetId="4">#REF!</definedName>
    <definedName name="Entradas_Linhas_Excluir" localSheetId="12">#REF!</definedName>
    <definedName name="Entradas_Linhas_Excluir">#REF!</definedName>
    <definedName name="Enum231" localSheetId="11">#REF!</definedName>
    <definedName name="Enum231" localSheetId="13">#REF!</definedName>
    <definedName name="Enum231">#REF!</definedName>
    <definedName name="Enum337" localSheetId="11">#REF!</definedName>
    <definedName name="Enum337" localSheetId="13">#REF!</definedName>
    <definedName name="Enum337">#REF!</definedName>
    <definedName name="Enum61469" localSheetId="11">#REF!</definedName>
    <definedName name="Enum61469" localSheetId="13">#REF!</definedName>
    <definedName name="Enum61469">#REF!</definedName>
    <definedName name="Enum742" localSheetId="11">#REF!</definedName>
    <definedName name="Enum742" localSheetId="13">#REF!</definedName>
    <definedName name="Enum742">#REF!</definedName>
    <definedName name="ES">#REF!</definedName>
    <definedName name="Excel_BuiltIn__FilterDatabase_2" localSheetId="11">#REF!</definedName>
    <definedName name="Excel_BuiltIn__FilterDatabase_2" localSheetId="13">#REF!</definedName>
    <definedName name="Excel_BuiltIn__FilterDatabase_2" localSheetId="12">#REF!</definedName>
    <definedName name="Excel_BuiltIn__FilterDatabase_2">#REF!</definedName>
    <definedName name="Excel_BuiltIn__FilterDatabase_3" localSheetId="11">#REF!</definedName>
    <definedName name="Excel_BuiltIn__FilterDatabase_3" localSheetId="13">#REF!</definedName>
    <definedName name="Excel_BuiltIn__FilterDatabase_3" localSheetId="12">#REF!</definedName>
    <definedName name="Excel_BuiltIn__FilterDatabase_3">#REF!</definedName>
    <definedName name="Fcurrency">"US$"</definedName>
    <definedName name="Fcurrency2">"US$ Dollars"</definedName>
    <definedName name="FGHFGH">104726350.589965</definedName>
    <definedName name="file" localSheetId="3">OFFSET([0]!START,0,0,1,1)</definedName>
    <definedName name="file" localSheetId="11">OFFSET([0]!START,0,0,1,1)</definedName>
    <definedName name="file" localSheetId="13">OFFSET([0]!START,0,0,1,1)</definedName>
    <definedName name="file" localSheetId="4">OFFSET([0]!START,0,0,1,1)</definedName>
    <definedName name="file" localSheetId="12">OFFSET([0]!START,0,0,1,1)</definedName>
    <definedName name="file">OFFSET([0]!START,0,0,1,1)</definedName>
    <definedName name="File_Name" localSheetId="3">OFFSET([0]!START,0,0,1,1)</definedName>
    <definedName name="File_Name" localSheetId="11">OFFSET([0]!START,0,0,1,1)</definedName>
    <definedName name="File_Name" localSheetId="13">OFFSET([0]!START,0,0,1,1)</definedName>
    <definedName name="File_Name" localSheetId="4">OFFSET([0]!START,0,0,1,1)</definedName>
    <definedName name="File_Name" localSheetId="12">OFFSET([0]!START,0,0,1,1)</definedName>
    <definedName name="File_Name">OFFSET([0]!START,0,0,1,1)</definedName>
    <definedName name="fxavg" localSheetId="11">#REF!</definedName>
    <definedName name="fxavg" localSheetId="13">#REF!</definedName>
    <definedName name="fxavg" localSheetId="12">#REF!</definedName>
    <definedName name="fxavg">#REF!</definedName>
    <definedName name="HG">#REF!</definedName>
    <definedName name="Hide_Entradas_Fluxo_Dia" localSheetId="2">#REF!</definedName>
    <definedName name="Hide_Entradas_Fluxo_Dia" localSheetId="3">#REF!</definedName>
    <definedName name="Hide_Entradas_Fluxo_Dia" localSheetId="11">#REF!</definedName>
    <definedName name="Hide_Entradas_Fluxo_Dia" localSheetId="13">#REF!</definedName>
    <definedName name="Hide_Entradas_Fluxo_Dia" localSheetId="4">#REF!</definedName>
    <definedName name="Hide_Entradas_Fluxo_Dia" localSheetId="12">#REF!</definedName>
    <definedName name="Hide_Entradas_Fluxo_Dia">#REF!</definedName>
    <definedName name="Hide_Saidas_Fluxo_Dia" localSheetId="2">#REF!</definedName>
    <definedName name="Hide_Saidas_Fluxo_Dia" localSheetId="3">#REF!</definedName>
    <definedName name="Hide_Saidas_Fluxo_Dia" localSheetId="11">#REF!</definedName>
    <definedName name="Hide_Saidas_Fluxo_Dia" localSheetId="13">#REF!</definedName>
    <definedName name="Hide_Saidas_Fluxo_Dia" localSheetId="4">#REF!</definedName>
    <definedName name="Hide_Saidas_Fluxo_Dia" localSheetId="12">#REF!</definedName>
    <definedName name="Hide_Saidas_Fluxo_Dia">#REF!</definedName>
    <definedName name="HV002A_1_16" localSheetId="11">#REF!</definedName>
    <definedName name="HV002A_1_16" localSheetId="13">#REF!</definedName>
    <definedName name="HV002A_1_16" localSheetId="12">#REF!</definedName>
    <definedName name="HV002A_1_16">#REF!</definedName>
    <definedName name="HV002A_16" localSheetId="11">#REF!</definedName>
    <definedName name="HV002A_16" localSheetId="13">#REF!</definedName>
    <definedName name="HV002A_16" localSheetId="12">#REF!</definedName>
    <definedName name="HV002A_16">#REF!</definedName>
    <definedName name="HV002A_2_16" localSheetId="11">#REF!</definedName>
    <definedName name="HV002A_2_16" localSheetId="13">#REF!</definedName>
    <definedName name="HV002A_2_16" localSheetId="12">#REF!</definedName>
    <definedName name="HV002A_2_16">#REF!</definedName>
    <definedName name="HV002A_3_16" localSheetId="11">#REF!</definedName>
    <definedName name="HV002A_3_16" localSheetId="13">#REF!</definedName>
    <definedName name="HV002A_3_16" localSheetId="12">#REF!</definedName>
    <definedName name="HV002A_3_16">#REF!</definedName>
    <definedName name="infbz" localSheetId="11">#REF!</definedName>
    <definedName name="infbz" localSheetId="13">#REF!</definedName>
    <definedName name="infbz" localSheetId="12">#REF!</definedName>
    <definedName name="infbz">#REF!</definedName>
    <definedName name="infus" localSheetId="11">#REF!</definedName>
    <definedName name="infus" localSheetId="13">#REF!</definedName>
    <definedName name="infus" localSheetId="12">#REF!</definedName>
    <definedName name="infus">#REF!</definedName>
    <definedName name="InícioDaSemana" localSheetId="11">#REF!</definedName>
    <definedName name="InícioDaSemana" localSheetId="13">#REF!</definedName>
    <definedName name="InícioDaSemana">#REF!</definedName>
    <definedName name="LedgerBudget_T_AccountNum" localSheetId="11">#REF!</definedName>
    <definedName name="LedgerBudget_T_AccountNum" localSheetId="13">#REF!</definedName>
    <definedName name="LedgerBudget_T_AccountNum" localSheetId="12">#REF!</definedName>
    <definedName name="LedgerBudget_T_AccountNum">#REF!</definedName>
    <definedName name="LedgerBudget_T_Active" localSheetId="11">#REF!</definedName>
    <definedName name="LedgerBudget_T_Active" localSheetId="13">#REF!</definedName>
    <definedName name="LedgerBudget_T_Active" localSheetId="12">#REF!</definedName>
    <definedName name="LedgerBudget_T_Active">#REF!</definedName>
    <definedName name="LedgerBudget_T_AllocateMethod" localSheetId="11">#REF!</definedName>
    <definedName name="LedgerBudget_T_AllocateMethod" localSheetId="13">#REF!</definedName>
    <definedName name="LedgerBudget_T_AllocateMethod" localSheetId="12">#REF!</definedName>
    <definedName name="LedgerBudget_T_AllocateMethod">#REF!</definedName>
    <definedName name="LedgerBudget_T_Amount" localSheetId="11">#REF!</definedName>
    <definedName name="LedgerBudget_T_Amount" localSheetId="13">#REF!</definedName>
    <definedName name="LedgerBudget_T_Amount" localSheetId="12">#REF!</definedName>
    <definedName name="LedgerBudget_T_Amount">#REF!</definedName>
    <definedName name="LedgerBudget_T_AmountMST" localSheetId="11">#REF!</definedName>
    <definedName name="LedgerBudget_T_AmountMST" localSheetId="13">#REF!</definedName>
    <definedName name="LedgerBudget_T_AmountMST" localSheetId="12">#REF!</definedName>
    <definedName name="LedgerBudget_T_AmountMST">#REF!</definedName>
    <definedName name="LedgerBudget_T_AssetBookId" localSheetId="11">#REF!</definedName>
    <definedName name="LedgerBudget_T_AssetBookId" localSheetId="13">#REF!</definedName>
    <definedName name="LedgerBudget_T_AssetBookId" localSheetId="12">#REF!</definedName>
    <definedName name="LedgerBudget_T_AssetBookId">#REF!</definedName>
    <definedName name="LedgerBudget_T_AssetId" localSheetId="11">#REF!</definedName>
    <definedName name="LedgerBudget_T_AssetId" localSheetId="13">#REF!</definedName>
    <definedName name="LedgerBudget_T_AssetId" localSheetId="12">#REF!</definedName>
    <definedName name="LedgerBudget_T_AssetId">#REF!</definedName>
    <definedName name="LedgerBudget_T_AssetTransType" localSheetId="11">#REF!</definedName>
    <definedName name="LedgerBudget_T_AssetTransType" localSheetId="13">#REF!</definedName>
    <definedName name="LedgerBudget_T_AssetTransType" localSheetId="12">#REF!</definedName>
    <definedName name="LedgerBudget_T_AssetTransType">#REF!</definedName>
    <definedName name="LedgerBudget_T_AutoTrans" localSheetId="11">#REF!</definedName>
    <definedName name="LedgerBudget_T_AutoTrans" localSheetId="13">#REF!</definedName>
    <definedName name="LedgerBudget_T_AutoTrans" localSheetId="12">#REF!</definedName>
    <definedName name="LedgerBudget_T_AutoTrans">#REF!</definedName>
    <definedName name="LedgerBudget_T_Comment" localSheetId="11">#REF!</definedName>
    <definedName name="LedgerBudget_T_Comment" localSheetId="13">#REF!</definedName>
    <definedName name="LedgerBudget_T_Comment" localSheetId="12">#REF!</definedName>
    <definedName name="LedgerBudget_T_Comment">#REF!</definedName>
    <definedName name="LedgerBudget_T_Cov" localSheetId="11">#REF!</definedName>
    <definedName name="LedgerBudget_T_Cov" localSheetId="13">#REF!</definedName>
    <definedName name="LedgerBudget_T_Cov" localSheetId="12">#REF!</definedName>
    <definedName name="LedgerBudget_T_Cov">#REF!</definedName>
    <definedName name="LedgerBudget_T_CovStatus" localSheetId="11">#REF!</definedName>
    <definedName name="LedgerBudget_T_CovStatus" localSheetId="13">#REF!</definedName>
    <definedName name="LedgerBudget_T_CovStatus" localSheetId="12">#REF!</definedName>
    <definedName name="LedgerBudget_T_CovStatus">#REF!</definedName>
    <definedName name="LedgerBudget_T_Crediting" localSheetId="11">#REF!</definedName>
    <definedName name="LedgerBudget_T_Crediting" localSheetId="13">#REF!</definedName>
    <definedName name="LedgerBudget_T_Crediting" localSheetId="12">#REF!</definedName>
    <definedName name="LedgerBudget_T_Crediting">#REF!</definedName>
    <definedName name="LedgerBudget_T_Currency" localSheetId="11">#REF!</definedName>
    <definedName name="LedgerBudget_T_Currency" localSheetId="13">#REF!</definedName>
    <definedName name="LedgerBudget_T_Currency" localSheetId="12">#REF!</definedName>
    <definedName name="LedgerBudget_T_Currency">#REF!</definedName>
    <definedName name="LedgerBudget_T_Dimension" localSheetId="11">#REF!</definedName>
    <definedName name="LedgerBudget_T_Dimension" localSheetId="13">#REF!</definedName>
    <definedName name="LedgerBudget_T_Dimension" localSheetId="12">#REF!</definedName>
    <definedName name="LedgerBudget_T_Dimension">#REF!</definedName>
    <definedName name="LedgerBudget_T_EndDate" localSheetId="11">#REF!</definedName>
    <definedName name="LedgerBudget_T_EndDate" localSheetId="13">#REF!</definedName>
    <definedName name="LedgerBudget_T_EndDate" localSheetId="12">#REF!</definedName>
    <definedName name="LedgerBudget_T_EndDate">#REF!</definedName>
    <definedName name="LedgerBudget_T_ExpandId" localSheetId="11">#REF!</definedName>
    <definedName name="LedgerBudget_T_ExpandId" localSheetId="13">#REF!</definedName>
    <definedName name="LedgerBudget_T_ExpandId" localSheetId="12">#REF!</definedName>
    <definedName name="LedgerBudget_T_ExpandId">#REF!</definedName>
    <definedName name="LedgerBudget_T_ForecastModelId" localSheetId="11">#REF!</definedName>
    <definedName name="LedgerBudget_T_ForecastModelId" localSheetId="13">#REF!</definedName>
    <definedName name="LedgerBudget_T_ForecastModelId" localSheetId="12">#REF!</definedName>
    <definedName name="LedgerBudget_T_ForecastModelId">#REF!</definedName>
    <definedName name="LedgerBudget_T_Freq" localSheetId="11">#REF!</definedName>
    <definedName name="LedgerBudget_T_Freq" localSheetId="13">#REF!</definedName>
    <definedName name="LedgerBudget_T_Freq" localSheetId="12">#REF!</definedName>
    <definedName name="LedgerBudget_T_Freq">#REF!</definedName>
    <definedName name="LedgerBudget_T_FreqCode" localSheetId="11">#REF!</definedName>
    <definedName name="LedgerBudget_T_FreqCode" localSheetId="13">#REF!</definedName>
    <definedName name="LedgerBudget_T_FreqCode" localSheetId="12">#REF!</definedName>
    <definedName name="LedgerBudget_T_FreqCode">#REF!</definedName>
    <definedName name="LedgerBudget_T_InventRecId" localSheetId="11">#REF!</definedName>
    <definedName name="LedgerBudget_T_InventRecId" localSheetId="13">#REF!</definedName>
    <definedName name="LedgerBudget_T_InventRecId" localSheetId="12">#REF!</definedName>
    <definedName name="LedgerBudget_T_InventRecId">#REF!</definedName>
    <definedName name="LedgerBudget_T_InventTableId" localSheetId="11">#REF!</definedName>
    <definedName name="LedgerBudget_T_InventTableId" localSheetId="13">#REF!</definedName>
    <definedName name="LedgerBudget_T_InventTableId" localSheetId="12">#REF!</definedName>
    <definedName name="LedgerBudget_T_InventTableId">#REF!</definedName>
    <definedName name="LedgerBudget_T_Key" localSheetId="11">#REF!</definedName>
    <definedName name="LedgerBudget_T_Key" localSheetId="13">#REF!</definedName>
    <definedName name="LedgerBudget_T_Key" localSheetId="12">#REF!</definedName>
    <definedName name="LedgerBudget_T_Key">#REF!</definedName>
    <definedName name="LedgerBudget_T_ModelNum" localSheetId="11">#REF!</definedName>
    <definedName name="LedgerBudget_T_ModelNum" localSheetId="13">#REF!</definedName>
    <definedName name="LedgerBudget_T_ModelNum" localSheetId="12">#REF!</definedName>
    <definedName name="LedgerBudget_T_ModelNum">#REF!</definedName>
    <definedName name="LedgerBudget_T_Price" localSheetId="11">#REF!</definedName>
    <definedName name="LedgerBudget_T_Price" localSheetId="13">#REF!</definedName>
    <definedName name="LedgerBudget_T_Price" localSheetId="12">#REF!</definedName>
    <definedName name="LedgerBudget_T_Price">#REF!</definedName>
    <definedName name="LedgerBudget_T_ProjTransId" localSheetId="11">#REF!</definedName>
    <definedName name="LedgerBudget_T_ProjTransId" localSheetId="13">#REF!</definedName>
    <definedName name="LedgerBudget_T_ProjTransId" localSheetId="12">#REF!</definedName>
    <definedName name="LedgerBudget_T_ProjTransId">#REF!</definedName>
    <definedName name="LedgerBudget_T_Qty" localSheetId="11">#REF!</definedName>
    <definedName name="LedgerBudget_T_Qty" localSheetId="13">#REF!</definedName>
    <definedName name="LedgerBudget_T_Qty" localSheetId="12">#REF!</definedName>
    <definedName name="LedgerBudget_T_Qty">#REF!</definedName>
    <definedName name="LedgerBudget_T_Report" localSheetId="11">#REF!</definedName>
    <definedName name="LedgerBudget_T_Report" localSheetId="13">#REF!</definedName>
    <definedName name="LedgerBudget_T_Report" localSheetId="12">#REF!</definedName>
    <definedName name="LedgerBudget_T_Report">#REF!</definedName>
    <definedName name="LedgerBudget_T_RevisionDate" localSheetId="11">#REF!</definedName>
    <definedName name="LedgerBudget_T_RevisionDate" localSheetId="13">#REF!</definedName>
    <definedName name="LedgerBudget_T_RevisionDate" localSheetId="12">#REF!</definedName>
    <definedName name="LedgerBudget_T_RevisionDate">#REF!</definedName>
    <definedName name="LedgerBudget_T_StartDate" localSheetId="11">#REF!</definedName>
    <definedName name="LedgerBudget_T_StartDate" localSheetId="13">#REF!</definedName>
    <definedName name="LedgerBudget_T_StartDate" localSheetId="12">#REF!</definedName>
    <definedName name="LedgerBudget_T_StartDate">#REF!</definedName>
    <definedName name="LedgerBudget_T_Stop" localSheetId="11">#REF!</definedName>
    <definedName name="LedgerBudget_T_Stop" localSheetId="13">#REF!</definedName>
    <definedName name="LedgerBudget_T_Stop" localSheetId="12">#REF!</definedName>
    <definedName name="LedgerBudget_T_Stop">#REF!</definedName>
    <definedName name="LedgerBudget_T_TaxGroup" localSheetId="11">#REF!</definedName>
    <definedName name="LedgerBudget_T_TaxGroup" localSheetId="13">#REF!</definedName>
    <definedName name="LedgerBudget_T_TaxGroup" localSheetId="12">#REF!</definedName>
    <definedName name="LedgerBudget_T_TaxGroup">#REF!</definedName>
    <definedName name="libor" localSheetId="11">#REF!</definedName>
    <definedName name="libor" localSheetId="13">#REF!</definedName>
    <definedName name="libor">#REF!</definedName>
    <definedName name="ListaFeriados" localSheetId="3">#REF!</definedName>
    <definedName name="ListaFeriados" localSheetId="11">#REF!</definedName>
    <definedName name="ListaFeriados" localSheetId="13">#REF!</definedName>
    <definedName name="ListaFeriados" localSheetId="4">#REF!</definedName>
    <definedName name="ListaFeriados" localSheetId="12">#REF!</definedName>
    <definedName name="ListaFeriados">#REF!</definedName>
    <definedName name="MB">#REF!</definedName>
    <definedName name="MOV.000.C.0.00.0000.00.00.311001">-57826469.4</definedName>
    <definedName name="MOV.000.C.0.00.0000.00.00.3214540">-305873.59</definedName>
    <definedName name="MOV.000.C.0.00.0000.00.00.3215990">-3399369.3</definedName>
    <definedName name="MOV.000.C.0.00.0000.00.00.3215990.CG4_NIVEL4_AS">-1855469.28</definedName>
    <definedName name="MOV.000.C.0.00.0000.00.00.3218510">-197454483.319999</definedName>
    <definedName name="MOV.000.C.0.00.0000.00.00.3218520">4226912.68</definedName>
    <definedName name="MOV.000.C.0.00.0000.00.00.3218600">0</definedName>
    <definedName name="MOV.000.C.0.00.0000.00.00.3218610">0</definedName>
    <definedName name="MOV.000.C.0.00.0000.00.00.4110010">0</definedName>
    <definedName name="MOV.000.C.0.00.0000.00.00.4110110">0</definedName>
    <definedName name="MOV.000.C.0.00.0000.00.00.4210310">0</definedName>
    <definedName name="MOV.000.C.0.00.0000.00.00.4210320">0</definedName>
    <definedName name="MOV.000.C.0.00.0000.00.00.4211100">47398.3</definedName>
    <definedName name="MOV.000.C.0.00.0000.00.00.421200">0</definedName>
    <definedName name="MOV.000.C.0.01.0000.00.00.311550">0</definedName>
    <definedName name="MOV.000.C.0.01.0000.00.00.321450">0</definedName>
    <definedName name="MOV.000.C.0.01.0000.00.00.3214500.CG4_42999">0</definedName>
    <definedName name="MOV.000.C.0.01.2000.00.00.311550">0</definedName>
    <definedName name="MOV.000.C.0.01.2000.00.00.3214500.CG4_42999">0</definedName>
    <definedName name="MOV.000.C.0.02.0000.00.00.3218510">-295140.87</definedName>
    <definedName name="MOV.000.C.0.02.0000.00.00.3218520">1200000</definedName>
    <definedName name="MOV.000.C.0.03.2000.00.00.311550">0</definedName>
    <definedName name="MOV.000.C.0.03.2000.00.00.3214500.CG4_42999">0</definedName>
    <definedName name="MOV.000.C.0.04.0000.00.00.3214540">-292265.27</definedName>
    <definedName name="MOV.000.C.0.04.0000.00.00.3218510">-948564.1</definedName>
    <definedName name="MOV.000.C.0.04.0000.00.00.3218520">0</definedName>
    <definedName name="MOV.000.C.0.04.1999.00.00.311550">0</definedName>
    <definedName name="MOV.000.C.0.04.1999.00.00.3214500.CG4_42999">-368591</definedName>
    <definedName name="MOV.000.C.0.04.2000.00.00.311550">-4343229.30000305</definedName>
    <definedName name="MOV.000.C.0.04.2000.00.00.3214500.CG4_42999">-369238.51999998</definedName>
    <definedName name="MOV.000.C.0.05.1999.00.00.311550">-4209586.76999664</definedName>
    <definedName name="MOV.000.C.0.05.1999.00.00.3214500.CG4_42999">-359908.67999983</definedName>
    <definedName name="MOV.000.C.0.08.1999.00.00.311550">-4248176.69000244</definedName>
    <definedName name="MOV.000.C.0.08.1999.00.00.3214500.CG4_42999">-369415.90999985</definedName>
    <definedName name="MOV.000.C.0.10.1999.00.00.311550">-4244110.05999756</definedName>
    <definedName name="MOV.000.C.0.10.1999.00.00.3214500.CG4_42999">-369445.0999999</definedName>
    <definedName name="MOV.002.C.0.01.0000.00.00.4212030">225292.21</definedName>
    <definedName name="MOV.002.C.0.02.0000.00.00.4212030">213968.22</definedName>
    <definedName name="MOV.002.C.0.03.0000.00.00.4212030">-439274.61</definedName>
    <definedName name="MOV.002.C.0.03.2004.00.00.3214500.CG4_42999">-167386.17</definedName>
    <definedName name="MOV.002.C.0.03.2005.00.00.3214500.CG4_42999">0</definedName>
    <definedName name="MOV.002.C.0.04.0000.00.00.4212030">0</definedName>
    <definedName name="MOV.002.C.0.05.0000.00.00.4212030">0</definedName>
    <definedName name="MOV.002.C.0.06.0000.00.00.4212030">0</definedName>
    <definedName name="MOV.002.C.0.06.2003.00.00.311550">2975569.34</definedName>
    <definedName name="MOV.002.C.0.06.2003.00.00.DGER026">-1834427.56</definedName>
    <definedName name="MOV.002.C.0.07.2003.00.00.4110010">123621045.229999</definedName>
    <definedName name="MOV.002.C.0.07.2003.00.00.DGER016">8725989.64999997</definedName>
    <definedName name="MOV.002.C.0.09.2003.00.00.DGER034">-66136.88</definedName>
    <definedName name="MOV.003.C.0.00.0000.00.00.2421060">225602.26</definedName>
    <definedName name="MOV.003.C.0.01.0000.00.00.2421060">240106.74</definedName>
    <definedName name="MOV.003.C.0.01.0000.00.00.4212030">0</definedName>
    <definedName name="MOV.003.C.0.02.0000.00.00.2421060">228038.19</definedName>
    <definedName name="MOV.003.C.0.05.2003.00.00.311550">-232135.1</definedName>
    <definedName name="MOV.003.C.0.05.2003.00.00.3214500.CG4_32999">-61685.57</definedName>
    <definedName name="MOV.003.C.0.05.2003.00.00.3214500.CG4_33999">-74368.51</definedName>
    <definedName name="MOV.003.C.0.05.2003.00.00.3214500.CG4_34999">-25486.61</definedName>
    <definedName name="MOV.003.C.0.05.2003.00.00.3214500.CG4_42999">0</definedName>
    <definedName name="MOV.003.C.0.05.2003.00.00.3215420">0</definedName>
    <definedName name="MOV.003.C.0.05.2003.00.00.421100">0</definedName>
    <definedName name="MOV.003.C.0.05.2003.00.00.DGER003">-2925967.56</definedName>
    <definedName name="MOV.003.C.0.05.2003.00.00.DGER005">-491055.35</definedName>
    <definedName name="MOV.003.C.0.05.2003.00.00.DGER006">-657844.47</definedName>
    <definedName name="MOV.003.C.0.05.2003.00.00.DGER007">-156331.02</definedName>
    <definedName name="MOV.003.C.0.05.2003.00.00.DGER01">5470849.22</definedName>
    <definedName name="MOV.003.C.0.05.2003.00.00.DGER015.CG4_AREA_ADM">-278321.76</definedName>
    <definedName name="MOV.003.C.0.05.2003.00.00.DGER015.CG4_AREA_COM">-1371.76</definedName>
    <definedName name="MOV.003.C.0.05.2003.00.00.DGER016">-404648.67</definedName>
    <definedName name="MOV.003.C.0.05.2003.00.00.DGER026">-2932.88</definedName>
    <definedName name="MOV.003.C.0.05.2003.00.00.DGER029">27273.46</definedName>
    <definedName name="MOV.003.C.0.05.2003.00.00.DGER030">-3905.89</definedName>
    <definedName name="MOV.003.C.0.05.2003.00.00.DGER031">-27692.59</definedName>
    <definedName name="MOV.003.C.0.05.2003.00.00.DGER032">27387</definedName>
    <definedName name="MOV.003.C.0.05.2003.00.00.DGER034">0</definedName>
    <definedName name="MOV.003.C.0.05.2003.00.00.DGER036">0</definedName>
    <definedName name="MOV.003.C.0.05.2003.00.00.DGER048">54596.55</definedName>
    <definedName name="MOV.003.C.0.05.2003.00.00.DGER049">-555555.28</definedName>
    <definedName name="MOV.003.C.0.05.2003.00.00.DGER050">-436092.19</definedName>
    <definedName name="MOV.003.C.0.05.2003.00.00.DGER050.CG4_AREA_ADM">-372703.42</definedName>
    <definedName name="MOV.003.C.0.05.2003.00.00.DGER050.CG4_AREA_COM">-63388.77</definedName>
    <definedName name="MOV.003.C.0.05.2003.00.00.DGER051">-101449.47</definedName>
    <definedName name="MOV.003.C.0.05.2003.00.00.DGER055">-61976.72</definedName>
    <definedName name="MOV.003.C.0.05.2003.00.00.DGER056">1616.21</definedName>
    <definedName name="MOV.003.C.0.05.2003.00.00.DGER057">0</definedName>
    <definedName name="MOV.003.C.0.05.2003.00.00.DGER064">0</definedName>
    <definedName name="MOV.003.C.0.05.2003.00.00.DMOLSON27">0</definedName>
    <definedName name="MOV.003.C.0.05.2003.00.00.DRESPER">-755558.27</definedName>
    <definedName name="MOV.003.C.0.06.2003.00.00.311550">-80250.94</definedName>
    <definedName name="MOV.003.C.0.06.2003.00.00.DGER026">-3305.71</definedName>
    <definedName name="MOV.003.C.0.07.2003.00.00.4110010">8272561.93</definedName>
    <definedName name="MOV.003.C.0.07.2003.00.00.DGER016">-53798.45</definedName>
    <definedName name="MOV.009.C.0.01.1998.00.00.4210110">0</definedName>
    <definedName name="MOV.009.C.0.01.1999.00.00.4210110">550637.26000023</definedName>
    <definedName name="MOV.009.C.0.01.2000.00.00.4210110">249275.68000007</definedName>
    <definedName name="MOV.009.C.0.01.2000.00.00.4210310">249275.68000007</definedName>
    <definedName name="MOV.009.C.0.01.2000.00.00.4210320">257094.01999998</definedName>
    <definedName name="MOV.009.C.0.02.1998.00.00.4210110">0</definedName>
    <definedName name="MOV.009.C.0.02.1999.00.00.4210110">835319.13000011</definedName>
    <definedName name="MOV.009.C.0.02.2000.00.00.4210110">0</definedName>
    <definedName name="MOV.009.C.0.02.2000.00.00.4210310">244587.24000001</definedName>
    <definedName name="MOV.009.C.0.02.2000.00.00.4210320">-633930.02000046</definedName>
    <definedName name="MOV.009.C.0.03.1998.00.00.4210110">0</definedName>
    <definedName name="MOV.009.C.0.03.1999.00.00.4210110">0</definedName>
    <definedName name="MOV.009.C.0.03.2000.00.00.4210310">241655.23000002</definedName>
    <definedName name="MOV.009.C.0.03.2000.00.00.4210320">-431577.01000023</definedName>
    <definedName name="MOV.009.C.0.04.1998.00.00.4210110">0</definedName>
    <definedName name="MOV.009.C.0.04.1999.00.00.4210110">-243236</definedName>
    <definedName name="MOV.009.C.0.04.2000.00.00.4210310">249870.36999989</definedName>
    <definedName name="MOV.009.C.0.04.2000.00.00.4210320">1111875.35000038</definedName>
    <definedName name="MOV.009.C.0.05.1998.00.00.4210110">0</definedName>
    <definedName name="MOV.009.C.0.05.1999.00.00.4210110">246380.54999995</definedName>
    <definedName name="MOV.009.C.0.05.2000.00.00.4210310">261043.33999991</definedName>
    <definedName name="MOV.009.C.0.05.2000.00.00.4210320">375249.17000008</definedName>
    <definedName name="MOV.009.C.0.06.1998.00.00.4210110">0</definedName>
    <definedName name="MOV.009.C.0.06.1999.00.00.4210110">252883.06999993</definedName>
    <definedName name="MOV.009.C.0.06.2000.00.00.4210310">248943.75</definedName>
    <definedName name="MOV.009.C.0.06.2000.00.00.4210320">-505390.80999994</definedName>
    <definedName name="MOV.009.C.0.07.1998.00.00.4210110">0</definedName>
    <definedName name="MOV.009.C.0.07.1999.00.00.4210110">255698.42000008</definedName>
    <definedName name="MOV.009.C.0.07.2000.00.00.4210310">253640.49000001</definedName>
    <definedName name="MOV.009.C.0.07.2000.00.00.4210320">-482276.51000023</definedName>
    <definedName name="MOV.009.C.0.08.1998.00.00.4210110">0</definedName>
    <definedName name="MOV.009.C.0.08.1999.00.00.4210110">273805.38999987</definedName>
    <definedName name="MOV.009.C.0.08.2000.00.00.4210310">260586.01999998</definedName>
    <definedName name="MOV.009.C.0.08.2000.00.00.4210320">937050.22000027</definedName>
    <definedName name="MOV.009.C.0.09.1998.00.00.4210110">0</definedName>
    <definedName name="MOV.009.C.0.09.1999.00.00.4210110">247826.8499999</definedName>
    <definedName name="MOV.009.C.0.09.2000.00.00.4210310">229488.79999995</definedName>
    <definedName name="MOV.009.C.0.09.2000.00.00.4210320">394302.76000023</definedName>
    <definedName name="MOV.009.C.0.10.1998.00.00.4210110">0</definedName>
    <definedName name="MOV.009.C.0.10.1999.00.00.4210110">297138.67000008</definedName>
    <definedName name="MOV.009.C.0.10.2000.00.00.4210310">261092.18000007</definedName>
    <definedName name="MOV.009.C.0.10.2000.00.00.4210320">1225240.63999939</definedName>
    <definedName name="MOV.009.C.0.11.1998.00.00.4210110">119541.50999999</definedName>
    <definedName name="MOV.009.C.0.11.1999.00.00.4210110">265913.42000008</definedName>
    <definedName name="MOV.009.C.0.11.2000.00.00.4210310">271016.76000023</definedName>
    <definedName name="MOV.009.C.0.11.2000.00.00.4210320">954151.15999985</definedName>
    <definedName name="MOV.009.C.0.12.1997.00.00.4210110">0</definedName>
    <definedName name="MOV.009.C.0.12.1998.00.00.4210110">206727.8900001</definedName>
    <definedName name="MOV.009.C.0.12.1999.00.00.4110110">0</definedName>
    <definedName name="MOV.009.C.0.12.1999.00.00.4210110">194238.56999993</definedName>
    <definedName name="MOV.009.C.0.12.2000.00.00.4210310">476015.5999999</definedName>
    <definedName name="MOV.009.C.0.12.2000.00.00.4210320">-79779.19000006</definedName>
    <definedName name="MOV.014.C.0.01.2004.00.00.311550">0</definedName>
    <definedName name="MOV.014.C.0.01.2004.00.00.3214500.CG4_32999">0</definedName>
    <definedName name="MOV.014.C.0.01.2004.00.00.3214500.CG4_33999">0</definedName>
    <definedName name="MOV.014.C.0.01.2004.00.00.3214500.CG4_34999">0</definedName>
    <definedName name="MOV.014.C.0.01.2004.00.00.3214500.CG4_42999">0</definedName>
    <definedName name="MOV.014.C.0.01.2004.00.00.3214540">0</definedName>
    <definedName name="MOV.014.C.0.01.2004.00.00.3215420">0</definedName>
    <definedName name="MOV.014.C.0.01.2004.00.00.421100">0</definedName>
    <definedName name="MOV.014.C.0.01.2004.00.00.4211100">0</definedName>
    <definedName name="MOV.014.C.0.01.2004.00.00.4212080">0</definedName>
    <definedName name="MOV.014.C.0.01.2004.00.00.DGER003">0</definedName>
    <definedName name="MOV.014.C.0.01.2004.00.00.DGER005">0</definedName>
    <definedName name="MOV.014.C.0.01.2004.00.00.DGER006">0</definedName>
    <definedName name="MOV.014.C.0.01.2004.00.00.DGER007">0</definedName>
    <definedName name="MOV.014.C.0.01.2004.00.00.DGER01">0</definedName>
    <definedName name="MOV.014.C.0.01.2004.00.00.DGER015.CG4_AREA_ADM">0</definedName>
    <definedName name="MOV.014.C.0.01.2004.00.00.DGER015.CG4_AREA_COM">0</definedName>
    <definedName name="MOV.014.C.0.01.2004.00.00.DGER016">0</definedName>
    <definedName name="MOV.014.C.0.01.2004.00.00.DGER026">0</definedName>
    <definedName name="MOV.014.C.0.01.2004.00.00.DGER029">-5.56</definedName>
    <definedName name="MOV.014.C.0.01.2004.00.00.DGER030">0</definedName>
    <definedName name="MOV.014.C.0.01.2004.00.00.DGER031">-193.24</definedName>
    <definedName name="MOV.014.C.0.01.2004.00.00.DGER032">0</definedName>
    <definedName name="MOV.014.C.0.01.2004.00.00.DGER034">-183170.89</definedName>
    <definedName name="MOV.014.C.0.01.2004.00.00.DGER036">0</definedName>
    <definedName name="MOV.014.C.0.01.2004.00.00.DGER048">1310835.5</definedName>
    <definedName name="MOV.014.C.0.01.2004.00.00.DGER049">0</definedName>
    <definedName name="MOV.014.C.0.01.2004.00.00.DGER050">-811.14</definedName>
    <definedName name="MOV.014.C.0.01.2004.00.00.DGER050.CG4_AREA_ADM">-811.14</definedName>
    <definedName name="MOV.014.C.0.01.2004.00.00.DGER050.CG4_AREA_COM">0</definedName>
    <definedName name="MOV.014.C.0.01.2004.00.00.DGER051">0</definedName>
    <definedName name="MOV.014.C.0.01.2004.00.00.DGER055">-300.92</definedName>
    <definedName name="MOV.014.C.0.01.2004.00.00.DGER056">337.12</definedName>
    <definedName name="MOV.014.C.0.01.2004.00.00.DGER057">-14650.59</definedName>
    <definedName name="MOV.014.C.0.01.2004.00.00.DGER064">-472138.28</definedName>
    <definedName name="MOV.014.C.0.01.2004.00.00.DMOLSON06">0</definedName>
    <definedName name="MOV.014.C.0.01.2004.00.00.DMOLSON08.CG4_AREA_COM">0</definedName>
    <definedName name="MOV.014.C.0.01.2004.00.00.DMOLSON08.CG4_NIVEL3_26">0</definedName>
    <definedName name="MOV.014.C.0.01.2004.00.00.DMOLSON08.CG4_NIVEL3_27">0</definedName>
    <definedName name="MOV.014.C.0.01.2004.00.00.DMOLSON14">0</definedName>
    <definedName name="MOV.014.C.0.01.2004.00.00.DMOLSON27">0</definedName>
    <definedName name="MOV.014.C.0.01.2004.00.00.DRESPER">1309930.96</definedName>
    <definedName name="MOV.014.C.0.01.2005.00.00.311550">0</definedName>
    <definedName name="MOV.014.C.0.01.2005.00.00.3214500.CG4_32999">0</definedName>
    <definedName name="MOV.014.C.0.01.2005.00.00.3214500.CG4_33999">0</definedName>
    <definedName name="MOV.014.C.0.01.2005.00.00.3214500.CG4_34999">0</definedName>
    <definedName name="MOV.014.C.0.01.2005.00.00.3214500.CG4_42999">0</definedName>
    <definedName name="MOV.014.C.0.01.2005.00.00.3214540">0</definedName>
    <definedName name="MOV.014.C.0.01.2005.00.00.3215420">0</definedName>
    <definedName name="MOV.014.C.0.01.2005.00.00.DGER003">0</definedName>
    <definedName name="MOV.014.C.0.01.2005.00.00.DGER005">0</definedName>
    <definedName name="MOV.014.C.0.01.2005.00.00.DGER006">0</definedName>
    <definedName name="MOV.014.C.0.01.2005.00.00.DGER007">0</definedName>
    <definedName name="MOV.014.C.0.01.2005.00.00.DGER01">0</definedName>
    <definedName name="MOV.014.C.0.01.2005.00.00.DGER015.CG4_AREA_ADM">0</definedName>
    <definedName name="MOV.014.C.0.01.2005.00.00.DGER015.CG4_AREA_COM">0</definedName>
    <definedName name="MOV.014.C.0.01.2005.00.00.DGER016">0</definedName>
    <definedName name="MOV.014.C.0.01.2005.00.00.DGER026">0</definedName>
    <definedName name="MOV.014.C.0.01.2005.00.00.DGER029">0</definedName>
    <definedName name="MOV.014.C.0.01.2005.00.00.DGER030">0</definedName>
    <definedName name="MOV.014.C.0.01.2005.00.00.DGER031">-1435.23</definedName>
    <definedName name="MOV.014.C.0.01.2005.00.00.DGER032">0</definedName>
    <definedName name="MOV.014.C.0.01.2005.00.00.DGER034">0</definedName>
    <definedName name="MOV.014.C.0.01.2005.00.00.DGER036">0</definedName>
    <definedName name="MOV.014.C.0.01.2005.00.00.DGER048">40212.85</definedName>
    <definedName name="MOV.014.C.0.01.2005.00.00.DGER049">0</definedName>
    <definedName name="MOV.014.C.0.01.2005.00.00.DGER050.CG4_AREA_ADM">12461.71</definedName>
    <definedName name="MOV.014.C.0.01.2005.00.00.DGER051">0</definedName>
    <definedName name="MOV.014.C.0.01.2005.00.00.DGER055">-356.36</definedName>
    <definedName name="MOV.014.C.0.01.2005.00.00.DGER056">1118.56</definedName>
    <definedName name="MOV.014.C.0.01.2005.00.00.DGER057">8387.96</definedName>
    <definedName name="MOV.014.C.0.01.2005.00.00.DGER064">-60389.49</definedName>
    <definedName name="MOV.014.C.0.01.2005.00.00.DMOLSON06">0</definedName>
    <definedName name="MOV.014.C.0.01.2005.00.00.DMOLSON08.CG4_AREA_COM">0</definedName>
    <definedName name="MOV.014.C.0.01.2005.00.00.DMOLSON08.CG4_NIVEL3_26">0</definedName>
    <definedName name="MOV.014.C.0.01.2005.00.00.DMOLSON08.CG4_NIVEL3_27">0</definedName>
    <definedName name="MOV.014.C.0.01.2005.00.00.DMOLSON14">0</definedName>
    <definedName name="MOV.014.C.0.01.2005.00.00.DMOLSON27">0</definedName>
    <definedName name="MOV.014.C.0.02.2003.00.00.DGER050">0</definedName>
    <definedName name="MOV.014.C.0.02.2003.00.00.DGER050.CG4_AREA_ADM">0</definedName>
    <definedName name="MOV.014.C.0.02.2003.00.00.DGER050.CG4_AREA_COM">0</definedName>
    <definedName name="MOV.014.C.0.02.2004.00.00.311550">0</definedName>
    <definedName name="MOV.014.C.0.02.2004.00.00.3214500.CG4_32999">0</definedName>
    <definedName name="MOV.014.C.0.02.2004.00.00.3214500.CG4_33999">0</definedName>
    <definedName name="MOV.014.C.0.02.2004.00.00.3214500.CG4_34999">0</definedName>
    <definedName name="MOV.014.C.0.02.2004.00.00.3214500.CG4_42999">0</definedName>
    <definedName name="MOV.014.C.0.02.2004.00.00.3214540">0</definedName>
    <definedName name="MOV.014.C.0.02.2004.00.00.3215420">0</definedName>
    <definedName name="MOV.014.C.0.02.2004.00.00.421100">0</definedName>
    <definedName name="MOV.014.C.0.02.2004.00.00.4211100">0</definedName>
    <definedName name="MOV.014.C.0.02.2004.00.00.4212080">0</definedName>
    <definedName name="MOV.014.C.0.02.2004.00.00.DGER003">0</definedName>
    <definedName name="MOV.014.C.0.02.2004.00.00.DGER005">0</definedName>
    <definedName name="MOV.014.C.0.02.2004.00.00.DGER006">0</definedName>
    <definedName name="MOV.014.C.0.02.2004.00.00.DGER007">0</definedName>
    <definedName name="MOV.014.C.0.02.2004.00.00.DGER01">0</definedName>
    <definedName name="MOV.014.C.0.02.2004.00.00.DGER015.CG4_AREA_ADM">0</definedName>
    <definedName name="MOV.014.C.0.02.2004.00.00.DGER015.CG4_AREA_COM">0</definedName>
    <definedName name="MOV.014.C.0.02.2004.00.00.DGER016">0</definedName>
    <definedName name="MOV.014.C.0.02.2004.00.00.DGER026">0</definedName>
    <definedName name="MOV.014.C.0.02.2004.00.00.DGER029">-48.19</definedName>
    <definedName name="MOV.014.C.0.02.2004.00.00.DGER030">0</definedName>
    <definedName name="MOV.014.C.0.02.2004.00.00.DGER031">-132.09</definedName>
    <definedName name="MOV.014.C.0.02.2004.00.00.DGER032">0</definedName>
    <definedName name="MOV.014.C.0.02.2004.00.00.DGER034">-50230.93</definedName>
    <definedName name="MOV.014.C.0.02.2004.00.00.DGER036">0</definedName>
    <definedName name="MOV.014.C.0.02.2004.00.00.DGER048">719006.4</definedName>
    <definedName name="MOV.014.C.0.02.2004.00.00.DGER049">0</definedName>
    <definedName name="MOV.014.C.0.02.2004.00.00.DGER050">-8185.37</definedName>
    <definedName name="MOV.014.C.0.02.2004.00.00.DGER050.CG4_AREA_ADM">-8185.37</definedName>
    <definedName name="MOV.014.C.0.02.2004.00.00.DGER050.CG4_AREA_COM">0</definedName>
    <definedName name="MOV.014.C.0.02.2004.00.00.DGER051">0</definedName>
    <definedName name="MOV.014.C.0.02.2004.00.00.DGER055">-263.87</definedName>
    <definedName name="MOV.014.C.0.02.2004.00.00.DGER056">520.97</definedName>
    <definedName name="MOV.014.C.0.02.2004.00.00.DGER057">6969.17</definedName>
    <definedName name="MOV.014.C.0.02.2004.00.00.DGER064">-472138.28</definedName>
    <definedName name="MOV.014.C.0.02.2004.00.00.DMOLSON06">0</definedName>
    <definedName name="MOV.014.C.0.02.2004.00.00.DMOLSON08.CG4_AREA_COM">0</definedName>
    <definedName name="MOV.014.C.0.02.2004.00.00.DMOLSON08.CG4_NIVEL3_26">0</definedName>
    <definedName name="MOV.014.C.0.02.2004.00.00.DMOLSON08.CG4_NIVEL3_27">0</definedName>
    <definedName name="MOV.014.C.0.02.2004.00.00.DMOLSON14">0</definedName>
    <definedName name="MOV.014.C.0.02.2004.00.00.DMOLSON27">0</definedName>
    <definedName name="MOV.014.C.0.02.2004.00.00.DRESPER">586279.78</definedName>
    <definedName name="MOV.014.C.0.02.2005.00.00.311550">0</definedName>
    <definedName name="MOV.014.C.0.02.2005.00.00.3214500.CG4_32999">0</definedName>
    <definedName name="MOV.014.C.0.02.2005.00.00.3214500.CG4_33999">0</definedName>
    <definedName name="MOV.014.C.0.02.2005.00.00.3214500.CG4_34999">0</definedName>
    <definedName name="MOV.014.C.0.02.2005.00.00.3214500.CG4_42999">0</definedName>
    <definedName name="MOV.014.C.0.02.2005.00.00.3214540">0</definedName>
    <definedName name="MOV.014.C.0.02.2005.00.00.3215420">0</definedName>
    <definedName name="MOV.014.C.0.02.2005.00.00.DGER003">0</definedName>
    <definedName name="MOV.014.C.0.02.2005.00.00.DGER005">0</definedName>
    <definedName name="MOV.014.C.0.02.2005.00.00.DGER006">0</definedName>
    <definedName name="MOV.014.C.0.02.2005.00.00.DGER007">0</definedName>
    <definedName name="MOV.014.C.0.02.2005.00.00.DGER01">0</definedName>
    <definedName name="MOV.014.C.0.02.2005.00.00.DGER015.CG4_AREA_ADM">0</definedName>
    <definedName name="MOV.014.C.0.02.2005.00.00.DGER015.CG4_AREA_COM">0</definedName>
    <definedName name="MOV.014.C.0.02.2005.00.00.DGER016">0</definedName>
    <definedName name="MOV.014.C.0.02.2005.00.00.DGER026">0</definedName>
    <definedName name="MOV.014.C.0.02.2005.00.00.DGER029">0</definedName>
    <definedName name="MOV.014.C.0.02.2005.00.00.DGER030">0</definedName>
    <definedName name="MOV.014.C.0.02.2005.00.00.DGER031">0</definedName>
    <definedName name="MOV.014.C.0.02.2005.00.00.DGER032">0</definedName>
    <definedName name="MOV.014.C.0.02.2005.00.00.DGER034">0</definedName>
    <definedName name="MOV.014.C.0.02.2005.00.00.DGER036">0</definedName>
    <definedName name="MOV.014.C.0.02.2005.00.00.DGER048">33202.82</definedName>
    <definedName name="MOV.014.C.0.02.2005.00.00.DGER049">0</definedName>
    <definedName name="MOV.014.C.0.02.2005.00.00.DGER050.CG4_AREA_ADM">155</definedName>
    <definedName name="MOV.014.C.0.02.2005.00.00.DGER051">0</definedName>
    <definedName name="MOV.014.C.0.02.2005.00.00.DGER055">-310.94</definedName>
    <definedName name="MOV.014.C.0.02.2005.00.00.DGER056">942.5</definedName>
    <definedName name="MOV.014.C.0.02.2005.00.00.DGER057">8444.63</definedName>
    <definedName name="MOV.014.C.0.02.2005.00.00.DGER064">-42434.01</definedName>
    <definedName name="MOV.014.C.0.02.2005.00.00.DMOLSON06">0</definedName>
    <definedName name="MOV.014.C.0.02.2005.00.00.DMOLSON08.CG4_AREA_COM">0</definedName>
    <definedName name="MOV.014.C.0.02.2005.00.00.DMOLSON08.CG4_NIVEL3_26">0</definedName>
    <definedName name="MOV.014.C.0.02.2005.00.00.DMOLSON08.CG4_NIVEL3_27">0</definedName>
    <definedName name="MOV.014.C.0.02.2005.00.00.DMOLSON14">0</definedName>
    <definedName name="MOV.014.C.0.02.2005.00.00.DMOLSON27">0</definedName>
    <definedName name="MOV.014.C.0.03.2004.00.00.311550">0</definedName>
    <definedName name="MOV.014.C.0.03.2004.00.00.3214500.CG4_32999">0</definedName>
    <definedName name="MOV.014.C.0.03.2004.00.00.3214500.CG4_33999">0</definedName>
    <definedName name="MOV.014.C.0.03.2004.00.00.3214500.CG4_34999">0</definedName>
    <definedName name="MOV.014.C.0.03.2004.00.00.3214500.CG4_42999">0</definedName>
    <definedName name="MOV.014.C.0.03.2004.00.00.3214540">0</definedName>
    <definedName name="MOV.014.C.0.03.2004.00.00.3215420">0</definedName>
    <definedName name="MOV.014.C.0.03.2004.00.00.421100">0</definedName>
    <definedName name="MOV.014.C.0.03.2004.00.00.4211100">0</definedName>
    <definedName name="MOV.014.C.0.03.2004.00.00.4212080">0</definedName>
    <definedName name="MOV.014.C.0.03.2004.00.00.DGER003">0</definedName>
    <definedName name="MOV.014.C.0.03.2004.00.00.DGER005">0</definedName>
    <definedName name="MOV.014.C.0.03.2004.00.00.DGER006">0</definedName>
    <definedName name="MOV.014.C.0.03.2004.00.00.DGER007">0</definedName>
    <definedName name="MOV.014.C.0.03.2004.00.00.DGER01">0</definedName>
    <definedName name="MOV.014.C.0.03.2004.00.00.DGER015.CG4_AREA_ADM">0</definedName>
    <definedName name="MOV.014.C.0.03.2004.00.00.DGER015.CG4_AREA_COM">0</definedName>
    <definedName name="MOV.014.C.0.03.2004.00.00.DGER016">0</definedName>
    <definedName name="MOV.014.C.0.03.2004.00.00.DGER026">0</definedName>
    <definedName name="MOV.014.C.0.03.2004.00.00.DGER029">-27.45</definedName>
    <definedName name="MOV.014.C.0.03.2004.00.00.DGER030">0</definedName>
    <definedName name="MOV.014.C.0.03.2004.00.00.DGER031">-146.11</definedName>
    <definedName name="MOV.014.C.0.03.2004.00.00.DGER032">0</definedName>
    <definedName name="MOV.014.C.0.03.2004.00.00.DGER034">-108972.04</definedName>
    <definedName name="MOV.014.C.0.03.2004.00.00.DGER036">0</definedName>
    <definedName name="MOV.014.C.0.03.2004.00.00.DGER048">837635.03</definedName>
    <definedName name="MOV.014.C.0.03.2004.00.00.DGER049">0</definedName>
    <definedName name="MOV.014.C.0.03.2004.00.00.DGER050">1326.33</definedName>
    <definedName name="MOV.014.C.0.03.2004.00.00.DGER050.CG4_AREA_ADM">8268.98</definedName>
    <definedName name="MOV.014.C.0.03.2004.00.00.DGER050.CG4_AREA_COM">0</definedName>
    <definedName name="MOV.014.C.0.03.2004.00.00.DGER051">0</definedName>
    <definedName name="MOV.014.C.0.03.2004.00.00.DGER055">-329.48</definedName>
    <definedName name="MOV.014.C.0.03.2004.00.00.DGER056">296.76</definedName>
    <definedName name="MOV.014.C.0.03.2004.00.00.DGER057">1337.26</definedName>
    <definedName name="MOV.014.C.0.03.2004.00.00.DGER064">-1888553.12</definedName>
    <definedName name="MOV.014.C.0.03.2004.00.00.DMOLSON06">0</definedName>
    <definedName name="MOV.014.C.0.03.2004.00.00.DMOLSON08.CG4_AREA_COM">0</definedName>
    <definedName name="MOV.014.C.0.03.2004.00.00.DMOLSON08.CG4_NIVEL3_26">0</definedName>
    <definedName name="MOV.014.C.0.03.2004.00.00.DMOLSON08.CG4_NIVEL3_27">0</definedName>
    <definedName name="MOV.014.C.0.03.2004.00.00.DMOLSON14">0</definedName>
    <definedName name="MOV.014.C.0.03.2004.00.00.DMOLSON27">0</definedName>
    <definedName name="MOV.014.C.0.03.2004.00.00.DRESPER">-1157432.82</definedName>
    <definedName name="MOV.014.C.0.03.2005.00.00.311550">0</definedName>
    <definedName name="MOV.014.C.0.03.2005.00.00.3214500.CG4_32999">0</definedName>
    <definedName name="MOV.014.C.0.03.2005.00.00.3214500.CG4_33999">0</definedName>
    <definedName name="MOV.014.C.0.03.2005.00.00.3214500.CG4_34999">0</definedName>
    <definedName name="MOV.014.C.0.03.2005.00.00.3214500.CG4_42999">0</definedName>
    <definedName name="MOV.014.C.0.03.2005.00.00.3214540">0</definedName>
    <definedName name="MOV.014.C.0.03.2005.00.00.3215420">0</definedName>
    <definedName name="MOV.014.C.0.03.2005.00.00.DGER003">0</definedName>
    <definedName name="MOV.014.C.0.03.2005.00.00.DGER005">0</definedName>
    <definedName name="MOV.014.C.0.03.2005.00.00.DGER006">0</definedName>
    <definedName name="MOV.014.C.0.03.2005.00.00.DGER007">0</definedName>
    <definedName name="MOV.014.C.0.03.2005.00.00.DGER01">0</definedName>
    <definedName name="MOV.014.C.0.03.2005.00.00.DGER015.CG4_AREA_ADM">0</definedName>
    <definedName name="MOV.014.C.0.03.2005.00.00.DGER015.CG4_AREA_COM">0</definedName>
    <definedName name="MOV.014.C.0.03.2005.00.00.DGER016">0</definedName>
    <definedName name="MOV.014.C.0.03.2005.00.00.DGER026">0</definedName>
    <definedName name="MOV.014.C.0.03.2005.00.00.DGER029">0</definedName>
    <definedName name="MOV.014.C.0.03.2005.00.00.DGER030">0</definedName>
    <definedName name="MOV.014.C.0.03.2005.00.00.DGER031">-360.33</definedName>
    <definedName name="MOV.014.C.0.03.2005.00.00.DGER032">0</definedName>
    <definedName name="MOV.014.C.0.03.2005.00.00.DGER034">0</definedName>
    <definedName name="MOV.014.C.0.03.2005.00.00.DGER036">0</definedName>
    <definedName name="MOV.014.C.0.03.2005.00.00.DGER048">38905.93</definedName>
    <definedName name="MOV.014.C.0.03.2005.00.00.DGER049">0</definedName>
    <definedName name="MOV.014.C.0.03.2005.00.00.DGER050.CG4_AREA_ADM">0</definedName>
    <definedName name="MOV.014.C.0.03.2005.00.00.DGER051">0</definedName>
    <definedName name="MOV.014.C.0.03.2005.00.00.DGER055">-400.56</definedName>
    <definedName name="MOV.014.C.0.03.2005.00.00.DGER056">803.07</definedName>
    <definedName name="MOV.014.C.0.03.2005.00.00.DGER057">-20176.44</definedName>
    <definedName name="MOV.014.C.0.03.2005.00.00.DGER064">-18771.67</definedName>
    <definedName name="MOV.014.C.0.03.2005.00.00.DMOLSON06">0</definedName>
    <definedName name="MOV.014.C.0.03.2005.00.00.DMOLSON08.CG4_AREA_COM">0</definedName>
    <definedName name="MOV.014.C.0.03.2005.00.00.DMOLSON08.CG4_NIVEL3_26">0</definedName>
    <definedName name="MOV.014.C.0.03.2005.00.00.DMOLSON08.CG4_NIVEL3_27">0</definedName>
    <definedName name="MOV.014.C.0.03.2005.00.00.DMOLSON14">0</definedName>
    <definedName name="MOV.014.C.0.03.2005.00.00.DMOLSON27">0</definedName>
    <definedName name="MOV.014.C.0.04.2003.00.00.311550">0</definedName>
    <definedName name="MOV.014.C.0.04.2003.00.00.3214500.CG4_32999">0</definedName>
    <definedName name="MOV.014.C.0.04.2003.00.00.3214500.CG4_33999">0</definedName>
    <definedName name="MOV.014.C.0.04.2003.00.00.3214500.CG4_34999">0</definedName>
    <definedName name="MOV.014.C.0.04.2003.00.00.3214500.CG4_42999">0</definedName>
    <definedName name="MOV.014.C.0.04.2003.00.00.3214540">0</definedName>
    <definedName name="MOV.014.C.0.04.2003.00.00.3215420">0</definedName>
    <definedName name="MOV.014.C.0.04.2003.00.00.DGER003">0</definedName>
    <definedName name="MOV.014.C.0.04.2003.00.00.DGER005">0</definedName>
    <definedName name="MOV.014.C.0.04.2003.00.00.DGER006">0</definedName>
    <definedName name="MOV.014.C.0.04.2003.00.00.DGER007">0</definedName>
    <definedName name="MOV.014.C.0.04.2003.00.00.DGER01">0</definedName>
    <definedName name="MOV.014.C.0.04.2003.00.00.DGER015.CG4_AREA_ADM">-163192</definedName>
    <definedName name="MOV.014.C.0.04.2003.00.00.DGER015.CG4_AREA_COM">0</definedName>
    <definedName name="MOV.014.C.0.04.2003.00.00.DGER016">0</definedName>
    <definedName name="MOV.014.C.0.04.2003.00.00.DGER026">0</definedName>
    <definedName name="MOV.014.C.0.04.2003.00.00.DGER029">0</definedName>
    <definedName name="MOV.014.C.0.04.2003.00.00.DGER030">-71354.08</definedName>
    <definedName name="MOV.014.C.0.04.2003.00.00.DGER031">-710.34</definedName>
    <definedName name="MOV.014.C.0.04.2003.00.00.DGER032">0</definedName>
    <definedName name="MOV.014.C.0.04.2003.00.00.DGER034">0</definedName>
    <definedName name="MOV.014.C.0.04.2003.00.00.DGER036">0</definedName>
    <definedName name="MOV.014.C.0.04.2003.00.00.DGER048">-1193.01</definedName>
    <definedName name="MOV.014.C.0.04.2003.00.00.DGER049">0</definedName>
    <definedName name="MOV.014.C.0.04.2003.00.00.DGER050.CG4_AREA_ADM">0</definedName>
    <definedName name="MOV.014.C.0.04.2003.00.00.DGER050.CG4_AREA_COM">0</definedName>
    <definedName name="MOV.014.C.0.04.2003.00.00.DGER051">0</definedName>
    <definedName name="MOV.014.C.0.04.2003.00.00.DGER055">-42230.6</definedName>
    <definedName name="MOV.014.C.0.04.2003.00.00.DGER056">0</definedName>
    <definedName name="MOV.014.C.0.04.2003.00.00.DGER057">131288.56</definedName>
    <definedName name="MOV.014.C.0.04.2003.00.00.DGER064">0</definedName>
    <definedName name="MOV.014.C.0.04.2003.00.00.DMOLSON06">0</definedName>
    <definedName name="MOV.014.C.0.04.2003.00.00.DMOLSON08.CG4_AREA_COM">0</definedName>
    <definedName name="MOV.014.C.0.04.2003.00.00.DMOLSON08.CG4_NIVEL3_26">0</definedName>
    <definedName name="MOV.014.C.0.04.2003.00.00.DMOLSON08.CG4_NIVEL3_27">0</definedName>
    <definedName name="MOV.014.C.0.04.2003.00.00.DMOLSON14">0</definedName>
    <definedName name="MOV.014.C.0.04.2003.00.00.DMOLSON27">26410583.54</definedName>
    <definedName name="MOV.014.C.0.04.2004.00.00.311550">0</definedName>
    <definedName name="MOV.014.C.0.04.2004.00.00.3214500.CG4_32999">0</definedName>
    <definedName name="MOV.014.C.0.04.2004.00.00.3214500.CG4_33999">0</definedName>
    <definedName name="MOV.014.C.0.04.2004.00.00.3214500.CG4_34999">0</definedName>
    <definedName name="MOV.014.C.0.04.2004.00.00.3214500.CG4_42999">0</definedName>
    <definedName name="MOV.014.C.0.04.2004.00.00.3214540">0</definedName>
    <definedName name="MOV.014.C.0.04.2004.00.00.3215420">0</definedName>
    <definedName name="MOV.014.C.0.04.2004.00.00.DGER003">0</definedName>
    <definedName name="MOV.014.C.0.04.2004.00.00.DGER005">0</definedName>
    <definedName name="MOV.014.C.0.04.2004.00.00.DGER006">0</definedName>
    <definedName name="MOV.014.C.0.04.2004.00.00.DGER007">0</definedName>
    <definedName name="MOV.014.C.0.04.2004.00.00.DGER01">0</definedName>
    <definedName name="MOV.014.C.0.04.2004.00.00.DGER015.CG4_AREA_ADM">0</definedName>
    <definedName name="MOV.014.C.0.04.2004.00.00.DGER015.CG4_AREA_COM">0</definedName>
    <definedName name="MOV.014.C.0.04.2004.00.00.DGER016">0</definedName>
    <definedName name="MOV.014.C.0.04.2004.00.00.DGER026">0</definedName>
    <definedName name="MOV.014.C.0.04.2004.00.00.DGER029">0</definedName>
    <definedName name="MOV.014.C.0.04.2004.00.00.DGER030">0</definedName>
    <definedName name="MOV.014.C.0.04.2004.00.00.DGER031">-503.45</definedName>
    <definedName name="MOV.014.C.0.04.2004.00.00.DGER032">0</definedName>
    <definedName name="MOV.014.C.0.04.2004.00.00.DGER034">338956.6</definedName>
    <definedName name="MOV.014.C.0.04.2004.00.00.DGER036">0</definedName>
    <definedName name="MOV.014.C.0.04.2004.00.00.DGER048">554975.12</definedName>
    <definedName name="MOV.014.C.0.04.2004.00.00.DGER049">0</definedName>
    <definedName name="MOV.014.C.0.04.2004.00.00.DGER050.CG4_AREA_ADM">-817.05</definedName>
    <definedName name="MOV.014.C.0.04.2004.00.00.DGER051">0</definedName>
    <definedName name="MOV.014.C.0.04.2004.00.00.DGER055">-287.47</definedName>
    <definedName name="MOV.014.C.0.04.2004.00.00.DGER056">2050.96</definedName>
    <definedName name="MOV.014.C.0.04.2004.00.00.DGER057">-9383.25</definedName>
    <definedName name="MOV.014.C.0.04.2004.00.00.DGER064">-546034.86</definedName>
    <definedName name="MOV.014.C.0.04.2004.00.00.DMOLSON06">0</definedName>
    <definedName name="MOV.014.C.0.04.2004.00.00.DMOLSON08.CG4_AREA_COM">0</definedName>
    <definedName name="MOV.014.C.0.04.2004.00.00.DMOLSON08.CG4_NIVEL3_26">0</definedName>
    <definedName name="MOV.014.C.0.04.2004.00.00.DMOLSON08.CG4_NIVEL3_27">0</definedName>
    <definedName name="MOV.014.C.0.04.2004.00.00.DMOLSON14">0</definedName>
    <definedName name="MOV.014.C.0.04.2004.00.00.DMOLSON27">0</definedName>
    <definedName name="MOV.014.C.0.04.2005.00.00.311550">0</definedName>
    <definedName name="MOV.014.C.0.04.2005.00.00.3214500.CG4_32999">0</definedName>
    <definedName name="MOV.014.C.0.04.2005.00.00.3214500.CG4_33999">0</definedName>
    <definedName name="MOV.014.C.0.04.2005.00.00.3214500.CG4_34999">0</definedName>
    <definedName name="MOV.014.C.0.04.2005.00.00.3214500.CG4_42999">0</definedName>
    <definedName name="MOV.014.C.0.04.2005.00.00.3214540">0</definedName>
    <definedName name="MOV.014.C.0.04.2005.00.00.3215420">0</definedName>
    <definedName name="MOV.014.C.0.04.2005.00.00.DGER003">0</definedName>
    <definedName name="MOV.014.C.0.04.2005.00.00.DGER005">0</definedName>
    <definedName name="MOV.014.C.0.04.2005.00.00.DGER006">0</definedName>
    <definedName name="MOV.014.C.0.04.2005.00.00.DGER007">0</definedName>
    <definedName name="MOV.014.C.0.04.2005.00.00.DGER01">0</definedName>
    <definedName name="MOV.014.C.0.04.2005.00.00.DGER015.CG4_AREA_ADM">0</definedName>
    <definedName name="MOV.014.C.0.04.2005.00.00.DGER015.CG4_AREA_COM">0</definedName>
    <definedName name="MOV.014.C.0.04.2005.00.00.DGER016">0</definedName>
    <definedName name="MOV.014.C.0.04.2005.00.00.DGER026">0</definedName>
    <definedName name="MOV.014.C.0.04.2005.00.00.DGER029">0</definedName>
    <definedName name="MOV.014.C.0.04.2005.00.00.DGER030">0</definedName>
    <definedName name="MOV.014.C.0.04.2005.00.00.DGER031">0</definedName>
    <definedName name="MOV.014.C.0.04.2005.00.00.DGER032">0</definedName>
    <definedName name="MOV.014.C.0.04.2005.00.00.DGER034">0</definedName>
    <definedName name="MOV.014.C.0.04.2005.00.00.DGER036">0</definedName>
    <definedName name="MOV.014.C.0.04.2005.00.00.DGER048">0</definedName>
    <definedName name="MOV.014.C.0.04.2005.00.00.DGER049">0</definedName>
    <definedName name="MOV.014.C.0.04.2005.00.00.DGER050.CG4_AREA_ADM">0</definedName>
    <definedName name="MOV.014.C.0.04.2005.00.00.DGER051">0</definedName>
    <definedName name="MOV.014.C.0.04.2005.00.00.DGER055">0</definedName>
    <definedName name="MOV.014.C.0.04.2005.00.00.DGER056">0</definedName>
    <definedName name="MOV.014.C.0.04.2005.00.00.DGER057">0</definedName>
    <definedName name="MOV.014.C.0.04.2005.00.00.DGER064">0</definedName>
    <definedName name="MOV.014.C.0.04.2005.00.00.DMOLSON06">0</definedName>
    <definedName name="MOV.014.C.0.04.2005.00.00.DMOLSON08.CG4_AREA_COM">0</definedName>
    <definedName name="MOV.014.C.0.04.2005.00.00.DMOLSON08.CG4_NIVEL3_26">0</definedName>
    <definedName name="MOV.014.C.0.04.2005.00.00.DMOLSON08.CG4_NIVEL3_27">0</definedName>
    <definedName name="MOV.014.C.0.04.2005.00.00.DMOLSON14">0</definedName>
    <definedName name="MOV.014.C.0.04.2005.00.00.DMOLSON27">0</definedName>
    <definedName name="MOV.014.C.0.04.2005.00.00.DMOLSON31">-3732.4</definedName>
    <definedName name="MOV.014.C.0.05.2003.00.00.311550">0</definedName>
    <definedName name="MOV.014.C.0.05.2003.00.00.3214500.CG4_32999">0</definedName>
    <definedName name="MOV.014.C.0.05.2003.00.00.3214500.CG4_33999">0</definedName>
    <definedName name="MOV.014.C.0.05.2003.00.00.3214500.CG4_34999">0</definedName>
    <definedName name="MOV.014.C.0.05.2003.00.00.3214500.CG4_42999">0</definedName>
    <definedName name="MOV.014.C.0.05.2003.00.00.3214540">0</definedName>
    <definedName name="MOV.014.C.0.05.2003.00.00.3215420">0</definedName>
    <definedName name="MOV.014.C.0.05.2003.00.00.DGER003">0</definedName>
    <definedName name="MOV.014.C.0.05.2003.00.00.DGER005">0</definedName>
    <definedName name="MOV.014.C.0.05.2003.00.00.DGER006">0</definedName>
    <definedName name="MOV.014.C.0.05.2003.00.00.DGER007">0</definedName>
    <definedName name="MOV.014.C.0.05.2003.00.00.DGER01">0</definedName>
    <definedName name="MOV.014.C.0.05.2003.00.00.DGER015.CG4_AREA_ADM">0</definedName>
    <definedName name="MOV.014.C.0.05.2003.00.00.DGER015.CG4_AREA_COM">0</definedName>
    <definedName name="MOV.014.C.0.05.2003.00.00.DGER016">0</definedName>
    <definedName name="MOV.014.C.0.05.2003.00.00.DGER026">0</definedName>
    <definedName name="MOV.014.C.0.05.2003.00.00.DGER029">0</definedName>
    <definedName name="MOV.014.C.0.05.2003.00.00.DGER030">17605.71</definedName>
    <definedName name="MOV.014.C.0.05.2003.00.00.DGER031">-315.68</definedName>
    <definedName name="MOV.014.C.0.05.2003.00.00.DGER032">0</definedName>
    <definedName name="MOV.014.C.0.05.2003.00.00.DGER034">0</definedName>
    <definedName name="MOV.014.C.0.05.2003.00.00.DGER036">0</definedName>
    <definedName name="MOV.014.C.0.05.2003.00.00.DGER048">0</definedName>
    <definedName name="MOV.014.C.0.05.2003.00.00.DGER049">0</definedName>
    <definedName name="MOV.014.C.0.05.2003.00.00.DGER050.CG4_AREA_ADM">-40974.66</definedName>
    <definedName name="MOV.014.C.0.05.2003.00.00.DGER050.CG4_AREA_COM">0</definedName>
    <definedName name="MOV.014.C.0.05.2003.00.00.DGER051">0</definedName>
    <definedName name="MOV.014.C.0.05.2003.00.00.DGER055">0</definedName>
    <definedName name="MOV.014.C.0.05.2003.00.00.DGER056">968.93</definedName>
    <definedName name="MOV.014.C.0.05.2003.00.00.DGER057">-21479.98</definedName>
    <definedName name="MOV.014.C.0.05.2003.00.00.DGER064">0</definedName>
    <definedName name="MOV.014.C.0.05.2003.00.00.DMOLSON06">0</definedName>
    <definedName name="MOV.014.C.0.05.2003.00.00.DMOLSON08.CG4_AREA_COM">0</definedName>
    <definedName name="MOV.014.C.0.05.2003.00.00.DMOLSON08.CG4_NIVEL3_26">0</definedName>
    <definedName name="MOV.014.C.0.05.2003.00.00.DMOLSON08.CG4_NIVEL3_27">0</definedName>
    <definedName name="MOV.014.C.0.05.2003.00.00.DMOLSON14">0</definedName>
    <definedName name="MOV.014.C.0.05.2003.00.00.DMOLSON27">-765155.1</definedName>
    <definedName name="MOV.014.C.0.05.2004.00.00.311550">0</definedName>
    <definedName name="MOV.014.C.0.05.2004.00.00.3214500.CG4_32999">0</definedName>
    <definedName name="MOV.014.C.0.05.2004.00.00.3214500.CG4_33999">0</definedName>
    <definedName name="MOV.014.C.0.05.2004.00.00.3214500.CG4_34999">0</definedName>
    <definedName name="MOV.014.C.0.05.2004.00.00.3214500.CG4_42999">0</definedName>
    <definedName name="MOV.014.C.0.05.2004.00.00.3214540">0</definedName>
    <definedName name="MOV.014.C.0.05.2004.00.00.3215420">0</definedName>
    <definedName name="MOV.014.C.0.05.2004.00.00.DGER003">0</definedName>
    <definedName name="MOV.014.C.0.05.2004.00.00.DGER005">0</definedName>
    <definedName name="MOV.014.C.0.05.2004.00.00.DGER006">0</definedName>
    <definedName name="MOV.014.C.0.05.2004.00.00.DGER007">0</definedName>
    <definedName name="MOV.014.C.0.05.2004.00.00.DGER01">0</definedName>
    <definedName name="MOV.014.C.0.05.2004.00.00.DGER015.CG4_AREA_ADM">0</definedName>
    <definedName name="MOV.014.C.0.05.2004.00.00.DGER015.CG4_AREA_COM">0</definedName>
    <definedName name="MOV.014.C.0.05.2004.00.00.DGER016">0</definedName>
    <definedName name="MOV.014.C.0.05.2004.00.00.DGER026">0</definedName>
    <definedName name="MOV.014.C.0.05.2004.00.00.DGER029">0</definedName>
    <definedName name="MOV.014.C.0.05.2004.00.00.DGER030">0</definedName>
    <definedName name="MOV.014.C.0.05.2004.00.00.DGER031">-268.87</definedName>
    <definedName name="MOV.014.C.0.05.2004.00.00.DGER032">-3737.66</definedName>
    <definedName name="MOV.014.C.0.05.2004.00.00.DGER034">0</definedName>
    <definedName name="MOV.014.C.0.05.2004.00.00.DGER036">0</definedName>
    <definedName name="MOV.014.C.0.05.2004.00.00.DGER048">40407.12</definedName>
    <definedName name="MOV.014.C.0.05.2004.00.00.DGER049">0</definedName>
    <definedName name="MOV.014.C.0.05.2004.00.00.DGER050.CG4_AREA_ADM">-9832.07</definedName>
    <definedName name="MOV.014.C.0.05.2004.00.00.DGER051">0</definedName>
    <definedName name="MOV.014.C.0.05.2004.00.00.DGER055">-322.24</definedName>
    <definedName name="MOV.014.C.0.05.2004.00.00.DGER056">349.37</definedName>
    <definedName name="MOV.014.C.0.05.2004.00.00.DGER057">-52206.52</definedName>
    <definedName name="MOV.014.C.0.05.2004.00.00.DGER064">0</definedName>
    <definedName name="MOV.014.C.0.05.2004.00.00.DMOLSON06">0</definedName>
    <definedName name="MOV.014.C.0.05.2004.00.00.DMOLSON08.CG4_AREA_COM">0</definedName>
    <definedName name="MOV.014.C.0.05.2004.00.00.DMOLSON08.CG4_NIVEL3_26">0</definedName>
    <definedName name="MOV.014.C.0.05.2004.00.00.DMOLSON08.CG4_NIVEL3_27">0</definedName>
    <definedName name="MOV.014.C.0.05.2004.00.00.DMOLSON14">0</definedName>
    <definedName name="MOV.014.C.0.05.2004.00.00.DMOLSON27">0</definedName>
    <definedName name="MOV.014.C.0.05.2005.00.00.311550">0</definedName>
    <definedName name="MOV.014.C.0.05.2005.00.00.3214500.CG4_32999">0</definedName>
    <definedName name="MOV.014.C.0.05.2005.00.00.3214500.CG4_33999">0</definedName>
    <definedName name="MOV.014.C.0.05.2005.00.00.3214500.CG4_34999">0</definedName>
    <definedName name="MOV.014.C.0.05.2005.00.00.3214500.CG4_42999">0</definedName>
    <definedName name="MOV.014.C.0.05.2005.00.00.3214540">0</definedName>
    <definedName name="MOV.014.C.0.05.2005.00.00.3215420">0</definedName>
    <definedName name="MOV.014.C.0.05.2005.00.00.DGER003">0</definedName>
    <definedName name="MOV.014.C.0.05.2005.00.00.DGER005">0</definedName>
    <definedName name="MOV.014.C.0.05.2005.00.00.DGER006">0</definedName>
    <definedName name="MOV.014.C.0.05.2005.00.00.DGER007">0</definedName>
    <definedName name="MOV.014.C.0.05.2005.00.00.DGER01">0</definedName>
    <definedName name="MOV.014.C.0.05.2005.00.00.DGER015.CG4_AREA_ADM">0</definedName>
    <definedName name="MOV.014.C.0.05.2005.00.00.DGER015.CG4_AREA_COM">0</definedName>
    <definedName name="MOV.014.C.0.05.2005.00.00.DGER016">0</definedName>
    <definedName name="MOV.014.C.0.05.2005.00.00.DGER026">0</definedName>
    <definedName name="MOV.014.C.0.05.2005.00.00.DGER029">0</definedName>
    <definedName name="MOV.014.C.0.05.2005.00.00.DGER030">0</definedName>
    <definedName name="MOV.014.C.0.05.2005.00.00.DGER031">0</definedName>
    <definedName name="MOV.014.C.0.05.2005.00.00.DGER032">0</definedName>
    <definedName name="MOV.014.C.0.05.2005.00.00.DGER034">0</definedName>
    <definedName name="MOV.014.C.0.05.2005.00.00.DGER036">0</definedName>
    <definedName name="MOV.014.C.0.05.2005.00.00.DGER048">0</definedName>
    <definedName name="MOV.014.C.0.05.2005.00.00.DGER049">0</definedName>
    <definedName name="MOV.014.C.0.05.2005.00.00.DGER050.CG4_AREA_ADM">0</definedName>
    <definedName name="MOV.014.C.0.05.2005.00.00.DGER051">0</definedName>
    <definedName name="MOV.014.C.0.05.2005.00.00.DGER055">0</definedName>
    <definedName name="MOV.014.C.0.05.2005.00.00.DGER056">0</definedName>
    <definedName name="MOV.014.C.0.05.2005.00.00.DGER057">0</definedName>
    <definedName name="MOV.014.C.0.05.2005.00.00.DGER064">0</definedName>
    <definedName name="MOV.014.C.0.05.2005.00.00.DMOLSON06">0</definedName>
    <definedName name="MOV.014.C.0.05.2005.00.00.DMOLSON08.CG4_AREA_COM">0</definedName>
    <definedName name="MOV.014.C.0.05.2005.00.00.DMOLSON08.CG4_NIVEL3_26">0</definedName>
    <definedName name="MOV.014.C.0.05.2005.00.00.DMOLSON08.CG4_NIVEL3_27">0</definedName>
    <definedName name="MOV.014.C.0.05.2005.00.00.DMOLSON14">0</definedName>
    <definedName name="MOV.014.C.0.05.2005.00.00.DMOLSON27">0</definedName>
    <definedName name="MOV.014.C.0.05.2005.00.00.DMOLSON29">0</definedName>
    <definedName name="MOV.014.C.0.05.2005.00.00.DMOLSON31">-2785.25</definedName>
    <definedName name="MOV.014.C.0.06.2003.00.00.311550">0</definedName>
    <definedName name="MOV.014.C.0.06.2003.00.00.3214500.CG4_42999">0</definedName>
    <definedName name="MOV.014.C.0.06.2003.00.00.3214540">0</definedName>
    <definedName name="MOV.014.C.0.06.2003.00.00.3215420">0</definedName>
    <definedName name="MOV.014.C.0.06.2003.00.00.DGER003">0</definedName>
    <definedName name="MOV.014.C.0.06.2003.00.00.DGER005">0</definedName>
    <definedName name="MOV.014.C.0.06.2003.00.00.DGER006">0</definedName>
    <definedName name="MOV.014.C.0.06.2003.00.00.DGER007">0</definedName>
    <definedName name="MOV.014.C.0.06.2003.00.00.DGER01">0</definedName>
    <definedName name="MOV.014.C.0.06.2003.00.00.DGER015.CG4_AREA_ADM">0</definedName>
    <definedName name="MOV.014.C.0.06.2003.00.00.DGER015.CG4_AREA_COM">0</definedName>
    <definedName name="MOV.014.C.0.06.2003.00.00.DGER016">0</definedName>
    <definedName name="MOV.014.C.0.06.2003.00.00.DGER026">0</definedName>
    <definedName name="MOV.014.C.0.06.2003.00.00.DGER029">0</definedName>
    <definedName name="MOV.014.C.0.06.2003.00.00.DGER030">0</definedName>
    <definedName name="MOV.014.C.0.06.2003.00.00.DGER031">-612.74</definedName>
    <definedName name="MOV.014.C.0.06.2003.00.00.DGER032">0</definedName>
    <definedName name="MOV.014.C.0.06.2003.00.00.DGER034">0</definedName>
    <definedName name="MOV.014.C.0.06.2003.00.00.DGER036">0</definedName>
    <definedName name="MOV.014.C.0.06.2003.00.00.DGER048">800509.89</definedName>
    <definedName name="MOV.014.C.0.06.2003.00.00.DGER049">0</definedName>
    <definedName name="MOV.014.C.0.06.2003.00.00.DGER050.CG4_AREA_ADM">-41784.86</definedName>
    <definedName name="MOV.014.C.0.06.2003.00.00.DGER050.CG4_AREA_COM">0</definedName>
    <definedName name="MOV.014.C.0.06.2003.00.00.DGER051">0</definedName>
    <definedName name="MOV.014.C.0.06.2003.00.00.DGER055">-417.99</definedName>
    <definedName name="MOV.014.C.0.06.2003.00.00.DGER056">0</definedName>
    <definedName name="MOV.014.C.0.06.2003.00.00.DGER057">26086.44</definedName>
    <definedName name="MOV.014.C.0.06.2003.00.00.DGER064">0</definedName>
    <definedName name="MOV.014.C.0.06.2003.00.00.DMOLSON06">0</definedName>
    <definedName name="MOV.014.C.0.06.2003.00.00.DMOLSON08.CG4_AREA_COM">0</definedName>
    <definedName name="MOV.014.C.0.06.2003.00.00.DMOLSON08.CG4_NIVEL3_26">0</definedName>
    <definedName name="MOV.014.C.0.06.2003.00.00.DMOLSON08.CG4_NIVEL3_27">0</definedName>
    <definedName name="MOV.014.C.0.06.2003.00.00.DMOLSON14">0</definedName>
    <definedName name="MOV.014.C.0.06.2003.00.00.DMOLSON27">0</definedName>
    <definedName name="MOV.014.C.0.06.2004.00.00.311550">0</definedName>
    <definedName name="MOV.014.C.0.06.2004.00.00.3214500.CG4_32999">0</definedName>
    <definedName name="MOV.014.C.0.06.2004.00.00.3214500.CG4_33999">0</definedName>
    <definedName name="MOV.014.C.0.06.2004.00.00.3214500.CG4_34999">0</definedName>
    <definedName name="MOV.014.C.0.06.2004.00.00.3214500.CG4_42999">0</definedName>
    <definedName name="MOV.014.C.0.06.2004.00.00.3214540">0</definedName>
    <definedName name="MOV.014.C.0.06.2004.00.00.3215420">0</definedName>
    <definedName name="MOV.014.C.0.06.2004.00.00.DGER003">0</definedName>
    <definedName name="MOV.014.C.0.06.2004.00.00.DGER005">0</definedName>
    <definedName name="MOV.014.C.0.06.2004.00.00.DGER006">0</definedName>
    <definedName name="MOV.014.C.0.06.2004.00.00.DGER007">0</definedName>
    <definedName name="MOV.014.C.0.06.2004.00.00.DGER01">0</definedName>
    <definedName name="MOV.014.C.0.06.2004.00.00.DGER015.CG4_AREA_ADM">0</definedName>
    <definedName name="MOV.014.C.0.06.2004.00.00.DGER015.CG4_AREA_COM">0</definedName>
    <definedName name="MOV.014.C.0.06.2004.00.00.DGER016">0</definedName>
    <definedName name="MOV.014.C.0.06.2004.00.00.DGER026">0</definedName>
    <definedName name="MOV.014.C.0.06.2004.00.00.DGER029">0</definedName>
    <definedName name="MOV.014.C.0.06.2004.00.00.DGER030">0</definedName>
    <definedName name="MOV.014.C.0.06.2004.00.00.DGER031">-446.86</definedName>
    <definedName name="MOV.014.C.0.06.2004.00.00.DGER032">-3653.42</definedName>
    <definedName name="MOV.014.C.0.06.2004.00.00.DGER034">0</definedName>
    <definedName name="MOV.014.C.0.06.2004.00.00.DGER036">0</definedName>
    <definedName name="MOV.014.C.0.06.2004.00.00.DGER048">39496.4</definedName>
    <definedName name="MOV.014.C.0.06.2004.00.00.DGER049">0</definedName>
    <definedName name="MOV.014.C.0.06.2004.00.00.DGER050.CG4_AREA_ADM">-1420.39</definedName>
    <definedName name="MOV.014.C.0.06.2004.00.00.DGER051">0</definedName>
    <definedName name="MOV.014.C.0.06.2004.00.00.DGER055">-334.14</definedName>
    <definedName name="MOV.014.C.0.06.2004.00.00.DGER056">2644.81</definedName>
    <definedName name="MOV.014.C.0.06.2004.00.00.DGER057">6120.94</definedName>
    <definedName name="MOV.014.C.0.06.2004.00.00.DGER064">-17613.52</definedName>
    <definedName name="MOV.014.C.0.06.2004.00.00.DMOLSON06">0</definedName>
    <definedName name="MOV.014.C.0.06.2004.00.00.DMOLSON08.CG4_AREA_COM">0</definedName>
    <definedName name="MOV.014.C.0.06.2004.00.00.DMOLSON08.CG4_NIVEL3_26">0</definedName>
    <definedName name="MOV.014.C.0.06.2004.00.00.DMOLSON08.CG4_NIVEL3_27">0</definedName>
    <definedName name="MOV.014.C.0.06.2004.00.00.DMOLSON14">0</definedName>
    <definedName name="MOV.014.C.0.06.2004.00.00.DMOLSON27">0</definedName>
    <definedName name="MOV.014.C.0.06.2005.00.00.311550">0</definedName>
    <definedName name="MOV.014.C.0.06.2005.00.00.3214500.CG4_32999">0</definedName>
    <definedName name="MOV.014.C.0.06.2005.00.00.3214500.CG4_33999">0</definedName>
    <definedName name="MOV.014.C.0.06.2005.00.00.3214500.CG4_34999">0</definedName>
    <definedName name="MOV.014.C.0.06.2005.00.00.3214500.CG4_42999">0</definedName>
    <definedName name="MOV.014.C.0.06.2005.00.00.3214540">0</definedName>
    <definedName name="MOV.014.C.0.06.2005.00.00.3215420">0</definedName>
    <definedName name="MOV.014.C.0.06.2005.00.00.DGER003">0</definedName>
    <definedName name="MOV.014.C.0.06.2005.00.00.DGER005">0</definedName>
    <definedName name="MOV.014.C.0.06.2005.00.00.DGER006">0</definedName>
    <definedName name="MOV.014.C.0.06.2005.00.00.DGER007">0</definedName>
    <definedName name="MOV.014.C.0.06.2005.00.00.DGER01">0</definedName>
    <definedName name="MOV.014.C.0.06.2005.00.00.DGER015.CG4_AREA_ADM">0</definedName>
    <definedName name="MOV.014.C.0.06.2005.00.00.DGER015.CG4_AREA_COM">0</definedName>
    <definedName name="MOV.014.C.0.06.2005.00.00.DGER016">0</definedName>
    <definedName name="MOV.014.C.0.06.2005.00.00.DGER026">0</definedName>
    <definedName name="MOV.014.C.0.06.2005.00.00.DGER029">0</definedName>
    <definedName name="MOV.014.C.0.06.2005.00.00.DGER030">0</definedName>
    <definedName name="MOV.014.C.0.06.2005.00.00.DGER031">0</definedName>
    <definedName name="MOV.014.C.0.06.2005.00.00.DGER032">0</definedName>
    <definedName name="MOV.014.C.0.06.2005.00.00.DGER034">0</definedName>
    <definedName name="MOV.014.C.0.06.2005.00.00.DGER036">0</definedName>
    <definedName name="MOV.014.C.0.06.2005.00.00.DGER048">0</definedName>
    <definedName name="MOV.014.C.0.06.2005.00.00.DGER049">0</definedName>
    <definedName name="MOV.014.C.0.06.2005.00.00.DGER050.CG4_AREA_ADM">0</definedName>
    <definedName name="MOV.014.C.0.06.2005.00.00.DGER051">0</definedName>
    <definedName name="MOV.014.C.0.06.2005.00.00.DGER055">0</definedName>
    <definedName name="MOV.014.C.0.06.2005.00.00.DGER056">0</definedName>
    <definedName name="MOV.014.C.0.06.2005.00.00.DGER057">0</definedName>
    <definedName name="MOV.014.C.0.06.2005.00.00.DGER064">0</definedName>
    <definedName name="MOV.014.C.0.06.2005.00.00.DMOLSON06">0</definedName>
    <definedName name="MOV.014.C.0.06.2005.00.00.DMOLSON08.CG4_AREA_COM">0</definedName>
    <definedName name="MOV.014.C.0.06.2005.00.00.DMOLSON08.CG4_NIVEL3_26">0</definedName>
    <definedName name="MOV.014.C.0.06.2005.00.00.DMOLSON08.CG4_NIVEL3_27">0</definedName>
    <definedName name="MOV.014.C.0.06.2005.00.00.DMOLSON14">0</definedName>
    <definedName name="MOV.014.C.0.06.2005.00.00.DMOLSON27">0</definedName>
    <definedName name="MOV.014.C.0.07.2003.00.00.311550">0</definedName>
    <definedName name="MOV.014.C.0.07.2003.00.00.3214500.CG4_32999">0</definedName>
    <definedName name="MOV.014.C.0.07.2003.00.00.3214500.CG4_33999">0</definedName>
    <definedName name="MOV.014.C.0.07.2003.00.00.3214500.CG4_34999">0</definedName>
    <definedName name="MOV.014.C.0.07.2003.00.00.3214500.CG4_42999">0</definedName>
    <definedName name="MOV.014.C.0.07.2003.00.00.3214540">0</definedName>
    <definedName name="MOV.014.C.0.07.2003.00.00.3215420">0</definedName>
    <definedName name="MOV.014.C.0.07.2003.00.00.DGER003">0</definedName>
    <definedName name="MOV.014.C.0.07.2003.00.00.DGER005">0</definedName>
    <definedName name="MOV.014.C.0.07.2003.00.00.DGER006">0</definedName>
    <definedName name="MOV.014.C.0.07.2003.00.00.DGER007">0</definedName>
    <definedName name="MOV.014.C.0.07.2003.00.00.DGER01">0</definedName>
    <definedName name="MOV.014.C.0.07.2003.00.00.DGER015.CG4_AREA_ADM">0</definedName>
    <definedName name="MOV.014.C.0.07.2003.00.00.DGER015.CG4_AREA_COM">0</definedName>
    <definedName name="MOV.014.C.0.07.2003.00.00.DGER016">0</definedName>
    <definedName name="MOV.014.C.0.07.2003.00.00.DGER026">0</definedName>
    <definedName name="MOV.014.C.0.07.2003.00.00.DGER029">-25.98</definedName>
    <definedName name="MOV.014.C.0.07.2003.00.00.DGER030">0</definedName>
    <definedName name="MOV.014.C.0.07.2003.00.00.DGER031">-436.59</definedName>
    <definedName name="MOV.014.C.0.07.2003.00.00.DGER032">0</definedName>
    <definedName name="MOV.014.C.0.07.2003.00.00.DGER034">0</definedName>
    <definedName name="MOV.014.C.0.07.2003.00.00.DGER036">0</definedName>
    <definedName name="MOV.014.C.0.07.2003.00.00.DGER048">1183656.86</definedName>
    <definedName name="MOV.014.C.0.07.2003.00.00.DGER049">0</definedName>
    <definedName name="MOV.014.C.0.07.2003.00.00.DGER050.CG4_AREA_ADM">-1320.36</definedName>
    <definedName name="MOV.014.C.0.07.2003.00.00.DGER050.CG4_AREA_COM">0</definedName>
    <definedName name="MOV.014.C.0.07.2003.00.00.DGER051">0</definedName>
    <definedName name="MOV.014.C.0.07.2003.00.00.DGER055">-477.22</definedName>
    <definedName name="MOV.014.C.0.07.2003.00.00.DGER056">1574.57</definedName>
    <definedName name="MOV.014.C.0.07.2003.00.00.DGER057">-26495.74</definedName>
    <definedName name="MOV.014.C.0.07.2003.00.00.DGER064">0</definedName>
    <definedName name="MOV.014.C.0.07.2003.00.00.DMOLSON06">0</definedName>
    <definedName name="MOV.014.C.0.07.2003.00.00.DMOLSON08.CG4_AREA_COM">0</definedName>
    <definedName name="MOV.014.C.0.07.2003.00.00.DMOLSON08.CG4_NIVEL3_26">0</definedName>
    <definedName name="MOV.014.C.0.07.2003.00.00.DMOLSON08.CG4_NIVEL3_27">0</definedName>
    <definedName name="MOV.014.C.0.07.2003.00.00.DMOLSON14">0</definedName>
    <definedName name="MOV.014.C.0.07.2003.00.00.DMOLSON27">0</definedName>
    <definedName name="MOV.014.C.0.07.2004.00.00.311550">0</definedName>
    <definedName name="MOV.014.C.0.07.2004.00.00.3214500.CG4_32999">0</definedName>
    <definedName name="MOV.014.C.0.07.2004.00.00.3214500.CG4_33999">0</definedName>
    <definedName name="MOV.014.C.0.07.2004.00.00.3214500.CG4_34999">0</definedName>
    <definedName name="MOV.014.C.0.07.2004.00.00.3214500.CG4_42999">0</definedName>
    <definedName name="MOV.014.C.0.07.2004.00.00.3214540">0</definedName>
    <definedName name="MOV.014.C.0.07.2004.00.00.3215420">0</definedName>
    <definedName name="MOV.014.C.0.07.2004.00.00.DGER003">0</definedName>
    <definedName name="MOV.014.C.0.07.2004.00.00.DGER005">0</definedName>
    <definedName name="MOV.014.C.0.07.2004.00.00.DGER006">0</definedName>
    <definedName name="MOV.014.C.0.07.2004.00.00.DGER007">0</definedName>
    <definedName name="MOV.014.C.0.07.2004.00.00.DGER01">0</definedName>
    <definedName name="MOV.014.C.0.07.2004.00.00.DGER015.CG4_AREA_ADM">0</definedName>
    <definedName name="MOV.014.C.0.07.2004.00.00.DGER015.CG4_AREA_COM">0</definedName>
    <definedName name="MOV.014.C.0.07.2004.00.00.DGER016">0</definedName>
    <definedName name="MOV.014.C.0.07.2004.00.00.DGER026">0</definedName>
    <definedName name="MOV.014.C.0.07.2004.00.00.DGER029">0</definedName>
    <definedName name="MOV.014.C.0.07.2004.00.00.DGER030">0</definedName>
    <definedName name="MOV.014.C.0.07.2004.00.00.DGER031">-478.45</definedName>
    <definedName name="MOV.014.C.0.07.2004.00.00.DGER032">-4365.27</definedName>
    <definedName name="MOV.014.C.0.07.2004.00.00.DGER034">0</definedName>
    <definedName name="MOV.014.C.0.07.2004.00.00.DGER036">0</definedName>
    <definedName name="MOV.014.C.0.07.2004.00.00.DGER048">47192.06</definedName>
    <definedName name="MOV.014.C.0.07.2004.00.00.DGER049">0</definedName>
    <definedName name="MOV.014.C.0.07.2004.00.00.DGER050.CG4_AREA_ADM">0</definedName>
    <definedName name="MOV.014.C.0.07.2004.00.00.DGER051">0</definedName>
    <definedName name="MOV.014.C.0.07.2004.00.00.DGER055">-345.9</definedName>
    <definedName name="MOV.014.C.0.07.2004.00.00.DGER056">1596.77</definedName>
    <definedName name="MOV.014.C.0.07.2004.00.00.DGER057">22868.52</definedName>
    <definedName name="MOV.014.C.0.07.2004.00.00.DGER064">-66467.73</definedName>
    <definedName name="MOV.014.C.0.07.2004.00.00.DMOLSON06">0</definedName>
    <definedName name="MOV.014.C.0.07.2004.00.00.DMOLSON08.CG4_AREA_COM">0</definedName>
    <definedName name="MOV.014.C.0.07.2004.00.00.DMOLSON08.CG4_NIVEL3_26">0</definedName>
    <definedName name="MOV.014.C.0.07.2004.00.00.DMOLSON08.CG4_NIVEL3_27">0</definedName>
    <definedName name="MOV.014.C.0.07.2004.00.00.DMOLSON14">0</definedName>
    <definedName name="MOV.014.C.0.07.2004.00.00.DMOLSON27">0</definedName>
    <definedName name="MOV.014.C.0.07.2005.00.00.311550">0</definedName>
    <definedName name="MOV.014.C.0.07.2005.00.00.3214500.CG4_32999">0</definedName>
    <definedName name="MOV.014.C.0.07.2005.00.00.3214500.CG4_33999">0</definedName>
    <definedName name="MOV.014.C.0.07.2005.00.00.3214500.CG4_34999">0</definedName>
    <definedName name="MOV.014.C.0.07.2005.00.00.3214500.CG4_42999">0</definedName>
    <definedName name="MOV.014.C.0.07.2005.00.00.3214540">0</definedName>
    <definedName name="MOV.014.C.0.07.2005.00.00.3215420">0</definedName>
    <definedName name="MOV.014.C.0.07.2005.00.00.DGER003">0</definedName>
    <definedName name="MOV.014.C.0.07.2005.00.00.DGER005">0</definedName>
    <definedName name="MOV.014.C.0.07.2005.00.00.DGER006">0</definedName>
    <definedName name="MOV.014.C.0.07.2005.00.00.DGER007">0</definedName>
    <definedName name="MOV.014.C.0.07.2005.00.00.DGER01">0</definedName>
    <definedName name="MOV.014.C.0.07.2005.00.00.DGER015.CG4_AREA_ADM">0</definedName>
    <definedName name="MOV.014.C.0.07.2005.00.00.DGER015.CG4_AREA_COM">0</definedName>
    <definedName name="MOV.014.C.0.07.2005.00.00.DGER016">0</definedName>
    <definedName name="MOV.014.C.0.07.2005.00.00.DGER026">0</definedName>
    <definedName name="MOV.014.C.0.07.2005.00.00.DGER029">0</definedName>
    <definedName name="MOV.014.C.0.07.2005.00.00.DGER030">0</definedName>
    <definedName name="MOV.014.C.0.07.2005.00.00.DGER031">0</definedName>
    <definedName name="MOV.014.C.0.07.2005.00.00.DGER032">0</definedName>
    <definedName name="MOV.014.C.0.07.2005.00.00.DGER034">0</definedName>
    <definedName name="MOV.014.C.0.07.2005.00.00.DGER036">0</definedName>
    <definedName name="MOV.014.C.0.07.2005.00.00.DGER048">0</definedName>
    <definedName name="MOV.014.C.0.07.2005.00.00.DGER049">0</definedName>
    <definedName name="MOV.014.C.0.07.2005.00.00.DGER050.CG4_AREA_ADM">0</definedName>
    <definedName name="MOV.014.C.0.07.2005.00.00.DGER051">0</definedName>
    <definedName name="MOV.014.C.0.07.2005.00.00.DGER055">0</definedName>
    <definedName name="MOV.014.C.0.07.2005.00.00.DGER056">0</definedName>
    <definedName name="MOV.014.C.0.07.2005.00.00.DGER057">0</definedName>
    <definedName name="MOV.014.C.0.07.2005.00.00.DGER064">0</definedName>
    <definedName name="MOV.014.C.0.07.2005.00.00.DMOLSON06">0</definedName>
    <definedName name="MOV.014.C.0.07.2005.00.00.DMOLSON08.CG4_AREA_COM">0</definedName>
    <definedName name="MOV.014.C.0.07.2005.00.00.DMOLSON08.CG4_NIVEL3_26">0</definedName>
    <definedName name="MOV.014.C.0.07.2005.00.00.DMOLSON08.CG4_NIVEL3_27">0</definedName>
    <definedName name="MOV.014.C.0.07.2005.00.00.DMOLSON14">0</definedName>
    <definedName name="MOV.014.C.0.07.2005.00.00.DMOLSON27">0</definedName>
    <definedName name="MOV.014.C.0.07.2005.00.00.DMOLSON31">-2901.26</definedName>
    <definedName name="MOV.014.C.0.08.2003.00.00.311550">0</definedName>
    <definedName name="MOV.014.C.0.08.2003.00.00.3214500.CG4_32999">0</definedName>
    <definedName name="MOV.014.C.0.08.2003.00.00.3214500.CG4_33999">0</definedName>
    <definedName name="MOV.014.C.0.08.2003.00.00.3214500.CG4_34999">0</definedName>
    <definedName name="MOV.014.C.0.08.2003.00.00.3214500.CG4_42999">0</definedName>
    <definedName name="MOV.014.C.0.08.2003.00.00.3214540">0</definedName>
    <definedName name="MOV.014.C.0.08.2003.00.00.3215420">0</definedName>
    <definedName name="MOV.014.C.0.08.2003.00.00.DGER003">0</definedName>
    <definedName name="MOV.014.C.0.08.2003.00.00.DGER005">0</definedName>
    <definedName name="MOV.014.C.0.08.2003.00.00.DGER006">0</definedName>
    <definedName name="MOV.014.C.0.08.2003.00.00.DGER007">0</definedName>
    <definedName name="MOV.014.C.0.08.2003.00.00.DGER01">0</definedName>
    <definedName name="MOV.014.C.0.08.2003.00.00.DGER015.CG4_AREA_ADM">0</definedName>
    <definedName name="MOV.014.C.0.08.2003.00.00.DGER015.CG4_AREA_COM">0</definedName>
    <definedName name="MOV.014.C.0.08.2003.00.00.DGER016">0</definedName>
    <definedName name="MOV.014.C.0.08.2003.00.00.DGER026">0</definedName>
    <definedName name="MOV.014.C.0.08.2003.00.00.DGER029">-0.22</definedName>
    <definedName name="MOV.014.C.0.08.2003.00.00.DGER030">0</definedName>
    <definedName name="MOV.014.C.0.08.2003.00.00.DGER031">-2271.42</definedName>
    <definedName name="MOV.014.C.0.08.2003.00.00.DGER032">0</definedName>
    <definedName name="MOV.014.C.0.08.2003.00.00.DGER034">0</definedName>
    <definedName name="MOV.014.C.0.08.2003.00.00.DGER036">0</definedName>
    <definedName name="MOV.014.C.0.08.2003.00.00.DGER048">1123942.84</definedName>
    <definedName name="MOV.014.C.0.08.2003.00.00.DGER049">0</definedName>
    <definedName name="MOV.014.C.0.08.2003.00.00.DGER050.CG4_AREA_ADM">-196062.52</definedName>
    <definedName name="MOV.014.C.0.08.2003.00.00.DGER050.CG4_AREA_COM">0</definedName>
    <definedName name="MOV.014.C.0.08.2003.00.00.DGER051">0</definedName>
    <definedName name="MOV.014.C.0.08.2003.00.00.DGER055">1.53</definedName>
    <definedName name="MOV.014.C.0.08.2003.00.00.DGER056">13.43</definedName>
    <definedName name="MOV.014.C.0.08.2003.00.00.DGER057">-276.15</definedName>
    <definedName name="MOV.014.C.0.08.2003.00.00.DGER064">0</definedName>
    <definedName name="MOV.014.C.0.08.2003.00.00.DMOLSON06">0</definedName>
    <definedName name="MOV.014.C.0.08.2003.00.00.DMOLSON08.CG4_AREA_COM">0</definedName>
    <definedName name="MOV.014.C.0.08.2003.00.00.DMOLSON08.CG4_NIVEL3_26">0</definedName>
    <definedName name="MOV.014.C.0.08.2003.00.00.DMOLSON08.CG4_NIVEL3_27">0</definedName>
    <definedName name="MOV.014.C.0.08.2003.00.00.DMOLSON14">0</definedName>
    <definedName name="MOV.014.C.0.08.2003.00.00.DMOLSON27">0</definedName>
    <definedName name="MOV.014.C.0.08.2004.00.00.311550">0</definedName>
    <definedName name="MOV.014.C.0.08.2004.00.00.3214500.CG4_32999">0</definedName>
    <definedName name="MOV.014.C.0.08.2004.00.00.3214500.CG4_33999">0</definedName>
    <definedName name="MOV.014.C.0.08.2004.00.00.3214500.CG4_34999">0</definedName>
    <definedName name="MOV.014.C.0.08.2004.00.00.3214500.CG4_42999">0</definedName>
    <definedName name="MOV.014.C.0.08.2004.00.00.3214540">0</definedName>
    <definedName name="MOV.014.C.0.08.2004.00.00.3215420">0</definedName>
    <definedName name="MOV.014.C.0.08.2004.00.00.DGER003">0</definedName>
    <definedName name="MOV.014.C.0.08.2004.00.00.DGER005">0</definedName>
    <definedName name="MOV.014.C.0.08.2004.00.00.DGER006">0</definedName>
    <definedName name="MOV.014.C.0.08.2004.00.00.DGER007">0</definedName>
    <definedName name="MOV.014.C.0.08.2004.00.00.DGER01">0</definedName>
    <definedName name="MOV.014.C.0.08.2004.00.00.DGER015.CG4_AREA_ADM">0</definedName>
    <definedName name="MOV.014.C.0.08.2004.00.00.DGER015.CG4_AREA_COM">0</definedName>
    <definedName name="MOV.014.C.0.08.2004.00.00.DGER016">0</definedName>
    <definedName name="MOV.014.C.0.08.2004.00.00.DGER026">0</definedName>
    <definedName name="MOV.014.C.0.08.2004.00.00.DGER029">0</definedName>
    <definedName name="MOV.014.C.0.08.2004.00.00.DGER030">0</definedName>
    <definedName name="MOV.014.C.0.08.2004.00.00.DGER031">-204.19</definedName>
    <definedName name="MOV.014.C.0.08.2004.00.00.DGER032">-4118.44</definedName>
    <definedName name="MOV.014.C.0.08.2004.00.00.DGER034">0</definedName>
    <definedName name="MOV.014.C.0.08.2004.00.00.DGER036">0</definedName>
    <definedName name="MOV.014.C.0.08.2004.00.00.DGER048">44523.74</definedName>
    <definedName name="MOV.014.C.0.08.2004.00.00.DGER049">0</definedName>
    <definedName name="MOV.014.C.0.08.2004.00.00.DGER050.CG4_AREA_ADM">-11558.27</definedName>
    <definedName name="MOV.014.C.0.08.2004.00.00.DGER051">0</definedName>
    <definedName name="MOV.014.C.0.08.2004.00.00.DGER055">-350.96</definedName>
    <definedName name="MOV.014.C.0.08.2004.00.00.DGER056">514.11</definedName>
    <definedName name="MOV.014.C.0.08.2004.00.00.DGER057">26354.07</definedName>
    <definedName name="MOV.014.C.0.08.2004.00.00.DGER064">-55160.06</definedName>
    <definedName name="MOV.014.C.0.08.2004.00.00.DMOLSON06">0</definedName>
    <definedName name="MOV.014.C.0.08.2004.00.00.DMOLSON08.CG4_AREA_COM">0</definedName>
    <definedName name="MOV.014.C.0.08.2004.00.00.DMOLSON08.CG4_NIVEL3_26">0</definedName>
    <definedName name="MOV.014.C.0.08.2004.00.00.DMOLSON08.CG4_NIVEL3_27">0</definedName>
    <definedName name="MOV.014.C.0.08.2004.00.00.DMOLSON14">0</definedName>
    <definedName name="MOV.014.C.0.08.2004.00.00.DMOLSON27">0</definedName>
    <definedName name="MOV.014.C.0.08.2005.00.00.311550">0</definedName>
    <definedName name="MOV.014.C.0.08.2005.00.00.3214500.CG4_32999">0</definedName>
    <definedName name="MOV.014.C.0.08.2005.00.00.3214500.CG4_33999">0</definedName>
    <definedName name="MOV.014.C.0.08.2005.00.00.3214500.CG4_34999">0</definedName>
    <definedName name="MOV.014.C.0.08.2005.00.00.3214500.CG4_42999">0</definedName>
    <definedName name="MOV.014.C.0.08.2005.00.00.3214540">0</definedName>
    <definedName name="MOV.014.C.0.08.2005.00.00.3215420">0</definedName>
    <definedName name="MOV.014.C.0.08.2005.00.00.DGER003">0</definedName>
    <definedName name="MOV.014.C.0.08.2005.00.00.DGER005">0</definedName>
    <definedName name="MOV.014.C.0.08.2005.00.00.DGER006">0</definedName>
    <definedName name="MOV.014.C.0.08.2005.00.00.DGER007">0</definedName>
    <definedName name="MOV.014.C.0.08.2005.00.00.DGER01">0</definedName>
    <definedName name="MOV.014.C.0.08.2005.00.00.DGER015.CG4_AREA_ADM">0</definedName>
    <definedName name="MOV.014.C.0.08.2005.00.00.DGER015.CG4_AREA_COM">0</definedName>
    <definedName name="MOV.014.C.0.08.2005.00.00.DGER016">0</definedName>
    <definedName name="MOV.014.C.0.08.2005.00.00.DGER026">0</definedName>
    <definedName name="MOV.014.C.0.08.2005.00.00.DGER029">0</definedName>
    <definedName name="MOV.014.C.0.08.2005.00.00.DGER030">0</definedName>
    <definedName name="MOV.014.C.0.08.2005.00.00.DGER031">0</definedName>
    <definedName name="MOV.014.C.0.08.2005.00.00.DGER032">0</definedName>
    <definedName name="MOV.014.C.0.08.2005.00.00.DGER034">0</definedName>
    <definedName name="MOV.014.C.0.08.2005.00.00.DGER036">0</definedName>
    <definedName name="MOV.014.C.0.08.2005.00.00.DGER048">0</definedName>
    <definedName name="MOV.014.C.0.08.2005.00.00.DGER049">0</definedName>
    <definedName name="MOV.014.C.0.08.2005.00.00.DGER050.CG4_AREA_ADM">0</definedName>
    <definedName name="MOV.014.C.0.08.2005.00.00.DGER051">0</definedName>
    <definedName name="MOV.014.C.0.08.2005.00.00.DGER055">0</definedName>
    <definedName name="MOV.014.C.0.08.2005.00.00.DGER056">0</definedName>
    <definedName name="MOV.014.C.0.08.2005.00.00.DGER057">0</definedName>
    <definedName name="MOV.014.C.0.08.2005.00.00.DGER064">0</definedName>
    <definedName name="MOV.014.C.0.08.2005.00.00.DMOLSON06">0</definedName>
    <definedName name="MOV.014.C.0.08.2005.00.00.DMOLSON08.CG4_AREA_COM">0</definedName>
    <definedName name="MOV.014.C.0.08.2005.00.00.DMOLSON08.CG4_NIVEL3_26">0</definedName>
    <definedName name="MOV.014.C.0.08.2005.00.00.DMOLSON08.CG4_NIVEL3_27">0</definedName>
    <definedName name="MOV.014.C.0.08.2005.00.00.DMOLSON14">0</definedName>
    <definedName name="MOV.014.C.0.08.2005.00.00.DMOLSON27">0</definedName>
    <definedName name="MOV.014.C.0.09.2003.00.00.311550">0</definedName>
    <definedName name="MOV.014.C.0.09.2003.00.00.3214500.CG4_32999">0</definedName>
    <definedName name="MOV.014.C.0.09.2003.00.00.3214500.CG4_33999">0</definedName>
    <definedName name="MOV.014.C.0.09.2003.00.00.3214500.CG4_34999">0</definedName>
    <definedName name="MOV.014.C.0.09.2003.00.00.3214500.CG4_42999">0</definedName>
    <definedName name="MOV.014.C.0.09.2003.00.00.3214540">0</definedName>
    <definedName name="MOV.014.C.0.09.2003.00.00.3215420">0</definedName>
    <definedName name="MOV.014.C.0.09.2003.00.00.DGER003">0</definedName>
    <definedName name="MOV.014.C.0.09.2003.00.00.DGER005">0</definedName>
    <definedName name="MOV.014.C.0.09.2003.00.00.DGER006">0</definedName>
    <definedName name="MOV.014.C.0.09.2003.00.00.DGER007">0</definedName>
    <definedName name="MOV.014.C.0.09.2003.00.00.DGER01">0</definedName>
    <definedName name="MOV.014.C.0.09.2003.00.00.DGER015.CG4_AREA_ADM">0</definedName>
    <definedName name="MOV.014.C.0.09.2003.00.00.DGER015.CG4_AREA_COM">0</definedName>
    <definedName name="MOV.014.C.0.09.2003.00.00.DGER016">0</definedName>
    <definedName name="MOV.014.C.0.09.2003.00.00.DGER026">0</definedName>
    <definedName name="MOV.014.C.0.09.2003.00.00.DGER029">-1</definedName>
    <definedName name="MOV.014.C.0.09.2003.00.00.DGER030">0</definedName>
    <definedName name="MOV.014.C.0.09.2003.00.00.DGER031">-920.43</definedName>
    <definedName name="MOV.014.C.0.09.2003.00.00.DGER032">0</definedName>
    <definedName name="MOV.014.C.0.09.2003.00.00.DGER034">0</definedName>
    <definedName name="MOV.014.C.0.09.2003.00.00.DGER036">0</definedName>
    <definedName name="MOV.014.C.0.09.2003.00.00.DGER048">1330326.36</definedName>
    <definedName name="MOV.014.C.0.09.2003.00.00.DGER049">0</definedName>
    <definedName name="MOV.014.C.0.09.2003.00.00.DGER050.CG4_AREA_ADM">-917.24</definedName>
    <definedName name="MOV.014.C.0.09.2003.00.00.DGER050.CG4_AREA_COM">0</definedName>
    <definedName name="MOV.014.C.0.09.2003.00.00.DGER051">0</definedName>
    <definedName name="MOV.014.C.0.09.2003.00.00.DGER055">-388.89</definedName>
    <definedName name="MOV.014.C.0.09.2003.00.00.DGER056">60.47</definedName>
    <definedName name="MOV.014.C.0.09.2003.00.00.DGER057">12012.03</definedName>
    <definedName name="MOV.014.C.0.09.2003.00.00.DGER064">0</definedName>
    <definedName name="MOV.014.C.0.09.2003.00.00.DMOLSON06">0</definedName>
    <definedName name="MOV.014.C.0.09.2003.00.00.DMOLSON08.CG4_AREA_COM">0</definedName>
    <definedName name="MOV.014.C.0.09.2003.00.00.DMOLSON08.CG4_NIVEL3_26">0</definedName>
    <definedName name="MOV.014.C.0.09.2003.00.00.DMOLSON08.CG4_NIVEL3_27">0</definedName>
    <definedName name="MOV.014.C.0.09.2003.00.00.DMOLSON14">0</definedName>
    <definedName name="MOV.014.C.0.09.2003.00.00.DMOLSON27">0</definedName>
    <definedName name="MOV.014.C.0.09.2004.00.00.311550">0</definedName>
    <definedName name="MOV.014.C.0.09.2004.00.00.3214500.CG4_32999">0</definedName>
    <definedName name="MOV.014.C.0.09.2004.00.00.3214500.CG4_33999">0</definedName>
    <definedName name="MOV.014.C.0.09.2004.00.00.3214500.CG4_34999">0</definedName>
    <definedName name="MOV.014.C.0.09.2004.00.00.3214500.CG4_42999">0</definedName>
    <definedName name="MOV.014.C.0.09.2004.00.00.3214540">0</definedName>
    <definedName name="MOV.014.C.0.09.2004.00.00.3215420">0</definedName>
    <definedName name="MOV.014.C.0.09.2004.00.00.DGER003">0</definedName>
    <definedName name="MOV.014.C.0.09.2004.00.00.DGER005">0</definedName>
    <definedName name="MOV.014.C.0.09.2004.00.00.DGER006">0</definedName>
    <definedName name="MOV.014.C.0.09.2004.00.00.DGER007">0</definedName>
    <definedName name="MOV.014.C.0.09.2004.00.00.DGER01">0</definedName>
    <definedName name="MOV.014.C.0.09.2004.00.00.DGER015.CG4_AREA_ADM">0</definedName>
    <definedName name="MOV.014.C.0.09.2004.00.00.DGER015.CG4_AREA_COM">0</definedName>
    <definedName name="MOV.014.C.0.09.2004.00.00.DGER016">0</definedName>
    <definedName name="MOV.014.C.0.09.2004.00.00.DGER026">0</definedName>
    <definedName name="MOV.014.C.0.09.2004.00.00.DGER029">0</definedName>
    <definedName name="MOV.014.C.0.09.2004.00.00.DGER030">0</definedName>
    <definedName name="MOV.014.C.0.09.2004.00.00.DGER031">-4328.57</definedName>
    <definedName name="MOV.014.C.0.09.2004.00.00.DGER032">-4490.21</definedName>
    <definedName name="MOV.014.C.0.09.2004.00.00.DGER034">0</definedName>
    <definedName name="MOV.014.C.0.09.2004.00.00.DGER036">0</definedName>
    <definedName name="MOV.014.C.0.09.2004.00.00.DGER048">48542.82</definedName>
    <definedName name="MOV.014.C.0.09.2004.00.00.DGER049">0</definedName>
    <definedName name="MOV.014.C.0.09.2004.00.00.DGER050.CG4_AREA_ADM">-15142.54</definedName>
    <definedName name="MOV.014.C.0.09.2004.00.00.DGER051">0</definedName>
    <definedName name="MOV.014.C.0.09.2004.00.00.DGER055">-339.45</definedName>
    <definedName name="MOV.014.C.0.09.2004.00.00.DGER056">544.63</definedName>
    <definedName name="MOV.014.C.0.09.2004.00.00.DGER057">21309.95</definedName>
    <definedName name="MOV.014.C.0.09.2004.00.00.DGER064">-46096.63</definedName>
    <definedName name="MOV.014.C.0.09.2004.00.00.DMOLSON06">0</definedName>
    <definedName name="MOV.014.C.0.09.2004.00.00.DMOLSON08.CG4_AREA_COM">0</definedName>
    <definedName name="MOV.014.C.0.09.2004.00.00.DMOLSON08.CG4_NIVEL3_26">0</definedName>
    <definedName name="MOV.014.C.0.09.2004.00.00.DMOLSON08.CG4_NIVEL3_27">0</definedName>
    <definedName name="MOV.014.C.0.09.2004.00.00.DMOLSON14">0</definedName>
    <definedName name="MOV.014.C.0.09.2004.00.00.DMOLSON27">0</definedName>
    <definedName name="MOV.014.C.0.09.2005.00.00.311550">0</definedName>
    <definedName name="MOV.014.C.0.09.2005.00.00.3214500.CG4_32999">0</definedName>
    <definedName name="MOV.014.C.0.09.2005.00.00.3214500.CG4_33999">0</definedName>
    <definedName name="MOV.014.C.0.09.2005.00.00.3214500.CG4_34999">0</definedName>
    <definedName name="MOV.014.C.0.09.2005.00.00.3214500.CG4_42999">0</definedName>
    <definedName name="MOV.014.C.0.09.2005.00.00.3214540">0</definedName>
    <definedName name="MOV.014.C.0.09.2005.00.00.3215420">0</definedName>
    <definedName name="MOV.014.C.0.09.2005.00.00.DGER003">0</definedName>
    <definedName name="MOV.014.C.0.09.2005.00.00.DGER005">0</definedName>
    <definedName name="MOV.014.C.0.09.2005.00.00.DGER006">0</definedName>
    <definedName name="MOV.014.C.0.09.2005.00.00.DGER007">0</definedName>
    <definedName name="MOV.014.C.0.09.2005.00.00.DGER01">0</definedName>
    <definedName name="MOV.014.C.0.09.2005.00.00.DGER015.CG4_AREA_ADM">0</definedName>
    <definedName name="MOV.014.C.0.09.2005.00.00.DGER015.CG4_AREA_COM">0</definedName>
    <definedName name="MOV.014.C.0.09.2005.00.00.DGER016">0</definedName>
    <definedName name="MOV.014.C.0.09.2005.00.00.DGER026">0</definedName>
    <definedName name="MOV.014.C.0.09.2005.00.00.DGER029">0</definedName>
    <definedName name="MOV.014.C.0.09.2005.00.00.DGER030">0</definedName>
    <definedName name="MOV.014.C.0.09.2005.00.00.DGER031">0</definedName>
    <definedName name="MOV.014.C.0.09.2005.00.00.DGER032">0</definedName>
    <definedName name="MOV.014.C.0.09.2005.00.00.DGER034">0</definedName>
    <definedName name="MOV.014.C.0.09.2005.00.00.DGER036">0</definedName>
    <definedName name="MOV.014.C.0.09.2005.00.00.DGER048">0</definedName>
    <definedName name="MOV.014.C.0.09.2005.00.00.DGER049">0</definedName>
    <definedName name="MOV.014.C.0.09.2005.00.00.DGER050.CG4_AREA_ADM">0</definedName>
    <definedName name="MOV.014.C.0.09.2005.00.00.DGER051">0</definedName>
    <definedName name="MOV.014.C.0.09.2005.00.00.DGER055">0</definedName>
    <definedName name="MOV.014.C.0.09.2005.00.00.DGER056">0</definedName>
    <definedName name="MOV.014.C.0.09.2005.00.00.DGER057">0</definedName>
    <definedName name="MOV.014.C.0.09.2005.00.00.DGER064">0</definedName>
    <definedName name="MOV.014.C.0.09.2005.00.00.DMOLSON06">0</definedName>
    <definedName name="MOV.014.C.0.09.2005.00.00.DMOLSON08.CG4_AREA_COM">0</definedName>
    <definedName name="MOV.014.C.0.09.2005.00.00.DMOLSON08.CG4_NIVEL3_26">0</definedName>
    <definedName name="MOV.014.C.0.09.2005.00.00.DMOLSON08.CG4_NIVEL3_27">0</definedName>
    <definedName name="MOV.014.C.0.09.2005.00.00.DMOLSON14">0</definedName>
    <definedName name="MOV.014.C.0.09.2005.00.00.DMOLSON27">0</definedName>
    <definedName name="MOV.014.C.0.10.2003.00.00.311550">0</definedName>
    <definedName name="MOV.014.C.0.10.2003.00.00.3214500.CG4_32999">0</definedName>
    <definedName name="MOV.014.C.0.10.2003.00.00.3214500.CG4_33999">0</definedName>
    <definedName name="MOV.014.C.0.10.2003.00.00.3214500.CG4_34999">0</definedName>
    <definedName name="MOV.014.C.0.10.2003.00.00.3214500.CG4_42999">0</definedName>
    <definedName name="MOV.014.C.0.10.2003.00.00.3214540">0</definedName>
    <definedName name="MOV.014.C.0.10.2003.00.00.3215420">0</definedName>
    <definedName name="MOV.014.C.0.10.2003.00.00.DGER003">0</definedName>
    <definedName name="MOV.014.C.0.10.2003.00.00.DGER005">0</definedName>
    <definedName name="MOV.014.C.0.10.2003.00.00.DGER006">0</definedName>
    <definedName name="MOV.014.C.0.10.2003.00.00.DGER007">0</definedName>
    <definedName name="MOV.014.C.0.10.2003.00.00.DGER01">0</definedName>
    <definedName name="MOV.014.C.0.10.2003.00.00.DGER015.CG4_AREA_ADM">0</definedName>
    <definedName name="MOV.014.C.0.10.2003.00.00.DGER015.CG4_AREA_COM">0</definedName>
    <definedName name="MOV.014.C.0.10.2003.00.00.DGER016">0</definedName>
    <definedName name="MOV.014.C.0.10.2003.00.00.DGER026">0</definedName>
    <definedName name="MOV.014.C.0.10.2003.00.00.DGER029">-5.68</definedName>
    <definedName name="MOV.014.C.0.10.2003.00.00.DGER030">0</definedName>
    <definedName name="MOV.014.C.0.10.2003.00.00.DGER031">-277.28</definedName>
    <definedName name="MOV.014.C.0.10.2003.00.00.DGER032">0</definedName>
    <definedName name="MOV.014.C.0.10.2003.00.00.DGER034">0</definedName>
    <definedName name="MOV.014.C.0.10.2003.00.00.DGER036">0</definedName>
    <definedName name="MOV.014.C.0.10.2003.00.00.DGER048">1338116.68</definedName>
    <definedName name="MOV.014.C.0.10.2003.00.00.DGER049">0</definedName>
    <definedName name="MOV.014.C.0.10.2003.00.00.DGER050.CG4_AREA_ADM">-14893.97</definedName>
    <definedName name="MOV.014.C.0.10.2003.00.00.DGER050.CG4_AREA_COM">-23162.78</definedName>
    <definedName name="MOV.014.C.0.10.2003.00.00.DGER051">0</definedName>
    <definedName name="MOV.014.C.0.10.2003.00.00.DGER055">-385.06</definedName>
    <definedName name="MOV.014.C.0.10.2003.00.00.DGER056">344.35</definedName>
    <definedName name="MOV.014.C.0.10.2003.00.00.DGER057">19042.93</definedName>
    <definedName name="MOV.014.C.0.10.2003.00.00.DGER064">0</definedName>
    <definedName name="MOV.014.C.0.10.2003.00.00.DMOLSON06">0</definedName>
    <definedName name="MOV.014.C.0.10.2003.00.00.DMOLSON08.CG4_AREA_COM">-23162.78</definedName>
    <definedName name="MOV.014.C.0.10.2003.00.00.DMOLSON08.CG4_NIVEL3_26">0</definedName>
    <definedName name="MOV.014.C.0.10.2003.00.00.DMOLSON08.CG4_NIVEL3_27">0</definedName>
    <definedName name="MOV.014.C.0.10.2003.00.00.DMOLSON14">0</definedName>
    <definedName name="MOV.014.C.0.10.2003.00.00.DMOLSON27">0</definedName>
    <definedName name="MOV.014.C.0.10.2004.00.00.311550">0</definedName>
    <definedName name="MOV.014.C.0.10.2004.00.00.3214500.CG4_32999">0</definedName>
    <definedName name="MOV.014.C.0.10.2004.00.00.3214500.CG4_33999">0</definedName>
    <definedName name="MOV.014.C.0.10.2004.00.00.3214500.CG4_34999">0</definedName>
    <definedName name="MOV.014.C.0.10.2004.00.00.3214500.CG4_42999">0</definedName>
    <definedName name="MOV.014.C.0.10.2004.00.00.3214540">0</definedName>
    <definedName name="MOV.014.C.0.10.2004.00.00.3215420">0</definedName>
    <definedName name="MOV.014.C.0.10.2004.00.00.DGER003">0</definedName>
    <definedName name="MOV.014.C.0.10.2004.00.00.DGER005">0</definedName>
    <definedName name="MOV.014.C.0.10.2004.00.00.DGER006">0</definedName>
    <definedName name="MOV.014.C.0.10.2004.00.00.DGER007">0</definedName>
    <definedName name="MOV.014.C.0.10.2004.00.00.DGER01">0</definedName>
    <definedName name="MOV.014.C.0.10.2004.00.00.DGER015.CG4_AREA_ADM">0</definedName>
    <definedName name="MOV.014.C.0.10.2004.00.00.DGER015.CG4_AREA_COM">0</definedName>
    <definedName name="MOV.014.C.0.10.2004.00.00.DGER016">0</definedName>
    <definedName name="MOV.014.C.0.10.2004.00.00.DGER026">0</definedName>
    <definedName name="MOV.014.C.0.10.2004.00.00.DGER029">0</definedName>
    <definedName name="MOV.014.C.0.10.2004.00.00.DGER030">0</definedName>
    <definedName name="MOV.014.C.0.10.2004.00.00.DGER031">-201.1</definedName>
    <definedName name="MOV.014.C.0.10.2004.00.00.DGER032">-3959.5</definedName>
    <definedName name="MOV.014.C.0.10.2004.00.00.DGER034">0</definedName>
    <definedName name="MOV.014.C.0.10.2004.00.00.DGER036">0</definedName>
    <definedName name="MOV.014.C.0.10.2004.00.00.DGER048">42805.45</definedName>
    <definedName name="MOV.014.C.0.10.2004.00.00.DGER049">0</definedName>
    <definedName name="MOV.014.C.0.10.2004.00.00.DGER050.CG4_AREA_ADM">-16.4</definedName>
    <definedName name="MOV.014.C.0.10.2004.00.00.DGER051">0</definedName>
    <definedName name="MOV.014.C.0.10.2004.00.00.DGER055">-310.24</definedName>
    <definedName name="MOV.014.C.0.10.2004.00.00.DGER056">186.1</definedName>
    <definedName name="MOV.014.C.0.10.2004.00.00.DGER057">595.09</definedName>
    <definedName name="MOV.014.C.0.10.2004.00.00.DGER064">-39099.4</definedName>
    <definedName name="MOV.014.C.0.10.2004.00.00.DMOLSON06">0</definedName>
    <definedName name="MOV.014.C.0.10.2004.00.00.DMOLSON08.CG4_AREA_COM">0</definedName>
    <definedName name="MOV.014.C.0.10.2004.00.00.DMOLSON08.CG4_NIVEL3_26">0</definedName>
    <definedName name="MOV.014.C.0.10.2004.00.00.DMOLSON08.CG4_NIVEL3_27">0</definedName>
    <definedName name="MOV.014.C.0.10.2004.00.00.DMOLSON14">0</definedName>
    <definedName name="MOV.014.C.0.10.2004.00.00.DMOLSON27">0</definedName>
    <definedName name="MOV.014.C.0.10.2005.00.00.311550">0</definedName>
    <definedName name="MOV.014.C.0.10.2005.00.00.3214500.CG4_32999">0</definedName>
    <definedName name="MOV.014.C.0.10.2005.00.00.3214500.CG4_33999">0</definedName>
    <definedName name="MOV.014.C.0.10.2005.00.00.3214500.CG4_34999">0</definedName>
    <definedName name="MOV.014.C.0.10.2005.00.00.3214500.CG4_42999">0</definedName>
    <definedName name="MOV.014.C.0.10.2005.00.00.3214540">0</definedName>
    <definedName name="MOV.014.C.0.10.2005.00.00.3215420">0</definedName>
    <definedName name="MOV.014.C.0.10.2005.00.00.DGER003">0</definedName>
    <definedName name="MOV.014.C.0.10.2005.00.00.DGER005">0</definedName>
    <definedName name="MOV.014.C.0.10.2005.00.00.DGER006">0</definedName>
    <definedName name="MOV.014.C.0.10.2005.00.00.DGER007">0</definedName>
    <definedName name="MOV.014.C.0.10.2005.00.00.DGER01">0</definedName>
    <definedName name="MOV.014.C.0.10.2005.00.00.DGER015.CG4_AREA_ADM">0</definedName>
    <definedName name="MOV.014.C.0.10.2005.00.00.DGER015.CG4_AREA_COM">0</definedName>
    <definedName name="MOV.014.C.0.10.2005.00.00.DGER016">0</definedName>
    <definedName name="MOV.014.C.0.10.2005.00.00.DGER026">0</definedName>
    <definedName name="MOV.014.C.0.10.2005.00.00.DGER029">0</definedName>
    <definedName name="MOV.014.C.0.10.2005.00.00.DGER030">0</definedName>
    <definedName name="MOV.014.C.0.10.2005.00.00.DGER031">0</definedName>
    <definedName name="MOV.014.C.0.10.2005.00.00.DGER032">0</definedName>
    <definedName name="MOV.014.C.0.10.2005.00.00.DGER034">0</definedName>
    <definedName name="MOV.014.C.0.10.2005.00.00.DGER036">0</definedName>
    <definedName name="MOV.014.C.0.10.2005.00.00.DGER048">0</definedName>
    <definedName name="MOV.014.C.0.10.2005.00.00.DGER049">0</definedName>
    <definedName name="MOV.014.C.0.10.2005.00.00.DGER050.CG4_AREA_ADM">0</definedName>
    <definedName name="MOV.014.C.0.10.2005.00.00.DGER051">0</definedName>
    <definedName name="MOV.014.C.0.10.2005.00.00.DGER055">0</definedName>
    <definedName name="MOV.014.C.0.10.2005.00.00.DGER056">0</definedName>
    <definedName name="MOV.014.C.0.10.2005.00.00.DGER057">0</definedName>
    <definedName name="MOV.014.C.0.10.2005.00.00.DGER064">0</definedName>
    <definedName name="MOV.014.C.0.10.2005.00.00.DMOLSON06">0</definedName>
    <definedName name="MOV.014.C.0.10.2005.00.00.DMOLSON08.CG4_AREA_COM">0</definedName>
    <definedName name="MOV.014.C.0.10.2005.00.00.DMOLSON08.CG4_NIVEL3_26">0</definedName>
    <definedName name="MOV.014.C.0.10.2005.00.00.DMOLSON08.CG4_NIVEL3_27">0</definedName>
    <definedName name="MOV.014.C.0.10.2005.00.00.DMOLSON14">0</definedName>
    <definedName name="MOV.014.C.0.10.2005.00.00.DMOLSON27">0</definedName>
    <definedName name="MOV.014.C.0.11.2003.00.00.311550">0</definedName>
    <definedName name="MOV.014.C.0.11.2003.00.00.3214500.CG4_32999">0</definedName>
    <definedName name="MOV.014.C.0.11.2003.00.00.3214500.CG4_33999">0</definedName>
    <definedName name="MOV.014.C.0.11.2003.00.00.3214500.CG4_34999">0</definedName>
    <definedName name="MOV.014.C.0.11.2003.00.00.3214500.CG4_42999">0</definedName>
    <definedName name="MOV.014.C.0.11.2003.00.00.3214540">0</definedName>
    <definedName name="MOV.014.C.0.11.2003.00.00.3215420">0</definedName>
    <definedName name="MOV.014.C.0.11.2003.00.00.DGER003">0</definedName>
    <definedName name="MOV.014.C.0.11.2003.00.00.DGER005">0</definedName>
    <definedName name="MOV.014.C.0.11.2003.00.00.DGER006">0</definedName>
    <definedName name="MOV.014.C.0.11.2003.00.00.DGER007">0</definedName>
    <definedName name="MOV.014.C.0.11.2003.00.00.DGER01">0</definedName>
    <definedName name="MOV.014.C.0.11.2003.00.00.DGER015.CG4_AREA_ADM">0</definedName>
    <definedName name="MOV.014.C.0.11.2003.00.00.DGER015.CG4_AREA_COM">0</definedName>
    <definedName name="MOV.014.C.0.11.2003.00.00.DGER016">0</definedName>
    <definedName name="MOV.014.C.0.11.2003.00.00.DGER026">0</definedName>
    <definedName name="MOV.014.C.0.11.2003.00.00.DGER029">-3.04</definedName>
    <definedName name="MOV.014.C.0.11.2003.00.00.DGER030">0</definedName>
    <definedName name="MOV.014.C.0.11.2003.00.00.DGER031">-746.29</definedName>
    <definedName name="MOV.014.C.0.11.2003.00.00.DGER032">0</definedName>
    <definedName name="MOV.014.C.0.11.2003.00.00.DGER034">0</definedName>
    <definedName name="MOV.014.C.0.11.2003.00.00.DGER036">0</definedName>
    <definedName name="MOV.014.C.0.11.2003.00.00.DGER048">1583277.46</definedName>
    <definedName name="MOV.014.C.0.11.2003.00.00.DGER049">0</definedName>
    <definedName name="MOV.014.C.0.11.2003.00.00.DGER050.CG4_AREA_ADM">-4362.98</definedName>
    <definedName name="MOV.014.C.0.11.2003.00.00.DGER050.CG4_AREA_COM">-643.06</definedName>
    <definedName name="MOV.014.C.0.11.2003.00.00.DGER051">0</definedName>
    <definedName name="MOV.014.C.0.11.2003.00.00.DGER055">-320.3</definedName>
    <definedName name="MOV.014.C.0.11.2003.00.00.DGER056">184.05</definedName>
    <definedName name="MOV.014.C.0.11.2003.00.00.DGER057">-26410.74</definedName>
    <definedName name="MOV.014.C.0.11.2003.00.00.DGER064">-5193521.11</definedName>
    <definedName name="MOV.014.C.0.11.2003.00.00.DMOLSON06">0</definedName>
    <definedName name="MOV.014.C.0.11.2003.00.00.DMOLSON08.CG4_AREA_COM">-643.06</definedName>
    <definedName name="MOV.014.C.0.11.2003.00.00.DMOLSON08.CG4_NIVEL3_26">0</definedName>
    <definedName name="MOV.014.C.0.11.2003.00.00.DMOLSON08.CG4_NIVEL3_27">0</definedName>
    <definedName name="MOV.014.C.0.11.2003.00.00.DMOLSON14">0</definedName>
    <definedName name="MOV.014.C.0.11.2003.00.00.DMOLSON27">0</definedName>
    <definedName name="MOV.014.C.0.11.2004.00.00.311550">0</definedName>
    <definedName name="MOV.014.C.0.11.2004.00.00.3214500.CG4_32999">0</definedName>
    <definedName name="MOV.014.C.0.11.2004.00.00.3214500.CG4_33999">0</definedName>
    <definedName name="MOV.014.C.0.11.2004.00.00.3214500.CG4_34999">0</definedName>
    <definedName name="MOV.014.C.0.11.2004.00.00.3214500.CG4_42999">0</definedName>
    <definedName name="MOV.014.C.0.11.2004.00.00.3214540">0</definedName>
    <definedName name="MOV.014.C.0.11.2004.00.00.3215420">0</definedName>
    <definedName name="MOV.014.C.0.11.2004.00.00.DGER003">0</definedName>
    <definedName name="MOV.014.C.0.11.2004.00.00.DGER005">0</definedName>
    <definedName name="MOV.014.C.0.11.2004.00.00.DGER006">0</definedName>
    <definedName name="MOV.014.C.0.11.2004.00.00.DGER007">0</definedName>
    <definedName name="MOV.014.C.0.11.2004.00.00.DGER01">0</definedName>
    <definedName name="MOV.014.C.0.11.2004.00.00.DGER015.CG4_AREA_ADM">0</definedName>
    <definedName name="MOV.014.C.0.11.2004.00.00.DGER015.CG4_AREA_COM">0</definedName>
    <definedName name="MOV.014.C.0.11.2004.00.00.DGER016">0</definedName>
    <definedName name="MOV.014.C.0.11.2004.00.00.DGER026">0</definedName>
    <definedName name="MOV.014.C.0.11.2004.00.00.DGER029">0</definedName>
    <definedName name="MOV.014.C.0.11.2004.00.00.DGER030">0</definedName>
    <definedName name="MOV.014.C.0.11.2004.00.00.DGER031">-202.5</definedName>
    <definedName name="MOV.014.C.0.11.2004.00.00.DGER032">0</definedName>
    <definedName name="MOV.014.C.0.11.2004.00.00.DGER034">0</definedName>
    <definedName name="MOV.014.C.0.11.2004.00.00.DGER036">0</definedName>
    <definedName name="MOV.014.C.0.11.2004.00.00.DGER048">43784.18</definedName>
    <definedName name="MOV.014.C.0.11.2004.00.00.DGER049">0</definedName>
    <definedName name="MOV.014.C.0.11.2004.00.00.DGER050.CG4_AREA_ADM">0</definedName>
    <definedName name="MOV.014.C.0.11.2004.00.00.DGER051">0</definedName>
    <definedName name="MOV.014.C.0.11.2004.00.00.DGER055">-314.08</definedName>
    <definedName name="MOV.014.C.0.11.2004.00.00.DGER056">240.27</definedName>
    <definedName name="MOV.014.C.0.11.2004.00.00.DGER057">35648.83</definedName>
    <definedName name="MOV.014.C.0.11.2004.00.00.DGER064">-79156.7</definedName>
    <definedName name="MOV.014.C.0.11.2004.00.00.DMOLSON06">0</definedName>
    <definedName name="MOV.014.C.0.11.2004.00.00.DMOLSON08.CG4_AREA_COM">0</definedName>
    <definedName name="MOV.014.C.0.11.2004.00.00.DMOLSON08.CG4_NIVEL3_26">0</definedName>
    <definedName name="MOV.014.C.0.11.2004.00.00.DMOLSON08.CG4_NIVEL3_27">0</definedName>
    <definedName name="MOV.014.C.0.11.2004.00.00.DMOLSON14">0</definedName>
    <definedName name="MOV.014.C.0.11.2004.00.00.DMOLSON27">0</definedName>
    <definedName name="MOV.014.C.0.11.2005.00.00.311550">0</definedName>
    <definedName name="MOV.014.C.0.11.2005.00.00.3214500.CG4_32999">0</definedName>
    <definedName name="MOV.014.C.0.11.2005.00.00.3214500.CG4_33999">0</definedName>
    <definedName name="MOV.014.C.0.11.2005.00.00.3214500.CG4_34999">0</definedName>
    <definedName name="MOV.014.C.0.11.2005.00.00.3214500.CG4_42999">0</definedName>
    <definedName name="MOV.014.C.0.11.2005.00.00.3214540">0</definedName>
    <definedName name="MOV.014.C.0.11.2005.00.00.3215420">0</definedName>
    <definedName name="MOV.014.C.0.11.2005.00.00.DGER003">0</definedName>
    <definedName name="MOV.014.C.0.11.2005.00.00.DGER005">0</definedName>
    <definedName name="MOV.014.C.0.11.2005.00.00.DGER006">0</definedName>
    <definedName name="MOV.014.C.0.11.2005.00.00.DGER007">0</definedName>
    <definedName name="MOV.014.C.0.11.2005.00.00.DGER01">0</definedName>
    <definedName name="MOV.014.C.0.11.2005.00.00.DGER015.CG4_AREA_ADM">0</definedName>
    <definedName name="MOV.014.C.0.11.2005.00.00.DGER015.CG4_AREA_COM">0</definedName>
    <definedName name="MOV.014.C.0.11.2005.00.00.DGER016">0</definedName>
    <definedName name="MOV.014.C.0.11.2005.00.00.DGER026">0</definedName>
    <definedName name="MOV.014.C.0.11.2005.00.00.DGER029">0</definedName>
    <definedName name="MOV.014.C.0.11.2005.00.00.DGER030">0</definedName>
    <definedName name="MOV.014.C.0.11.2005.00.00.DGER031">0</definedName>
    <definedName name="MOV.014.C.0.11.2005.00.00.DGER032">0</definedName>
    <definedName name="MOV.014.C.0.11.2005.00.00.DGER034">0</definedName>
    <definedName name="MOV.014.C.0.11.2005.00.00.DGER036">0</definedName>
    <definedName name="MOV.014.C.0.11.2005.00.00.DGER048">0</definedName>
    <definedName name="MOV.014.C.0.11.2005.00.00.DGER049">0</definedName>
    <definedName name="MOV.014.C.0.11.2005.00.00.DGER050.CG4_AREA_ADM">0</definedName>
    <definedName name="MOV.014.C.0.11.2005.00.00.DGER051">0</definedName>
    <definedName name="MOV.014.C.0.11.2005.00.00.DGER055">0</definedName>
    <definedName name="MOV.014.C.0.11.2005.00.00.DGER056">0</definedName>
    <definedName name="MOV.014.C.0.11.2005.00.00.DGER057">0</definedName>
    <definedName name="MOV.014.C.0.11.2005.00.00.DGER064">0</definedName>
    <definedName name="MOV.014.C.0.11.2005.00.00.DMOLSON06">0</definedName>
    <definedName name="MOV.014.C.0.11.2005.00.00.DMOLSON08.CG4_AREA_COM">0</definedName>
    <definedName name="MOV.014.C.0.11.2005.00.00.DMOLSON08.CG4_NIVEL3_26">0</definedName>
    <definedName name="MOV.014.C.0.11.2005.00.00.DMOLSON08.CG4_NIVEL3_27">0</definedName>
    <definedName name="MOV.014.C.0.11.2005.00.00.DMOLSON14">0</definedName>
    <definedName name="MOV.014.C.0.11.2005.00.00.DMOLSON27">0</definedName>
    <definedName name="MOV.014.C.0.12.2003.00.00.311550">0</definedName>
    <definedName name="MOV.014.C.0.12.2003.00.00.3214500.CG4_32999">0</definedName>
    <definedName name="MOV.014.C.0.12.2003.00.00.3214500.CG4_33999">0</definedName>
    <definedName name="MOV.014.C.0.12.2003.00.00.3214500.CG4_34999">0</definedName>
    <definedName name="MOV.014.C.0.12.2003.00.00.3214500.CG4_42999">0</definedName>
    <definedName name="MOV.014.C.0.12.2003.00.00.3214540">0</definedName>
    <definedName name="MOV.014.C.0.12.2003.00.00.3215420">0</definedName>
    <definedName name="MOV.014.C.0.12.2003.00.00.DGER003">0</definedName>
    <definedName name="MOV.014.C.0.12.2003.00.00.DGER005">0</definedName>
    <definedName name="MOV.014.C.0.12.2003.00.00.DGER006">0</definedName>
    <definedName name="MOV.014.C.0.12.2003.00.00.DGER007">0</definedName>
    <definedName name="MOV.014.C.0.12.2003.00.00.DGER01">0</definedName>
    <definedName name="MOV.014.C.0.12.2003.00.00.DGER015.CG4_AREA_ADM">0</definedName>
    <definedName name="MOV.014.C.0.12.2003.00.00.DGER015.CG4_AREA_COM">0</definedName>
    <definedName name="MOV.014.C.0.12.2003.00.00.DGER016">0</definedName>
    <definedName name="MOV.014.C.0.12.2003.00.00.DGER026">0</definedName>
    <definedName name="MOV.014.C.0.12.2003.00.00.DGER029">-3.8</definedName>
    <definedName name="MOV.014.C.0.12.2003.00.00.DGER030">0</definedName>
    <definedName name="MOV.014.C.0.12.2003.00.00.DGER031">-2023.7</definedName>
    <definedName name="MOV.014.C.0.12.2003.00.00.DGER032">0</definedName>
    <definedName name="MOV.014.C.0.12.2003.00.00.DGER034">0</definedName>
    <definedName name="MOV.014.C.0.12.2003.00.00.DGER036">0</definedName>
    <definedName name="MOV.014.C.0.12.2003.00.00.DGER048">-1781963.68</definedName>
    <definedName name="MOV.014.C.0.12.2003.00.00.DGER049">0</definedName>
    <definedName name="MOV.014.C.0.12.2003.00.00.DGER050">-1968.69</definedName>
    <definedName name="MOV.014.C.0.12.2003.00.00.DGER050.CG4_AREA_ADM">-1968.69</definedName>
    <definedName name="MOV.014.C.0.12.2003.00.00.DGER050.CG4_AREA_COM">0</definedName>
    <definedName name="MOV.014.C.0.12.2003.00.00.DGER051">0</definedName>
    <definedName name="MOV.014.C.0.12.2003.00.00.DGER055">-328.32</definedName>
    <definedName name="MOV.014.C.0.12.2003.00.00.DGER056">230.15</definedName>
    <definedName name="MOV.014.C.0.12.2003.00.00.DGER057">16777.82</definedName>
    <definedName name="MOV.014.C.0.12.2003.00.00.DGER064">-6137797.67</definedName>
    <definedName name="MOV.014.C.0.12.2003.00.00.DMOLSON06">0</definedName>
    <definedName name="MOV.014.C.0.12.2003.00.00.DMOLSON08.CG4_AREA_COM">0</definedName>
    <definedName name="MOV.014.C.0.12.2003.00.00.DMOLSON08.CG4_NIVEL3_26">0</definedName>
    <definedName name="MOV.014.C.0.12.2003.00.00.DMOLSON08.CG4_NIVEL3_27">0</definedName>
    <definedName name="MOV.014.C.0.12.2003.00.00.DMOLSON14">0</definedName>
    <definedName name="MOV.014.C.0.12.2003.00.00.DMOLSON27">0</definedName>
    <definedName name="MOV.014.C.0.12.2004.00.00.311550">0</definedName>
    <definedName name="MOV.014.C.0.12.2004.00.00.3214500.CG4_32999">0</definedName>
    <definedName name="MOV.014.C.0.12.2004.00.00.3214500.CG4_33999">0</definedName>
    <definedName name="MOV.014.C.0.12.2004.00.00.3214500.CG4_34999">0</definedName>
    <definedName name="MOV.014.C.0.12.2004.00.00.3214500.CG4_42999">0</definedName>
    <definedName name="MOV.014.C.0.12.2004.00.00.3214540">0</definedName>
    <definedName name="MOV.014.C.0.12.2004.00.00.3215420">0</definedName>
    <definedName name="MOV.014.C.0.12.2004.00.00.DGER003">0</definedName>
    <definedName name="MOV.014.C.0.12.2004.00.00.DGER005">0</definedName>
    <definedName name="MOV.014.C.0.12.2004.00.00.DGER006">0</definedName>
    <definedName name="MOV.014.C.0.12.2004.00.00.DGER007">0</definedName>
    <definedName name="MOV.014.C.0.12.2004.00.00.DGER01">0</definedName>
    <definedName name="MOV.014.C.0.12.2004.00.00.DGER015.CG4_AREA_ADM">0</definedName>
    <definedName name="MOV.014.C.0.12.2004.00.00.DGER015.CG4_AREA_COM">0</definedName>
    <definedName name="MOV.014.C.0.12.2004.00.00.DGER016">0</definedName>
    <definedName name="MOV.014.C.0.12.2004.00.00.DGER026">0</definedName>
    <definedName name="MOV.014.C.0.12.2004.00.00.DGER029">0</definedName>
    <definedName name="MOV.014.C.0.12.2004.00.00.DGER030">0</definedName>
    <definedName name="MOV.014.C.0.12.2004.00.00.DGER031">0</definedName>
    <definedName name="MOV.014.C.0.12.2004.00.00.DGER032">0</definedName>
    <definedName name="MOV.014.C.0.12.2004.00.00.DGER034">0</definedName>
    <definedName name="MOV.014.C.0.12.2004.00.00.DGER036">0</definedName>
    <definedName name="MOV.014.C.0.12.2004.00.00.DGER048">65376.22</definedName>
    <definedName name="MOV.014.C.0.12.2004.00.00.DGER049">0</definedName>
    <definedName name="MOV.014.C.0.12.2004.00.00.DGER050.CG4_AREA_ADM">0</definedName>
    <definedName name="MOV.014.C.0.12.2004.00.00.DGER051">0</definedName>
    <definedName name="MOV.014.C.0.12.2004.00.00.DGER055">-380.48</definedName>
    <definedName name="MOV.014.C.0.12.2004.00.00.DGER056">533.01</definedName>
    <definedName name="MOV.014.C.0.12.2004.00.00.DGER057">21621.67</definedName>
    <definedName name="MOV.014.C.0.12.2004.00.00.DGER064">-87150.42</definedName>
    <definedName name="MOV.014.C.0.12.2004.00.00.DMOLSON06">0</definedName>
    <definedName name="MOV.014.C.0.12.2004.00.00.DMOLSON08.CG4_AREA_COM">0</definedName>
    <definedName name="MOV.014.C.0.12.2004.00.00.DMOLSON08.CG4_NIVEL3_26">0</definedName>
    <definedName name="MOV.014.C.0.12.2004.00.00.DMOLSON08.CG4_NIVEL3_27">0</definedName>
    <definedName name="MOV.014.C.0.12.2004.00.00.DMOLSON14">0</definedName>
    <definedName name="MOV.014.C.0.12.2004.00.00.DMOLSON27">0</definedName>
    <definedName name="MOV.014.C.0.12.2005.00.00.311550">0</definedName>
    <definedName name="MOV.014.C.0.12.2005.00.00.3214500.CG4_32999">0</definedName>
    <definedName name="MOV.014.C.0.12.2005.00.00.3214500.CG4_33999">0</definedName>
    <definedName name="MOV.014.C.0.12.2005.00.00.3214500.CG4_34999">0</definedName>
    <definedName name="MOV.014.C.0.12.2005.00.00.3214500.CG4_42999">0</definedName>
    <definedName name="MOV.014.C.0.12.2005.00.00.3214540">0</definedName>
    <definedName name="MOV.014.C.0.12.2005.00.00.3215420">0</definedName>
    <definedName name="MOV.014.C.0.12.2005.00.00.DGER003">0</definedName>
    <definedName name="MOV.014.C.0.12.2005.00.00.DGER005">0</definedName>
    <definedName name="MOV.014.C.0.12.2005.00.00.DGER006">0</definedName>
    <definedName name="MOV.014.C.0.12.2005.00.00.DGER007">0</definedName>
    <definedName name="MOV.014.C.0.12.2005.00.00.DGER01">0</definedName>
    <definedName name="MOV.014.C.0.12.2005.00.00.DGER015.CG4_AREA_ADM">0</definedName>
    <definedName name="MOV.014.C.0.12.2005.00.00.DGER015.CG4_AREA_COM">0</definedName>
    <definedName name="MOV.014.C.0.12.2005.00.00.DGER016">0</definedName>
    <definedName name="MOV.014.C.0.12.2005.00.00.DGER026">0</definedName>
    <definedName name="MOV.014.C.0.12.2005.00.00.DGER029">0</definedName>
    <definedName name="MOV.014.C.0.12.2005.00.00.DGER030">0</definedName>
    <definedName name="MOV.014.C.0.12.2005.00.00.DGER031">0</definedName>
    <definedName name="MOV.014.C.0.12.2005.00.00.DGER032">0</definedName>
    <definedName name="MOV.014.C.0.12.2005.00.00.DGER034">0</definedName>
    <definedName name="MOV.014.C.0.12.2005.00.00.DGER036">0</definedName>
    <definedName name="MOV.014.C.0.12.2005.00.00.DGER048">0</definedName>
    <definedName name="MOV.014.C.0.12.2005.00.00.DGER049">0</definedName>
    <definedName name="MOV.014.C.0.12.2005.00.00.DGER050.CG4_AREA_ADM">0</definedName>
    <definedName name="MOV.014.C.0.12.2005.00.00.DGER051">0</definedName>
    <definedName name="MOV.014.C.0.12.2005.00.00.DGER055">0</definedName>
    <definedName name="MOV.014.C.0.12.2005.00.00.DGER056">0</definedName>
    <definedName name="MOV.014.C.0.12.2005.00.00.DGER057">0</definedName>
    <definedName name="MOV.014.C.0.12.2005.00.00.DGER064">0</definedName>
    <definedName name="MOV.014.C.0.12.2005.00.00.DMOLSON06">0</definedName>
    <definedName name="MOV.014.C.0.12.2005.00.00.DMOLSON08.CG4_AREA_COM">0</definedName>
    <definedName name="MOV.014.C.0.12.2005.00.00.DMOLSON08.CG4_NIVEL3_26">0</definedName>
    <definedName name="MOV.014.C.0.12.2005.00.00.DMOLSON08.CG4_NIVEL3_27">0</definedName>
    <definedName name="MOV.014.C.0.12.2005.00.00.DMOLSON14">0</definedName>
    <definedName name="MOV.014.C.0.12.2005.00.00.DMOLSON27">0</definedName>
    <definedName name="MOV.016.C.0.04.2003.00.00.311550">0</definedName>
    <definedName name="MOV.016.C.0.04.2003.00.00.3214500.CG4_32999">0</definedName>
    <definedName name="MOV.016.C.0.04.2003.00.00.3214500.CG4_33999">0</definedName>
    <definedName name="MOV.016.C.0.04.2003.00.00.3214500.CG4_34999">0</definedName>
    <definedName name="MOV.016.C.0.04.2003.00.00.3214500.CG4_42999">0</definedName>
    <definedName name="MOV.016.C.0.04.2003.00.00.3215420">0</definedName>
    <definedName name="MOV.016.C.0.04.2003.00.00.421100">0</definedName>
    <definedName name="MOV.016.C.0.04.2003.00.00.DGER003">0</definedName>
    <definedName name="MOV.016.C.0.04.2003.00.00.DGER005">0</definedName>
    <definedName name="MOV.016.C.0.04.2003.00.00.DGER006">0</definedName>
    <definedName name="MOV.016.C.0.04.2003.00.00.DGER007">0</definedName>
    <definedName name="MOV.016.C.0.04.2003.00.00.DGER01">0</definedName>
    <definedName name="MOV.016.C.0.04.2003.00.00.DGER015.CG4_AREA_ADM">0</definedName>
    <definedName name="MOV.016.C.0.04.2003.00.00.DGER015.CG4_AREA_COM">0</definedName>
    <definedName name="MOV.016.C.0.04.2003.00.00.DGER016">0</definedName>
    <definedName name="MOV.016.C.0.04.2003.00.00.DGER026">-29015.51</definedName>
    <definedName name="MOV.016.C.0.04.2003.00.00.DGER029">0</definedName>
    <definedName name="MOV.016.C.0.04.2003.00.00.DGER030">0</definedName>
    <definedName name="MOV.016.C.0.04.2003.00.00.DGER031">0</definedName>
    <definedName name="MOV.016.C.0.04.2003.00.00.DGER032">0</definedName>
    <definedName name="MOV.016.C.0.04.2003.00.00.DGER034">0</definedName>
    <definedName name="MOV.016.C.0.04.2003.00.00.DGER036">0</definedName>
    <definedName name="MOV.016.C.0.04.2003.00.00.DGER048">0</definedName>
    <definedName name="MOV.016.C.0.04.2003.00.00.DGER049">0</definedName>
    <definedName name="MOV.016.C.0.04.2003.00.00.DGER050.CG4_AREA_ADM">0</definedName>
    <definedName name="MOV.016.C.0.04.2003.00.00.DGER050.CG4_AREA_COM">0</definedName>
    <definedName name="MOV.016.C.0.04.2003.00.00.DGER051">0</definedName>
    <definedName name="MOV.016.C.0.04.2003.00.00.DGER055">0</definedName>
    <definedName name="MOV.016.C.0.04.2003.00.00.DGER056">0</definedName>
    <definedName name="MOV.016.C.0.04.2003.00.00.DGER057">0</definedName>
    <definedName name="MOV.016.C.0.04.2003.00.00.DGER064">0</definedName>
    <definedName name="MOV.016.C.0.04.2003.00.00.DMOLSON27">0</definedName>
    <definedName name="MOV.016.C.0.04.2003.00.00.DRESPER">-29015.51</definedName>
    <definedName name="MOV.016.C.0.05.2003.00.00.311550">0</definedName>
    <definedName name="MOV.016.C.0.05.2003.00.00.3214500.CG4_32999">0</definedName>
    <definedName name="MOV.016.C.0.05.2003.00.00.3214500.CG4_33999">0</definedName>
    <definedName name="MOV.016.C.0.05.2003.00.00.3214500.CG4_34999">0</definedName>
    <definedName name="MOV.016.C.0.05.2003.00.00.3214500.CG4_42999">0</definedName>
    <definedName name="MOV.016.C.0.05.2003.00.00.3215420">0</definedName>
    <definedName name="MOV.016.C.0.05.2003.00.00.421100">0</definedName>
    <definedName name="MOV.016.C.0.05.2003.00.00.DGER003">0</definedName>
    <definedName name="MOV.016.C.0.05.2003.00.00.DGER005">0</definedName>
    <definedName name="MOV.016.C.0.05.2003.00.00.DGER006">0</definedName>
    <definedName name="MOV.016.C.0.05.2003.00.00.DGER007">0</definedName>
    <definedName name="MOV.016.C.0.05.2003.00.00.DGER01">0</definedName>
    <definedName name="MOV.016.C.0.05.2003.00.00.DGER015.CG4_AREA_ADM">0</definedName>
    <definedName name="MOV.016.C.0.05.2003.00.00.DGER015.CG4_AREA_COM">0</definedName>
    <definedName name="MOV.016.C.0.05.2003.00.00.DGER016">0</definedName>
    <definedName name="MOV.016.C.0.05.2003.00.00.DGER026">-62673.49</definedName>
    <definedName name="MOV.016.C.0.05.2003.00.00.DGER029">0</definedName>
    <definedName name="MOV.016.C.0.05.2003.00.00.DGER030">0</definedName>
    <definedName name="MOV.016.C.0.05.2003.00.00.DGER031">-32.49</definedName>
    <definedName name="MOV.016.C.0.05.2003.00.00.DGER032">0</definedName>
    <definedName name="MOV.016.C.0.05.2003.00.00.DGER034">-433.17</definedName>
    <definedName name="MOV.016.C.0.05.2003.00.00.DGER036">0</definedName>
    <definedName name="MOV.016.C.0.05.2003.00.00.DGER048">0</definedName>
    <definedName name="MOV.016.C.0.05.2003.00.00.DGER049">0</definedName>
    <definedName name="MOV.016.C.0.05.2003.00.00.DGER050.CG4_AREA_ADM">-1176.06</definedName>
    <definedName name="MOV.016.C.0.05.2003.00.00.DGER050.CG4_AREA_COM">0</definedName>
    <definedName name="MOV.016.C.0.05.2003.00.00.DGER051">0</definedName>
    <definedName name="MOV.016.C.0.05.2003.00.00.DGER055">0</definedName>
    <definedName name="MOV.016.C.0.05.2003.00.00.DGER056">0</definedName>
    <definedName name="MOV.016.C.0.05.2003.00.00.DGER057">0</definedName>
    <definedName name="MOV.016.C.0.05.2003.00.00.DGER064">0</definedName>
    <definedName name="MOV.016.C.0.05.2003.00.00.DMOLSON27">0</definedName>
    <definedName name="MOV.016.C.0.05.2003.00.00.DRESPER">-64315.21</definedName>
    <definedName name="MOV.016.C.0.06.2003.00.00.311550">0</definedName>
    <definedName name="MOV.016.C.0.06.2003.00.00.3214500.CG4_32999">0</definedName>
    <definedName name="MOV.016.C.0.06.2003.00.00.3214500.CG4_33999">0</definedName>
    <definedName name="MOV.016.C.0.06.2003.00.00.3214500.CG4_34999">0</definedName>
    <definedName name="MOV.016.C.0.06.2003.00.00.3214500.CG4_42999">0</definedName>
    <definedName name="MOV.016.C.0.06.2003.00.00.3215420">0</definedName>
    <definedName name="MOV.016.C.0.06.2003.00.00.421100">0</definedName>
    <definedName name="MOV.016.C.0.06.2003.00.00.DGER003">0</definedName>
    <definedName name="MOV.016.C.0.06.2003.00.00.DGER005">-3920343.53</definedName>
    <definedName name="MOV.016.C.0.06.2003.00.00.DGER006">0</definedName>
    <definedName name="MOV.016.C.0.06.2003.00.00.DGER007">0</definedName>
    <definedName name="MOV.016.C.0.06.2003.00.00.DGER01">7086149.5</definedName>
    <definedName name="MOV.016.C.0.06.2003.00.00.DGER015.CG4_AREA_ADM">0</definedName>
    <definedName name="MOV.016.C.0.06.2003.00.00.DGER015.CG4_AREA_COM">0</definedName>
    <definedName name="MOV.016.C.0.06.2003.00.00.DGER016">0</definedName>
    <definedName name="MOV.016.C.0.06.2003.00.00.DGER026">-1170153.84</definedName>
    <definedName name="MOV.016.C.0.06.2003.00.00.DGER029">0</definedName>
    <definedName name="MOV.016.C.0.06.2003.00.00.DGER030">0</definedName>
    <definedName name="MOV.016.C.0.06.2003.00.00.DGER031">0.49</definedName>
    <definedName name="MOV.016.C.0.06.2003.00.00.DGER032">0</definedName>
    <definedName name="MOV.016.C.0.06.2003.00.00.DGER034">-206.7</definedName>
    <definedName name="MOV.016.C.0.06.2003.00.00.DGER036">0</definedName>
    <definedName name="MOV.016.C.0.06.2003.00.00.DGER048">0</definedName>
    <definedName name="MOV.016.C.0.06.2003.00.00.DGER049">0</definedName>
    <definedName name="MOV.016.C.0.06.2003.00.00.DGER050.CG4_AREA_ADM">-23.1</definedName>
    <definedName name="MOV.016.C.0.06.2003.00.00.DGER050.CG4_AREA_COM">0</definedName>
    <definedName name="MOV.016.C.0.06.2003.00.00.DGER051">0</definedName>
    <definedName name="MOV.016.C.0.06.2003.00.00.DGER055">0</definedName>
    <definedName name="MOV.016.C.0.06.2003.00.00.DGER056">0</definedName>
    <definedName name="MOV.016.C.0.06.2003.00.00.DGER057">0</definedName>
    <definedName name="MOV.016.C.0.06.2003.00.00.DGER064">0</definedName>
    <definedName name="MOV.016.C.0.06.2003.00.00.DMOLSON27">0</definedName>
    <definedName name="MOV.016.C.0.06.2003.00.00.DRESPER">1995422.82</definedName>
    <definedName name="MOV.016.C.0.07.2003.00.00.311550">0</definedName>
    <definedName name="MOV.016.C.0.07.2003.00.00.3214500.CG4_32999">0</definedName>
    <definedName name="MOV.016.C.0.07.2003.00.00.3214500.CG4_33999">0</definedName>
    <definedName name="MOV.016.C.0.07.2003.00.00.3214500.CG4_34999">0</definedName>
    <definedName name="MOV.016.C.0.07.2003.00.00.3214500.CG4_42999">0</definedName>
    <definedName name="MOV.016.C.0.07.2003.00.00.3215420">0</definedName>
    <definedName name="MOV.016.C.0.07.2003.00.00.4110010">2247675.65</definedName>
    <definedName name="MOV.016.C.0.07.2003.00.00.421100">0</definedName>
    <definedName name="MOV.016.C.0.07.2003.00.00.DGER003">0</definedName>
    <definedName name="MOV.016.C.0.07.2003.00.00.DGER005">-1241472.23</definedName>
    <definedName name="MOV.016.C.0.07.2003.00.00.DGER006">0</definedName>
    <definedName name="MOV.016.C.0.07.2003.00.00.DGER007">0</definedName>
    <definedName name="MOV.016.C.0.07.2003.00.00.DGER01">2247675.65</definedName>
    <definedName name="MOV.016.C.0.07.2003.00.00.DGER015.CG4_AREA_ADM">0</definedName>
    <definedName name="MOV.016.C.0.07.2003.00.00.DGER015.CG4_AREA_COM">0</definedName>
    <definedName name="MOV.016.C.0.07.2003.00.00.DGER016">0</definedName>
    <definedName name="MOV.016.C.0.07.2003.00.00.DGER026">-2726387.04</definedName>
    <definedName name="MOV.016.C.0.07.2003.00.00.DGER029">0</definedName>
    <definedName name="MOV.016.C.0.07.2003.00.00.DGER030">0</definedName>
    <definedName name="MOV.016.C.0.07.2003.00.00.DGER031">0</definedName>
    <definedName name="MOV.016.C.0.07.2003.00.00.DGER032">0</definedName>
    <definedName name="MOV.016.C.0.07.2003.00.00.DGER034">-211.26</definedName>
    <definedName name="MOV.016.C.0.07.2003.00.00.DGER036">0</definedName>
    <definedName name="MOV.016.C.0.07.2003.00.00.DGER048">0</definedName>
    <definedName name="MOV.016.C.0.07.2003.00.00.DGER049">0</definedName>
    <definedName name="MOV.016.C.0.07.2003.00.00.DGER050.CG4_AREA_ADM">-14270.81</definedName>
    <definedName name="MOV.016.C.0.07.2003.00.00.DGER050.CG4_AREA_COM">0</definedName>
    <definedName name="MOV.016.C.0.07.2003.00.00.DGER051">0</definedName>
    <definedName name="MOV.016.C.0.07.2003.00.00.DGER055">0</definedName>
    <definedName name="MOV.016.C.0.07.2003.00.00.DGER056">0</definedName>
    <definedName name="MOV.016.C.0.07.2003.00.00.DGER057">0</definedName>
    <definedName name="MOV.016.C.0.07.2003.00.00.DGER064">0</definedName>
    <definedName name="MOV.016.C.0.07.2003.00.00.DMOLSON27">0</definedName>
    <definedName name="MOV.016.C.0.07.2003.00.00.DRESPER">-1734665.69</definedName>
    <definedName name="MOV.016.C.0.08.2003.00.00.311550">0</definedName>
    <definedName name="MOV.016.C.0.08.2003.00.00.3214500.CG4_32999">0</definedName>
    <definedName name="MOV.016.C.0.08.2003.00.00.3214500.CG4_33999">0</definedName>
    <definedName name="MOV.016.C.0.08.2003.00.00.3214500.CG4_34999">0</definedName>
    <definedName name="MOV.016.C.0.08.2003.00.00.3214500.CG4_42999">0</definedName>
    <definedName name="MOV.016.C.0.08.2003.00.00.3215420">0</definedName>
    <definedName name="MOV.016.C.0.08.2003.00.00.421100">0</definedName>
    <definedName name="MOV.016.C.0.08.2003.00.00.DGER003">0</definedName>
    <definedName name="MOV.016.C.0.08.2003.00.00.DGER005">0</definedName>
    <definedName name="MOV.016.C.0.08.2003.00.00.DGER006">0</definedName>
    <definedName name="MOV.016.C.0.08.2003.00.00.DGER007">0</definedName>
    <definedName name="MOV.016.C.0.08.2003.00.00.DGER01">1530755.2</definedName>
    <definedName name="MOV.016.C.0.08.2003.00.00.DGER015.CG4_AREA_ADM">0</definedName>
    <definedName name="MOV.016.C.0.08.2003.00.00.DGER015.CG4_AREA_COM">0</definedName>
    <definedName name="MOV.016.C.0.08.2003.00.00.DGER016">-775425.85</definedName>
    <definedName name="MOV.016.C.0.08.2003.00.00.DGER026">-1178156.31</definedName>
    <definedName name="MOV.016.C.0.08.2003.00.00.DGER029">0</definedName>
    <definedName name="MOV.016.C.0.08.2003.00.00.DGER030">0</definedName>
    <definedName name="MOV.016.C.0.08.2003.00.00.DGER031">0</definedName>
    <definedName name="MOV.016.C.0.08.2003.00.00.DGER032">0</definedName>
    <definedName name="MOV.016.C.0.08.2003.00.00.DGER034">-215.12</definedName>
    <definedName name="MOV.016.C.0.08.2003.00.00.DGER036">0</definedName>
    <definedName name="MOV.016.C.0.08.2003.00.00.DGER048">0</definedName>
    <definedName name="MOV.016.C.0.08.2003.00.00.DGER049">0</definedName>
    <definedName name="MOV.016.C.0.08.2003.00.00.DGER050.CG4_AREA_ADM">0</definedName>
    <definedName name="MOV.016.C.0.08.2003.00.00.DGER050.CG4_AREA_COM">-3071.91</definedName>
    <definedName name="MOV.016.C.0.08.2003.00.00.DGER051">0</definedName>
    <definedName name="MOV.016.C.0.08.2003.00.00.DGER055">0</definedName>
    <definedName name="MOV.016.C.0.08.2003.00.00.DGER056">0</definedName>
    <definedName name="MOV.016.C.0.08.2003.00.00.DGER057">0</definedName>
    <definedName name="MOV.016.C.0.08.2003.00.00.DGER064">0</definedName>
    <definedName name="MOV.016.C.0.08.2003.00.00.DMOLSON27">0</definedName>
    <definedName name="MOV.016.C.0.08.2003.00.00.DRESPER">-426113.99</definedName>
    <definedName name="MOV.050.C.0.01.0000.00.00.3211030">-206877.58999991</definedName>
    <definedName name="MOV.050.C.0.01.0000.00.00.3211060">-93173.38</definedName>
    <definedName name="MOV.050.C.0.01.0000.00.00.3211110">-206945.01999998</definedName>
    <definedName name="MOV.050.C.0.01.0000.00.00.3211160">-19286.68000001</definedName>
    <definedName name="MOV.050.C.0.01.0000.00.00.3214610">-861.8</definedName>
    <definedName name="MOV.050.C.0.01.0000.00.00.3214680">-24934.02000001</definedName>
    <definedName name="MOV.050.C.0.01.0000.00.00.3214780">-11297.65000001</definedName>
    <definedName name="MOV.050.C.0.01.0000.00.00.321543">-1058706.90999985</definedName>
    <definedName name="MOV.050.C.0.01.0000.00.00.321555">711536.77000046</definedName>
    <definedName name="MOV.050.C.0.01.0000.00.00.321567">-374560.76999998</definedName>
    <definedName name="MOV.050.C.0.01.0000.00.00.321577">-128163.98000002</definedName>
    <definedName name="MOV.050.C.0.01.0000.00.00.321582">-71452.66999996</definedName>
    <definedName name="MOV.050.C.0.01.0000.00.00.321800">-9250.3</definedName>
    <definedName name="MOV.050.C.0.01.0000.00.00.DBREAK01">-2969272.36999893</definedName>
    <definedName name="MOV.050.C.0.01.0000.00.00.DBREAK02">-107310.46999991</definedName>
    <definedName name="MOV.050.C.0.01.0000.00.00.DBREAK03">-62153.88000005</definedName>
    <definedName name="MOV.050.C.0.01.0000.00.00.DBREAK04">-2395963.01000214</definedName>
    <definedName name="MOV.050.C.0.01.0000.00.00.DBREAK05">-267740.51999998</definedName>
    <definedName name="MOV.050.C.0.01.0000.00.00.DBREAK06">-256033.45000005</definedName>
    <definedName name="MOV.050.C.0.01.0000.00.00.DBREAK07">-20677.69</definedName>
    <definedName name="MOV.050.C.0.01.0000.00.00.DBREAK08">-37889.60000002</definedName>
    <definedName name="MOV.050.C.0.01.0000.00.00.DBREAK09">-169382.43000007</definedName>
    <definedName name="MOV.050.C.0.01.0000.00.00.DBREAK10">-65392.51000005</definedName>
    <definedName name="MOV.050.C.0.01.0000.00.00.DBREAK11">-1132054.38000107</definedName>
    <definedName name="MOV.050.C.0.01.0000.00.00.DBREAK12">-45713.59999996</definedName>
    <definedName name="MOV.050.C.0.01.0000.00.00.DBREAK13">-177955.50999999</definedName>
    <definedName name="MOV.050.C.0.01.0000.00.00.DBREAK14">-955690.51000023</definedName>
    <definedName name="MOV.050.C.0.01.0000.00.00.DBREAK15">-86347.97000003</definedName>
    <definedName name="MOV.050.C.0.01.0000.00.00.DBREAK16">-519911.44000006</definedName>
    <definedName name="MOV.050.C.0.01.0000.00.00.DBREAK17">-283321.30999994</definedName>
    <definedName name="MOV.050.C.0.01.0000.00.00.DBREAK18">-79138.25</definedName>
    <definedName name="MOV.050.C.0.01.0000.00.00.DBREAK19">-21101.64000002</definedName>
    <definedName name="MOV.050.C.0.01.0000.00.00.DBREAK20">-59076.2599999899</definedName>
    <definedName name="MOV.050.C.0.01.0000.00.00.DBREAK21">-54969.46999997</definedName>
    <definedName name="MOV.050.C.0.01.0000.00.00.DBREAK22">-225408.40999985</definedName>
    <definedName name="MOV.050.C.0.01.0000.00.00.DBREAK23">-34743.77999997</definedName>
    <definedName name="MOV.050.C.0.01.0000.00.00.DBREAK24">-332113.76000023</definedName>
    <definedName name="MOV.050.C.0.01.0000.00.00.DBREAK25">-71666.3599999</definedName>
    <definedName name="MOV.050.C.0.01.0000.00.00.DBREAK26">-9725.91</definedName>
    <definedName name="MOV.050.C.0.01.0000.00.00.DBREAK27">-33863.18000001</definedName>
    <definedName name="MOV.050.C.0.01.0000.00.00.DBREAK28">-43524.24000001</definedName>
    <definedName name="MOV.050.C.0.01.0000.00.00.DBREAK29">-71117.53000009</definedName>
    <definedName name="MOV.050.C.0.01.0000.00.00.DBREAK30">-29112.81</definedName>
    <definedName name="MOV.050.C.0.01.0000.00.00.DBREAK31">-36458.5</definedName>
    <definedName name="MOV.050.C.0.01.0000.00.00.DBREAK32">-98184.39999998</definedName>
    <definedName name="MOV.050.C.0.01.0000.00.00.DBREAK33">-5771362.04000092</definedName>
    <definedName name="MOV.050.C.0.01.0000.00.00.DBREAK34">-221113.97000122</definedName>
    <definedName name="MOV.050.C.0.01.0000.00.00.DGER003">-66480632.9299926</definedName>
    <definedName name="MOV.050.C.0.01.0000.00.00.DGER005">-9403663.58000183</definedName>
    <definedName name="MOV.050.C.0.01.0000.00.00.DGER006">-14425098.75</definedName>
    <definedName name="MOV.050.C.0.01.0000.00.00.DGER007">-1659846.56999969</definedName>
    <definedName name="MOV.050.C.0.01.0000.00.00.DGER01">119398682.46997</definedName>
    <definedName name="MOV.050.C.0.01.0000.00.00.DGER015.CG4_AREA_ADM">-1480549.28000069</definedName>
    <definedName name="MOV.050.C.0.01.0000.00.00.DGER015.CG4_AREA_COM">-232843.67000008</definedName>
    <definedName name="MOV.050.C.0.01.0000.00.00.DGER016">1417381.00000763</definedName>
    <definedName name="MOV.050.C.0.01.0000.00.00.DGER026">-1142461.52999878</definedName>
    <definedName name="MOV.050.C.0.01.0000.00.00.DGER029">1050138.51000404</definedName>
    <definedName name="MOV.050.C.0.01.0000.00.00.DGER030">-4002300.76000214</definedName>
    <definedName name="MOV.050.C.0.01.0000.00.00.DGER031">-1124094.37999725</definedName>
    <definedName name="MOV.050.C.0.01.0000.00.00.DGER032">-69462.82999969</definedName>
    <definedName name="MOV.050.C.0.01.0000.00.00.DGER034">19353985.8900146</definedName>
    <definedName name="MOV.050.C.0.01.0000.00.00.DGER036">66624.65999997</definedName>
    <definedName name="MOV.050.C.0.01.0000.00.00.DGER048">-104576.56999981</definedName>
    <definedName name="MOV.050.C.0.01.0000.00.00.DGER049">-4550717.98999023</definedName>
    <definedName name="MOV.050.C.0.01.0000.00.00.DGER050.CG4_AREA_ADM">-5452002.98999786</definedName>
    <definedName name="MOV.050.C.0.01.0000.00.00.DGER050.CG4_AREA_COM">-1153538.18000221</definedName>
    <definedName name="MOV.050.C.0.01.0000.00.00.DGER051">-2191360.15000153</definedName>
    <definedName name="MOV.050.C.0.01.0000.00.00.DGER052">-94152901.8699951</definedName>
    <definedName name="MOV.050.C.0.01.0000.00.00.DGER053">12782083.7399902</definedName>
    <definedName name="MOV.050.C.0.01.0000.00.00.DRESPER">-57784507.2800293</definedName>
    <definedName name="MOV.050.C.0.01.1998.00.00.3220110">-1122794.89999962</definedName>
    <definedName name="MOV.050.C.0.01.1998.00.00.3220170">-948369.26000023</definedName>
    <definedName name="MOV.050.C.0.01.1998.00.00.3220180">-633792.18000031</definedName>
    <definedName name="MOV.050.C.0.01.1998.00.00.3220190">-43884.77999997</definedName>
    <definedName name="MOV.050.C.0.01.1998.00.00.3220200">-161774.3599999</definedName>
    <definedName name="MOV.050.C.0.01.1998.00.00.3220210">0</definedName>
    <definedName name="MOV.050.C.0.01.1998.00.00.3220220">-24350.25</definedName>
    <definedName name="MOV.050.C.0.01.1998.00.00.3220230">-61079.38</definedName>
    <definedName name="MOV.050.C.0.01.1998.00.00.3220240">-7147.63</definedName>
    <definedName name="MOV.050.C.0.01.1998.00.00.3220250">-617.51</definedName>
    <definedName name="MOV.050.C.0.01.1998.00.00.3220260">-678389.22000027</definedName>
    <definedName name="MOV.050.C.0.01.1998.00.00.3220550">0</definedName>
    <definedName name="MOV.050.C.0.01.1999.00.00.3211030">-206877.58999991</definedName>
    <definedName name="MOV.050.C.0.01.1999.00.00.3211060">-93173.38</definedName>
    <definedName name="MOV.050.C.0.01.1999.00.00.3211110">-206945.01999998</definedName>
    <definedName name="MOV.050.C.0.01.1999.00.00.3211160">-19286.68000001</definedName>
    <definedName name="MOV.050.C.0.01.1999.00.00.3214500.CG4_42999">-343111.57999992</definedName>
    <definedName name="MOV.050.C.0.01.1999.00.00.3214610">-861.8</definedName>
    <definedName name="MOV.050.C.0.01.1999.00.00.3214680">-24934.02000001</definedName>
    <definedName name="MOV.050.C.0.01.1999.00.00.3214780">-11297.65000001</definedName>
    <definedName name="MOV.050.C.0.01.1999.00.00.321543">-1058706.90999985</definedName>
    <definedName name="MOV.050.C.0.01.1999.00.00.321555">711536.77000046</definedName>
    <definedName name="MOV.050.C.0.01.1999.00.00.321567">-374560.76999998</definedName>
    <definedName name="MOV.050.C.0.01.1999.00.00.321577">-128163.98000002</definedName>
    <definedName name="MOV.050.C.0.01.1999.00.00.321582">-71452.66999996</definedName>
    <definedName name="MOV.050.C.0.01.1999.00.00.321800">-9250.3</definedName>
    <definedName name="MOV.050.C.0.01.1999.00.00.3220110">-292966.4000001</definedName>
    <definedName name="MOV.050.C.0.01.1999.00.00.3220170">-378264.94999981</definedName>
    <definedName name="MOV.050.C.0.01.1999.00.00.3220180">-654138.97000027</definedName>
    <definedName name="MOV.050.C.0.01.1999.00.00.3220190">-7341.9</definedName>
    <definedName name="MOV.050.C.0.01.1999.00.00.3220200">131.76</definedName>
    <definedName name="MOV.050.C.0.01.1999.00.00.3220210">0</definedName>
    <definedName name="MOV.050.C.0.01.1999.00.00.3220220">-27011.5</definedName>
    <definedName name="MOV.050.C.0.01.1999.00.00.3220230">-19048.94999999</definedName>
    <definedName name="MOV.050.C.0.01.1999.00.00.3220240">-65307.49000001</definedName>
    <definedName name="MOV.050.C.0.01.1999.00.00.3220250">0</definedName>
    <definedName name="MOV.050.C.0.01.1999.00.00.3220260">-2623528.09000015</definedName>
    <definedName name="MOV.050.C.0.01.1999.00.00.3220550">0</definedName>
    <definedName name="MOV.050.C.0.01.1999.00.00.DBREAK01">-2969272.36999893</definedName>
    <definedName name="MOV.050.C.0.01.1999.00.00.DBREAK02">-107310.46999991</definedName>
    <definedName name="MOV.050.C.0.01.1999.00.00.DBREAK03">-62153.88000005</definedName>
    <definedName name="MOV.050.C.0.01.1999.00.00.DBREAK04">-2395963.01000214</definedName>
    <definedName name="MOV.050.C.0.01.1999.00.00.DBREAK05">-267740.51999998</definedName>
    <definedName name="MOV.050.C.0.01.1999.00.00.DBREAK06">-256033.45000005</definedName>
    <definedName name="MOV.050.C.0.01.1999.00.00.DBREAK07">-20677.69</definedName>
    <definedName name="MOV.050.C.0.01.1999.00.00.DBREAK08">-37889.60000002</definedName>
    <definedName name="MOV.050.C.0.01.1999.00.00.DBREAK09">-169382.43000007</definedName>
    <definedName name="MOV.050.C.0.01.1999.00.00.DBREAK10">-65392.51000005</definedName>
    <definedName name="MOV.050.C.0.01.1999.00.00.DBREAK11">-1132054.38000107</definedName>
    <definedName name="MOV.050.C.0.01.1999.00.00.DBREAK12">-45713.59999996</definedName>
    <definedName name="MOV.050.C.0.01.1999.00.00.DBREAK13">-177955.50999999</definedName>
    <definedName name="MOV.050.C.0.01.1999.00.00.DBREAK14">-955690.51000023</definedName>
    <definedName name="MOV.050.C.0.01.1999.00.00.DBREAK15">-86347.97000003</definedName>
    <definedName name="MOV.050.C.0.01.1999.00.00.DBREAK16">-519911.44000006</definedName>
    <definedName name="MOV.050.C.0.01.1999.00.00.DBREAK17">-283321.30999994</definedName>
    <definedName name="MOV.050.C.0.01.1999.00.00.DBREAK18">-79138.25</definedName>
    <definedName name="MOV.050.C.0.01.1999.00.00.DBREAK19">-21101.64000002</definedName>
    <definedName name="MOV.050.C.0.01.1999.00.00.DBREAK20">-59076.2599999899</definedName>
    <definedName name="MOV.050.C.0.01.1999.00.00.DBREAK21">-54969.46999997</definedName>
    <definedName name="MOV.050.C.0.01.1999.00.00.DBREAK22">-225408.40999985</definedName>
    <definedName name="MOV.050.C.0.01.1999.00.00.DBREAK23">-34743.77999997</definedName>
    <definedName name="MOV.050.C.0.01.1999.00.00.DBREAK24">-332113.76000023</definedName>
    <definedName name="MOV.050.C.0.01.1999.00.00.DBREAK25">-71666.3599999</definedName>
    <definedName name="MOV.050.C.0.01.1999.00.00.DBREAK26">-9725.91</definedName>
    <definedName name="MOV.050.C.0.01.1999.00.00.DBREAK27">-33863.18000001</definedName>
    <definedName name="MOV.050.C.0.01.1999.00.00.DBREAK28">-43524.24000001</definedName>
    <definedName name="MOV.050.C.0.01.1999.00.00.DBREAK29">-71117.53000009</definedName>
    <definedName name="MOV.050.C.0.01.1999.00.00.DBREAK30">-29112.81</definedName>
    <definedName name="MOV.050.C.0.01.1999.00.00.DBREAK31">-36458.5</definedName>
    <definedName name="MOV.050.C.0.01.1999.00.00.DBREAK32">-98184.39999998</definedName>
    <definedName name="MOV.050.C.0.01.1999.00.00.DBREAK33">-5771362.04000092</definedName>
    <definedName name="MOV.050.C.0.01.1999.00.00.DBREAK34">-221113.97000122</definedName>
    <definedName name="MOV.050.C.0.01.1999.00.00.DGER003">-66480632.9299926</definedName>
    <definedName name="MOV.050.C.0.01.1999.00.00.DGER005">-9403663.58000183</definedName>
    <definedName name="MOV.050.C.0.01.1999.00.00.DGER006">-14425098.75</definedName>
    <definedName name="MOV.050.C.0.01.1999.00.00.DGER007">-1659846.56999969</definedName>
    <definedName name="MOV.050.C.0.01.1999.00.00.DGER01">119398682.46997</definedName>
    <definedName name="MOV.050.C.0.01.1999.00.00.DGER015.CG4_AREA_ADM">-1480549.28000069</definedName>
    <definedName name="MOV.050.C.0.01.1999.00.00.DGER015.CG4_AREA_COM">-232843.67000008</definedName>
    <definedName name="MOV.050.C.0.01.1999.00.00.DGER015.CG4_AREA_FAB">-4057969.09000015</definedName>
    <definedName name="MOV.050.C.0.01.1999.00.00.DGER016">1417381.00000763</definedName>
    <definedName name="MOV.050.C.0.01.1999.00.00.DGER026">-1142461.52999878</definedName>
    <definedName name="MOV.050.C.0.01.1999.00.00.DGER029">1050138.51000404</definedName>
    <definedName name="MOV.050.C.0.01.1999.00.00.DGER030">-4002300.76000214</definedName>
    <definedName name="MOV.050.C.0.01.1999.00.00.DGER031">-1124094.37999725</definedName>
    <definedName name="MOV.050.C.0.01.1999.00.00.DGER032">-69462.82999969</definedName>
    <definedName name="MOV.050.C.0.01.1999.00.00.DGER034">19353985.8900146</definedName>
    <definedName name="MOV.050.C.0.01.1999.00.00.DGER036">66624.65999997</definedName>
    <definedName name="MOV.050.C.0.01.1999.00.00.DGER048">-104576.56999981</definedName>
    <definedName name="MOV.050.C.0.01.1999.00.00.DGER049">-4550717.98999023</definedName>
    <definedName name="MOV.050.C.0.01.1999.00.00.DGER050.CG4_AREA_ADM">-5452002.98999786</definedName>
    <definedName name="MOV.050.C.0.01.1999.00.00.DGER050.CG4_AREA_COM">-1153538.18000221</definedName>
    <definedName name="MOV.050.C.0.01.1999.00.00.DGER051">-2191360.15000153</definedName>
    <definedName name="MOV.050.C.0.01.1999.00.00.DGER052">-94152901.8699951</definedName>
    <definedName name="MOV.050.C.0.01.1999.00.00.DGER053">12782083.7399902</definedName>
    <definedName name="MOV.050.C.0.01.1999.00.00.DRESPER">-57784507.2800293</definedName>
    <definedName name="MOV.050.C.0.01.2000.00.00.311550">-4314593.16000366</definedName>
    <definedName name="MOV.050.C.0.01.2000.00.00.3211030">0</definedName>
    <definedName name="MOV.050.C.0.01.2000.00.00.3211060">0</definedName>
    <definedName name="MOV.050.C.0.01.2000.00.00.3211110">0</definedName>
    <definedName name="MOV.050.C.0.01.2000.00.00.3211160">0</definedName>
    <definedName name="MOV.050.C.0.01.2000.00.00.3214500.CG4_32999">0</definedName>
    <definedName name="MOV.050.C.0.01.2000.00.00.3214500.CG4_33999">0</definedName>
    <definedName name="MOV.050.C.0.01.2000.00.00.3214500.CG4_34999">0</definedName>
    <definedName name="MOV.050.C.0.01.2000.00.00.3214500.CG4_42999">0</definedName>
    <definedName name="MOV.050.C.0.01.2000.00.00.3214610">0</definedName>
    <definedName name="MOV.050.C.0.01.2000.00.00.3214680">0</definedName>
    <definedName name="MOV.050.C.0.01.2000.00.00.3214780">0</definedName>
    <definedName name="MOV.050.C.0.01.2000.00.00.3215040">0</definedName>
    <definedName name="MOV.050.C.0.01.2000.00.00.3215400">-24310.5</definedName>
    <definedName name="MOV.050.C.0.01.2000.00.00.321543">0</definedName>
    <definedName name="MOV.050.C.0.01.2000.00.00.3215530">-782878.68999958</definedName>
    <definedName name="MOV.050.C.0.01.2000.00.00.321555">0</definedName>
    <definedName name="MOV.050.C.0.01.2000.00.00.321567">0</definedName>
    <definedName name="MOV.050.C.0.01.2000.00.00.321577">0</definedName>
    <definedName name="MOV.050.C.0.01.2000.00.00.321582">0</definedName>
    <definedName name="MOV.050.C.0.01.2000.00.00.3215980">-358714.90999985</definedName>
    <definedName name="MOV.050.C.0.01.2000.00.00.3216030">-415915.46000004</definedName>
    <definedName name="MOV.050.C.0.01.2000.00.00.321800">0</definedName>
    <definedName name="MOV.050.C.0.01.2000.00.00.3218500">0</definedName>
    <definedName name="MOV.050.C.0.01.2000.00.00.3220110">-224229.3499999</definedName>
    <definedName name="MOV.050.C.0.01.2000.00.00.3220170">-406339.32000017</definedName>
    <definedName name="MOV.050.C.0.01.2000.00.00.3220180">-76342.53999996</definedName>
    <definedName name="MOV.050.C.0.01.2000.00.00.3220190">0</definedName>
    <definedName name="MOV.050.C.0.01.2000.00.00.3220200">2622.42</definedName>
    <definedName name="MOV.050.C.0.01.2000.00.00.3220210">0</definedName>
    <definedName name="MOV.050.C.0.01.2000.00.00.3220220">-18912</definedName>
    <definedName name="MOV.050.C.0.01.2000.00.00.3220230">-17225.34</definedName>
    <definedName name="MOV.050.C.0.01.2000.00.00.3220240">-175.86</definedName>
    <definedName name="MOV.050.C.0.01.2000.00.00.3220250">0</definedName>
    <definedName name="MOV.050.C.0.01.2000.00.00.3220260">-1091262</definedName>
    <definedName name="MOV.050.C.0.01.2000.00.00.3220550">-60292.63999999</definedName>
    <definedName name="MOV.050.C.0.01.2000.00.00.DBREAK01">0</definedName>
    <definedName name="MOV.050.C.0.01.2000.00.00.DBREAK02">0</definedName>
    <definedName name="MOV.050.C.0.01.2000.00.00.DBREAK03">0</definedName>
    <definedName name="MOV.050.C.0.01.2000.00.00.DBREAK04">0</definedName>
    <definedName name="MOV.050.C.0.01.2000.00.00.DBREAK05">0</definedName>
    <definedName name="MOV.050.C.0.01.2000.00.00.DBREAK06">0</definedName>
    <definedName name="MOV.050.C.0.01.2000.00.00.DBREAK07">0</definedName>
    <definedName name="MOV.050.C.0.01.2000.00.00.DBREAK08">0</definedName>
    <definedName name="MOV.050.C.0.01.2000.00.00.DBREAK09">0</definedName>
    <definedName name="MOV.050.C.0.01.2000.00.00.DBREAK10">0</definedName>
    <definedName name="MOV.050.C.0.01.2000.00.00.DBREAK11">0</definedName>
    <definedName name="MOV.050.C.0.01.2000.00.00.DBREAK12">0</definedName>
    <definedName name="MOV.050.C.0.01.2000.00.00.DBREAK13">0</definedName>
    <definedName name="MOV.050.C.0.01.2000.00.00.DBREAK14">0</definedName>
    <definedName name="MOV.050.C.0.01.2000.00.00.DBREAK15">0</definedName>
    <definedName name="MOV.050.C.0.01.2000.00.00.DBREAK16">0</definedName>
    <definedName name="MOV.050.C.0.01.2000.00.00.DBREAK17">0</definedName>
    <definedName name="MOV.050.C.0.01.2000.00.00.DBREAK18">0</definedName>
    <definedName name="MOV.050.C.0.01.2000.00.00.DBREAK19">0</definedName>
    <definedName name="MOV.050.C.0.01.2000.00.00.DBREAK20">0</definedName>
    <definedName name="MOV.050.C.0.01.2000.00.00.DBREAK21">0</definedName>
    <definedName name="MOV.050.C.0.01.2000.00.00.DBREAK22">0</definedName>
    <definedName name="MOV.050.C.0.01.2000.00.00.DBREAK23">0</definedName>
    <definedName name="MOV.050.C.0.01.2000.00.00.DBREAK24">0</definedName>
    <definedName name="MOV.050.C.0.01.2000.00.00.DBREAK25">0</definedName>
    <definedName name="MOV.050.C.0.01.2000.00.00.DBREAK26">0</definedName>
    <definedName name="MOV.050.C.0.01.2000.00.00.DBREAK27">0</definedName>
    <definedName name="MOV.050.C.0.01.2000.00.00.DBREAK28">0</definedName>
    <definedName name="MOV.050.C.0.01.2000.00.00.DBREAK29">0</definedName>
    <definedName name="MOV.050.C.0.01.2000.00.00.DBREAK30">0</definedName>
    <definedName name="MOV.050.C.0.01.2000.00.00.DBREAK31">0</definedName>
    <definedName name="MOV.050.C.0.01.2000.00.00.DBREAK32">0</definedName>
    <definedName name="MOV.050.C.0.01.2000.00.00.DBREAK33">0</definedName>
    <definedName name="MOV.050.C.0.01.2000.00.00.DBREAK34">0</definedName>
    <definedName name="MOV.050.C.0.01.2000.00.00.DBREAK36">-50001.41000003</definedName>
    <definedName name="MOV.050.C.0.01.2000.00.00.DBREAK37">-118810.61000001</definedName>
    <definedName name="MOV.050.C.0.01.2000.00.00.DBREAK38">-12635.84999999</definedName>
    <definedName name="MOV.050.C.0.01.2000.00.00.DBREAK39">-146101.54999995</definedName>
    <definedName name="MOV.050.C.0.01.2000.00.00.DGER003">0</definedName>
    <definedName name="MOV.050.C.0.01.2000.00.00.DGER005">0</definedName>
    <definedName name="MOV.050.C.0.01.2000.00.00.DGER006">0</definedName>
    <definedName name="MOV.050.C.0.01.2000.00.00.DGER007">0</definedName>
    <definedName name="MOV.050.C.0.01.2000.00.00.DGER01">0</definedName>
    <definedName name="MOV.050.C.0.01.2000.00.00.DGER015.CG4_AREA_ADM">0</definedName>
    <definedName name="MOV.050.C.0.01.2000.00.00.DGER015.CG4_AREA_COM">0</definedName>
    <definedName name="MOV.050.C.0.01.2000.00.00.DGER015.CG4_AREA_FAB">0</definedName>
    <definedName name="MOV.050.C.0.01.2000.00.00.DGER0156">3316634.60002899</definedName>
    <definedName name="MOV.050.C.0.01.2000.00.00.DGER016">0</definedName>
    <definedName name="MOV.050.C.0.01.2000.00.00.DGER026">0</definedName>
    <definedName name="MOV.050.C.0.01.2000.00.00.DGER029">0</definedName>
    <definedName name="MOV.050.C.0.01.2000.00.00.DGER030">0</definedName>
    <definedName name="MOV.050.C.0.01.2000.00.00.DGER031">0</definedName>
    <definedName name="MOV.050.C.0.01.2000.00.00.DGER032">0</definedName>
    <definedName name="MOV.050.C.0.01.2000.00.00.DGER034">0</definedName>
    <definedName name="MOV.050.C.0.01.2000.00.00.DGER036">0</definedName>
    <definedName name="MOV.050.C.0.01.2000.00.00.DGER048">0</definedName>
    <definedName name="MOV.050.C.0.01.2000.00.00.DGER049">0</definedName>
    <definedName name="MOV.050.C.0.01.2000.00.00.DGER050.CG4_AREA_ADM">0</definedName>
    <definedName name="MOV.050.C.0.01.2000.00.00.DGER050.CG4_AREA_COM">0</definedName>
    <definedName name="MOV.050.C.0.01.2000.00.00.DGER051">0</definedName>
    <definedName name="MOV.050.C.0.01.2000.00.00.DGER052">0</definedName>
    <definedName name="MOV.050.C.0.01.2000.00.00.DGER053">0</definedName>
    <definedName name="MOV.050.C.0.01.2000.00.00.DGER054">-2610741.00999832</definedName>
    <definedName name="MOV.050.C.0.01.2000.00.00.DRESPER">0</definedName>
    <definedName name="MOV.050.C.0.01.2002.00.00.311550">-4253443.98</definedName>
    <definedName name="MOV.050.C.0.01.2002.00.00.3214500.CG4_32999">-62279.29</definedName>
    <definedName name="MOV.050.C.0.01.2002.00.00.3214500.CG4_33999">-74431.19</definedName>
    <definedName name="MOV.050.C.0.01.2002.00.00.3214500.CG4_34999">-22407.15</definedName>
    <definedName name="MOV.050.C.0.01.2002.00.00.3214500.CG4_42999">-167500.99</definedName>
    <definedName name="MOV.050.C.0.01.2002.00.00.3214610">-8337.98</definedName>
    <definedName name="MOV.050.C.0.01.2002.00.00.3214680">-20228.64</definedName>
    <definedName name="MOV.050.C.0.01.2002.00.00.3214780">-25919.66</definedName>
    <definedName name="MOV.050.C.0.01.2002.00.00.3215040">0</definedName>
    <definedName name="MOV.050.C.0.01.2002.00.00.3215400">0</definedName>
    <definedName name="MOV.050.C.0.01.2002.00.00.321543">-837245.24</definedName>
    <definedName name="MOV.050.C.0.01.2002.00.00.3215530">0</definedName>
    <definedName name="MOV.050.C.0.01.2002.00.00.321555">-4719510.73</definedName>
    <definedName name="MOV.050.C.0.01.2002.00.00.321567">-2190651.48</definedName>
    <definedName name="MOV.050.C.0.01.2002.00.00.321577">-290534.4</definedName>
    <definedName name="MOV.050.C.0.01.2002.00.00.321582">0</definedName>
    <definedName name="MOV.050.C.0.01.2002.00.00.321800">-4317.81</definedName>
    <definedName name="MOV.050.C.0.01.2002.00.00.3218500">0</definedName>
    <definedName name="MOV.050.C.0.01.2002.00.00.DBREAK01">-3417016.4</definedName>
    <definedName name="MOV.050.C.0.01.2002.00.00.DBREAK02">-174862.44</definedName>
    <definedName name="MOV.050.C.0.01.2002.00.00.DBREAK03">-15897.42</definedName>
    <definedName name="MOV.050.C.0.01.2002.00.00.DBREAK04">-2677859.87</definedName>
    <definedName name="MOV.050.C.0.01.2002.00.00.DBREAK05">-209867.53</definedName>
    <definedName name="MOV.050.C.0.01.2002.00.00.DBREAK06">-301590.36</definedName>
    <definedName name="MOV.050.C.0.01.2002.00.00.DBREAK07">-16377.98</definedName>
    <definedName name="MOV.050.C.0.01.2002.00.00.DBREAK08">0</definedName>
    <definedName name="MOV.050.C.0.01.2002.00.00.DBREAK09">-7520.64</definedName>
    <definedName name="MOV.050.C.0.01.2002.00.00.DBREAK10">822.47</definedName>
    <definedName name="MOV.050.C.0.01.2002.00.00.DBREAK11">-579172.32</definedName>
    <definedName name="MOV.050.C.0.01.2002.00.00.DBREAK12">-347885.36</definedName>
    <definedName name="MOV.050.C.0.01.2002.00.00.DBREAK13">-268604.66</definedName>
    <definedName name="MOV.050.C.0.01.2002.00.00.DBREAK14">-1342432.02</definedName>
    <definedName name="MOV.050.C.0.01.2002.00.00.DBREAK15">-156223.9</definedName>
    <definedName name="MOV.050.C.0.01.2002.00.00.DBREAK16">-271452.39</definedName>
    <definedName name="MOV.050.C.0.01.2002.00.00.DBREAK17">-237431.64</definedName>
    <definedName name="MOV.050.C.0.01.2002.00.00.DBREAK18">-73867.44</definedName>
    <definedName name="MOV.050.C.0.01.2002.00.00.DBREAK19">-32361.36</definedName>
    <definedName name="MOV.050.C.0.01.2002.00.00.DBREAK20">-59547.83</definedName>
    <definedName name="MOV.050.C.0.01.2002.00.00.DBREAK21">-54137.25</definedName>
    <definedName name="MOV.050.C.0.01.2002.00.00.DBREAK22">-441806.11</definedName>
    <definedName name="MOV.050.C.0.01.2002.00.00.DBREAK23">-26389.07</definedName>
    <definedName name="MOV.050.C.0.01.2002.00.00.DBREAK24">-227918.34</definedName>
    <definedName name="MOV.050.C.0.01.2002.00.00.DBREAK25">-163032.61</definedName>
    <definedName name="MOV.050.C.0.01.2002.00.00.DBREAK26">-20685.45</definedName>
    <definedName name="MOV.050.C.0.01.2002.00.00.DBREAK27">-95403.79</definedName>
    <definedName name="MOV.050.C.0.01.2002.00.00.DBREAK28">-28066.41</definedName>
    <definedName name="MOV.050.C.0.01.2002.00.00.DBREAK29">-66141.35</definedName>
    <definedName name="MOV.050.C.0.01.2002.00.00.DBREAK30">-33587.06</definedName>
    <definedName name="MOV.050.C.0.01.2002.00.00.DBREAK31">-55970.1</definedName>
    <definedName name="MOV.050.C.0.01.2002.00.00.DBREAK32">-49900.08</definedName>
    <definedName name="MOV.050.C.0.01.2002.00.00.DBREAK33">-5711625.23</definedName>
    <definedName name="MOV.050.C.0.01.2002.00.00.DBREAK34">-2773312.49</definedName>
    <definedName name="MOV.050.C.0.01.2002.00.00.DBREAK36">-49148.58</definedName>
    <definedName name="MOV.050.C.0.01.2002.00.00.DBREAK37">-140602.81</definedName>
    <definedName name="MOV.050.C.0.01.2002.00.00.DBREAK38">-15485.55</definedName>
    <definedName name="MOV.050.C.0.01.2002.00.00.DBREAK39">-156502.66</definedName>
    <definedName name="MOV.050.C.0.01.2002.00.00.DGER003">-55210998.5299999</definedName>
    <definedName name="MOV.050.C.0.01.2002.00.00.DGER005">-10657383.11</definedName>
    <definedName name="MOV.050.C.0.01.2002.00.00.DGER006">-20164005.61</definedName>
    <definedName name="MOV.050.C.0.01.2002.00.00.DGER007">-2599761.05</definedName>
    <definedName name="MOV.050.C.0.01.2002.00.00.DGER01">119637715.15</definedName>
    <definedName name="MOV.050.C.0.01.2002.00.00.DGER015.CG4_AREA_ADM">-1387956.92</definedName>
    <definedName name="MOV.050.C.0.01.2002.00.00.DGER015.CG4_AREA_COM">-70224.33</definedName>
    <definedName name="MOV.050.C.0.01.2002.00.00.DGER016">2215488.18999999</definedName>
    <definedName name="MOV.050.C.0.01.2002.00.00.DGER026">-10811254.34</definedName>
    <definedName name="MOV.050.C.0.01.2002.00.00.DGER029">432850.93</definedName>
    <definedName name="MOV.050.C.0.01.2002.00.00.DGER030">-1624618.42</definedName>
    <definedName name="MOV.050.C.0.01.2002.00.00.DGER031">-818646.71</definedName>
    <definedName name="MOV.050.C.0.01.2002.00.00.DGER032">49167.15</definedName>
    <definedName name="MOV.050.C.0.01.2002.00.00.DGER034">0</definedName>
    <definedName name="MOV.050.C.0.01.2002.00.00.DGER048">94115.54</definedName>
    <definedName name="MOV.050.C.0.01.2002.00.00.DGER049">-4595022</definedName>
    <definedName name="MOV.050.C.0.01.2002.00.00.DGER050.CG4_AREA_ADM">-5277963.74</definedName>
    <definedName name="MOV.050.C.0.01.2002.00.00.DGER050.CG4_AREA_COM">-1992224.02</definedName>
    <definedName name="MOV.050.C.0.01.2002.00.00.DGER051">-2895009.06</definedName>
    <definedName name="MOV.050.C.0.01.2002.00.00.DGER054">-2091345.88</definedName>
    <definedName name="MOV.050.C.0.01.2002.00.00.DGER055">-1081988.12</definedName>
    <definedName name="MOV.050.C.0.01.2002.00.00.DGER056">1092283.8</definedName>
    <definedName name="MOV.050.C.0.01.2002.00.00.DGER057">-9632733.63</definedName>
    <definedName name="MOV.050.C.0.01.2002.00.00.DRESPER">-11398638.47</definedName>
    <definedName name="MOV.050.C.0.02.0000.00.00.3211030">0</definedName>
    <definedName name="MOV.050.C.0.02.0000.00.00.3211060">0</definedName>
    <definedName name="MOV.050.C.0.02.0000.00.00.3211110">0</definedName>
    <definedName name="MOV.050.C.0.02.0000.00.00.3211160">0</definedName>
    <definedName name="MOV.050.C.0.02.0000.00.00.3214610">0</definedName>
    <definedName name="MOV.050.C.0.02.0000.00.00.3214680">0</definedName>
    <definedName name="MOV.050.C.0.02.0000.00.00.3214780">0</definedName>
    <definedName name="MOV.050.C.0.02.0000.00.00.321543">0</definedName>
    <definedName name="MOV.050.C.0.02.0000.00.00.321555">0</definedName>
    <definedName name="MOV.050.C.0.02.0000.00.00.321567">0</definedName>
    <definedName name="MOV.050.C.0.02.0000.00.00.321577">0</definedName>
    <definedName name="MOV.050.C.0.02.0000.00.00.321582">0</definedName>
    <definedName name="MOV.050.C.0.02.0000.00.00.321800">0</definedName>
    <definedName name="MOV.050.C.0.02.0000.00.00.DBREAK01">0</definedName>
    <definedName name="MOV.050.C.0.02.0000.00.00.DBREAK02">0</definedName>
    <definedName name="MOV.050.C.0.02.0000.00.00.DBREAK03">0</definedName>
    <definedName name="MOV.050.C.0.02.0000.00.00.DBREAK04">0</definedName>
    <definedName name="MOV.050.C.0.02.0000.00.00.DBREAK05">0</definedName>
    <definedName name="MOV.050.C.0.02.0000.00.00.DBREAK06">0</definedName>
    <definedName name="MOV.050.C.0.02.0000.00.00.DBREAK07">0</definedName>
    <definedName name="MOV.050.C.0.02.0000.00.00.DBREAK08">0</definedName>
    <definedName name="MOV.050.C.0.02.0000.00.00.DBREAK09">0</definedName>
    <definedName name="MOV.050.C.0.02.0000.00.00.DBREAK10">0</definedName>
    <definedName name="MOV.050.C.0.02.0000.00.00.DBREAK11">0</definedName>
    <definedName name="MOV.050.C.0.02.0000.00.00.DBREAK12">0</definedName>
    <definedName name="MOV.050.C.0.02.0000.00.00.DBREAK13">0</definedName>
    <definedName name="MOV.050.C.0.02.0000.00.00.DBREAK14">0</definedName>
    <definedName name="MOV.050.C.0.02.0000.00.00.DBREAK15">0</definedName>
    <definedName name="MOV.050.C.0.02.0000.00.00.DBREAK16">0</definedName>
    <definedName name="MOV.050.C.0.02.0000.00.00.DBREAK17">0</definedName>
    <definedName name="MOV.050.C.0.02.0000.00.00.DBREAK18">0</definedName>
    <definedName name="MOV.050.C.0.02.0000.00.00.DBREAK19">0</definedName>
    <definedName name="MOV.050.C.0.02.0000.00.00.DBREAK20">0</definedName>
    <definedName name="MOV.050.C.0.02.0000.00.00.DBREAK21">0</definedName>
    <definedName name="MOV.050.C.0.02.0000.00.00.DBREAK22">0</definedName>
    <definedName name="MOV.050.C.0.02.0000.00.00.DBREAK23">0</definedName>
    <definedName name="MOV.050.C.0.02.0000.00.00.DBREAK24">0</definedName>
    <definedName name="MOV.050.C.0.02.0000.00.00.DBREAK25">0</definedName>
    <definedName name="MOV.050.C.0.02.0000.00.00.DBREAK26">0</definedName>
    <definedName name="MOV.050.C.0.02.0000.00.00.DBREAK27">0</definedName>
    <definedName name="MOV.050.C.0.02.0000.00.00.DBREAK28">0</definedName>
    <definedName name="MOV.050.C.0.02.0000.00.00.DBREAK29">0</definedName>
    <definedName name="MOV.050.C.0.02.0000.00.00.DBREAK30">0</definedName>
    <definedName name="MOV.050.C.0.02.0000.00.00.DBREAK31">0</definedName>
    <definedName name="MOV.050.C.0.02.0000.00.00.DBREAK32">0</definedName>
    <definedName name="MOV.050.C.0.02.0000.00.00.DBREAK33">0</definedName>
    <definedName name="MOV.050.C.0.02.0000.00.00.DBREAK34">0</definedName>
    <definedName name="MOV.050.C.0.02.0000.00.00.DGER003">0</definedName>
    <definedName name="MOV.050.C.0.02.0000.00.00.DGER005">0</definedName>
    <definedName name="MOV.050.C.0.02.0000.00.00.DGER006">0</definedName>
    <definedName name="MOV.050.C.0.02.0000.00.00.DGER007">0</definedName>
    <definedName name="MOV.050.C.0.02.0000.00.00.DGER01">0</definedName>
    <definedName name="MOV.050.C.0.02.0000.00.00.DGER015.CG4_AREA_ADM">0</definedName>
    <definedName name="MOV.050.C.0.02.0000.00.00.DGER015.CG4_AREA_COM">0</definedName>
    <definedName name="MOV.050.C.0.02.0000.00.00.DGER016">0</definedName>
    <definedName name="MOV.050.C.0.02.0000.00.00.DGER026">0</definedName>
    <definedName name="MOV.050.C.0.02.0000.00.00.DGER029">0</definedName>
    <definedName name="MOV.050.C.0.02.0000.00.00.DGER030">0</definedName>
    <definedName name="MOV.050.C.0.02.0000.00.00.DGER031">0</definedName>
    <definedName name="MOV.050.C.0.02.0000.00.00.DGER032">0</definedName>
    <definedName name="MOV.050.C.0.02.0000.00.00.DGER034">0</definedName>
    <definedName name="MOV.050.C.0.02.0000.00.00.DGER036">0</definedName>
    <definedName name="MOV.050.C.0.02.0000.00.00.DGER048">0</definedName>
    <definedName name="MOV.050.C.0.02.0000.00.00.DGER049">0</definedName>
    <definedName name="MOV.050.C.0.02.0000.00.00.DGER050.CG4_AREA_ADM">0</definedName>
    <definedName name="MOV.050.C.0.02.0000.00.00.DGER050.CG4_AREA_COM">0</definedName>
    <definedName name="MOV.050.C.0.02.0000.00.00.DGER051">0</definedName>
    <definedName name="MOV.050.C.0.02.0000.00.00.DGER052">0</definedName>
    <definedName name="MOV.050.C.0.02.0000.00.00.DGER053">0</definedName>
    <definedName name="MOV.050.C.0.02.0000.00.00.DRESPER">0</definedName>
    <definedName name="MOV.050.C.0.02.1998.00.00.3220110">-2126029.31000137</definedName>
    <definedName name="MOV.050.C.0.02.1998.00.00.3220170">-1738133.09000015</definedName>
    <definedName name="MOV.050.C.0.02.1998.00.00.3220180">-1168003.04000092</definedName>
    <definedName name="MOV.050.C.0.02.1998.00.00.3220190">-48368.33999997</definedName>
    <definedName name="MOV.050.C.0.02.1998.00.00.3220200">-110192.83000004</definedName>
    <definedName name="MOV.050.C.0.02.1998.00.00.3220210">0</definedName>
    <definedName name="MOV.050.C.0.02.1998.00.00.3220220">-48039.75</definedName>
    <definedName name="MOV.050.C.0.02.1998.00.00.3220230">-117045.24000001</definedName>
    <definedName name="MOV.050.C.0.02.1998.00.00.3220240">-23193.18000001</definedName>
    <definedName name="MOV.050.C.0.02.1998.00.00.3220250">-2364.92</definedName>
    <definedName name="MOV.050.C.0.02.1998.00.00.3220260">-1363594.44000053</definedName>
    <definedName name="MOV.050.C.0.02.1998.00.00.3220550">0</definedName>
    <definedName name="MOV.050.C.0.02.1999.00.00.3211030">-199994.33999991</definedName>
    <definedName name="MOV.050.C.0.02.1999.00.00.3211060">-61058.60000002</definedName>
    <definedName name="MOV.050.C.0.02.1999.00.00.3211110">-183101.22000003</definedName>
    <definedName name="MOV.050.C.0.02.1999.00.00.3211160">-22505.94999999</definedName>
    <definedName name="MOV.050.C.0.02.1999.00.00.3214500.CG4_42999">-361838.11000013</definedName>
    <definedName name="MOV.050.C.0.02.1999.00.00.3214610">-180</definedName>
    <definedName name="MOV.050.C.0.02.1999.00.00.3214680">-3951.94</definedName>
    <definedName name="MOV.050.C.0.02.1999.00.00.3214780">-14981.64</definedName>
    <definedName name="MOV.050.C.0.02.1999.00.00.321543">-630302.77999973</definedName>
    <definedName name="MOV.050.C.0.02.1999.00.00.321555">-3561130.27999878</definedName>
    <definedName name="MOV.050.C.0.02.1999.00.00.321567">-553558.63000011</definedName>
    <definedName name="MOV.050.C.0.02.1999.00.00.321577">-210899.99000001</definedName>
    <definedName name="MOV.050.C.0.02.1999.00.00.321582">-54647.77999997</definedName>
    <definedName name="MOV.050.C.0.02.1999.00.00.321800">-2968.12</definedName>
    <definedName name="MOV.050.C.0.02.1999.00.00.3220110">-265947.67000008</definedName>
    <definedName name="MOV.050.C.0.02.1999.00.00.3220170">-354547.07999992</definedName>
    <definedName name="MOV.050.C.0.02.1999.00.00.3220180">-206846.79999995</definedName>
    <definedName name="MOV.050.C.0.02.1999.00.00.3220190">0</definedName>
    <definedName name="MOV.050.C.0.02.1999.00.00.3220200">-6670.65</definedName>
    <definedName name="MOV.050.C.0.02.1999.00.00.3220210">0</definedName>
    <definedName name="MOV.050.C.0.02.1999.00.00.3220220">-26616.96000001</definedName>
    <definedName name="MOV.050.C.0.02.1999.00.00.3220230">-17722</definedName>
    <definedName name="MOV.050.C.0.02.1999.00.00.3220240">-559.5</definedName>
    <definedName name="MOV.050.C.0.02.1999.00.00.3220250">-1116.91</definedName>
    <definedName name="MOV.050.C.0.02.1999.00.00.3220260">-1422737.02000046</definedName>
    <definedName name="MOV.050.C.0.02.1999.00.00.3220550">0</definedName>
    <definedName name="MOV.050.C.0.02.1999.00.00.DBREAK01">-2921238.65999985</definedName>
    <definedName name="MOV.050.C.0.02.1999.00.00.DBREAK02">-35512.74000001</definedName>
    <definedName name="MOV.050.C.0.02.1999.00.00.DBREAK03">-15375.95</definedName>
    <definedName name="MOV.050.C.0.02.1999.00.00.DBREAK04">-2183745.01000214</definedName>
    <definedName name="MOV.050.C.0.02.1999.00.00.DBREAK05">-247423.0999999</definedName>
    <definedName name="MOV.050.C.0.02.1999.00.00.DBREAK06">-250426.28999996</definedName>
    <definedName name="MOV.050.C.0.02.1999.00.00.DBREAK07">-593.02</definedName>
    <definedName name="MOV.050.C.0.02.1999.00.00.DBREAK08">-8816.19</definedName>
    <definedName name="MOV.050.C.0.02.1999.00.00.DBREAK09">-38414.59999996</definedName>
    <definedName name="MOV.050.C.0.02.1999.00.00.DBREAK10">-40295.10000002</definedName>
    <definedName name="MOV.050.C.0.02.1999.00.00.DBREAK11">-1413428.12000084</definedName>
    <definedName name="MOV.050.C.0.02.1999.00.00.DBREAK12">-51074.33000004</definedName>
    <definedName name="MOV.050.C.0.02.1999.00.00.DBREAK13">-173453.70000005</definedName>
    <definedName name="MOV.050.C.0.02.1999.00.00.DBREAK14">-1011902.56999969</definedName>
    <definedName name="MOV.050.C.0.02.1999.00.00.DBREAK15">-181672.66000009</definedName>
    <definedName name="MOV.050.C.0.02.1999.00.00.DBREAK16">-428784.08999968</definedName>
    <definedName name="MOV.050.C.0.02.1999.00.00.DBREAK17">-346346.28999996</definedName>
    <definedName name="MOV.050.C.0.02.1999.00.00.DBREAK18">-74970.85000002</definedName>
    <definedName name="MOV.050.C.0.02.1999.00.00.DBREAK19">-22083.97999999</definedName>
    <definedName name="MOV.050.C.0.02.1999.00.00.DBREAK20">-52995.49999994</definedName>
    <definedName name="MOV.050.C.0.02.1999.00.00.DBREAK21">-34786.81999999</definedName>
    <definedName name="MOV.050.C.0.02.1999.00.00.DBREAK22">-245403.47000003</definedName>
    <definedName name="MOV.050.C.0.02.1999.00.00.DBREAK23">-15912.54000001</definedName>
    <definedName name="MOV.050.C.0.02.1999.00.00.DBREAK24">-160424.83000016</definedName>
    <definedName name="MOV.050.C.0.02.1999.00.00.DBREAK25">-107590.26999986</definedName>
    <definedName name="MOV.050.C.0.02.1999.00.00.DBREAK26">-17300.81999999</definedName>
    <definedName name="MOV.050.C.0.02.1999.00.00.DBREAK27">-29516.19999999</definedName>
    <definedName name="MOV.050.C.0.02.1999.00.00.DBREAK28">-20823.95000002</definedName>
    <definedName name="MOV.050.C.0.02.1999.00.00.DBREAK29">-59453.15999997</definedName>
    <definedName name="MOV.050.C.0.02.1999.00.00.DBREAK30">-24898.28999999</definedName>
    <definedName name="MOV.050.C.0.02.1999.00.00.DBREAK31">-14408.34</definedName>
    <definedName name="MOV.050.C.0.02.1999.00.00.DBREAK32">-87861.88</definedName>
    <definedName name="MOV.050.C.0.02.1999.00.00.DBREAK33">-5794374.93999481</definedName>
    <definedName name="MOV.050.C.0.02.1999.00.00.DBREAK34">-114544.25</definedName>
    <definedName name="MOV.050.C.0.02.1999.00.00.DGER003">-48517905.1600341</definedName>
    <definedName name="MOV.050.C.0.02.1999.00.00.DGER005">-6453243.6800003</definedName>
    <definedName name="MOV.050.C.0.02.1999.00.00.DGER006">-13196895.9000091</definedName>
    <definedName name="MOV.050.C.0.02.1999.00.00.DGER007">-1595712.23999977</definedName>
    <definedName name="MOV.050.C.0.02.1999.00.00.DGER01">91512442.8800048</definedName>
    <definedName name="MOV.050.C.0.02.1999.00.00.DGER015.CG4_AREA_ADM">-1496056.06999969</definedName>
    <definedName name="MOV.050.C.0.02.1999.00.00.DGER015.CG4_AREA_COM">-232981.26999998</definedName>
    <definedName name="MOV.050.C.0.02.1999.00.00.DGER015.CG4_AREA_FAB">-4065337.59999847</definedName>
    <definedName name="MOV.050.C.0.02.1999.00.00.DGER016">4661553.02998352</definedName>
    <definedName name="MOV.050.C.0.02.1999.00.00.DGER026">-5125083.70999146</definedName>
    <definedName name="MOV.050.C.0.02.1999.00.00.DGER029">1208244.69000053</definedName>
    <definedName name="MOV.050.C.0.02.1999.00.00.DGER030">-2295534.44000244</definedName>
    <definedName name="MOV.050.C.0.02.1999.00.00.DGER031">-435709.44000006</definedName>
    <definedName name="MOV.050.C.0.02.1999.00.00.DGER032">-226394.81999993</definedName>
    <definedName name="MOV.050.C.0.02.1999.00.00.DGER034">3003884.40999985</definedName>
    <definedName name="MOV.050.C.0.02.1999.00.00.DGER036">-8850.56999999</definedName>
    <definedName name="MOV.050.C.0.02.1999.00.00.DGER048">-38712.66999966</definedName>
    <definedName name="MOV.050.C.0.02.1999.00.00.DGER049">-4026468.86001587</definedName>
    <definedName name="MOV.050.C.0.02.1999.00.00.DGER050.CG4_AREA_ADM">-5537034.12000275</definedName>
    <definedName name="MOV.050.C.0.02.1999.00.00.DGER050.CG4_AREA_COM">-1203757.54999924</definedName>
    <definedName name="MOV.050.C.0.02.1999.00.00.DGER051">-1894761.76999855</definedName>
    <definedName name="MOV.050.C.0.02.1999.00.00.DGER052">-14569369.1799926</definedName>
    <definedName name="MOV.050.C.0.02.1999.00.00.DGER053">1853764.37000084</definedName>
    <definedName name="MOV.050.C.0.02.1999.00.00.DRESPER">-8718334.27001953</definedName>
    <definedName name="MOV.050.C.0.02.2000.00.00.311550">-4314493.58000183</definedName>
    <definedName name="MOV.050.C.0.02.2000.00.00.3214500.CG4_32999">0</definedName>
    <definedName name="MOV.050.C.0.02.2000.00.00.3214500.CG4_33999">0</definedName>
    <definedName name="MOV.050.C.0.02.2000.00.00.3214500.CG4_34999">0</definedName>
    <definedName name="MOV.050.C.0.02.2000.00.00.3214500.CG4_42999">-369238.48000002</definedName>
    <definedName name="MOV.050.C.0.02.2000.00.00.3214610">-3350</definedName>
    <definedName name="MOV.050.C.0.02.2000.00.00.3214680">-12292.23</definedName>
    <definedName name="MOV.050.C.0.02.2000.00.00.3214780">-13328.11</definedName>
    <definedName name="MOV.050.C.0.02.2000.00.00.3215040">0</definedName>
    <definedName name="MOV.050.C.0.02.2000.00.00.3215400">-20425.69</definedName>
    <definedName name="MOV.050.C.0.02.2000.00.00.321543">-1812001.64999962</definedName>
    <definedName name="MOV.050.C.0.02.2000.00.00.3215530">-1018146.26000023</definedName>
    <definedName name="MOV.050.C.0.02.2000.00.00.321555">-5850152.19000244</definedName>
    <definedName name="MOV.050.C.0.02.2000.00.00.321567">-1778205.32999992</definedName>
    <definedName name="MOV.050.C.0.02.2000.00.00.321577">-495137.19999981</definedName>
    <definedName name="MOV.050.C.0.02.2000.00.00.321582">0</definedName>
    <definedName name="MOV.050.C.0.02.2000.00.00.3215980">-437638.59000015</definedName>
    <definedName name="MOV.050.C.0.02.2000.00.00.3216030">-496255.80000019</definedName>
    <definedName name="MOV.050.C.0.02.2000.00.00.321800">-3716.14</definedName>
    <definedName name="MOV.050.C.0.02.2000.00.00.3218500">0</definedName>
    <definedName name="MOV.050.C.0.02.2000.00.00.3220110">-137119.79999995</definedName>
    <definedName name="MOV.050.C.0.02.2000.00.00.3220170">-282276</definedName>
    <definedName name="MOV.050.C.0.02.2000.00.00.3220180">-104493.80999994</definedName>
    <definedName name="MOV.050.C.0.02.2000.00.00.3220190">0</definedName>
    <definedName name="MOV.050.C.0.02.2000.00.00.3220200">2537.07</definedName>
    <definedName name="MOV.050.C.0.02.2000.00.00.3220210">0</definedName>
    <definedName name="MOV.050.C.0.02.2000.00.00.3220220">-17736</definedName>
    <definedName name="MOV.050.C.0.02.2000.00.00.3220230">-11780.76000001</definedName>
    <definedName name="MOV.050.C.0.02.2000.00.00.3220240">-7632.36</definedName>
    <definedName name="MOV.050.C.0.02.2000.00.00.3220250">0</definedName>
    <definedName name="MOV.050.C.0.02.2000.00.00.3220260">-963458</definedName>
    <definedName name="MOV.050.C.0.02.2000.00.00.3220550">-54382</definedName>
    <definedName name="MOV.050.C.0.02.2000.00.00.DBREAK01">-2955398.81000137</definedName>
    <definedName name="MOV.050.C.0.02.2000.00.00.DBREAK02">-22253.49000001</definedName>
    <definedName name="MOV.050.C.0.02.2000.00.00.DBREAK03">-53635.43000001</definedName>
    <definedName name="MOV.050.C.0.02.2000.00.00.DBREAK04">-2040469.25</definedName>
    <definedName name="MOV.050.C.0.02.2000.00.00.DBREAK05">-198651.23000002</definedName>
    <definedName name="MOV.050.C.0.02.2000.00.00.DBREAK06">-197672.41000032</definedName>
    <definedName name="MOV.050.C.0.02.2000.00.00.DBREAK07">-2339.4</definedName>
    <definedName name="MOV.050.C.0.02.2000.00.00.DBREAK08">-100740.83000004</definedName>
    <definedName name="MOV.050.C.0.02.2000.00.00.DBREAK09">-31800</definedName>
    <definedName name="MOV.050.C.0.02.2000.00.00.DBREAK10">-52378.29000002</definedName>
    <definedName name="MOV.050.C.0.02.2000.00.00.DBREAK11">-761403.52999973</definedName>
    <definedName name="MOV.050.C.0.02.2000.00.00.DBREAK12">-386449.48999977</definedName>
    <definedName name="MOV.050.C.0.02.2000.00.00.DBREAK13">-214664.7900002</definedName>
    <definedName name="MOV.050.C.0.02.2000.00.00.DBREAK14">-974523.53999996</definedName>
    <definedName name="MOV.050.C.0.02.2000.00.00.DBREAK15">-160931.72999978</definedName>
    <definedName name="MOV.050.C.0.02.2000.00.00.DBREAK16">-370281.29000044</definedName>
    <definedName name="MOV.050.C.0.02.2000.00.00.DBREAK17">-257770.83999991</definedName>
    <definedName name="MOV.050.C.0.02.2000.00.00.DBREAK18">-125734.75999999</definedName>
    <definedName name="MOV.050.C.0.02.2000.00.00.DBREAK19">-34175.04000002</definedName>
    <definedName name="MOV.050.C.0.02.2000.00.00.DBREAK20">-73296.95000005</definedName>
    <definedName name="MOV.050.C.0.02.2000.00.00.DBREAK21">-115210.62</definedName>
    <definedName name="MOV.050.C.0.02.2000.00.00.DBREAK22">-267734.5999999</definedName>
    <definedName name="MOV.050.C.0.02.2000.00.00.DBREAK23">-23192.67000002</definedName>
    <definedName name="MOV.050.C.0.02.2000.00.00.DBREAK24">-177958.41000009</definedName>
    <definedName name="MOV.050.C.0.02.2000.00.00.DBREAK25">-140127.97000027</definedName>
    <definedName name="MOV.050.C.0.02.2000.00.00.DBREAK26">-41339.87</definedName>
    <definedName name="MOV.050.C.0.02.2000.00.00.DBREAK27">-32108.65000001</definedName>
    <definedName name="MOV.050.C.0.02.2000.00.00.DBREAK28">-124082</definedName>
    <definedName name="MOV.050.C.0.02.2000.00.00.DBREAK29">-53259.58000004</definedName>
    <definedName name="MOV.050.C.0.02.2000.00.00.DBREAK30">-29755.59999999</definedName>
    <definedName name="MOV.050.C.0.02.2000.00.00.DBREAK31">-24086.03</definedName>
    <definedName name="MOV.050.C.0.02.2000.00.00.DBREAK32">-93981.21999991</definedName>
    <definedName name="MOV.050.C.0.02.2000.00.00.DBREAK33">-5921349.77000427</definedName>
    <definedName name="MOV.050.C.0.02.2000.00.00.DBREAK34">-4207697.19000244</definedName>
    <definedName name="MOV.050.C.0.02.2000.00.00.DBREAK36">-50463.83000004</definedName>
    <definedName name="MOV.050.C.0.02.2000.00.00.DBREAK37">-120933.71999991</definedName>
    <definedName name="MOV.050.C.0.02.2000.00.00.DBREAK38">-14148.79000001</definedName>
    <definedName name="MOV.050.C.0.02.2000.00.00.DBREAK39">-142342.8499999</definedName>
    <definedName name="MOV.050.C.0.02.2000.00.00.DGER003">-51888674.3800659</definedName>
    <definedName name="MOV.050.C.0.02.2000.00.00.DGER005">-7184174.91999817</definedName>
    <definedName name="MOV.050.C.0.02.2000.00.00.DGER006">-15715519.1200103</definedName>
    <definedName name="MOV.050.C.0.02.2000.00.00.DGER007">-2026979.12000084</definedName>
    <definedName name="MOV.050.C.0.02.2000.00.00.DGER01">101763428.679931</definedName>
    <definedName name="MOV.050.C.0.02.2000.00.00.DGER015.CG4_AREA_ADM">-1383903.75</definedName>
    <definedName name="MOV.050.C.0.02.2000.00.00.DGER015.CG4_AREA_COM">-222952.44000006</definedName>
    <definedName name="MOV.050.C.0.02.2000.00.00.DGER016">-1710732.36994553</definedName>
    <definedName name="MOV.050.C.0.02.2000.00.00.DGER026">-13125047.300003</definedName>
    <definedName name="MOV.050.C.0.02.2000.00.00.DGER029">564975.06000042</definedName>
    <definedName name="MOV.050.C.0.02.2000.00.00.DGER030">-1571246.37000084</definedName>
    <definedName name="MOV.050.C.0.02.2000.00.00.DGER031">-756589.77000046</definedName>
    <definedName name="MOV.050.C.0.02.2000.00.00.DGER032">81459.46000004</definedName>
    <definedName name="MOV.050.C.0.02.2000.00.00.DGER034">1623801.15999985</definedName>
    <definedName name="MOV.050.C.0.02.2000.00.00.DGER036">-20425.69</definedName>
    <definedName name="MOV.050.C.0.02.2000.00.00.DGER048">4478794.40999603</definedName>
    <definedName name="MOV.050.C.0.02.2000.00.00.DGER049">-4079159.26000214</definedName>
    <definedName name="MOV.050.C.0.02.2000.00.00.DGER050.CG4_AREA_ADM">-4791494.79999542</definedName>
    <definedName name="MOV.050.C.0.02.2000.00.00.DGER050.CG4_AREA_COM">-1595529.9299984</definedName>
    <definedName name="MOV.050.C.0.02.2000.00.00.DGER051">-1553574.18999863</definedName>
    <definedName name="MOV.050.C.0.02.2000.00.00.DGER052">889940.0199995</definedName>
    <definedName name="MOV.050.C.0.02.2000.00.00.DGER053">-590586.30000019</definedName>
    <definedName name="MOV.050.C.0.02.2000.00.00.DGER054">-1556688.18000031</definedName>
    <definedName name="MOV.050.C.0.02.2000.00.00.DRESPER">-3160484.5</definedName>
    <definedName name="MOV.050.C.0.02.2002.00.00.311550">-4239086.74</definedName>
    <definedName name="MOV.050.C.0.02.2002.00.00.3214500.CG4_32999">-62279.29</definedName>
    <definedName name="MOV.050.C.0.02.2002.00.00.3214500.CG4_33999">-74431.19</definedName>
    <definedName name="MOV.050.C.0.02.2002.00.00.3214500.CG4_34999">-22407.15</definedName>
    <definedName name="MOV.050.C.0.02.2002.00.00.3214500.CG4_42999">-167500.99</definedName>
    <definedName name="MOV.050.C.0.02.2002.00.00.3214610">-36395.32</definedName>
    <definedName name="MOV.050.C.0.02.2002.00.00.3214680">-13158.86</definedName>
    <definedName name="MOV.050.C.0.02.2002.00.00.3214780">-29269.4</definedName>
    <definedName name="MOV.050.C.0.02.2002.00.00.3215040">0</definedName>
    <definedName name="MOV.050.C.0.02.2002.00.00.3215400">0</definedName>
    <definedName name="MOV.050.C.0.02.2002.00.00.321543">-1684536.83</definedName>
    <definedName name="MOV.050.C.0.02.2002.00.00.3215530">0</definedName>
    <definedName name="MOV.050.C.0.02.2002.00.00.321555">-9738771.35</definedName>
    <definedName name="MOV.050.C.0.02.2002.00.00.321567">-3549886.96</definedName>
    <definedName name="MOV.050.C.0.02.2002.00.00.321577">-630599.54</definedName>
    <definedName name="MOV.050.C.0.02.2002.00.00.321582">0</definedName>
    <definedName name="MOV.050.C.0.02.2002.00.00.321800">-2512.47</definedName>
    <definedName name="MOV.050.C.0.02.2002.00.00.3218500">0</definedName>
    <definedName name="MOV.050.C.0.02.2002.00.00.3220640">277657.37</definedName>
    <definedName name="MOV.050.C.0.02.2002.00.00.DBREAK01">-3354248.02</definedName>
    <definedName name="MOV.050.C.0.02.2002.00.00.DBREAK02">-56110.82</definedName>
    <definedName name="MOV.050.C.0.02.2002.00.00.DBREAK03">-5435.99</definedName>
    <definedName name="MOV.050.C.0.02.2002.00.00.DBREAK04">-2313251.82</definedName>
    <definedName name="MOV.050.C.0.02.2002.00.00.DBREAK05">-216620.38</definedName>
    <definedName name="MOV.050.C.0.02.2002.00.00.DBREAK06">-308547.71</definedName>
    <definedName name="MOV.050.C.0.02.2002.00.00.DBREAK07">-12933.08</definedName>
    <definedName name="MOV.050.C.0.02.2002.00.00.DBREAK08">0</definedName>
    <definedName name="MOV.050.C.0.02.2002.00.00.DBREAK09">-944175.36</definedName>
    <definedName name="MOV.050.C.0.02.2002.00.00.DBREAK10">-68540.75</definedName>
    <definedName name="MOV.050.C.0.02.2002.00.00.DBREAK11">-626182.21</definedName>
    <definedName name="MOV.050.C.0.02.2002.00.00.DBREAK12">-321822.8</definedName>
    <definedName name="MOV.050.C.0.02.2002.00.00.DBREAK13">-331647.5</definedName>
    <definedName name="MOV.050.C.0.02.2002.00.00.DBREAK14">-1075161.48</definedName>
    <definedName name="MOV.050.C.0.02.2002.00.00.DBREAK15">-76664.58</definedName>
    <definedName name="MOV.050.C.0.02.2002.00.00.DBREAK16">-2062643.81</definedName>
    <definedName name="MOV.050.C.0.02.2002.00.00.DBREAK17">-254888.83</definedName>
    <definedName name="MOV.050.C.0.02.2002.00.00.DBREAK18">-47369.98</definedName>
    <definedName name="MOV.050.C.0.02.2002.00.00.DBREAK19">-27155.91</definedName>
    <definedName name="MOV.050.C.0.02.2002.00.00.DBREAK20">-71830.27</definedName>
    <definedName name="MOV.050.C.0.02.2002.00.00.DBREAK21">-56991.54</definedName>
    <definedName name="MOV.050.C.0.02.2002.00.00.DBREAK22">-370647.95</definedName>
    <definedName name="MOV.050.C.0.02.2002.00.00.DBREAK23">-21926.33</definedName>
    <definedName name="MOV.050.C.0.02.2002.00.00.DBREAK24">-249947.35</definedName>
    <definedName name="MOV.050.C.0.02.2002.00.00.DBREAK25">-114987.23</definedName>
    <definedName name="MOV.050.C.0.02.2002.00.00.DBREAK26">-44836.96</definedName>
    <definedName name="MOV.050.C.0.02.2002.00.00.DBREAK27">-88438.53</definedName>
    <definedName name="MOV.050.C.0.02.2002.00.00.DBREAK28">-64716.56</definedName>
    <definedName name="MOV.050.C.0.02.2002.00.00.DBREAK29">-33712.87</definedName>
    <definedName name="MOV.050.C.0.02.2002.00.00.DBREAK30">-18713.44</definedName>
    <definedName name="MOV.050.C.0.02.2002.00.00.DBREAK31">-30592.81</definedName>
    <definedName name="MOV.050.C.0.02.2002.00.00.DBREAK32">-18744.98</definedName>
    <definedName name="MOV.050.C.0.02.2002.00.00.DBREAK33">-5704785.22</definedName>
    <definedName name="MOV.050.C.0.02.2002.00.00.DBREAK34">-3333605.77</definedName>
    <definedName name="MOV.050.C.0.02.2002.00.00.DBREAK36">-49078.06</definedName>
    <definedName name="MOV.050.C.0.02.2002.00.00.DBREAK37">-147211.76</definedName>
    <definedName name="MOV.050.C.0.02.2002.00.00.DBREAK38">-16810.49</definedName>
    <definedName name="MOV.050.C.0.02.2002.00.00.DBREAK39">-151266.31</definedName>
    <definedName name="MOV.050.C.0.02.2002.00.00.DGER003">-52918635.6</definedName>
    <definedName name="MOV.050.C.0.02.2002.00.00.DGER005">-9760231.17</definedName>
    <definedName name="MOV.050.C.0.02.2002.00.00.DGER006">-19514432.13</definedName>
    <definedName name="MOV.050.C.0.02.2002.00.00.DGER007">-2728659.73</definedName>
    <definedName name="MOV.050.C.0.02.2002.00.00.DGER01">123583368.69</definedName>
    <definedName name="MOV.050.C.0.02.2002.00.00.DGER015.CG4_AREA_ADM">-1394354.88</definedName>
    <definedName name="MOV.050.C.0.02.2002.00.00.DGER015.CG4_AREA_COM">-71343.6</definedName>
    <definedName name="MOV.050.C.0.02.2002.00.00.DGER016">-479675.68</definedName>
    <definedName name="MOV.050.C.0.02.2002.00.00.DGER026">-18937400.45</definedName>
    <definedName name="MOV.050.C.0.02.2002.00.00.DGER029">1305564.8</definedName>
    <definedName name="MOV.050.C.0.02.2002.00.00.DGER030">-1465693.92</definedName>
    <definedName name="MOV.050.C.0.02.2002.00.00.DGER031">-851990.09</definedName>
    <definedName name="MOV.050.C.0.02.2002.00.00.DGER032">27539.57</definedName>
    <definedName name="MOV.050.C.0.02.2002.00.00.DGER034">0</definedName>
    <definedName name="MOV.050.C.0.02.2002.00.00.DGER048">-399457.69</definedName>
    <definedName name="MOV.050.C.0.02.2002.00.00.DGER049">-4111103.35</definedName>
    <definedName name="MOV.050.C.0.02.2002.00.00.DGER050.CG4_AREA_ADM">-6920134.73</definedName>
    <definedName name="MOV.050.C.0.02.2002.00.00.DGER050.CG4_AREA_COM">-1759777.08</definedName>
    <definedName name="MOV.050.C.0.02.2002.00.00.DGER051">-4620448.59</definedName>
    <definedName name="MOV.050.C.0.02.2002.00.00.DGER054">-1065366.22</definedName>
    <definedName name="MOV.050.C.0.02.2002.00.00.DGER055">-1936095.45</definedName>
    <definedName name="MOV.050.C.0.02.2002.00.00.DGER056">67047.34</definedName>
    <definedName name="MOV.050.C.0.02.2002.00.00.DGER057">6038782.89</definedName>
    <definedName name="MOV.050.C.0.02.2002.00.00.DRESPER">-2818101.8</definedName>
    <definedName name="MOV.050.C.0.03.1998.00.00.3220110">-1198295.64999962</definedName>
    <definedName name="MOV.050.C.0.03.1998.00.00.3220170">-1047411.60000038</definedName>
    <definedName name="MOV.050.C.0.03.1998.00.00.3220180">-1377368.72999954</definedName>
    <definedName name="MOV.050.C.0.03.1998.00.00.3220190">-51529.30000001</definedName>
    <definedName name="MOV.050.C.0.03.1998.00.00.3220200">-170597.38000011</definedName>
    <definedName name="MOV.050.C.0.03.1998.00.00.3220210">0</definedName>
    <definedName name="MOV.050.C.0.03.1998.00.00.3220220">-74857.94000006</definedName>
    <definedName name="MOV.050.C.0.03.1998.00.00.3220230">-64634.16000003</definedName>
    <definedName name="MOV.050.C.0.03.1998.00.00.3220240">-38536.45999998</definedName>
    <definedName name="MOV.050.C.0.03.1998.00.00.3220250">-2384.56</definedName>
    <definedName name="MOV.050.C.0.03.1998.00.00.3220260">-2052833.47999954</definedName>
    <definedName name="MOV.050.C.0.03.1998.00.00.3220550">0</definedName>
    <definedName name="MOV.050.C.0.03.1999.00.00.3211030">-164040.31999993</definedName>
    <definedName name="MOV.050.C.0.03.1999.00.00.3211060">-47707.10000002</definedName>
    <definedName name="MOV.050.C.0.03.1999.00.00.3211110">-185991.76999998</definedName>
    <definedName name="MOV.050.C.0.03.1999.00.00.3211160">-15844.18000001</definedName>
    <definedName name="MOV.050.C.0.03.1999.00.00.3214500.CG4_42999">-365840.11000013</definedName>
    <definedName name="MOV.050.C.0.03.1999.00.00.3214610">0</definedName>
    <definedName name="MOV.050.C.0.03.1999.00.00.3214680">-230550.30999994</definedName>
    <definedName name="MOV.050.C.0.03.1999.00.00.3214780">-7456.44</definedName>
    <definedName name="MOV.050.C.0.03.1999.00.00.321543">-120232.46000004</definedName>
    <definedName name="MOV.050.C.0.03.1999.00.00.321555">-2568930.70999908</definedName>
    <definedName name="MOV.050.C.0.03.1999.00.00.321567">-1161809.54999924</definedName>
    <definedName name="MOV.050.C.0.03.1999.00.00.321577">-201334.80999994</definedName>
    <definedName name="MOV.050.C.0.03.1999.00.00.321582">-69931.65999997</definedName>
    <definedName name="MOV.050.C.0.03.1999.00.00.321800">-8920.27</definedName>
    <definedName name="MOV.050.C.0.03.1999.00.00.3220110">-286702.23999977</definedName>
    <definedName name="MOV.050.C.0.03.1999.00.00.3220170">-385095.9000001</definedName>
    <definedName name="MOV.050.C.0.03.1999.00.00.3220180">6204.22</definedName>
    <definedName name="MOV.050.C.0.03.1999.00.00.3220190">0</definedName>
    <definedName name="MOV.050.C.0.03.1999.00.00.3220200">-2732.62</definedName>
    <definedName name="MOV.050.C.0.03.1999.00.00.3220210">0</definedName>
    <definedName name="MOV.050.C.0.03.1999.00.00.3220220">-27784.21000001</definedName>
    <definedName name="MOV.050.C.0.03.1999.00.00.3220230">-16539.5</definedName>
    <definedName name="MOV.050.C.0.03.1999.00.00.3220240">-548.2</definedName>
    <definedName name="MOV.050.C.0.03.1999.00.00.3220250">-442.06</definedName>
    <definedName name="MOV.050.C.0.03.1999.00.00.3220260">-443575.23000002</definedName>
    <definedName name="MOV.050.C.0.03.1999.00.00.3220550">-29808.11000001</definedName>
    <definedName name="MOV.050.C.0.03.1999.00.00.DBREAK01">-2839606.12000275</definedName>
    <definedName name="MOV.050.C.0.03.1999.00.00.DBREAK02">-16827.09</definedName>
    <definedName name="MOV.050.C.0.03.1999.00.00.DBREAK03">-11882.62</definedName>
    <definedName name="MOV.050.C.0.03.1999.00.00.DBREAK04">-2319923.83000183</definedName>
    <definedName name="MOV.050.C.0.03.1999.00.00.DBREAK05">-206067.68000007</definedName>
    <definedName name="MOV.050.C.0.03.1999.00.00.DBREAK06">-294510.67999983</definedName>
    <definedName name="MOV.050.C.0.03.1999.00.00.DBREAK07">-1277.5</definedName>
    <definedName name="MOV.050.C.0.03.1999.00.00.DBREAK08">10235.90000001</definedName>
    <definedName name="MOV.050.C.0.03.1999.00.00.DBREAK09">-937.5</definedName>
    <definedName name="MOV.050.C.0.03.1999.00.00.DBREAK10">-11816</definedName>
    <definedName name="MOV.050.C.0.03.1999.00.00.DBREAK11">-783377.67000103</definedName>
    <definedName name="MOV.050.C.0.03.1999.00.00.DBREAK12">-22819.12</definedName>
    <definedName name="MOV.050.C.0.03.1999.00.00.DBREAK13">-264933.36999989</definedName>
    <definedName name="MOV.050.C.0.03.1999.00.00.DBREAK14">-911428.26000023</definedName>
    <definedName name="MOV.050.C.0.03.1999.00.00.DBREAK15">-160198.70000005</definedName>
    <definedName name="MOV.050.C.0.03.1999.00.00.DBREAK16">-504594.02000046</definedName>
    <definedName name="MOV.050.C.0.03.1999.00.00.DBREAK17">-272636.94999981</definedName>
    <definedName name="MOV.050.C.0.03.1999.00.00.DBREAK18">-58213.94999999</definedName>
    <definedName name="MOV.050.C.0.03.1999.00.00.DBREAK19">-22454.57000002</definedName>
    <definedName name="MOV.050.C.0.03.1999.00.00.DBREAK20">-64573.56999999</definedName>
    <definedName name="MOV.050.C.0.03.1999.00.00.DBREAK21">-47070.13</definedName>
    <definedName name="MOV.050.C.0.03.1999.00.00.DBREAK22">-260564.43000007</definedName>
    <definedName name="MOV.050.C.0.03.1999.00.00.DBREAK23">-21274.72999999</definedName>
    <definedName name="MOV.050.C.0.03.1999.00.00.DBREAK24">-254042.04999995</definedName>
    <definedName name="MOV.050.C.0.03.1999.00.00.DBREAK25">-101545.13000035</definedName>
    <definedName name="MOV.050.C.0.03.1999.00.00.DBREAK26">-33230.48000002</definedName>
    <definedName name="MOV.050.C.0.03.1999.00.00.DBREAK27">-39841.39999998</definedName>
    <definedName name="MOV.050.C.0.03.1999.00.00.DBREAK28">-13745.28</definedName>
    <definedName name="MOV.050.C.0.03.1999.00.00.DBREAK29">-46141.84000003</definedName>
    <definedName name="MOV.050.C.0.03.1999.00.00.DBREAK30">-27043.57999998</definedName>
    <definedName name="MOV.050.C.0.03.1999.00.00.DBREAK31">-1550.32</definedName>
    <definedName name="MOV.050.C.0.03.1999.00.00.DBREAK32">-125485.5999999</definedName>
    <definedName name="MOV.050.C.0.03.1999.00.00.DBREAK33">-5428400.22000122</definedName>
    <definedName name="MOV.050.C.0.03.1999.00.00.DBREAK34">-3111173.18000031</definedName>
    <definedName name="MOV.050.C.0.03.1999.00.00.DGER003">-53170896.8500366</definedName>
    <definedName name="MOV.050.C.0.03.1999.00.00.DGER005">-7313978.52999878</definedName>
    <definedName name="MOV.050.C.0.03.1999.00.00.DGER006">-11150456.8699951</definedName>
    <definedName name="MOV.050.C.0.03.1999.00.00.DGER007">-1267099.40999985</definedName>
    <definedName name="MOV.050.C.0.03.1999.00.00.DGER01">103149936.25</definedName>
    <definedName name="MOV.050.C.0.03.1999.00.00.DGER015.CG4_AREA_ADM">-1096604.77000046</definedName>
    <definedName name="MOV.050.C.0.03.1999.00.00.DGER015.CG4_AREA_COM">-206367.42000008</definedName>
    <definedName name="MOV.050.C.0.03.1999.00.00.DGER015.CG4_AREA_FAB">-4125428.02999878</definedName>
    <definedName name="MOV.050.C.0.03.1999.00.00.DGER016">-3384383.83995438</definedName>
    <definedName name="MOV.050.C.0.03.1999.00.00.DGER026">-7233412.36999512</definedName>
    <definedName name="MOV.050.C.0.03.1999.00.00.DGER029">172036.01000023</definedName>
    <definedName name="MOV.050.C.0.03.1999.00.00.DGER030">-1183743.03000069</definedName>
    <definedName name="MOV.050.C.0.03.1999.00.00.DGER031">-385749.69999981</definedName>
    <definedName name="MOV.050.C.0.03.1999.00.00.DGER032">292254.86000013</definedName>
    <definedName name="MOV.050.C.0.03.1999.00.00.DGER034">-7953352.70999908</definedName>
    <definedName name="MOV.050.C.0.03.1999.00.00.DGER036">-57376.16000003</definedName>
    <definedName name="MOV.050.C.0.03.1999.00.00.DGER048">-1123295.07999992</definedName>
    <definedName name="MOV.050.C.0.03.1999.00.00.DGER049">-3566777.54999924</definedName>
    <definedName name="MOV.050.C.0.03.1999.00.00.DGER050.CG4_AREA_ADM">-5410111.91999817</definedName>
    <definedName name="MOV.050.C.0.03.1999.00.00.DGER050.CG4_AREA_COM">-1412119.11999702</definedName>
    <definedName name="MOV.050.C.0.03.1999.00.00.DGER051">-1093928.36000061</definedName>
    <definedName name="MOV.050.C.0.03.1999.00.00.DGER052">34800131.4499511</definedName>
    <definedName name="MOV.050.C.0.03.1999.00.00.DGER053">679913.46000004</definedName>
    <definedName name="MOV.050.C.0.03.1999.00.00.DRESPER">27958252.8099975</definedName>
    <definedName name="MOV.050.C.0.03.2000.00.00.311550">-4315449.05999756</definedName>
    <definedName name="MOV.050.C.0.03.2000.00.00.3214500.CG4_32999">0</definedName>
    <definedName name="MOV.050.C.0.03.2000.00.00.3214500.CG4_33999">0</definedName>
    <definedName name="MOV.050.C.0.03.2000.00.00.3214500.CG4_34999">0</definedName>
    <definedName name="MOV.050.C.0.03.2000.00.00.3214500.CG4_42999">-369238.51000023</definedName>
    <definedName name="MOV.050.C.0.03.2000.00.00.3214610">-9600.25</definedName>
    <definedName name="MOV.050.C.0.03.2000.00.00.3214680">-14582.69</definedName>
    <definedName name="MOV.050.C.0.03.2000.00.00.3214780">-12465.54000001</definedName>
    <definedName name="MOV.050.C.0.03.2000.00.00.3215040">0</definedName>
    <definedName name="MOV.050.C.0.03.2000.00.00.3215400">-13189.66</definedName>
    <definedName name="MOV.050.C.0.03.2000.00.00.321543">-8340551.62999725</definedName>
    <definedName name="MOV.050.C.0.03.2000.00.00.3215530">-6902431.15000153</definedName>
    <definedName name="MOV.050.C.0.03.2000.00.00.321555">-4202205.94000244</definedName>
    <definedName name="MOV.050.C.0.03.2000.00.00.321567">-1175157.20999908</definedName>
    <definedName name="MOV.050.C.0.03.2000.00.00.321577">-520321.44999981</definedName>
    <definedName name="MOV.050.C.0.03.2000.00.00.321582">0</definedName>
    <definedName name="MOV.050.C.0.03.2000.00.00.3215980">-680317.93999958</definedName>
    <definedName name="MOV.050.C.0.03.2000.00.00.3216030">-581747.47000027</definedName>
    <definedName name="MOV.050.C.0.03.2000.00.00.321800">-2193.44</definedName>
    <definedName name="MOV.050.C.0.03.2000.00.00.3218500">0</definedName>
    <definedName name="MOV.050.C.0.03.2000.00.00.421200">-13648.91</definedName>
    <definedName name="MOV.050.C.0.03.2000.00.00.DBREAK01">-3014311.16999817</definedName>
    <definedName name="MOV.050.C.0.03.2000.00.00.DBREAK02">-24994.15000001</definedName>
    <definedName name="MOV.050.C.0.03.2000.00.00.DBREAK03">-33000.83000004</definedName>
    <definedName name="MOV.050.C.0.03.2000.00.00.DBREAK04">-2047998.10000038</definedName>
    <definedName name="MOV.050.C.0.03.2000.00.00.DBREAK05">-315403.59000015</definedName>
    <definedName name="MOV.050.C.0.03.2000.00.00.DBREAK06">-227290.92000008</definedName>
    <definedName name="MOV.050.C.0.03.2000.00.00.DBREAK07">-3524.31</definedName>
    <definedName name="MOV.050.C.0.03.2000.00.00.DBREAK08">-97979.77999997</definedName>
    <definedName name="MOV.050.C.0.03.2000.00.00.DBREAK09">50033.31999999</definedName>
    <definedName name="MOV.050.C.0.03.2000.00.00.DBREAK10">-15718.10000001</definedName>
    <definedName name="MOV.050.C.0.03.2000.00.00.DBREAK11">-863700.42000103</definedName>
    <definedName name="MOV.050.C.0.03.2000.00.00.DBREAK12">-346462.18000031</definedName>
    <definedName name="MOV.050.C.0.03.2000.00.00.DBREAK13">-207183.22000003</definedName>
    <definedName name="MOV.050.C.0.03.2000.00.00.DBREAK14">-1130811.14999962</definedName>
    <definedName name="MOV.050.C.0.03.2000.00.00.DBREAK15">-37563.44</definedName>
    <definedName name="MOV.050.C.0.03.2000.00.00.DBREAK16">-553248.43999958</definedName>
    <definedName name="MOV.050.C.0.03.2000.00.00.DBREAK17">-262064.72000003</definedName>
    <definedName name="MOV.050.C.0.03.2000.00.00.DBREAK18">-120567.76999998</definedName>
    <definedName name="MOV.050.C.0.03.2000.00.00.DBREAK19">-31633.80000001</definedName>
    <definedName name="MOV.050.C.0.03.2000.00.00.DBREAK20">-68263.25</definedName>
    <definedName name="MOV.050.C.0.03.2000.00.00.DBREAK21">-55798.41999996</definedName>
    <definedName name="MOV.050.C.0.03.2000.00.00.DBREAK22">-238133.03999996</definedName>
    <definedName name="MOV.050.C.0.03.2000.00.00.DBREAK23">-25237.84999999</definedName>
    <definedName name="MOV.050.C.0.03.2000.00.00.DBREAK24">-274670.19999981</definedName>
    <definedName name="MOV.050.C.0.03.2000.00.00.DBREAK25">-108538.1800009</definedName>
    <definedName name="MOV.050.C.0.03.2000.00.00.DBREAK26">-51520.39999998</definedName>
    <definedName name="MOV.050.C.0.03.2000.00.00.DBREAK27">-41851.71999997</definedName>
    <definedName name="MOV.050.C.0.03.2000.00.00.DBREAK28">-107582.75999987</definedName>
    <definedName name="MOV.050.C.0.03.2000.00.00.DBREAK29">-82835.19999993</definedName>
    <definedName name="MOV.050.C.0.03.2000.00.00.DBREAK30">-36546.61000001</definedName>
    <definedName name="MOV.050.C.0.03.2000.00.00.DBREAK31">-37816.94999999</definedName>
    <definedName name="MOV.050.C.0.03.2000.00.00.DBREAK32">-84729.48000002</definedName>
    <definedName name="MOV.050.C.0.03.2000.00.00.DBREAK33">-5930582.38999939</definedName>
    <definedName name="MOV.050.C.0.03.2000.00.00.DBREAK34">-7721237.76999664</definedName>
    <definedName name="MOV.050.C.0.03.2000.00.00.DBREAK36">-46782.01999998</definedName>
    <definedName name="MOV.050.C.0.03.2000.00.00.DBREAK37">-129166.32000005</definedName>
    <definedName name="MOV.050.C.0.03.2000.00.00.DBREAK38">-13258.7</definedName>
    <definedName name="MOV.050.C.0.03.2000.00.00.DBREAK39">0</definedName>
    <definedName name="MOV.050.C.0.03.2000.00.00.DGER003">-52170922.8599243</definedName>
    <definedName name="MOV.050.C.0.03.2000.00.00.DGER005">-8550602.06999207</definedName>
    <definedName name="MOV.050.C.0.03.2000.00.00.DGER006">-14115954.8699951</definedName>
    <definedName name="MOV.050.C.0.03.2000.00.00.DGER007">-2199743.27000046</definedName>
    <definedName name="MOV.050.C.0.03.2000.00.00.DGER01">102614735</definedName>
    <definedName name="MOV.050.C.0.03.2000.00.00.DGER015.CG4_AREA_ADM">-1388134.79000092</definedName>
    <definedName name="MOV.050.C.0.03.2000.00.00.DGER015.CG4_AREA_COM">-226998.53999996</definedName>
    <definedName name="MOV.050.C.0.03.2000.00.00.DGER016">-2073623.18994141</definedName>
    <definedName name="MOV.050.C.0.03.2000.00.00.DGER026">-15057042.8499908</definedName>
    <definedName name="MOV.050.C.0.03.2000.00.00.DGER029">543642.06000042</definedName>
    <definedName name="MOV.050.C.0.03.2000.00.00.DGER030">-1711137.77000046</definedName>
    <definedName name="MOV.050.C.0.03.2000.00.00.DGER031">-877139.8900013</definedName>
    <definedName name="MOV.050.C.0.03.2000.00.00.DGER032">54387.33999997</definedName>
    <definedName name="MOV.050.C.0.03.2000.00.00.DGER034">0</definedName>
    <definedName name="MOV.050.C.0.03.2000.00.00.DGER036">0</definedName>
    <definedName name="MOV.050.C.0.03.2000.00.00.DGER048">-7086818.3999939</definedName>
    <definedName name="MOV.050.C.0.03.2000.00.00.DGER049">-4056512.23999405</definedName>
    <definedName name="MOV.050.C.0.03.2000.00.00.DGER050.CG4_AREA_ADM">-5155426.30999756</definedName>
    <definedName name="MOV.050.C.0.03.2000.00.00.DGER050.CG4_AREA_COM">-1563090.56000137</definedName>
    <definedName name="MOV.050.C.0.03.2000.00.00.DGER051">-1737009.18000031</definedName>
    <definedName name="MOV.050.C.0.03.2000.00.00.DGER052">-1069992.87999725</definedName>
    <definedName name="MOV.050.C.0.03.2000.00.00.DGER053">423138.90999985</definedName>
    <definedName name="MOV.050.C.0.03.2000.00.00.DGER054">-1329487.37000084</definedName>
    <definedName name="MOV.050.C.0.03.2000.00.00.DRESPER">-19683673.539978</definedName>
    <definedName name="MOV.050.C.0.03.2001.00.00.311550">-4213000.23999786</definedName>
    <definedName name="MOV.050.C.0.03.2001.00.00.3214500.CG4_32999">-62279.29000002</definedName>
    <definedName name="MOV.050.C.0.03.2001.00.00.3214500.CG4_33999">-74431.19000006</definedName>
    <definedName name="MOV.050.C.0.03.2001.00.00.3214500.CG4_34999">-22407.15000001</definedName>
    <definedName name="MOV.050.C.0.03.2001.00.00.3214500.CG4_42999">-167500.99000001</definedName>
    <definedName name="MOV.050.C.0.03.2001.00.00.3214610">-7726.5</definedName>
    <definedName name="MOV.050.C.0.03.2001.00.00.3214680">-14950.33</definedName>
    <definedName name="MOV.050.C.0.03.2001.00.00.3214780">-29666.19</definedName>
    <definedName name="MOV.050.C.0.03.2001.00.00.3215040">-4062.66</definedName>
    <definedName name="MOV.050.C.0.03.2001.00.00.3215400">0</definedName>
    <definedName name="MOV.050.C.0.03.2001.00.00.321543">-524250.98000002</definedName>
    <definedName name="MOV.050.C.0.03.2001.00.00.3215530">0</definedName>
    <definedName name="MOV.050.C.0.03.2001.00.00.321555">-1940505.76000023</definedName>
    <definedName name="MOV.050.C.0.03.2001.00.00.321567">-567624.76000023</definedName>
    <definedName name="MOV.050.C.0.03.2001.00.00.321577">-336199.6500001</definedName>
    <definedName name="MOV.050.C.0.03.2001.00.00.321582">0</definedName>
    <definedName name="MOV.050.C.0.03.2001.00.00.321800">-2237.03</definedName>
    <definedName name="MOV.050.C.0.03.2001.00.00.3218500">0</definedName>
    <definedName name="MOV.050.C.0.03.2001.00.00.DBREAK01">-3002897.85000229</definedName>
    <definedName name="MOV.050.C.0.03.2001.00.00.DBREAK02">-63187.71999997</definedName>
    <definedName name="MOV.050.C.0.03.2001.00.00.DBREAK03">-28734.40000001</definedName>
    <definedName name="MOV.050.C.0.03.2001.00.00.DBREAK04">-2224155.88000107</definedName>
    <definedName name="MOV.050.C.0.03.2001.00.00.DBREAK05">-159663.47000003</definedName>
    <definedName name="MOV.050.C.0.03.2001.00.00.DBREAK06">-338966.18999958</definedName>
    <definedName name="MOV.050.C.0.03.2001.00.00.DBREAK07">-5368.71</definedName>
    <definedName name="MOV.050.C.0.03.2001.00.00.DBREAK08">-31566.52000001</definedName>
    <definedName name="MOV.050.C.0.03.2001.00.00.DBREAK09">1058390.42000008</definedName>
    <definedName name="MOV.050.C.0.03.2001.00.00.DBREAK10">-19189.38</definedName>
    <definedName name="MOV.050.C.0.03.2001.00.00.DBREAK11">-722033.08000088</definedName>
    <definedName name="MOV.050.C.0.03.2001.00.00.DBREAK12">-363221.23000002</definedName>
    <definedName name="MOV.050.C.0.03.2001.00.00.DBREAK13">-287558.42999983</definedName>
    <definedName name="MOV.050.C.0.03.2001.00.00.DBREAK14">-1143782.37000084</definedName>
    <definedName name="MOV.050.C.0.03.2001.00.00.DBREAK15">-64857.8900001</definedName>
    <definedName name="MOV.050.C.0.03.2001.00.00.DBREAK16">-380184.18999958</definedName>
    <definedName name="MOV.050.C.0.03.2001.00.00.DBREAK17">-215947.63000035</definedName>
    <definedName name="MOV.050.C.0.03.2001.00.00.DBREAK18">-40777.29000002</definedName>
    <definedName name="MOV.050.C.0.03.2001.00.00.DBREAK19">-29326.84</definedName>
    <definedName name="MOV.050.C.0.03.2001.00.00.DBREAK20">-74232.03999996</definedName>
    <definedName name="MOV.050.C.0.03.2001.00.00.DBREAK21">-58475.34000003</definedName>
    <definedName name="MOV.050.C.0.03.2001.00.00.DBREAK22">-400040.98000002</definedName>
    <definedName name="MOV.050.C.0.03.2001.00.00.DBREAK23">-24301.39000002</definedName>
    <definedName name="MOV.050.C.0.03.2001.00.00.DBREAK24">-316367.73000002</definedName>
    <definedName name="MOV.050.C.0.03.2001.00.00.DBREAK25">-129119.71000004</definedName>
    <definedName name="MOV.050.C.0.03.2001.00.00.DBREAK26">-29393.46999997</definedName>
    <definedName name="MOV.050.C.0.03.2001.00.00.DBREAK27">-43089.88</definedName>
    <definedName name="MOV.050.C.0.03.2001.00.00.DBREAK28">-28515.85999998</definedName>
    <definedName name="MOV.050.C.0.03.2001.00.00.DBREAK29">-93250.82000005</definedName>
    <definedName name="MOV.050.C.0.03.2001.00.00.DBREAK30">-25726.51000002</definedName>
    <definedName name="MOV.050.C.0.03.2001.00.00.DBREAK31">-51767.58000004</definedName>
    <definedName name="MOV.050.C.0.03.2001.00.00.DBREAK32">-154983.47000003</definedName>
    <definedName name="MOV.050.C.0.03.2001.00.00.DBREAK33">-5782010.36000061</definedName>
    <definedName name="MOV.050.C.0.03.2001.00.00.DBREAK34">-5012618.48001099</definedName>
    <definedName name="MOV.050.C.0.03.2001.00.00.DBREAK36">-49722.16999996</definedName>
    <definedName name="MOV.050.C.0.03.2001.00.00.DBREAK37">-137284.38000011</definedName>
    <definedName name="MOV.050.C.0.03.2001.00.00.DBREAK38">-14005.74000001</definedName>
    <definedName name="MOV.050.C.0.03.2001.00.00.DBREAK39">-141622.26999998</definedName>
    <definedName name="MOV.050.C.0.03.2001.00.00.DGER003">-54410704.1899414</definedName>
    <definedName name="MOV.050.C.0.03.2001.00.00.DGER005">-11264874.8099823</definedName>
    <definedName name="MOV.050.C.0.03.2001.00.00.DGER006">-18221400.3699951</definedName>
    <definedName name="MOV.050.C.0.03.2001.00.00.DGER007">-2628084.8900032</definedName>
    <definedName name="MOV.050.C.0.03.2001.00.00.DGER01">110039067.680053</definedName>
    <definedName name="MOV.050.C.0.03.2001.00.00.DGER015.CG4_AREA_ADM">-1359656.01000023</definedName>
    <definedName name="MOV.050.C.0.03.2001.00.00.DGER015.CG4_AREA_COM">-209354.1099999</definedName>
    <definedName name="MOV.050.C.0.03.2001.00.00.DGER016">6500042.88002014</definedName>
    <definedName name="MOV.050.C.0.03.2001.00.00.DGER026">-8381199.63000488</definedName>
    <definedName name="MOV.050.C.0.03.2001.00.00.DGER029">473472.98999786</definedName>
    <definedName name="MOV.050.C.0.03.2001.00.00.DGER030">-2124048.56000137</definedName>
    <definedName name="MOV.050.C.0.03.2001.00.00.DGER031">-657124.18000126</definedName>
    <definedName name="MOV.050.C.0.03.2001.00.00.DGER032">60818.65000004</definedName>
    <definedName name="MOV.050.C.0.03.2001.00.00.DGER034">0</definedName>
    <definedName name="MOV.050.C.0.03.2001.00.00.DGER048">398850.9800005</definedName>
    <definedName name="MOV.050.C.0.03.2001.00.00.DGER049">-3998045.62999344</definedName>
    <definedName name="MOV.050.C.0.03.2001.00.00.DGER050.CG4_AREA_ADM">-5202180.5799942</definedName>
    <definedName name="MOV.050.C.0.03.2001.00.00.DGER050.CG4_AREA_COM">-1751734.90999794</definedName>
    <definedName name="MOV.050.C.0.03.2001.00.00.DGER051">-2573912.58000183</definedName>
    <definedName name="MOV.050.C.0.03.2001.00.00.DGER052">-14460321.8999939</definedName>
    <definedName name="MOV.050.C.0.03.2001.00.00.DGER053">3131574.19000244</definedName>
    <definedName name="MOV.050.C.0.03.2001.00.00.DGER054">-1333363.45999908</definedName>
    <definedName name="MOV.050.C.0.03.2001.00.00.DRESPER">-11126788.2599487</definedName>
    <definedName name="MOV.050.C.0.04.1998.00.00.3220110">-1585506.87000084</definedName>
    <definedName name="MOV.050.C.0.04.1998.00.00.3220170">-1374606.71999931</definedName>
    <definedName name="MOV.050.C.0.04.1998.00.00.3220180">-1841874.81999969</definedName>
    <definedName name="MOV.050.C.0.04.1998.00.00.3220190">-51529.30000001</definedName>
    <definedName name="MOV.050.C.0.04.1998.00.00.3220200">-512854.98999977</definedName>
    <definedName name="MOV.050.C.0.04.1998.00.00.3220210">0</definedName>
    <definedName name="MOV.050.C.0.04.1998.00.00.3220220">-100875.51999998</definedName>
    <definedName name="MOV.050.C.0.04.1998.00.00.3220230">-86308.28999996</definedName>
    <definedName name="MOV.050.C.0.04.1998.00.00.3220240">-53962.16000003</definedName>
    <definedName name="MOV.050.C.0.04.1998.00.00.3220250">-2384.56</definedName>
    <definedName name="MOV.050.C.0.04.1998.00.00.3220260">-2730854.31999969</definedName>
    <definedName name="MOV.050.C.0.04.1998.00.00.3220550">0</definedName>
    <definedName name="MOV.050.C.0.04.1999.00.00.3211030">-145238.17000008</definedName>
    <definedName name="MOV.050.C.0.04.1999.00.00.3211060">-46984.04000002</definedName>
    <definedName name="MOV.050.C.0.04.1999.00.00.3211110">-112065.27999997</definedName>
    <definedName name="MOV.050.C.0.04.1999.00.00.3211160">-22510.78</definedName>
    <definedName name="MOV.050.C.0.04.1999.00.00.3214500.CG4_42999">-368591</definedName>
    <definedName name="MOV.050.C.0.04.1999.00.00.3214610">-36405.79000002</definedName>
    <definedName name="MOV.050.C.0.04.1999.00.00.3214680">187460.01999998</definedName>
    <definedName name="MOV.050.C.0.04.1999.00.00.3214780">-10526.01000001</definedName>
    <definedName name="MOV.050.C.0.04.1999.00.00.321543">-52691.22000003</definedName>
    <definedName name="MOV.050.C.0.04.1999.00.00.3215530">0</definedName>
    <definedName name="MOV.050.C.0.04.1999.00.00.321555">41429.06</definedName>
    <definedName name="MOV.050.C.0.04.1999.00.00.321567">-1319645.05999947</definedName>
    <definedName name="MOV.050.C.0.04.1999.00.00.321577">-215509.6099999</definedName>
    <definedName name="MOV.050.C.0.04.1999.00.00.321582">-68676.91999996</definedName>
    <definedName name="MOV.050.C.0.04.1999.00.00.321800">-691.45</definedName>
    <definedName name="MOV.050.C.0.04.1999.00.00.3220110">-259360.42000008</definedName>
    <definedName name="MOV.050.C.0.04.1999.00.00.3220170">-367341.42999983</definedName>
    <definedName name="MOV.050.C.0.04.1999.00.00.3220180">-73647.73000002</definedName>
    <definedName name="MOV.050.C.0.04.1999.00.00.3220190">0</definedName>
    <definedName name="MOV.050.C.0.04.1999.00.00.3220200">-4042.76</definedName>
    <definedName name="MOV.050.C.0.04.1999.00.00.3220210">0</definedName>
    <definedName name="MOV.050.C.0.04.1999.00.00.3220220">-27596</definedName>
    <definedName name="MOV.050.C.0.04.1999.00.00.3220230">-18247.44999999</definedName>
    <definedName name="MOV.050.C.0.04.1999.00.00.3220240">-285.44</definedName>
    <definedName name="MOV.050.C.0.04.1999.00.00.3220250">-708.09</definedName>
    <definedName name="MOV.050.C.0.04.1999.00.00.3220260">-977844.93999958</definedName>
    <definedName name="MOV.050.C.0.04.1999.00.00.3220550">-28389.13</definedName>
    <definedName name="MOV.050.C.0.04.1999.00.00.DBREAK01">-2779590.62999725</definedName>
    <definedName name="MOV.050.C.0.04.1999.00.00.DBREAK02">-14084.77</definedName>
    <definedName name="MOV.050.C.0.04.1999.00.00.DBREAK03">-18291.05000001</definedName>
    <definedName name="MOV.050.C.0.04.1999.00.00.DBREAK04">-2015059.96000099</definedName>
    <definedName name="MOV.050.C.0.04.1999.00.00.DBREAK05">-231197.51999998</definedName>
    <definedName name="MOV.050.C.0.04.1999.00.00.DBREAK06">-218518.26999998</definedName>
    <definedName name="MOV.050.C.0.04.1999.00.00.DBREAK07">-1324.24</definedName>
    <definedName name="MOV.050.C.0.04.1999.00.00.DBREAK08">-126034.16999996</definedName>
    <definedName name="MOV.050.C.0.04.1999.00.00.DBREAK09">-625</definedName>
    <definedName name="MOV.050.C.0.04.1999.00.00.DBREAK10">-17067.69</definedName>
    <definedName name="MOV.050.C.0.04.1999.00.00.DBREAK11">-981877.65999985</definedName>
    <definedName name="MOV.050.C.0.04.1999.00.00.DBREAK12">-40222.2599999899</definedName>
    <definedName name="MOV.050.C.0.04.1999.00.00.DBREAK13">-228056.21999979</definedName>
    <definedName name="MOV.050.C.0.04.1999.00.00.DBREAK14">-805192.59000111</definedName>
    <definedName name="MOV.050.C.0.04.1999.00.00.DBREAK15">-32159.55000001</definedName>
    <definedName name="MOV.050.C.0.04.1999.00.00.DBREAK16">-513045.76999998</definedName>
    <definedName name="MOV.050.C.0.04.1999.00.00.DBREAK17">-208622.1400001</definedName>
    <definedName name="MOV.050.C.0.04.1999.00.00.DBREAK18">-37103.62</definedName>
    <definedName name="MOV.050.C.0.04.1999.00.00.DBREAK19">-20036.69</definedName>
    <definedName name="MOV.050.C.0.04.1999.00.00.DBREAK20">-59302.65000004</definedName>
    <definedName name="MOV.050.C.0.04.1999.00.00.DBREAK21">-64331.43000001</definedName>
    <definedName name="MOV.050.C.0.04.1999.00.00.DBREAK22">-221315.11999989</definedName>
    <definedName name="MOV.050.C.0.04.1999.00.00.DBREAK23">-19246.94</definedName>
    <definedName name="MOV.050.C.0.04.1999.00.00.DBREAK24">-228923.96000028</definedName>
    <definedName name="MOV.050.C.0.04.1999.00.00.DBREAK25">-735720.69999981</definedName>
    <definedName name="MOV.050.C.0.04.1999.00.00.DBREAK26">-22709.16</definedName>
    <definedName name="MOV.050.C.0.04.1999.00.00.DBREAK27">-33661.52999997</definedName>
    <definedName name="MOV.050.C.0.04.1999.00.00.DBREAK28">-29408.53000003</definedName>
    <definedName name="MOV.050.C.0.04.1999.00.00.DBREAK29">-82487.83000004</definedName>
    <definedName name="MOV.050.C.0.04.1999.00.00.DBREAK30">-26200.58999997</definedName>
    <definedName name="MOV.050.C.0.04.1999.00.00.DBREAK31">-8342.56</definedName>
    <definedName name="MOV.050.C.0.04.1999.00.00.DBREAK32">-133191.19000006</definedName>
    <definedName name="MOV.050.C.0.04.1999.00.00.DBREAK33">-5762881.88999939</definedName>
    <definedName name="MOV.050.C.0.04.1999.00.00.DBREAK34">-3162807.23999786</definedName>
    <definedName name="MOV.050.C.0.04.1999.00.00.DGER003">-46830457.8000488</definedName>
    <definedName name="MOV.050.C.0.04.1999.00.00.DGER005">-8141247.18999481</definedName>
    <definedName name="MOV.050.C.0.04.1999.00.00.DGER006">-12351365.8500061</definedName>
    <definedName name="MOV.050.C.0.04.1999.00.00.DGER007">-1433497.55999947</definedName>
    <definedName name="MOV.050.C.0.04.1999.00.00.DGER01">92025424.3599853</definedName>
    <definedName name="MOV.050.C.0.04.1999.00.00.DGER015.CG4_AREA_ADM">-1355305.86000061</definedName>
    <definedName name="MOV.050.C.0.04.1999.00.00.DGER015.CG4_AREA_COM">-224769.26999998</definedName>
    <definedName name="MOV.050.C.0.04.1999.00.00.DGER015.CG4_AREA_FAB">-4182806.75999832</definedName>
    <definedName name="MOV.050.C.0.04.1999.00.00.DGER016">1691355.65997124</definedName>
    <definedName name="MOV.050.C.0.04.1999.00.00.DGER026">-4777900.99000549</definedName>
    <definedName name="MOV.050.C.0.04.1999.00.00.DGER029">-87996.56999922</definedName>
    <definedName name="MOV.050.C.0.04.1999.00.00.DGER030">-1753135.18999863</definedName>
    <definedName name="MOV.050.C.0.04.1999.00.00.DGER031">-712686.10999966</definedName>
    <definedName name="MOV.050.C.0.04.1999.00.00.DGER032">70704.33000004</definedName>
    <definedName name="MOV.050.C.0.04.1999.00.00.DGER034">-1090709.44000053</definedName>
    <definedName name="MOV.050.C.0.04.1999.00.00.DGER036">1790.31</definedName>
    <definedName name="MOV.050.C.0.04.1999.00.00.DGER048">-243116.75999999</definedName>
    <definedName name="MOV.050.C.0.04.1999.00.00.DGER049">-3576699.4200058</definedName>
    <definedName name="MOV.050.C.0.04.1999.00.00.DGER050.CG4_AREA_ADM">-5625651.09000397</definedName>
    <definedName name="MOV.050.C.0.04.1999.00.00.DGER050.CG4_AREA_COM">-936937.97999954</definedName>
    <definedName name="MOV.050.C.0.04.1999.00.00.DGER051">-1501355.68000031</definedName>
    <definedName name="MOV.050.C.0.04.1999.00.00.DGER052">2637108.93000031</definedName>
    <definedName name="MOV.050.C.0.04.1999.00.00.DGER053">-4961868.91999817</definedName>
    <definedName name="MOV.050.C.0.04.1999.00.00.DRESPER">-3361749.25003815</definedName>
    <definedName name="MOV.050.C.0.04.2000.00.00.311550">-4343229.30000305</definedName>
    <definedName name="MOV.050.C.0.04.2000.00.00.3214500.CG4_32999">0</definedName>
    <definedName name="MOV.050.C.0.04.2000.00.00.3214500.CG4_33999">0</definedName>
    <definedName name="MOV.050.C.0.04.2000.00.00.3214500.CG4_34999">0</definedName>
    <definedName name="MOV.050.C.0.04.2000.00.00.3214500.CG4_42999">-369238.51999998</definedName>
    <definedName name="MOV.050.C.0.04.2000.00.00.3214610">-61792.11000001</definedName>
    <definedName name="MOV.050.C.0.04.2000.00.00.3214680">-11842.22</definedName>
    <definedName name="MOV.050.C.0.04.2000.00.00.3214780">-12647.33</definedName>
    <definedName name="MOV.050.C.0.04.2000.00.00.3215040">0</definedName>
    <definedName name="MOV.050.C.0.04.2000.00.00.3215400">-25227.13999999</definedName>
    <definedName name="MOV.050.C.0.04.2000.00.00.321543">-1169356.01000023</definedName>
    <definedName name="MOV.050.C.0.04.2000.00.00.3215530">-890467.81000042</definedName>
    <definedName name="MOV.050.C.0.04.2000.00.00.321555">-2531503.97999954</definedName>
    <definedName name="MOV.050.C.0.04.2000.00.00.321567">-1467497.70999908</definedName>
    <definedName name="MOV.050.C.0.04.2000.00.00.321577">-450648.94000006</definedName>
    <definedName name="MOV.050.C.0.04.2000.00.00.321582">0</definedName>
    <definedName name="MOV.050.C.0.04.2000.00.00.3215980">-460547.11999989</definedName>
    <definedName name="MOV.050.C.0.04.2000.00.00.3216030">-332323.11999989</definedName>
    <definedName name="MOV.050.C.0.04.2000.00.00.321800">-9082.87</definedName>
    <definedName name="MOV.050.C.0.04.2000.00.00.3218500">0</definedName>
    <definedName name="MOV.050.C.0.04.2000.00.00.DBREAK01">-3032137.77999878</definedName>
    <definedName name="MOV.050.C.0.04.2000.00.00.DBREAK02">-37615.69999999</definedName>
    <definedName name="MOV.050.C.0.04.2000.00.00.DBREAK03">-3315.45</definedName>
    <definedName name="MOV.050.C.0.04.2000.00.00.DBREAK04">-1903638.07999802</definedName>
    <definedName name="MOV.050.C.0.04.2000.00.00.DBREAK05">-303836.73999977</definedName>
    <definedName name="MOV.050.C.0.04.2000.00.00.DBREAK06">-217288.68000007</definedName>
    <definedName name="MOV.050.C.0.04.2000.00.00.DBREAK07">-5070.27</definedName>
    <definedName name="MOV.050.C.0.04.2000.00.00.DBREAK08">35803.94</definedName>
    <definedName name="MOV.050.C.0.04.2000.00.00.DBREAK09">1551278.45999908</definedName>
    <definedName name="MOV.050.C.0.04.2000.00.00.DBREAK10">-10798.40000001</definedName>
    <definedName name="MOV.050.C.0.04.2000.00.00.DBREAK11">-1058161.5</definedName>
    <definedName name="MOV.050.C.0.04.2000.00.00.DBREAK12">-315500.71000004</definedName>
    <definedName name="MOV.050.C.0.04.2000.00.00.DBREAK13">-170669.44999981</definedName>
    <definedName name="MOV.050.C.0.04.2000.00.00.DBREAK14">-956091.52999973</definedName>
    <definedName name="MOV.050.C.0.04.2000.00.00.DBREAK15">-35833.7599999899</definedName>
    <definedName name="MOV.050.C.0.04.2000.00.00.DBREAK16">-578793.27999973</definedName>
    <definedName name="MOV.050.C.0.04.2000.00.00.DBREAK17">-248060.95000005</definedName>
    <definedName name="MOV.050.C.0.04.2000.00.00.DBREAK18">-67302.31000006</definedName>
    <definedName name="MOV.050.C.0.04.2000.00.00.DBREAK19">-31030.10000002</definedName>
    <definedName name="MOV.050.C.0.04.2000.00.00.DBREAK20">-72586.50999999</definedName>
    <definedName name="MOV.050.C.0.04.2000.00.00.DBREAK21">-64565.80000001</definedName>
    <definedName name="MOV.050.C.0.04.2000.00.00.DBREAK22">-220902.6400001</definedName>
    <definedName name="MOV.050.C.0.04.2000.00.00.DBREAK23">-18004.13</definedName>
    <definedName name="MOV.050.C.0.04.2000.00.00.DBREAK24">-152143.63999987</definedName>
    <definedName name="MOV.050.C.0.04.2000.00.00.DBREAK25">-94137.97000051</definedName>
    <definedName name="MOV.050.C.0.04.2000.00.00.DBREAK26">-38516.82999998</definedName>
    <definedName name="MOV.050.C.0.04.2000.00.00.DBREAK27">-34587.74000001</definedName>
    <definedName name="MOV.050.C.0.04.2000.00.00.DBREAK28">-157404.04999995</definedName>
    <definedName name="MOV.050.C.0.04.2000.00.00.DBREAK29">-86935.88999999</definedName>
    <definedName name="MOV.050.C.0.04.2000.00.00.DBREAK30">-27357.03</definedName>
    <definedName name="MOV.050.C.0.04.2000.00.00.DBREAK31">-13186.8</definedName>
    <definedName name="MOV.050.C.0.04.2000.00.00.DBREAK32">-131113.92999983</definedName>
    <definedName name="MOV.050.C.0.04.2000.00.00.DBREAK33">-5992288.29000092</definedName>
    <definedName name="MOV.050.C.0.04.2000.00.00.DBREAK34">-4457107.22999573</definedName>
    <definedName name="MOV.050.C.0.04.2000.00.00.DBREAK36">-68086.89999998</definedName>
    <definedName name="MOV.050.C.0.04.2000.00.00.DBREAK37">-121328.25000012</definedName>
    <definedName name="MOV.050.C.0.04.2000.00.00.DBREAK38">-14070.72</definedName>
    <definedName name="MOV.050.C.0.04.2000.00.00.DBREAK39">0</definedName>
    <definedName name="MOV.050.C.0.04.2000.00.00.DGER003">-49322070.9300537</definedName>
    <definedName name="MOV.050.C.0.04.2000.00.00.DGER005">-7954467.33000946</definedName>
    <definedName name="MOV.050.C.0.04.2000.00.00.DGER006">-13267834.6800079</definedName>
    <definedName name="MOV.050.C.0.04.2000.00.00.DGER007">-2253289.52000046</definedName>
    <definedName name="MOV.050.C.0.04.2000.00.00.DGER01">96294750.5101318</definedName>
    <definedName name="MOV.050.C.0.04.2000.00.00.DGER015.CG4_AREA_ADM">-1420576</definedName>
    <definedName name="MOV.050.C.0.04.2000.00.00.DGER015.CG4_AREA_COM">-228482.99000001</definedName>
    <definedName name="MOV.050.C.0.04.2000.00.00.DGER016">123196.33000374</definedName>
    <definedName name="MOV.050.C.0.04.2000.00.00.DGER026">-9185646.05999756</definedName>
    <definedName name="MOV.050.C.0.04.2000.00.00.DGER029">508112.20000076</definedName>
    <definedName name="MOV.050.C.0.04.2000.00.00.DGER030">-1772388.30000114</definedName>
    <definedName name="MOV.050.C.0.04.2000.00.00.DGER031">-857299.94999886</definedName>
    <definedName name="MOV.050.C.0.04.2000.00.00.DGER032">-258491.29999995</definedName>
    <definedName name="MOV.050.C.0.04.2000.00.00.DGER034">5647238.33999634</definedName>
    <definedName name="MOV.050.C.0.04.2000.00.00.DGER036">0</definedName>
    <definedName name="MOV.050.C.0.04.2000.00.00.DGER048">-2418793.99000168</definedName>
    <definedName name="MOV.050.C.0.04.2000.00.00.DGER049">-4093064.48999786</definedName>
    <definedName name="MOV.050.C.0.04.2000.00.00.DGER050.CG4_AREA_ADM">-4830467.93000031</definedName>
    <definedName name="MOV.050.C.0.04.2000.00.00.DGER050.CG4_AREA_COM">-1426101.68999863</definedName>
    <definedName name="MOV.050.C.0.04.2000.00.00.DGER051">-1684071.33999825</definedName>
    <definedName name="MOV.050.C.0.04.2000.00.00.DGER052">-7730469.33000183</definedName>
    <definedName name="MOV.050.C.0.04.2000.00.00.DGER053">1405340.54000092</definedName>
    <definedName name="MOV.050.C.0.04.2000.00.00.DGER054">-1229890.96999931</definedName>
    <definedName name="MOV.050.C.0.04.2000.00.00.DRESPER">-7516828.75</definedName>
    <definedName name="MOV.050.C.0.05.1998.00.00.3220110">-2610289.74000168</definedName>
    <definedName name="MOV.050.C.0.05.1998.00.00.3220170">-2261037.91999817</definedName>
    <definedName name="MOV.050.C.0.05.1998.00.00.3220180">-2684869.93000031</definedName>
    <definedName name="MOV.050.C.0.05.1998.00.00.3220190">-51529.30000001</definedName>
    <definedName name="MOV.050.C.0.05.1998.00.00.3220200">-531303.36999989</definedName>
    <definedName name="MOV.050.C.0.05.1998.00.00.3220210">0</definedName>
    <definedName name="MOV.050.C.0.05.1998.00.00.3220220">-125336.24000001</definedName>
    <definedName name="MOV.050.C.0.05.1998.00.00.3220230">-149218.73000002</definedName>
    <definedName name="MOV.050.C.0.05.1998.00.00.3220240">-71405.57000005</definedName>
    <definedName name="MOV.050.C.0.05.1998.00.00.3220250">-2384.56</definedName>
    <definedName name="MOV.050.C.0.05.1998.00.00.3220260">-3416079.18999863</definedName>
    <definedName name="MOV.050.C.0.05.1998.00.00.3220550">0</definedName>
    <definedName name="MOV.050.C.0.05.1999.00.00.3211030">-121915.13</definedName>
    <definedName name="MOV.050.C.0.05.1999.00.00.3211060">-51123.20999998</definedName>
    <definedName name="MOV.050.C.0.05.1999.00.00.3211110">-141242.68000007</definedName>
    <definedName name="MOV.050.C.0.05.1999.00.00.3211160">-17241.12</definedName>
    <definedName name="MOV.050.C.0.05.1999.00.00.3214500.CG4_42999">-359908.67999983</definedName>
    <definedName name="MOV.050.C.0.05.1999.00.00.3214610">-2201.61</definedName>
    <definedName name="MOV.050.C.0.05.1999.00.00.3214680">-7851.22</definedName>
    <definedName name="MOV.050.C.0.05.1999.00.00.3214780">-15098.90000001</definedName>
    <definedName name="MOV.050.C.0.05.1999.00.00.321543">-89139.05999994</definedName>
    <definedName name="MOV.050.C.0.05.1999.00.00.3215530">0</definedName>
    <definedName name="MOV.050.C.0.05.1999.00.00.321555">-318604.36999989</definedName>
    <definedName name="MOV.050.C.0.05.1999.00.00.321567">-888827.97000027</definedName>
    <definedName name="MOV.050.C.0.05.1999.00.00.321577">-223068.33999991</definedName>
    <definedName name="MOV.050.C.0.05.1999.00.00.321582">-53015.88999999</definedName>
    <definedName name="MOV.050.C.0.05.1999.00.00.321800">-2580.6</definedName>
    <definedName name="MOV.050.C.0.05.1999.00.00.3220110">-277517.73000002</definedName>
    <definedName name="MOV.050.C.0.05.1999.00.00.3220170">-379694.3499999</definedName>
    <definedName name="MOV.050.C.0.05.1999.00.00.3220180">-117382.14999998</definedName>
    <definedName name="MOV.050.C.0.05.1999.00.00.3220190">0</definedName>
    <definedName name="MOV.050.C.0.05.1999.00.00.3220200">-927.08</definedName>
    <definedName name="MOV.050.C.0.05.1999.00.00.3220210">0</definedName>
    <definedName name="MOV.050.C.0.05.1999.00.00.3220220">-30229.25</definedName>
    <definedName name="MOV.050.C.0.05.1999.00.00.3220230">-18432.22</definedName>
    <definedName name="MOV.050.C.0.05.1999.00.00.3220240">-639.91</definedName>
    <definedName name="MOV.050.C.0.05.1999.00.00.3220250">0</definedName>
    <definedName name="MOV.050.C.0.05.1999.00.00.3220260">-1062479.5</definedName>
    <definedName name="MOV.050.C.0.05.1999.00.00.3220550">-33212.07999998</definedName>
    <definedName name="MOV.050.C.0.05.1999.00.00.DBREAK01">-2631313.34999847</definedName>
    <definedName name="MOV.050.C.0.05.1999.00.00.DBREAK02">-22610.42000002</definedName>
    <definedName name="MOV.050.C.0.05.1999.00.00.DBREAK03">-33666.41000003</definedName>
    <definedName name="MOV.050.C.0.05.1999.00.00.DBREAK04">-1849217.68000221</definedName>
    <definedName name="MOV.050.C.0.05.1999.00.00.DBREAK05">-196936.06999993</definedName>
    <definedName name="MOV.050.C.0.05.1999.00.00.DBREAK06">-184141.57999992</definedName>
    <definedName name="MOV.050.C.0.05.1999.00.00.DBREAK07">0</definedName>
    <definedName name="MOV.050.C.0.05.1999.00.00.DBREAK08">-70500.29999995</definedName>
    <definedName name="MOV.050.C.0.05.1999.00.00.DBREAK09">-71625.06000006</definedName>
    <definedName name="MOV.050.C.0.05.1999.00.00.DBREAK10">-10193.37</definedName>
    <definedName name="MOV.050.C.0.05.1999.00.00.DBREAK11">-1201775.97999954</definedName>
    <definedName name="MOV.050.C.0.05.1999.00.00.DBREAK12">-24382.13999999</definedName>
    <definedName name="MOV.050.C.0.05.1999.00.00.DBREAK13">-175338.06999993</definedName>
    <definedName name="MOV.050.C.0.05.1999.00.00.DBREAK14">-1021117.39999866</definedName>
    <definedName name="MOV.050.C.0.05.1999.00.00.DBREAK15">-27717.48000002</definedName>
    <definedName name="MOV.050.C.0.05.1999.00.00.DBREAK16">-512395.00999975</definedName>
    <definedName name="MOV.050.C.0.05.1999.00.00.DBREAK17">-217763.96000004</definedName>
    <definedName name="MOV.050.C.0.05.1999.00.00.DBREAK18">-45627.16000003</definedName>
    <definedName name="MOV.050.C.0.05.1999.00.00.DBREAK19">-18654.99000001</definedName>
    <definedName name="MOV.050.C.0.05.1999.00.00.DBREAK20">-53610.27999997</definedName>
    <definedName name="MOV.050.C.0.05.1999.00.00.DBREAK21">-46383.62</definedName>
    <definedName name="MOV.050.C.0.05.1999.00.00.DBREAK22">-205758.78999996</definedName>
    <definedName name="MOV.050.C.0.05.1999.00.00.DBREAK23">-19995.49000001</definedName>
    <definedName name="MOV.050.C.0.05.1999.00.00.DBREAK24">-196203.85000014</definedName>
    <definedName name="MOV.050.C.0.05.1999.00.00.DBREAK25">568486.02999973</definedName>
    <definedName name="MOV.050.C.0.05.1999.00.00.DBREAK26">-85086.48000002</definedName>
    <definedName name="MOV.050.C.0.05.1999.00.00.DBREAK27">-32649.10999998</definedName>
    <definedName name="MOV.050.C.0.05.1999.00.00.DBREAK28">-18613.95000002</definedName>
    <definedName name="MOV.050.C.0.05.1999.00.00.DBREAK29">-58578.23999995</definedName>
    <definedName name="MOV.050.C.0.05.1999.00.00.DBREAK30">-26384.13999999</definedName>
    <definedName name="MOV.050.C.0.05.1999.00.00.DBREAK31">-5398.33</definedName>
    <definedName name="MOV.050.C.0.05.1999.00.00.DBREAK32">-97971.16999972</definedName>
    <definedName name="MOV.050.C.0.05.1999.00.00.DBREAK33">-5759267.10999298</definedName>
    <definedName name="MOV.050.C.0.05.1999.00.00.DBREAK34">-2517704.50999832</definedName>
    <definedName name="MOV.050.C.0.05.1999.00.00.DGER003">-40174869.000061</definedName>
    <definedName name="MOV.050.C.0.05.1999.00.00.DGER005">-6938005.37999725</definedName>
    <definedName name="MOV.050.C.0.05.1999.00.00.DGER006">-10805515.9400024</definedName>
    <definedName name="MOV.050.C.0.05.1999.00.00.DGER007">-1520210.5</definedName>
    <definedName name="MOV.050.C.0.05.1999.00.00.DGER01">78997204.7700195</definedName>
    <definedName name="MOV.050.C.0.05.1999.00.00.DGER015.CG4_AREA_ADM">-1322492.02000046</definedName>
    <definedName name="MOV.050.C.0.05.1999.00.00.DGER015.CG4_AREA_COM">-227188.31999993</definedName>
    <definedName name="MOV.050.C.0.05.1999.00.00.DGER015.CG4_AREA_FAB">-4209586.76999664</definedName>
    <definedName name="MOV.050.C.0.05.1999.00.00.DGER016">614028.03001118</definedName>
    <definedName name="MOV.050.C.0.05.1999.00.00.DGER026">-4090360.13999558</definedName>
    <definedName name="MOV.050.C.0.05.1999.00.00.DGER029">421368.98999834</definedName>
    <definedName name="MOV.050.C.0.05.1999.00.00.DGER030">-1918947.28000069</definedName>
    <definedName name="MOV.050.C.0.05.1999.00.00.DGER031">-664506.97999954</definedName>
    <definedName name="MOV.050.C.0.05.1999.00.00.DGER032">-108969.94000006</definedName>
    <definedName name="MOV.050.C.0.05.1999.00.00.DGER034">1210012.18000031</definedName>
    <definedName name="MOV.050.C.0.05.1999.00.00.DGER036">-6625.87</definedName>
    <definedName name="MOV.050.C.0.05.1999.00.00.DGER048">2117536.82000351</definedName>
    <definedName name="MOV.050.C.0.05.1999.00.00.DGER049">-3569213.17000198</definedName>
    <definedName name="MOV.050.C.0.05.1999.00.00.DGER050.CG4_AREA_ADM">-4186231.96999741</definedName>
    <definedName name="MOV.050.C.0.05.1999.00.00.DGER050.CG4_AREA_COM">-1125308.12000084</definedName>
    <definedName name="MOV.050.C.0.05.1999.00.00.DGER051">-1530930.82999992</definedName>
    <definedName name="MOV.050.C.0.05.1999.00.00.DGER052">-8696071.27999878</definedName>
    <definedName name="MOV.050.C.0.05.1999.00.00.DGER053">3734670.77000046</definedName>
    <definedName name="MOV.050.C.0.05.1999.00.00.DRESPER">-4071838.23001099</definedName>
    <definedName name="MOV.050.C.0.05.2000.00.00.311550">-4344227.68000031</definedName>
    <definedName name="MOV.050.C.0.05.2000.00.00.3214500.CG4_32999">0</definedName>
    <definedName name="MOV.050.C.0.05.2000.00.00.3214500.CG4_33999">0</definedName>
    <definedName name="MOV.050.C.0.05.2000.00.00.3214500.CG4_34999">0</definedName>
    <definedName name="MOV.050.C.0.05.2000.00.00.3214500.CG4_42999">-369238.59000015</definedName>
    <definedName name="MOV.050.C.0.05.2000.00.00.3214610">-21490.90000001</definedName>
    <definedName name="MOV.050.C.0.05.2000.00.00.3214680">-16053.15000001</definedName>
    <definedName name="MOV.050.C.0.05.2000.00.00.3214780">-15601.7</definedName>
    <definedName name="MOV.050.C.0.05.2000.00.00.3215040">0</definedName>
    <definedName name="MOV.050.C.0.05.2000.00.00.3215400">-1174.26</definedName>
    <definedName name="MOV.050.C.0.05.2000.00.00.321543">21237434.0799865</definedName>
    <definedName name="MOV.050.C.0.05.2000.00.00.3215530">-348170.28999996</definedName>
    <definedName name="MOV.050.C.0.05.2000.00.00.321555">-2404643.77000046</definedName>
    <definedName name="MOV.050.C.0.05.2000.00.00.321567">-1648433.92000008</definedName>
    <definedName name="MOV.050.C.0.05.2000.00.00.321577">-464062.17999983</definedName>
    <definedName name="MOV.050.C.0.05.2000.00.00.321582">0</definedName>
    <definedName name="MOV.050.C.0.05.2000.00.00.321800">-12821.7</definedName>
    <definedName name="MOV.050.C.0.05.2000.00.00.3218500">0</definedName>
    <definedName name="MOV.050.C.0.05.2000.00.00.DBREAK01">-42221.17000002</definedName>
    <definedName name="MOV.050.C.0.05.2000.00.00.DBREAK02">-53303.54000002</definedName>
    <definedName name="MOV.050.C.0.05.2000.00.00.DBREAK03">-5585.68</definedName>
    <definedName name="MOV.050.C.0.05.2000.00.00.DBREAK04">-2166772.77000046</definedName>
    <definedName name="MOV.050.C.0.05.2000.00.00.DBREAK05">-361518.51999998</definedName>
    <definedName name="MOV.050.C.0.05.2000.00.00.DBREAK06">-204252.16999984</definedName>
    <definedName name="MOV.050.C.0.05.2000.00.00.DBREAK07">-1833.65</definedName>
    <definedName name="MOV.050.C.0.05.2000.00.00.DBREAK08">-53429.22000003</definedName>
    <definedName name="MOV.050.C.0.05.2000.00.00.DBREAK09">-2400</definedName>
    <definedName name="MOV.050.C.0.05.2000.00.00.DBREAK10">-12251.61</definedName>
    <definedName name="MOV.050.C.0.05.2000.00.00.DBREAK11">-1098389.51000023</definedName>
    <definedName name="MOV.050.C.0.05.2000.00.00.DBREAK12">-420478.61000013</definedName>
    <definedName name="MOV.050.C.0.05.2000.00.00.DBREAK13">-492708.01000023</definedName>
    <definedName name="MOV.050.C.0.05.2000.00.00.DBREAK14">-1276256.69000053</definedName>
    <definedName name="MOV.050.C.0.05.2000.00.00.DBREAK15">-26787.41999999</definedName>
    <definedName name="MOV.050.C.0.05.2000.00.00.DBREAK16">-334329.59000015</definedName>
    <definedName name="MOV.050.C.0.05.2000.00.00.DBREAK17">-263988.03999996</definedName>
    <definedName name="MOV.050.C.0.05.2000.00.00.DBREAK18">-108774.94000006</definedName>
    <definedName name="MOV.050.C.0.05.2000.00.00.DBREAK19">-40220.93000001</definedName>
    <definedName name="MOV.050.C.0.05.2000.00.00.DBREAK20">-84017.17000008</definedName>
    <definedName name="MOV.050.C.0.05.2000.00.00.DBREAK21">-15650.61</definedName>
    <definedName name="MOV.050.C.0.05.2000.00.00.DBREAK22">-304078.13000011</definedName>
    <definedName name="MOV.050.C.0.05.2000.00.00.DBREAK23">-20486.37</definedName>
    <definedName name="MOV.050.C.0.05.2000.00.00.DBREAK24">-283988.23000002</definedName>
    <definedName name="MOV.050.C.0.05.2000.00.00.DBREAK25">-77572.09000051</definedName>
    <definedName name="MOV.050.C.0.05.2000.00.00.DBREAK26">-38042.38999999</definedName>
    <definedName name="MOV.050.C.0.05.2000.00.00.DBREAK27">-44650.18000001</definedName>
    <definedName name="MOV.050.C.0.05.2000.00.00.DBREAK28">-70947.42999995</definedName>
    <definedName name="MOV.050.C.0.05.2000.00.00.DBREAK29">-105797.53000009</definedName>
    <definedName name="MOV.050.C.0.05.2000.00.00.DBREAK30">-25834.69</definedName>
    <definedName name="MOV.050.C.0.05.2000.00.00.DBREAK31">-55406.11000001</definedName>
    <definedName name="MOV.050.C.0.05.2000.00.00.DBREAK32">-24483.28999999</definedName>
    <definedName name="MOV.050.C.0.05.2000.00.00.DBREAK33">-6008581.59999847</definedName>
    <definedName name="MOV.050.C.0.05.2000.00.00.DBREAK34">-4007735.23000336</definedName>
    <definedName name="MOV.050.C.0.05.2000.00.00.DBREAK36">-43007.38999999</definedName>
    <definedName name="MOV.050.C.0.05.2000.00.00.DBREAK37">-91316.42999995</definedName>
    <definedName name="MOV.050.C.0.05.2000.00.00.DBREAK38">-13319.2</definedName>
    <definedName name="MOV.050.C.0.05.2000.00.00.DBREAK39">28751.02999997</definedName>
    <definedName name="MOV.050.C.0.05.2000.00.00.DGER003">-42091599.8399658</definedName>
    <definedName name="MOV.050.C.0.05.2000.00.00.DGER005">-9449419.69999695</definedName>
    <definedName name="MOV.050.C.0.05.2000.00.00.DGER006">-15890913.4399871</definedName>
    <definedName name="MOV.050.C.0.05.2000.00.00.DGER007">-2463206.81000137</definedName>
    <definedName name="MOV.050.C.0.05.2000.00.00.DGER01">83308498.8699951</definedName>
    <definedName name="MOV.050.C.0.05.2000.00.00.DGER015.CG4_AREA_ADM">-1430641.34000015</definedName>
    <definedName name="MOV.050.C.0.05.2000.00.00.DGER015.CG4_AREA_COM">-233712.57999992</definedName>
    <definedName name="MOV.050.C.0.05.2000.00.00.DGER016">5119716.18003845</definedName>
    <definedName name="MOV.050.C.0.05.2000.00.00.DGER026">13060729.2700042</definedName>
    <definedName name="MOV.050.C.0.05.2000.00.00.DGER029">424893.21000099</definedName>
    <definedName name="MOV.050.C.0.05.2000.00.00.DGER030">-1854430.89999962</definedName>
    <definedName name="MOV.050.C.0.05.2000.00.00.DGER031">-717871.17000103</definedName>
    <definedName name="MOV.050.C.0.05.2000.00.00.DGER032">130362.1400001</definedName>
    <definedName name="MOV.050.C.0.05.2000.00.00.DGER034">-1648019.38999939</definedName>
    <definedName name="MOV.050.C.0.05.2000.00.00.DGER048">-397263.44000006</definedName>
    <definedName name="MOV.050.C.0.05.2000.00.00.DGER049">-4216167.34000397</definedName>
    <definedName name="MOV.050.C.0.05.2000.00.00.DGER050.CG4_AREA_ADM">-5276407.94001007</definedName>
    <definedName name="MOV.050.C.0.05.2000.00.00.DGER050.CG4_AREA_COM">-1923296.95000076</definedName>
    <definedName name="MOV.050.C.0.05.2000.00.00.DGER051">-2255365.82999802</definedName>
    <definedName name="MOV.050.C.0.05.2000.00.00.DGER052">-4111224.63000107</definedName>
    <definedName name="MOV.050.C.0.05.2000.00.00.DGER053">679318.82000065</definedName>
    <definedName name="MOV.050.C.0.05.2000.00.00.DGER054">-2440140.22999954</definedName>
    <definedName name="MOV.050.C.0.05.2000.00.00.DRESPER">4416175.29000092</definedName>
    <definedName name="MOV.050.C.0.05.2001.00.00.311550">-4230813.16000366</definedName>
    <definedName name="MOV.050.C.0.05.2001.00.00.3214500.CG4_32999">-62279.29000002</definedName>
    <definedName name="MOV.050.C.0.05.2001.00.00.3214500.CG4_33999">-74431.19000006</definedName>
    <definedName name="MOV.050.C.0.05.2001.00.00.3214500.CG4_34999">-22407.15000001</definedName>
    <definedName name="MOV.050.C.0.05.2001.00.00.3214500.CG4_42999">-167500.99000001</definedName>
    <definedName name="MOV.050.C.0.05.2001.00.00.3214610">-18103.69</definedName>
    <definedName name="MOV.050.C.0.05.2001.00.00.3214680">-7836.56</definedName>
    <definedName name="MOV.050.C.0.05.2001.00.00.3214780">-27645.37</definedName>
    <definedName name="MOV.050.C.0.05.2001.00.00.3215040">-14851.15000001</definedName>
    <definedName name="MOV.050.C.0.05.2001.00.00.3215400">-20529.53</definedName>
    <definedName name="MOV.050.C.0.05.2001.00.00.321543">-169034.1400001</definedName>
    <definedName name="MOV.050.C.0.05.2001.00.00.3215530">0</definedName>
    <definedName name="MOV.050.C.0.05.2001.00.00.321555">710813.26000023</definedName>
    <definedName name="MOV.050.C.0.05.2001.00.00.321567">-308478.21999979</definedName>
    <definedName name="MOV.050.C.0.05.2001.00.00.321577">-277595.46000004</definedName>
    <definedName name="MOV.050.C.0.05.2001.00.00.321582">0</definedName>
    <definedName name="MOV.050.C.0.05.2001.00.00.321800">-9559.92</definedName>
    <definedName name="MOV.050.C.0.05.2001.00.00.3218500">0</definedName>
    <definedName name="MOV.050.C.0.05.2001.00.00.DBREAK01">-3178871.71999741</definedName>
    <definedName name="MOV.050.C.0.05.2001.00.00.DBREAK02">-49102.81</definedName>
    <definedName name="MOV.050.C.0.05.2001.00.00.DBREAK03">-23753.12</definedName>
    <definedName name="MOV.050.C.0.05.2001.00.00.DBREAK04">-2202768.16999817</definedName>
    <definedName name="MOV.050.C.0.05.2001.00.00.DBREAK05">-171560.91000009</definedName>
    <definedName name="MOV.050.C.0.05.2001.00.00.DBREAK06">-309312.3499999</definedName>
    <definedName name="MOV.050.C.0.05.2001.00.00.DBREAK07">0</definedName>
    <definedName name="MOV.050.C.0.05.2001.00.00.DBREAK08">-13758.45999999</definedName>
    <definedName name="MOV.050.C.0.05.2001.00.00.DBREAK09">-71350</definedName>
    <definedName name="MOV.050.C.0.05.2001.00.00.DBREAK10">-15343.65000001</definedName>
    <definedName name="MOV.050.C.0.05.2001.00.00.DBREAK11">-1331717.26000023</definedName>
    <definedName name="MOV.050.C.0.05.2001.00.00.DBREAK12">-626214.06999969</definedName>
    <definedName name="MOV.050.C.0.05.2001.00.00.DBREAK13">-289145.1500001</definedName>
    <definedName name="MOV.050.C.0.05.2001.00.00.DBREAK14">-1027960.71999931</definedName>
    <definedName name="MOV.050.C.0.05.2001.00.00.DBREAK15">-25093.71000001</definedName>
    <definedName name="MOV.050.C.0.05.2001.00.00.DBREAK16">-494169.25</definedName>
    <definedName name="MOV.050.C.0.05.2001.00.00.DBREAK17">-263483.21000004</definedName>
    <definedName name="MOV.050.C.0.05.2001.00.00.DBREAK18">-54473.37000006</definedName>
    <definedName name="MOV.050.C.0.05.2001.00.00.DBREAK19">-28424.56999999</definedName>
    <definedName name="MOV.050.C.0.05.2001.00.00.DBREAK20">-64507.27000004</definedName>
    <definedName name="MOV.050.C.0.05.2001.00.00.DBREAK21">-53948.69</definedName>
    <definedName name="MOV.050.C.0.05.2001.00.00.DBREAK22">-345874.65999985</definedName>
    <definedName name="MOV.050.C.0.05.2001.00.00.DBREAK23">-24266.24000001</definedName>
    <definedName name="MOV.050.C.0.05.2001.00.00.DBREAK24">-262264.53999996</definedName>
    <definedName name="MOV.050.C.0.05.2001.00.00.DBREAK25">-107972.11000061</definedName>
    <definedName name="MOV.050.C.0.05.2001.00.00.DBREAK26">-34072.94000006</definedName>
    <definedName name="MOV.050.C.0.05.2001.00.00.DBREAK27">-55105.31</definedName>
    <definedName name="MOV.050.C.0.05.2001.00.00.DBREAK28">-53669.83000004</definedName>
    <definedName name="MOV.050.C.0.05.2001.00.00.DBREAK29">-79193.9000001</definedName>
    <definedName name="MOV.050.C.0.05.2001.00.00.DBREAK30">-29565.47</definedName>
    <definedName name="MOV.050.C.0.05.2001.00.00.DBREAK31">-40339.39999998</definedName>
    <definedName name="MOV.050.C.0.05.2001.00.00.DBREAK32">-89866.07000005</definedName>
    <definedName name="MOV.050.C.0.05.2001.00.00.DBREAK33">-5786529.15000153</definedName>
    <definedName name="MOV.050.C.0.05.2001.00.00.DBREAK34">-3763848.67000198</definedName>
    <definedName name="MOV.050.C.0.05.2001.00.00.DBREAK36">-50068.67000002</definedName>
    <definedName name="MOV.050.C.0.05.2001.00.00.DBREAK37">-116533.40999997</definedName>
    <definedName name="MOV.050.C.0.05.2001.00.00.DBREAK38">-13538.24000001</definedName>
    <definedName name="MOV.050.C.0.05.2001.00.00.DBREAK39">-139639.80999994</definedName>
    <definedName name="MOV.050.C.0.05.2001.00.00.DGER003">-49768127.3099975</definedName>
    <definedName name="MOV.050.C.0.05.2001.00.00.DGER005">-10488406.5599975</definedName>
    <definedName name="MOV.050.C.0.05.2001.00.00.DGER006">-16947549.4199829</definedName>
    <definedName name="MOV.050.C.0.05.2001.00.00.DGER007">-2661934.61000061</definedName>
    <definedName name="MOV.050.C.0.05.2001.00.00.DGER01">101806331.140014</definedName>
    <definedName name="MOV.050.C.0.05.2001.00.00.DGER015.CG4_AREA_ADM">-1349170.76000023</definedName>
    <definedName name="MOV.050.C.0.05.2001.00.00.DGER015.CG4_AREA_COM">-206545.23000002</definedName>
    <definedName name="MOV.050.C.0.05.2001.00.00.DGER016">3780333.07997513</definedName>
    <definedName name="MOV.050.C.0.05.2001.00.00.DGER026">-3808143.22999954</definedName>
    <definedName name="MOV.050.C.0.05.2001.00.00.DGER029">157398.71000004</definedName>
    <definedName name="MOV.050.C.0.05.2001.00.00.DGER030">-2432577.80999756</definedName>
    <definedName name="MOV.050.C.0.05.2001.00.00.DGER031">-573240.76000023</definedName>
    <definedName name="MOV.050.C.0.05.2001.00.00.DGER032">300937.06999969</definedName>
    <definedName name="MOV.050.C.0.05.2001.00.00.DGER034">6591706.25</definedName>
    <definedName name="MOV.050.C.0.05.2001.00.00.DGER048">-90432.07999957</definedName>
    <definedName name="MOV.050.C.0.05.2001.00.00.DGER049">-4864692.77999878</definedName>
    <definedName name="MOV.050.C.0.05.2001.00.00.DGER050.CG4_AREA_ADM">-5375346.09000397</definedName>
    <definedName name="MOV.050.C.0.05.2001.00.00.DGER050.CG4_AREA_COM">-1503536.87999916</definedName>
    <definedName name="MOV.050.C.0.05.2001.00.00.DGER051">-2524211.56000137</definedName>
    <definedName name="MOV.050.C.0.05.2001.00.00.DGER052">-21446020.3899841</definedName>
    <definedName name="MOV.050.C.0.05.2001.00.00.DGER053">683921.67000008</definedName>
    <definedName name="MOV.050.C.0.05.2001.00.00.DGER054">-1105754.54000092</definedName>
    <definedName name="MOV.050.C.0.05.2001.00.00.DRESPER">-16147754.7800293</definedName>
    <definedName name="MOV.050.C.0.06.1998.00.00.3220110">-2137154.47999954</definedName>
    <definedName name="MOV.050.C.0.06.1998.00.00.3220170">-2144194.29999924</definedName>
    <definedName name="MOV.050.C.0.06.1998.00.00.3220180">-2922302.40000153</definedName>
    <definedName name="MOV.050.C.0.06.1998.00.00.3220190">-51688.92000002</definedName>
    <definedName name="MOV.050.C.0.06.1998.00.00.3220200">-556888.47999954</definedName>
    <definedName name="MOV.050.C.0.06.1998.00.00.3220210">0</definedName>
    <definedName name="MOV.050.C.0.06.1998.00.00.3220220">-148091.8900001</definedName>
    <definedName name="MOV.050.C.0.06.1998.00.00.3220230">-131465.82999992</definedName>
    <definedName name="MOV.050.C.0.06.1998.00.00.3220240">-86371.38</definedName>
    <definedName name="MOV.050.C.0.06.1998.00.00.3220250">-2414.28</definedName>
    <definedName name="MOV.050.C.0.06.1998.00.00.3220260">-2714266.06999969</definedName>
    <definedName name="MOV.050.C.0.06.1998.00.00.3220550">0</definedName>
    <definedName name="MOV.050.C.0.06.1999.00.00.3211030">-123664.46000004</definedName>
    <definedName name="MOV.050.C.0.06.1999.00.00.3211060">-48545.70999998</definedName>
    <definedName name="MOV.050.C.0.06.1999.00.00.3211110">-115941.73000002</definedName>
    <definedName name="MOV.050.C.0.06.1999.00.00.3211160">-14142.06</definedName>
    <definedName name="MOV.050.C.0.06.1999.00.00.3214500.CG4_42999">-360730.36999989</definedName>
    <definedName name="MOV.050.C.0.06.1999.00.00.3214610">-2485</definedName>
    <definedName name="MOV.050.C.0.06.1999.00.00.3214680">-176446.02999997</definedName>
    <definedName name="MOV.050.C.0.06.1999.00.00.3214780">-11138.76000001</definedName>
    <definedName name="MOV.050.C.0.06.1999.00.00.321543">-139277.1099999</definedName>
    <definedName name="MOV.050.C.0.06.1999.00.00.321555">440584.13999987</definedName>
    <definedName name="MOV.050.C.0.06.1999.00.00.321567">-1524920.04000092</definedName>
    <definedName name="MOV.050.C.0.06.1999.00.00.321577">-187465.13000011</definedName>
    <definedName name="MOV.050.C.0.06.1999.00.00.321582">-71516.59000003</definedName>
    <definedName name="MOV.050.C.0.06.1999.00.00.321800">-38334.49000001</definedName>
    <definedName name="MOV.050.C.0.06.1999.00.00.3220110">-257769.07999992</definedName>
    <definedName name="MOV.050.C.0.06.1999.00.00.3220170">-361948.1500001</definedName>
    <definedName name="MOV.050.C.0.06.1999.00.00.3220180">-168207.8499999</definedName>
    <definedName name="MOV.050.C.0.06.1999.00.00.3220190">0</definedName>
    <definedName name="MOV.050.C.0.06.1999.00.00.3220200">-8909.13</definedName>
    <definedName name="MOV.050.C.0.06.1999.00.00.3220210">0</definedName>
    <definedName name="MOV.050.C.0.06.1999.00.00.3220220">-42989.01999998</definedName>
    <definedName name="MOV.050.C.0.06.1999.00.00.3220230">-17399.66999999</definedName>
    <definedName name="MOV.050.C.0.06.1999.00.00.3220240">-33.16</definedName>
    <definedName name="MOV.050.C.0.06.1999.00.00.3220250">-36.26</definedName>
    <definedName name="MOV.050.C.0.06.1999.00.00.3220260">-1104385.28000069</definedName>
    <definedName name="MOV.050.C.0.06.1999.00.00.3220550">-51500.63</definedName>
    <definedName name="MOV.050.C.0.06.1999.00.00.DBREAK01">-2567067.64999771</definedName>
    <definedName name="MOV.050.C.0.06.1999.00.00.DBREAK02">-18391.38999999</definedName>
    <definedName name="MOV.050.C.0.06.1999.00.00.DBREAK03">-46010.33999997</definedName>
    <definedName name="MOV.050.C.0.06.1999.00.00.DBREAK04">-2222791.76000214</definedName>
    <definedName name="MOV.050.C.0.06.1999.00.00.DBREAK05">-158466.70000005</definedName>
    <definedName name="MOV.050.C.0.06.1999.00.00.DBREAK06">-186728.63000011</definedName>
    <definedName name="MOV.050.C.0.06.1999.00.00.DBREAK07">-2109.51</definedName>
    <definedName name="MOV.050.C.0.06.1999.00.00.DBREAK08">-57223.55000001</definedName>
    <definedName name="MOV.050.C.0.06.1999.00.00.DBREAK09">0</definedName>
    <definedName name="MOV.050.C.0.06.1999.00.00.DBREAK10">-11153.23999999</definedName>
    <definedName name="MOV.050.C.0.06.1999.00.00.DBREAK11">-1115019.53000069</definedName>
    <definedName name="MOV.050.C.0.06.1999.00.00.DBREAK12">-15992.69000001</definedName>
    <definedName name="MOV.050.C.0.06.1999.00.00.DBREAK13">-222468.80999994</definedName>
    <definedName name="MOV.050.C.0.06.1999.00.00.DBREAK14">-721875.15000057</definedName>
    <definedName name="MOV.050.C.0.06.1999.00.00.DBREAK15">-439101.59000015</definedName>
    <definedName name="MOV.050.C.0.06.1999.00.00.DBREAK16">-751482.61999989</definedName>
    <definedName name="MOV.050.C.0.06.1999.00.00.DBREAK17">-317519.95000029</definedName>
    <definedName name="MOV.050.C.0.06.1999.00.00.DBREAK18">-50341.19</definedName>
    <definedName name="MOV.050.C.0.06.1999.00.00.DBREAK19">-26651.29000002</definedName>
    <definedName name="MOV.050.C.0.06.1999.00.00.DBREAK20">-56287.66000003</definedName>
    <definedName name="MOV.050.C.0.06.1999.00.00.DBREAK21">-44068.94999999</definedName>
    <definedName name="MOV.050.C.0.06.1999.00.00.DBREAK22">-166449.52999997</definedName>
    <definedName name="MOV.050.C.0.06.1999.00.00.DBREAK23">-19019.93000001</definedName>
    <definedName name="MOV.050.C.0.06.1999.00.00.DBREAK24">-161627.63000011</definedName>
    <definedName name="MOV.050.C.0.06.1999.00.00.DBREAK25">-187392.67000079</definedName>
    <definedName name="MOV.050.C.0.06.1999.00.00.DBREAK26">-101864.74000001</definedName>
    <definedName name="MOV.050.C.0.06.1999.00.00.DBREAK27">-28826.45000002</definedName>
    <definedName name="MOV.050.C.0.06.1999.00.00.DBREAK28">-17370.97</definedName>
    <definedName name="MOV.050.C.0.06.1999.00.00.DBREAK29">-47590.07999998</definedName>
    <definedName name="MOV.050.C.0.06.1999.00.00.DBREAK30">-20258.59999999</definedName>
    <definedName name="MOV.050.C.0.06.1999.00.00.DBREAK31">-11677.5</definedName>
    <definedName name="MOV.050.C.0.06.1999.00.00.DBREAK32">-93190.41999996</definedName>
    <definedName name="MOV.050.C.0.06.1999.00.00.DBREAK33">-5813989.38999939</definedName>
    <definedName name="MOV.050.C.0.06.1999.00.00.DBREAK34">-1025913.08000183</definedName>
    <definedName name="MOV.050.C.0.06.1999.00.00.DGER003">-39345037.3900146</definedName>
    <definedName name="MOV.050.C.0.06.1999.00.00.DGER005">-6278694.99999237</definedName>
    <definedName name="MOV.050.C.0.06.1999.00.00.DGER006">-9383060.50999451</definedName>
    <definedName name="MOV.050.C.0.06.1999.00.00.DGER007">-1485546.95000076</definedName>
    <definedName name="MOV.050.C.0.06.1999.00.00.DGER01">77071103.1700439</definedName>
    <definedName name="MOV.050.C.0.06.1999.00.00.DGER015.CG4_AREA_ADM">-1343336.54000092</definedName>
    <definedName name="MOV.050.C.0.06.1999.00.00.DGER015.CG4_AREA_COM">-223672.52999997</definedName>
    <definedName name="MOV.050.C.0.06.1999.00.00.DGER015.CG4_AREA_FAB">-4246980.31999969</definedName>
    <definedName name="MOV.050.C.0.06.1999.00.00.DGER016">-1083625.57002258</definedName>
    <definedName name="MOV.050.C.0.06.1999.00.00.DGER026">-2508507.80999756</definedName>
    <definedName name="MOV.050.C.0.06.1999.00.00.DGER029">1405588</definedName>
    <definedName name="MOV.050.C.0.06.1999.00.00.DGER030">-2004235.94000053</definedName>
    <definedName name="MOV.050.C.0.06.1999.00.00.DGER031">-450920.17999935</definedName>
    <definedName name="MOV.050.C.0.06.1999.00.00.DGER032">177090.44999981</definedName>
    <definedName name="MOV.050.C.0.06.1999.00.00.DGER034">-558394.59000015</definedName>
    <definedName name="MOV.050.C.0.06.1999.00.00.DGER036">-14401.48999999</definedName>
    <definedName name="MOV.050.C.0.06.1999.00.00.DGER048">3659989.34000015</definedName>
    <definedName name="MOV.050.C.0.06.1999.00.00.DGER049">-3810204.51999664</definedName>
    <definedName name="MOV.050.C.0.06.1999.00.00.DGER050.CG4_AREA_ADM">-5196779.46999359</definedName>
    <definedName name="MOV.050.C.0.06.1999.00.00.DGER050.CG4_AREA_COM">-1409760.34999847</definedName>
    <definedName name="MOV.050.C.0.06.1999.00.00.DGER051">-820883.87000084</definedName>
    <definedName name="MOV.050.C.0.06.1999.00.00.DGER052">-8646157.66000366</definedName>
    <definedName name="MOV.050.C.0.06.1999.00.00.DGER053">677732.48999977</definedName>
    <definedName name="MOV.050.C.0.06.1999.00.00.DRESPER">-5818697.23999023</definedName>
    <definedName name="MOV.050.C.0.06.2000.00.00.311550">-4674976.12999725</definedName>
    <definedName name="MOV.050.C.0.06.2000.00.00.3214500.CG4_32999">-6814.79</definedName>
    <definedName name="MOV.050.C.0.06.2000.00.00.3214500.CG4_33999">-26149.41</definedName>
    <definedName name="MOV.050.C.0.06.2000.00.00.3214500.CG4_34999">-9340.52</definedName>
    <definedName name="MOV.050.C.0.06.2000.00.00.3214500.CG4_42999">0</definedName>
    <definedName name="MOV.050.C.0.06.2000.00.00.3214610">-13283.2</definedName>
    <definedName name="MOV.050.C.0.06.2000.00.00.3214680">-12486.06999999</definedName>
    <definedName name="MOV.050.C.0.06.2000.00.00.3214780">-13283.48</definedName>
    <definedName name="MOV.050.C.0.06.2000.00.00.3215040">0</definedName>
    <definedName name="MOV.050.C.0.06.2000.00.00.3215400">-14340.55</definedName>
    <definedName name="MOV.050.C.0.06.2000.00.00.321543">2148419.54999924</definedName>
    <definedName name="MOV.050.C.0.06.2000.00.00.3215530">-143742.1500001</definedName>
    <definedName name="MOV.050.C.0.06.2000.00.00.321555">-3111300.24000168</definedName>
    <definedName name="MOV.050.C.0.06.2000.00.00.321567">-1558364.77000046</definedName>
    <definedName name="MOV.050.C.0.06.2000.00.00.321577">-447276.23000002</definedName>
    <definedName name="MOV.050.C.0.06.2000.00.00.321582">0</definedName>
    <definedName name="MOV.050.C.0.06.2000.00.00.321800">-27636.31</definedName>
    <definedName name="MOV.050.C.0.06.2000.00.00.3218500">0</definedName>
    <definedName name="MOV.050.C.0.06.2000.00.00.DBREAK01">-22596</definedName>
    <definedName name="MOV.050.C.0.06.2000.00.00.DBREAK02">-47473.61000001</definedName>
    <definedName name="MOV.050.C.0.06.2000.00.00.DBREAK03">-36998.08000004</definedName>
    <definedName name="MOV.050.C.0.06.2000.00.00.DBREAK04">-2148613.29000092</definedName>
    <definedName name="MOV.050.C.0.06.2000.00.00.DBREAK05">-324656.0999999</definedName>
    <definedName name="MOV.050.C.0.06.2000.00.00.DBREAK06">-127190.5</definedName>
    <definedName name="MOV.050.C.0.06.2000.00.00.DBREAK07">0</definedName>
    <definedName name="MOV.050.C.0.06.2000.00.00.DBREAK08">-51418.73000002</definedName>
    <definedName name="MOV.050.C.0.06.2000.00.00.DBREAK09">-136233.06999993</definedName>
    <definedName name="MOV.050.C.0.06.2000.00.00.DBREAK10">-6666.78</definedName>
    <definedName name="MOV.050.C.0.06.2000.00.00.DBREAK11">-1424061.1799984</definedName>
    <definedName name="MOV.050.C.0.06.2000.00.00.DBREAK12">-438335.3499999</definedName>
    <definedName name="MOV.050.C.0.06.2000.00.00.DBREAK13">-305638.35000038</definedName>
    <definedName name="MOV.050.C.0.06.2000.00.00.DBREAK14">-985896.06999969</definedName>
    <definedName name="MOV.050.C.0.06.2000.00.00.DBREAK15">-43977.87</definedName>
    <definedName name="MOV.050.C.0.06.2000.00.00.DBREAK16">-373760.27000046</definedName>
    <definedName name="MOV.050.C.0.06.2000.00.00.DBREAK17">-280728.36999989</definedName>
    <definedName name="MOV.050.C.0.06.2000.00.00.DBREAK18">-93156.18999994</definedName>
    <definedName name="MOV.050.C.0.06.2000.00.00.DBREAK19">-33027.07999998</definedName>
    <definedName name="MOV.050.C.0.06.2000.00.00.DBREAK20">-78484.22000003</definedName>
    <definedName name="MOV.050.C.0.06.2000.00.00.DBREAK21">-1139.79</definedName>
    <definedName name="MOV.050.C.0.06.2000.00.00.DBREAK22">-510910.28999948</definedName>
    <definedName name="MOV.050.C.0.06.2000.00.00.DBREAK23">-25249.12</definedName>
    <definedName name="MOV.050.C.0.06.2000.00.00.DBREAK24">-293605.94000006</definedName>
    <definedName name="MOV.050.C.0.06.2000.00.00.DBREAK25">-270619.0999999</definedName>
    <definedName name="MOV.050.C.0.06.2000.00.00.DBREAK26">-29453.93000007</definedName>
    <definedName name="MOV.050.C.0.06.2000.00.00.DBREAK27">-54371.31</definedName>
    <definedName name="MOV.050.C.0.06.2000.00.00.DBREAK28">-102070.00999999</definedName>
    <definedName name="MOV.050.C.0.06.2000.00.00.DBREAK29">-94321.15999997</definedName>
    <definedName name="MOV.050.C.0.06.2000.00.00.DBREAK30">-30232.15000001</definedName>
    <definedName name="MOV.050.C.0.06.2000.00.00.DBREAK31">-53321.82999998</definedName>
    <definedName name="MOV.050.C.0.06.2000.00.00.DBREAK32">-273178.51000023</definedName>
    <definedName name="MOV.050.C.0.06.2000.00.00.DBREAK33">-6000366.3199997</definedName>
    <definedName name="MOV.050.C.0.06.2000.00.00.DBREAK34">-2287110.86999512</definedName>
    <definedName name="MOV.050.C.0.06.2000.00.00.DBREAK36">-58130.42000002</definedName>
    <definedName name="MOV.050.C.0.06.2000.00.00.DBREAK37">-158904.48000002</definedName>
    <definedName name="MOV.050.C.0.06.2000.00.00.DBREAK38">-13974.34999999</definedName>
    <definedName name="MOV.050.C.0.06.2000.00.00.DBREAK39">0</definedName>
    <definedName name="MOV.050.C.0.06.2000.00.00.DGER003">-41671434.9800415</definedName>
    <definedName name="MOV.050.C.0.06.2000.00.00.DGER005">-6302295.32000732</definedName>
    <definedName name="MOV.050.C.0.06.2000.00.00.DGER006">-12848650.2900085</definedName>
    <definedName name="MOV.050.C.0.06.2000.00.00.DGER007">-2104978.18999863</definedName>
    <definedName name="MOV.050.C.0.06.2000.00.00.DGER01">82753975.460083</definedName>
    <definedName name="MOV.050.C.0.06.2000.00.00.DGER015.CG4_AREA_ADM">-1091494.47999954</definedName>
    <definedName name="MOV.050.C.0.06.2000.00.00.DGER015.CG4_AREA_COM">-233895.71000004</definedName>
    <definedName name="MOV.050.C.0.06.2000.00.00.DGER016">-213208.99001837</definedName>
    <definedName name="MOV.050.C.0.06.2000.00.00.DGER026">-5111890.4099884</definedName>
    <definedName name="MOV.050.C.0.06.2000.00.00.DGER029">1379661.22999954</definedName>
    <definedName name="MOV.050.C.0.06.2000.00.00.DGER030">-1742343.91000175</definedName>
    <definedName name="MOV.050.C.0.06.2000.00.00.DGER031">-1059900.79000092</definedName>
    <definedName name="MOV.050.C.0.06.2000.00.00.DGER032">945183.71999931</definedName>
    <definedName name="MOV.050.C.0.06.2000.00.00.DGER034">1390628.95999908</definedName>
    <definedName name="MOV.050.C.0.06.2000.00.00.DGER048">7607048.94999695</definedName>
    <definedName name="MOV.050.C.0.06.2000.00.00.DGER049">-4774918.55999756</definedName>
    <definedName name="MOV.050.C.0.06.2000.00.00.DGER050.CG4_AREA_ADM">-5434358.20000458</definedName>
    <definedName name="MOV.050.C.0.06.2000.00.00.DGER050.CG4_AREA_COM">-1732641.06000137</definedName>
    <definedName name="MOV.050.C.0.06.2000.00.00.DGER051">-909349.35999966</definedName>
    <definedName name="MOV.050.C.0.06.2000.00.00.DGER052">447444.78000069</definedName>
    <definedName name="MOV.050.C.0.06.2000.00.00.DGER053">-705653.0199995</definedName>
    <definedName name="MOV.050.C.0.06.2000.00.00.DGER054">-1052563.31999969</definedName>
    <definedName name="MOV.050.C.0.06.2000.00.00.DRESPER">3761380.07995605</definedName>
    <definedName name="MOV.050.C.0.07.1998.00.00.3220110">-2483664.16999817</definedName>
    <definedName name="MOV.050.C.0.07.1998.00.00.3220170">-3583863.22999954</definedName>
    <definedName name="MOV.050.C.0.07.1998.00.00.3220180">-3199921.15999985</definedName>
    <definedName name="MOV.050.C.0.07.1998.00.00.3220190">-51688.92000002</definedName>
    <definedName name="MOV.050.C.0.07.1998.00.00.3220200">-562560.11999989</definedName>
    <definedName name="MOV.050.C.0.07.1998.00.00.3220210">0</definedName>
    <definedName name="MOV.050.C.0.07.1998.00.00.3220220">-171665.53999996</definedName>
    <definedName name="MOV.050.C.0.07.1998.00.00.3220230">-232389.58999991</definedName>
    <definedName name="MOV.050.C.0.07.1998.00.00.3220240">-123052.26999998</definedName>
    <definedName name="MOV.050.C.0.07.1998.00.00.3220250">-2427.98</definedName>
    <definedName name="MOV.050.C.0.07.1998.00.00.3220260">-3123085.04999924</definedName>
    <definedName name="MOV.050.C.0.07.1998.00.00.3220550">0</definedName>
    <definedName name="MOV.050.C.0.07.1999.00.00.3211030">-127151.82000005</definedName>
    <definedName name="MOV.050.C.0.07.1999.00.00.3211060">-48151.06999999</definedName>
    <definedName name="MOV.050.C.0.07.1999.00.00.3211110">-112780.34000003</definedName>
    <definedName name="MOV.050.C.0.07.1999.00.00.3211160">-11532.62</definedName>
    <definedName name="MOV.050.C.0.07.1999.00.00.3214500.CG4_42999">-369415.36999989</definedName>
    <definedName name="MOV.050.C.0.07.1999.00.00.3214610">-600</definedName>
    <definedName name="MOV.050.C.0.07.1999.00.00.3214680">-15085.23999999</definedName>
    <definedName name="MOV.050.C.0.07.1999.00.00.3214780">-10650.48999999</definedName>
    <definedName name="MOV.050.C.0.07.1999.00.00.321543">-470603.36000013</definedName>
    <definedName name="MOV.050.C.0.07.1999.00.00.321555">-563443.68999958</definedName>
    <definedName name="MOV.050.C.0.07.1999.00.00.321567">-2842092.43999863</definedName>
    <definedName name="MOV.050.C.0.07.1999.00.00.321577">-190642.94000006</definedName>
    <definedName name="MOV.050.C.0.07.1999.00.00.321582">-36489.11000001</definedName>
    <definedName name="MOV.050.C.0.07.1999.00.00.321800">-31626.11000001</definedName>
    <definedName name="MOV.050.C.0.07.1999.00.00.3220110">-256882.00999999</definedName>
    <definedName name="MOV.050.C.0.07.1999.00.00.3220170">-370390.26999998</definedName>
    <definedName name="MOV.050.C.0.07.1999.00.00.3220180">-182333.56999993</definedName>
    <definedName name="MOV.050.C.0.07.1999.00.00.3220190">0</definedName>
    <definedName name="MOV.050.C.0.07.1999.00.00.3220200">-78071.98000002</definedName>
    <definedName name="MOV.050.C.0.07.1999.00.00.3220210">0</definedName>
    <definedName name="MOV.050.C.0.07.1999.00.00.3220220">-24295.58000001</definedName>
    <definedName name="MOV.050.C.0.07.1999.00.00.3220230">-20926.19999999</definedName>
    <definedName name="MOV.050.C.0.07.1999.00.00.3220240">-444.13</definedName>
    <definedName name="MOV.050.C.0.07.1999.00.00.3220250">-2377.36</definedName>
    <definedName name="MOV.050.C.0.07.1999.00.00.3220260">-1095131.61000061</definedName>
    <definedName name="MOV.050.C.0.07.1999.00.00.3220550">-43368.45999998</definedName>
    <definedName name="MOV.050.C.0.07.1999.00.00.DBREAK01">-2496991.2899971</definedName>
    <definedName name="MOV.050.C.0.07.1999.00.00.DBREAK02">-4057.31</definedName>
    <definedName name="MOV.050.C.0.07.1999.00.00.DBREAK03">-67156.89999998</definedName>
    <definedName name="MOV.050.C.0.07.1999.00.00.DBREAK04">-1745519.26000214</definedName>
    <definedName name="MOV.050.C.0.07.1999.00.00.DBREAK05">-172335.38000011</definedName>
    <definedName name="MOV.050.C.0.07.1999.00.00.DBREAK06">-221179.75</definedName>
    <definedName name="MOV.050.C.0.07.1999.00.00.DBREAK07">-33</definedName>
    <definedName name="MOV.050.C.0.07.1999.00.00.DBREAK08">-231838.63000011</definedName>
    <definedName name="MOV.050.C.0.07.1999.00.00.DBREAK09">166.66</definedName>
    <definedName name="MOV.050.C.0.07.1999.00.00.DBREAK10">-102452.50999999</definedName>
    <definedName name="MOV.050.C.0.07.1999.00.00.DBREAK11">-1696036.55000114</definedName>
    <definedName name="MOV.050.C.0.07.1999.00.00.DBREAK12">-25091.84999999</definedName>
    <definedName name="MOV.050.C.0.07.1999.00.00.DBREAK13">-214060.36999989</definedName>
    <definedName name="MOV.050.C.0.07.1999.00.00.DBREAK14">-880667.7300005</definedName>
    <definedName name="MOV.050.C.0.07.1999.00.00.DBREAK15">-164913.40999985</definedName>
    <definedName name="MOV.050.C.0.07.1999.00.00.DBREAK16">-683308.36999989</definedName>
    <definedName name="MOV.050.C.0.07.1999.00.00.DBREAK17">-263477.17999983</definedName>
    <definedName name="MOV.050.C.0.07.1999.00.00.DBREAK18">-40611.10000002</definedName>
    <definedName name="MOV.050.C.0.07.1999.00.00.DBREAK19">-21719.69</definedName>
    <definedName name="MOV.050.C.0.07.1999.00.00.DBREAK20">-57139.30000007</definedName>
    <definedName name="MOV.050.C.0.07.1999.00.00.DBREAK21">-46954.67000002</definedName>
    <definedName name="MOV.050.C.0.07.1999.00.00.DBREAK22">-191401.16999984</definedName>
    <definedName name="MOV.050.C.0.07.1999.00.00.DBREAK23">-19235.56</definedName>
    <definedName name="MOV.050.C.0.07.1999.00.00.DBREAK24">-188436.46000004</definedName>
    <definedName name="MOV.050.C.0.07.1999.00.00.DBREAK25">-140310.6500001</definedName>
    <definedName name="MOV.050.C.0.07.1999.00.00.DBREAK26">-28289.28999999</definedName>
    <definedName name="MOV.050.C.0.07.1999.00.00.DBREAK27">-27399.03999999</definedName>
    <definedName name="MOV.050.C.0.07.1999.00.00.DBREAK28">-54783.15999997</definedName>
    <definedName name="MOV.050.C.0.07.1999.00.00.DBREAK29">-43875.24000001</definedName>
    <definedName name="MOV.050.C.0.07.1999.00.00.DBREAK30">-22397.37</definedName>
    <definedName name="MOV.050.C.0.07.1999.00.00.DBREAK31">-17148.69999999</definedName>
    <definedName name="MOV.050.C.0.07.1999.00.00.DBREAK32">-72150.74000001</definedName>
    <definedName name="MOV.050.C.0.07.1999.00.00.DBREAK33">-5819695.79000092</definedName>
    <definedName name="MOV.050.C.0.07.1999.00.00.DBREAK34">-2397792.52999878</definedName>
    <definedName name="MOV.050.C.0.07.1999.00.00.DGER003">-43433796.039978</definedName>
    <definedName name="MOV.050.C.0.07.1999.00.00.DGER005">-7292331.38000488</definedName>
    <definedName name="MOV.050.C.0.07.1999.00.00.DGER006">-10589329.0400085</definedName>
    <definedName name="MOV.050.C.0.07.1999.00.00.DGER007">-1531944.21999931</definedName>
    <definedName name="MOV.050.C.0.07.1999.00.00.DGER01">85110782.0800781</definedName>
    <definedName name="MOV.050.C.0.07.1999.00.00.DGER015.CG4_AREA_ADM">-1352815.60000038</definedName>
    <definedName name="MOV.050.C.0.07.1999.00.00.DGER015.CG4_AREA_COM">-223881.86999989</definedName>
    <definedName name="MOV.050.C.0.07.1999.00.00.DGER015.CG4_AREA_FAB">-4242998.31999969</definedName>
    <definedName name="MOV.050.C.0.07.1999.00.00.DGER016">-1114534.92998695</definedName>
    <definedName name="MOV.050.C.0.07.1999.00.00.DGER026">-6501064.06999207</definedName>
    <definedName name="MOV.050.C.0.07.1999.00.00.DGER029">386489.80999994</definedName>
    <definedName name="MOV.050.C.0.07.1999.00.00.DGER030">-1995705.05999756</definedName>
    <definedName name="MOV.050.C.0.07.1999.00.00.DGER031">-781198.05000019</definedName>
    <definedName name="MOV.050.C.0.07.1999.00.00.DGER032">8364.34000003</definedName>
    <definedName name="MOV.050.C.0.07.1999.00.00.DGER034">3463220.84999847</definedName>
    <definedName name="MOV.050.C.0.07.1999.00.00.DGER036">-8721.18000001</definedName>
    <definedName name="MOV.050.C.0.07.1999.00.00.DGER048">3192713.00999832</definedName>
    <definedName name="MOV.050.C.0.07.1999.00.00.DGER049">-4085133.63000488</definedName>
    <definedName name="MOV.050.C.0.07.1999.00.00.DGER050.CG4_AREA_ADM">-4958967.47999573</definedName>
    <definedName name="MOV.050.C.0.07.1999.00.00.DGER050.CG4_AREA_COM">-1254609.30999947</definedName>
    <definedName name="MOV.050.C.0.07.1999.00.00.DGER051">-1193167.77000046</definedName>
    <definedName name="MOV.050.C.0.07.1999.00.00.DGER052">-5387032.36000061</definedName>
    <definedName name="MOV.050.C.0.07.1999.00.00.DGER053">702035.35999966</definedName>
    <definedName name="MOV.050.C.0.07.1999.00.00.DRESPER">-3083457.78001404</definedName>
    <definedName name="MOV.050.C.0.07.2000.00.00.311550">-4340329.84999847</definedName>
    <definedName name="MOV.050.C.0.07.2000.00.00.3214500.CG4_32999">-62279.29000002</definedName>
    <definedName name="MOV.050.C.0.07.2000.00.00.3214500.CG4_33999">-74431.19000006</definedName>
    <definedName name="MOV.050.C.0.07.2000.00.00.3214500.CG4_34999">-22407.15000001</definedName>
    <definedName name="MOV.050.C.0.07.2000.00.00.3214500.CG4_42999">-167686.75</definedName>
    <definedName name="MOV.050.C.0.07.2000.00.00.3214610">-13533.8</definedName>
    <definedName name="MOV.050.C.0.07.2000.00.00.3214680">-13359.15000001</definedName>
    <definedName name="MOV.050.C.0.07.2000.00.00.3214780">-11408.26000001</definedName>
    <definedName name="MOV.050.C.0.07.2000.00.00.3215040">0</definedName>
    <definedName name="MOV.050.C.0.07.2000.00.00.3215400">-8829.86</definedName>
    <definedName name="MOV.050.C.0.07.2000.00.00.321543">4965796.61000061</definedName>
    <definedName name="MOV.050.C.0.07.2000.00.00.3215530">29562.59999999</definedName>
    <definedName name="MOV.050.C.0.07.2000.00.00.321555">-4472658.18000031</definedName>
    <definedName name="MOV.050.C.0.07.2000.00.00.321567">-1667473.82999992</definedName>
    <definedName name="MOV.050.C.0.07.2000.00.00.321577">-365224.92999983</definedName>
    <definedName name="MOV.050.C.0.07.2000.00.00.321582">0</definedName>
    <definedName name="MOV.050.C.0.07.2000.00.00.321800">-3281.53</definedName>
    <definedName name="MOV.050.C.0.07.2000.00.00.3218500">0</definedName>
    <definedName name="MOV.050.C.0.07.2000.00.00.DBREAK01">-13100</definedName>
    <definedName name="MOV.050.C.0.07.2000.00.00.DBREAK02">-31756.06999999</definedName>
    <definedName name="MOV.050.C.0.07.2000.00.00.DBREAK03">-22599.47999999</definedName>
    <definedName name="MOV.050.C.0.07.2000.00.00.DBREAK04">-2150215.3900032</definedName>
    <definedName name="MOV.050.C.0.07.2000.00.00.DBREAK05">-284010.63000011</definedName>
    <definedName name="MOV.050.C.0.07.2000.00.00.DBREAK06">-412242.9000001</definedName>
    <definedName name="MOV.050.C.0.07.2000.00.00.DBREAK07">-3892.8</definedName>
    <definedName name="MOV.050.C.0.07.2000.00.00.DBREAK08">-118057.15999997</definedName>
    <definedName name="MOV.050.C.0.07.2000.00.00.DBREAK09">-201931.20000029</definedName>
    <definedName name="MOV.050.C.0.07.2000.00.00.DBREAK10">-7733.16</definedName>
    <definedName name="MOV.050.C.0.07.2000.00.00.DBREAK11">-1559323.97000313</definedName>
    <definedName name="MOV.050.C.0.07.2000.00.00.DBREAK12">-484929.12999964</definedName>
    <definedName name="MOV.050.C.0.07.2000.00.00.DBREAK13">-232892.15999961</definedName>
    <definedName name="MOV.050.C.0.07.2000.00.00.DBREAK14">-1159673.39999962</definedName>
    <definedName name="MOV.050.C.0.07.2000.00.00.DBREAK15">-102823.14999998</definedName>
    <definedName name="MOV.050.C.0.07.2000.00.00.DBREAK16">-807090.84000015</definedName>
    <definedName name="MOV.050.C.0.07.2000.00.00.DBREAK17">-259561.26000023</definedName>
    <definedName name="MOV.050.C.0.07.2000.00.00.DBREAK18">-51473.34000003</definedName>
    <definedName name="MOV.050.C.0.07.2000.00.00.DBREAK19">-32237.52000001</definedName>
    <definedName name="MOV.050.C.0.07.2000.00.00.DBREAK20">-70980.26000011</definedName>
    <definedName name="MOV.050.C.0.07.2000.00.00.DBREAK21">-48939.49000001</definedName>
    <definedName name="MOV.050.C.0.07.2000.00.00.DBREAK22">-165399.50999999</definedName>
    <definedName name="MOV.050.C.0.07.2000.00.00.DBREAK23">-27728.87</definedName>
    <definedName name="MOV.050.C.0.07.2000.00.00.DBREAK24">-266842.23000002</definedName>
    <definedName name="MOV.050.C.0.07.2000.00.00.DBREAK25">-133896.74999976</definedName>
    <definedName name="MOV.050.C.0.07.2000.00.00.DBREAK26">-60507.55999994</definedName>
    <definedName name="MOV.050.C.0.07.2000.00.00.DBREAK27">-45430.57999998</definedName>
    <definedName name="MOV.050.C.0.07.2000.00.00.DBREAK28">-125029.23000002</definedName>
    <definedName name="MOV.050.C.0.07.2000.00.00.DBREAK29">-111363.93999994</definedName>
    <definedName name="MOV.050.C.0.07.2000.00.00.DBREAK30">-29127.53</definedName>
    <definedName name="MOV.050.C.0.07.2000.00.00.DBREAK31">-29863.70000002</definedName>
    <definedName name="MOV.050.C.0.07.2000.00.00.DBREAK32">-117991.56000006</definedName>
    <definedName name="MOV.050.C.0.07.2000.00.00.DBREAK33">-6011500.29000092</definedName>
    <definedName name="MOV.050.C.0.07.2000.00.00.DBREAK34">-4541687.11999512</definedName>
    <definedName name="MOV.050.C.0.07.2000.00.00.DBREAK36">-49156.47999996</definedName>
    <definedName name="MOV.050.C.0.07.2000.00.00.DBREAK37">-102579.05999994</definedName>
    <definedName name="MOV.050.C.0.07.2000.00.00.DBREAK38">-14079.17999999</definedName>
    <definedName name="MOV.050.C.0.07.2000.00.00.DBREAK39">0</definedName>
    <definedName name="MOV.050.C.0.07.2000.00.00.DGER003">-40306996.3400268</definedName>
    <definedName name="MOV.050.C.0.07.2000.00.00.DGER005">-7051803.81999207</definedName>
    <definedName name="MOV.050.C.0.07.2000.00.00.DGER006">-10359548.6000061</definedName>
    <definedName name="MOV.050.C.0.07.2000.00.00.DGER007">-2262215.38999939</definedName>
    <definedName name="MOV.050.C.0.07.2000.00.00.DGER01">80418244.9699707</definedName>
    <definedName name="MOV.050.C.0.07.2000.00.00.DGER015.CG4_AREA_ADM">-1436522.72999954</definedName>
    <definedName name="MOV.050.C.0.07.2000.00.00.DGER015.CG4_AREA_COM">-234647.71000004</definedName>
    <definedName name="MOV.050.C.0.07.2000.00.00.DGER016">-1931000.84996605</definedName>
    <definedName name="MOV.050.C.0.07.2000.00.00.DGER026">-6110810.05000305</definedName>
    <definedName name="MOV.050.C.0.07.2000.00.00.DGER029">354388.11000013</definedName>
    <definedName name="MOV.050.C.0.07.2000.00.00.DGER030">-1791722.61999893</definedName>
    <definedName name="MOV.050.C.0.07.2000.00.00.DGER031">-841190.64999962</definedName>
    <definedName name="MOV.050.C.0.07.2000.00.00.DGER032">228327.65999985</definedName>
    <definedName name="MOV.050.C.0.07.2000.00.00.DGER034">2049369.14999962</definedName>
    <definedName name="MOV.050.C.0.07.2000.00.00.DGER048">-179124.99999976</definedName>
    <definedName name="MOV.050.C.0.07.2000.00.00.DGER049">-5034112.90000916</definedName>
    <definedName name="MOV.050.C.0.07.2000.00.00.DGER050.CG4_AREA_ADM">-5420212.18000031</definedName>
    <definedName name="MOV.050.C.0.07.2000.00.00.DGER050.CG4_AREA_COM">-1796846.92000008</definedName>
    <definedName name="MOV.050.C.0.07.2000.00.00.DGER051">-1686233.43999863</definedName>
    <definedName name="MOV.050.C.0.07.2000.00.00.DGER052">181709.41999936</definedName>
    <definedName name="MOV.050.C.0.07.2000.00.00.DGER053">-372712.17000055</definedName>
    <definedName name="MOV.050.C.0.07.2000.00.00.DGER054">-809581.28999996</definedName>
    <definedName name="MOV.050.C.0.07.2000.00.00.DRESPER">-8134752.9699707</definedName>
    <definedName name="MOV.050.C.0.07.2001.00.00.311550">-4192606.00999832</definedName>
    <definedName name="MOV.050.C.0.07.2001.00.00.3214500.CG4_32999">-62279.29000002</definedName>
    <definedName name="MOV.050.C.0.07.2001.00.00.3214500.CG4_33999">-74431.19000006</definedName>
    <definedName name="MOV.050.C.0.07.2001.00.00.3214500.CG4_34999">-22407.15000001</definedName>
    <definedName name="MOV.050.C.0.07.2001.00.00.3214500.CG4_42999">-167500.99000001</definedName>
    <definedName name="MOV.050.C.0.07.2001.00.00.3214610">-3509</definedName>
    <definedName name="MOV.050.C.0.07.2001.00.00.3214680">-20682.84999999</definedName>
    <definedName name="MOV.050.C.0.07.2001.00.00.3214780">-20904.56999999</definedName>
    <definedName name="MOV.050.C.0.07.2001.00.00.3215040">-2779.43</definedName>
    <definedName name="MOV.050.C.0.07.2001.00.00.3215400">0</definedName>
    <definedName name="MOV.050.C.0.07.2001.00.00.321543">-332477.98999977</definedName>
    <definedName name="MOV.050.C.0.07.2001.00.00.3215530">0</definedName>
    <definedName name="MOV.050.C.0.07.2001.00.00.321555">-709087.57999992</definedName>
    <definedName name="MOV.050.C.0.07.2001.00.00.321567">-79858.65999997</definedName>
    <definedName name="MOV.050.C.0.07.2001.00.00.321577">-445794.88999987</definedName>
    <definedName name="MOV.050.C.0.07.2001.00.00.321582">0</definedName>
    <definedName name="MOV.050.C.0.07.2001.00.00.321800">-3609.42</definedName>
    <definedName name="MOV.050.C.0.07.2001.00.00.3218500">0</definedName>
    <definedName name="MOV.050.C.0.07.2001.00.00.DBREAK01">-3069236.29000092</definedName>
    <definedName name="MOV.050.C.0.07.2001.00.00.DBREAK02">-93219.8599999</definedName>
    <definedName name="MOV.050.C.0.07.2001.00.00.DBREAK03">-26156</definedName>
    <definedName name="MOV.050.C.0.07.2001.00.00.DBREAK04">-2171220.22000122</definedName>
    <definedName name="MOV.050.C.0.07.2001.00.00.DBREAK05">-173939.08999991</definedName>
    <definedName name="MOV.050.C.0.07.2001.00.00.DBREAK06">-331993.53999996</definedName>
    <definedName name="MOV.050.C.0.07.2001.00.00.DBREAK07">0</definedName>
    <definedName name="MOV.050.C.0.07.2001.00.00.DBREAK08">-12165.23</definedName>
    <definedName name="MOV.050.C.0.07.2001.00.00.DBREAK09">-295237.61000013</definedName>
    <definedName name="MOV.050.C.0.07.2001.00.00.DBREAK10">-25918.98999995</definedName>
    <definedName name="MOV.050.C.0.07.2001.00.00.DBREAK11">-1578720.96000099</definedName>
    <definedName name="MOV.050.C.0.07.2001.00.00.DBREAK12">-690402.0199995</definedName>
    <definedName name="MOV.050.C.0.07.2001.00.00.DBREAK13">-290475.80999947</definedName>
    <definedName name="MOV.050.C.0.07.2001.00.00.DBREAK14">-1174515.86000061</definedName>
    <definedName name="MOV.050.C.0.07.2001.00.00.DBREAK15">-30040.68000001</definedName>
    <definedName name="MOV.050.C.0.07.2001.00.00.DBREAK16">-445451.48999977</definedName>
    <definedName name="MOV.050.C.0.07.2001.00.00.DBREAK17">-248216.72999978</definedName>
    <definedName name="MOV.050.C.0.07.2001.00.00.DBREAK18">-48608.91000003</definedName>
    <definedName name="MOV.050.C.0.07.2001.00.00.DBREAK19">-26563.75</definedName>
    <definedName name="MOV.050.C.0.07.2001.00.00.DBREAK20">-70557.63</definedName>
    <definedName name="MOV.050.C.0.07.2001.00.00.DBREAK21">-58419.55000001</definedName>
    <definedName name="MOV.050.C.0.07.2001.00.00.DBREAK22">-313566.50999975</definedName>
    <definedName name="MOV.050.C.0.07.2001.00.00.DBREAK23">-27608.66999999</definedName>
    <definedName name="MOV.050.C.0.07.2001.00.00.DBREAK24">-282968.21999979</definedName>
    <definedName name="MOV.050.C.0.07.2001.00.00.DBREAK25">-147577.85000062</definedName>
    <definedName name="MOV.050.C.0.07.2001.00.00.DBREAK26">-28501.11000007</definedName>
    <definedName name="MOV.050.C.0.07.2001.00.00.DBREAK27">-54393.51999998</definedName>
    <definedName name="MOV.050.C.0.07.2001.00.00.DBREAK28">-103388.25000012</definedName>
    <definedName name="MOV.050.C.0.07.2001.00.00.DBREAK29">-80778.79000008</definedName>
    <definedName name="MOV.050.C.0.07.2001.00.00.DBREAK30">-24883.03</definedName>
    <definedName name="MOV.050.C.0.07.2001.00.00.DBREAK31">-22966.09</definedName>
    <definedName name="MOV.050.C.0.07.2001.00.00.DBREAK32">-110136.18999994</definedName>
    <definedName name="MOV.050.C.0.07.2001.00.00.DBREAK33">-5777697.84999847</definedName>
    <definedName name="MOV.050.C.0.07.2001.00.00.DBREAK34">-4961342.13999939</definedName>
    <definedName name="MOV.050.C.0.07.2001.00.00.DBREAK36">-49012.95999998</definedName>
    <definedName name="MOV.050.C.0.07.2001.00.00.DBREAK37">-138025.6400001</definedName>
    <definedName name="MOV.050.C.0.07.2001.00.00.DBREAK38">-14134.58</definedName>
    <definedName name="MOV.050.C.0.07.2001.00.00.DBREAK39">-141558.75999999</definedName>
    <definedName name="MOV.050.C.0.07.2001.00.00.DGER003">-45449177.869934</definedName>
    <definedName name="MOV.050.C.0.07.2001.00.00.DGER005">-9190585.27000427</definedName>
    <definedName name="MOV.050.C.0.07.2001.00.00.DGER006">-17210412.1299743</definedName>
    <definedName name="MOV.050.C.0.07.2001.00.00.DGER007">-2208145.52000046</definedName>
    <definedName name="MOV.050.C.0.07.2001.00.00.DGER01">101194843.810058</definedName>
    <definedName name="MOV.050.C.0.07.2001.00.00.DGER015.CG4_AREA_ADM">-1347172.98999977</definedName>
    <definedName name="MOV.050.C.0.07.2001.00.00.DGER015.CG4_AREA_COM">-237918.8499999</definedName>
    <definedName name="MOV.050.C.0.07.2001.00.00.DGER016">1720007.35996628</definedName>
    <definedName name="MOV.050.C.0.07.2001.00.00.DGER026">-6528561.25999451</definedName>
    <definedName name="MOV.050.C.0.07.2001.00.00.DGER029">177906.85000038</definedName>
    <definedName name="MOV.050.C.0.07.2001.00.00.DGER030">-1829550.71999931</definedName>
    <definedName name="MOV.050.C.0.07.2001.00.00.DGER031">-565150.94000053</definedName>
    <definedName name="MOV.050.C.0.07.2001.00.00.DGER032">39177.69</definedName>
    <definedName name="MOV.050.C.0.07.2001.00.00.DGER034">0</definedName>
    <definedName name="MOV.050.C.0.07.2001.00.00.DGER048">31857.39999962</definedName>
    <definedName name="MOV.050.C.0.07.2001.00.00.DGER049">-5290042.37998962</definedName>
    <definedName name="MOV.050.C.0.07.2001.00.00.DGER050.CG4_AREA_ADM">-5415894.35998535</definedName>
    <definedName name="MOV.050.C.0.07.2001.00.00.DGER050.CG4_AREA_COM">-1450871.31000137</definedName>
    <definedName name="MOV.050.C.0.07.2001.00.00.DGER051">-2318881.03000259</definedName>
    <definedName name="MOV.050.C.0.07.2001.00.00.DGER054">-678082.55000019</definedName>
    <definedName name="MOV.050.C.0.07.2001.00.00.DGER055">-2025514.82999802</definedName>
    <definedName name="MOV.050.C.0.07.2001.00.00.DGER056">252519.24000025</definedName>
    <definedName name="MOV.050.C.0.07.2001.00.00.DGER057">-13817663.3900146</definedName>
    <definedName name="MOV.050.C.0.07.2001.00.00.DRESPER">-16635156.6700439</definedName>
    <definedName name="MOV.050.C.0.08.1998.00.00.3220110">-2838856.29000092</definedName>
    <definedName name="MOV.050.C.0.08.1998.00.00.3220170">-3949506.40000153</definedName>
    <definedName name="MOV.050.C.0.08.1998.00.00.3220180">-3369104.59999847</definedName>
    <definedName name="MOV.050.C.0.08.1998.00.00.3220190">-51688.92000002</definedName>
    <definedName name="MOV.050.C.0.08.1998.00.00.3220200">-574260.72000027</definedName>
    <definedName name="MOV.050.C.0.08.1998.00.00.3220210">0</definedName>
    <definedName name="MOV.050.C.0.08.1998.00.00.3220220">-193958.29999995</definedName>
    <definedName name="MOV.050.C.0.08.1998.00.00.3220230">-254008.5999999</definedName>
    <definedName name="MOV.050.C.0.08.1998.00.00.3220240">-134574.97000003</definedName>
    <definedName name="MOV.050.C.0.08.1998.00.00.3220250">-2427.98</definedName>
    <definedName name="MOV.050.C.0.08.1998.00.00.3220260">-3539379.33000183</definedName>
    <definedName name="MOV.050.C.0.08.1998.00.00.3220550">0</definedName>
    <definedName name="MOV.050.C.0.08.1999.00.00.3211030">-130221.09000003</definedName>
    <definedName name="MOV.050.C.0.08.1999.00.00.3211060">-48410.54000002</definedName>
    <definedName name="MOV.050.C.0.08.1999.00.00.3211110">-116443.77999997</definedName>
    <definedName name="MOV.050.C.0.08.1999.00.00.3211160">-13060.78</definedName>
    <definedName name="MOV.050.C.0.08.1999.00.00.3214500.CG4_42999">-369415.90999985</definedName>
    <definedName name="MOV.050.C.0.08.1999.00.00.3214610">-2484.8</definedName>
    <definedName name="MOV.050.C.0.08.1999.00.00.3214680">-22107.19</definedName>
    <definedName name="MOV.050.C.0.08.1999.00.00.3214780">-14310.3</definedName>
    <definedName name="MOV.050.C.0.08.1999.00.00.321543">387511.46999979</definedName>
    <definedName name="MOV.050.C.0.08.1999.00.00.3215530">0</definedName>
    <definedName name="MOV.050.C.0.08.1999.00.00.321555">-26257.34</definedName>
    <definedName name="MOV.050.C.0.08.1999.00.00.321567">-3074544.90000153</definedName>
    <definedName name="MOV.050.C.0.08.1999.00.00.321577">-180514.44000006</definedName>
    <definedName name="MOV.050.C.0.08.1999.00.00.321582">-91777.24000001</definedName>
    <definedName name="MOV.050.C.0.08.1999.00.00.321800">-10369.63</definedName>
    <definedName name="MOV.050.C.0.08.1999.00.00.3220110">-247150.07999992</definedName>
    <definedName name="MOV.050.C.0.08.1999.00.00.3220170">-366834.78999996</definedName>
    <definedName name="MOV.050.C.0.08.1999.00.00.3220180">-375207.40999985</definedName>
    <definedName name="MOV.050.C.0.08.1999.00.00.3220190">0</definedName>
    <definedName name="MOV.050.C.0.08.1999.00.00.3220200">-641.44</definedName>
    <definedName name="MOV.050.C.0.08.1999.00.00.3220210">0</definedName>
    <definedName name="MOV.050.C.0.08.1999.00.00.3220220">-24357.5</definedName>
    <definedName name="MOV.050.C.0.08.1999.00.00.3220230">-17264.66999999</definedName>
    <definedName name="MOV.050.C.0.08.1999.00.00.3220240">-1311.43</definedName>
    <definedName name="MOV.050.C.0.08.1999.00.00.3220250">0</definedName>
    <definedName name="MOV.050.C.0.08.1999.00.00.3220260">-1443426.05999947</definedName>
    <definedName name="MOV.050.C.0.08.1999.00.00.3220550">-40282.5099999899</definedName>
    <definedName name="MOV.050.C.0.08.1999.00.00.DBREAK01">-2660247.13000107</definedName>
    <definedName name="MOV.050.C.0.08.1999.00.00.DBREAK02">-13710.02000001</definedName>
    <definedName name="MOV.050.C.0.08.1999.00.00.DBREAK03">-35283.86000001</definedName>
    <definedName name="MOV.050.C.0.08.1999.00.00.DBREAK04">-2152009.43999863</definedName>
    <definedName name="MOV.050.C.0.08.1999.00.00.DBREAK05">-186519.31999993</definedName>
    <definedName name="MOV.050.C.0.08.1999.00.00.DBREAK06">-180235.23000002</definedName>
    <definedName name="MOV.050.C.0.08.1999.00.00.DBREAK07">-162</definedName>
    <definedName name="MOV.050.C.0.08.1999.00.00.DBREAK08">-106061.82999992</definedName>
    <definedName name="MOV.050.C.0.08.1999.00.00.DBREAK09">-44300</definedName>
    <definedName name="MOV.050.C.0.08.1999.00.00.DBREAK10">-20974.27000001</definedName>
    <definedName name="MOV.050.C.0.08.1999.00.00.DBREAK11">-1718959.61999893</definedName>
    <definedName name="MOV.050.C.0.08.1999.00.00.DBREAK12">-6011.39</definedName>
    <definedName name="MOV.050.C.0.08.1999.00.00.DBREAK13">-223286.56999993</definedName>
    <definedName name="MOV.050.C.0.08.1999.00.00.DBREAK14">-808272.33000088</definedName>
    <definedName name="MOV.050.C.0.08.1999.00.00.DBREAK15">-171153.95000005</definedName>
    <definedName name="MOV.050.C.0.08.1999.00.00.DBREAK16">-574008.60000038</definedName>
    <definedName name="MOV.050.C.0.08.1999.00.00.DBREAK17">-280039.51999998</definedName>
    <definedName name="MOV.050.C.0.08.1999.00.00.DBREAK18">-82114.38</definedName>
    <definedName name="MOV.050.C.0.08.1999.00.00.DBREAK19">-25379.56</definedName>
    <definedName name="MOV.050.C.0.08.1999.00.00.DBREAK20">-46184.46999997</definedName>
    <definedName name="MOV.050.C.0.08.1999.00.00.DBREAK21">-46637.27999997</definedName>
    <definedName name="MOV.050.C.0.08.1999.00.00.DBREAK22">-204718.47000003</definedName>
    <definedName name="MOV.050.C.0.08.1999.00.00.DBREAK23">-20167.88999999</definedName>
    <definedName name="MOV.050.C.0.08.1999.00.00.DBREAK24">-243569.26999998</definedName>
    <definedName name="MOV.050.C.0.08.1999.00.00.DBREAK25">-74759.00999987</definedName>
    <definedName name="MOV.050.C.0.08.1999.00.00.DBREAK26">-15369.97</definedName>
    <definedName name="MOV.050.C.0.08.1999.00.00.DBREAK27">-36714.43000001</definedName>
    <definedName name="MOV.050.C.0.08.1999.00.00.DBREAK28">-61537.98000002</definedName>
    <definedName name="MOV.050.C.0.08.1999.00.00.DBREAK29">-71534.17999995</definedName>
    <definedName name="MOV.050.C.0.08.1999.00.00.DBREAK30">-30075.43000001</definedName>
    <definedName name="MOV.050.C.0.08.1999.00.00.DBREAK31">-16284.55999999</definedName>
    <definedName name="MOV.050.C.0.08.1999.00.00.DBREAK32">-48776.15000004</definedName>
    <definedName name="MOV.050.C.0.08.1999.00.00.DBREAK33">-5789401.1800003</definedName>
    <definedName name="MOV.050.C.0.08.1999.00.00.DBREAK34">-4178467.58999634</definedName>
    <definedName name="MOV.050.C.0.08.1999.00.00.DGER003">-50001056.3699951</definedName>
    <definedName name="MOV.050.C.0.08.1999.00.00.DGER005">-9261515.80999756</definedName>
    <definedName name="MOV.050.C.0.08.1999.00.00.DGER006">-14707853.1200103</definedName>
    <definedName name="MOV.050.C.0.08.1999.00.00.DGER007">-1715210.3900013</definedName>
    <definedName name="MOV.050.C.0.08.1999.00.00.DGER01">98586690.9299316</definedName>
    <definedName name="MOV.050.C.0.08.1999.00.00.DGER015.CG4_AREA_ADM">-1317021.11000061</definedName>
    <definedName name="MOV.050.C.0.08.1999.00.00.DGER015.CG4_AREA_COM">-224203.38000011</definedName>
    <definedName name="MOV.050.C.0.08.1999.00.00.DGER015.CG4_AREA_FAB">-4248176.69000244</definedName>
    <definedName name="MOV.050.C.0.08.1999.00.00.DGER016">2835711.20000839</definedName>
    <definedName name="MOV.050.C.0.08.1999.00.00.DGER026">-7164050.03999329</definedName>
    <definedName name="MOV.050.C.0.08.1999.00.00.DGER029">537397.30999851</definedName>
    <definedName name="MOV.050.C.0.08.1999.00.00.DGER030">-2514523.01999664</definedName>
    <definedName name="MOV.050.C.0.08.1999.00.00.DGER031">-779383.52000046</definedName>
    <definedName name="MOV.050.C.0.08.1999.00.00.DGER032">1621286.54000092</definedName>
    <definedName name="MOV.050.C.0.08.1999.00.00.DGER034">2320058.81000137</definedName>
    <definedName name="MOV.050.C.0.08.1999.00.00.DGER036">12842.77</definedName>
    <definedName name="MOV.050.C.0.08.1999.00.00.DGER048">2191993.02999878</definedName>
    <definedName name="MOV.050.C.0.08.1999.00.00.DGER049">-4234879.69999695</definedName>
    <definedName name="MOV.050.C.0.08.1999.00.00.DGER050.CG4_AREA_ADM">-5021059.88999939</definedName>
    <definedName name="MOV.050.C.0.08.1999.00.00.DGER050.CG4_AREA_COM">-1262268.63000107</definedName>
    <definedName name="MOV.050.C.0.08.1999.00.00.DGER051">-1599010.18999863</definedName>
    <definedName name="MOV.050.C.0.08.1999.00.00.DGER052">-16360773.3899993</definedName>
    <definedName name="MOV.050.C.0.08.1999.00.00.DGER053">3031742.2899971</definedName>
    <definedName name="MOV.050.C.0.08.1999.00.00.DRESPER">-9317562.75999451</definedName>
    <definedName name="MOV.050.C.0.08.2000.00.00.311550">-4359268.80000305</definedName>
    <definedName name="MOV.050.C.0.08.2000.00.00.3214500.CG4_32999">-62279.29000002</definedName>
    <definedName name="MOV.050.C.0.08.2000.00.00.3214500.CG4_33999">-74431.19000006</definedName>
    <definedName name="MOV.050.C.0.08.2000.00.00.3214500.CG4_34999">-22407.15000001</definedName>
    <definedName name="MOV.050.C.0.08.2000.00.00.3214500.CG4_42999">-167686.75</definedName>
    <definedName name="MOV.050.C.0.08.2000.00.00.3214610">-16525.00999999</definedName>
    <definedName name="MOV.050.C.0.08.2000.00.00.3214680">-22355.15000001</definedName>
    <definedName name="MOV.050.C.0.08.2000.00.00.3214780">-18980.46000001</definedName>
    <definedName name="MOV.050.C.0.08.2000.00.00.3215040">0</definedName>
    <definedName name="MOV.050.C.0.08.2000.00.00.3215400">0</definedName>
    <definedName name="MOV.050.C.0.08.2000.00.00.321543">-1056222.64999962</definedName>
    <definedName name="MOV.050.C.0.08.2000.00.00.3215530">-18256</definedName>
    <definedName name="MOV.050.C.0.08.2000.00.00.321555">-3884181.59999847</definedName>
    <definedName name="MOV.050.C.0.08.2000.00.00.321567">-1374091.23999977</definedName>
    <definedName name="MOV.050.C.0.08.2000.00.00.321577">-377301.11999989</definedName>
    <definedName name="MOV.050.C.0.08.2000.00.00.321582">0</definedName>
    <definedName name="MOV.050.C.0.08.2000.00.00.321800">-42865.24000001</definedName>
    <definedName name="MOV.050.C.0.08.2000.00.00.3218500">-2513000</definedName>
    <definedName name="MOV.050.C.0.08.2000.00.00.DBREAK01">-3224459.58000183</definedName>
    <definedName name="MOV.050.C.0.08.2000.00.00.DBREAK02">-41483.34999996</definedName>
    <definedName name="MOV.050.C.0.08.2000.00.00.DBREAK03">0</definedName>
    <definedName name="MOV.050.C.0.08.2000.00.00.DBREAK04">-2261758.3599968</definedName>
    <definedName name="MOV.050.C.0.08.2000.00.00.DBREAK05">-370698.32000017</definedName>
    <definedName name="MOV.050.C.0.08.2000.00.00.DBREAK06">-18368.71999997</definedName>
    <definedName name="MOV.050.C.0.08.2000.00.00.DBREAK07">0</definedName>
    <definedName name="MOV.050.C.0.08.2000.00.00.DBREAK08">-46151.0099999899</definedName>
    <definedName name="MOV.050.C.0.08.2000.00.00.DBREAK09">-240822.88000011</definedName>
    <definedName name="MOV.050.C.0.08.2000.00.00.DBREAK10">-9248.88</definedName>
    <definedName name="MOV.050.C.0.08.2000.00.00.DBREAK11">-1459941.27000046</definedName>
    <definedName name="MOV.050.C.0.08.2000.00.00.DBREAK12">-523850.4199996</definedName>
    <definedName name="MOV.050.C.0.08.2000.00.00.DBREAK13">-259331.83000016</definedName>
    <definedName name="MOV.050.C.0.08.2000.00.00.DBREAK14">-925803.70999908</definedName>
    <definedName name="MOV.050.C.0.08.2000.00.00.DBREAK15">-95125.56000006</definedName>
    <definedName name="MOV.050.C.0.08.2000.00.00.DBREAK16">-1642713.99999809</definedName>
    <definedName name="MOV.050.C.0.08.2000.00.00.DBREAK17">-223418.07999992</definedName>
    <definedName name="MOV.050.C.0.08.2000.00.00.DBREAK18">-44257.27999997</definedName>
    <definedName name="MOV.050.C.0.08.2000.00.00.DBREAK19">-37072.49000001</definedName>
    <definedName name="MOV.050.C.0.08.2000.00.00.DBREAK20">-66706.68999994</definedName>
    <definedName name="MOV.050.C.0.08.2000.00.00.DBREAK21">-48451.75</definedName>
    <definedName name="MOV.050.C.0.08.2000.00.00.DBREAK22">-216670.06999993</definedName>
    <definedName name="MOV.050.C.0.08.2000.00.00.DBREAK23">-29777.97</definedName>
    <definedName name="MOV.050.C.0.08.2000.00.00.DBREAK24">-319918.34000015</definedName>
    <definedName name="MOV.050.C.0.08.2000.00.00.DBREAK25">-112250.7700001</definedName>
    <definedName name="MOV.050.C.0.08.2000.00.00.DBREAK26">-30766.23999998</definedName>
    <definedName name="MOV.050.C.0.08.2000.00.00.DBREAK27">-55230.02000004</definedName>
    <definedName name="MOV.050.C.0.08.2000.00.00.DBREAK28">-151433.96000004</definedName>
    <definedName name="MOV.050.C.0.08.2000.00.00.DBREAK29">-184973.17999983</definedName>
    <definedName name="MOV.050.C.0.08.2000.00.00.DBREAK30">-43903.04000002</definedName>
    <definedName name="MOV.050.C.0.08.2000.00.00.DBREAK31">-39481.17000002</definedName>
    <definedName name="MOV.050.C.0.08.2000.00.00.DBREAK32">137472.30000019</definedName>
    <definedName name="MOV.050.C.0.08.2000.00.00.DBREAK33">-6047157.07000732</definedName>
    <definedName name="MOV.050.C.0.08.2000.00.00.DBREAK34">-3437465.26000977</definedName>
    <definedName name="MOV.050.C.0.08.2000.00.00.DBREAK36">11467.44</definedName>
    <definedName name="MOV.050.C.0.08.2000.00.00.DBREAK37">-180270.52999997</definedName>
    <definedName name="MOV.050.C.0.08.2000.00.00.DBREAK38">833.97</definedName>
    <definedName name="MOV.050.C.0.08.2000.00.00.DBREAK39">13688.10000001</definedName>
    <definedName name="MOV.050.C.0.08.2000.00.00.DGER003">-46564159.5900268</definedName>
    <definedName name="MOV.050.C.0.08.2000.00.00.DGER005">-8481568.13000488</definedName>
    <definedName name="MOV.050.C.0.08.2000.00.00.DGER006">-12670597.4300079</definedName>
    <definedName name="MOV.050.C.0.08.2000.00.00.DGER007">-2358217.20000076</definedName>
    <definedName name="MOV.050.C.0.08.2000.00.00.DGER01">92846471.8000488</definedName>
    <definedName name="MOV.050.C.0.08.2000.00.00.DGER015.CG4_AREA_ADM">-1452768.88999939</definedName>
    <definedName name="MOV.050.C.0.08.2000.00.00.DGER015.CG4_AREA_COM">-235119.38000011</definedName>
    <definedName name="MOV.050.C.0.08.2000.00.00.DGER016">-1444313.98000145</definedName>
    <definedName name="MOV.050.C.0.08.2000.00.00.DGER026">-10111005.8700256</definedName>
    <definedName name="MOV.050.C.0.08.2000.00.00.DGER029">390134.14999866</definedName>
    <definedName name="MOV.050.C.0.08.2000.00.00.DGER030">-2433287.26000214</definedName>
    <definedName name="MOV.050.C.0.08.2000.00.00.DGER031">-782469.36000061</definedName>
    <definedName name="MOV.050.C.0.08.2000.00.00.DGER032">62566.38999999</definedName>
    <definedName name="MOV.050.C.0.08.2000.00.00.DGER034">126707.5</definedName>
    <definedName name="MOV.050.C.0.08.2000.00.00.DGER048">1669519.13000298</definedName>
    <definedName name="MOV.050.C.0.08.2000.00.00.DGER049">-4569021.42001343</definedName>
    <definedName name="MOV.050.C.0.08.2000.00.00.DGER050.CG4_AREA_ADM">-6418344.36999512</definedName>
    <definedName name="MOV.050.C.0.08.2000.00.00.DGER050.CG4_AREA_COM">-1613414.84999847</definedName>
    <definedName name="MOV.050.C.0.08.2000.00.00.DGER051">-1914302.5</definedName>
    <definedName name="MOV.050.C.0.08.2000.00.00.DGER052">-6967073.94000244</definedName>
    <definedName name="MOV.050.C.0.08.2000.00.00.DGER053">1115939.25</definedName>
    <definedName name="MOV.050.C.0.08.2000.00.00.DGER054">-3189676.47999954</definedName>
    <definedName name="MOV.050.C.0.08.2000.00.00.DRESPER">-16404417.6300048</definedName>
    <definedName name="MOV.050.C.0.08.2001.00.00.311550">-4214100.58000183</definedName>
    <definedName name="MOV.050.C.0.08.2001.00.00.3214500.CG4_32999">-62279.29000002</definedName>
    <definedName name="MOV.050.C.0.08.2001.00.00.3214500.CG4_33999">-74431.19000006</definedName>
    <definedName name="MOV.050.C.0.08.2001.00.00.3214500.CG4_34999">-22407.15000001</definedName>
    <definedName name="MOV.050.C.0.08.2001.00.00.3214500.CG4_42999">-167500.99000001</definedName>
    <definedName name="MOV.050.C.0.08.2001.00.00.3214610">-17446.40000001</definedName>
    <definedName name="MOV.050.C.0.08.2001.00.00.3214680">-9579.59999999</definedName>
    <definedName name="MOV.050.C.0.08.2001.00.00.3214780">-24885.68000001</definedName>
    <definedName name="MOV.050.C.0.08.2001.00.00.3215040">-2127.93</definedName>
    <definedName name="MOV.050.C.0.08.2001.00.00.3215400">0</definedName>
    <definedName name="MOV.050.C.0.08.2001.00.00.321543">-293946.80000019</definedName>
    <definedName name="MOV.050.C.0.08.2001.00.00.3215530">0</definedName>
    <definedName name="MOV.050.C.0.08.2001.00.00.321555">-1857276.70000076</definedName>
    <definedName name="MOV.050.C.0.08.2001.00.00.321567">-127942.28999996</definedName>
    <definedName name="MOV.050.C.0.08.2001.00.00.321577">-336248.15999985</definedName>
    <definedName name="MOV.050.C.0.08.2001.00.00.321582">0</definedName>
    <definedName name="MOV.050.C.0.08.2001.00.00.321800">-52452.36000001</definedName>
    <definedName name="MOV.050.C.0.08.2001.00.00.3218500">0</definedName>
    <definedName name="MOV.050.C.0.08.2001.00.00.DBREAK01">-3321601.52000046</definedName>
    <definedName name="MOV.050.C.0.08.2001.00.00.DBREAK02">-76627.82000005</definedName>
    <definedName name="MOV.050.C.0.08.2001.00.00.DBREAK03">-2800</definedName>
    <definedName name="MOV.050.C.0.08.2001.00.00.DBREAK04">-2466596.55999756</definedName>
    <definedName name="MOV.050.C.0.08.2001.00.00.DBREAK05">-214761.68999982</definedName>
    <definedName name="MOV.050.C.0.08.2001.00.00.DBREAK06">-314957.72999954</definedName>
    <definedName name="MOV.050.C.0.08.2001.00.00.DBREAK07">-239.5</definedName>
    <definedName name="MOV.050.C.0.08.2001.00.00.DBREAK08">-15342.73</definedName>
    <definedName name="MOV.050.C.0.08.2001.00.00.DBREAK09">-2104697.07000351</definedName>
    <definedName name="MOV.050.C.0.08.2001.00.00.DBREAK10">-21904.03999999</definedName>
    <definedName name="MOV.050.C.0.08.2001.00.00.DBREAK11">-536963.07999992</definedName>
    <definedName name="MOV.050.C.0.08.2001.00.00.DBREAK12">-704571.06000042</definedName>
    <definedName name="MOV.050.C.0.08.2001.00.00.DBREAK13">-372277.13999939</definedName>
    <definedName name="MOV.050.C.0.08.2001.00.00.DBREAK14">-1046233.86000061</definedName>
    <definedName name="MOV.050.C.0.08.2001.00.00.DBREAK15">-26204.33000001</definedName>
    <definedName name="MOV.050.C.0.08.2001.00.00.DBREAK16">-536896.03999996</definedName>
    <definedName name="MOV.050.C.0.08.2001.00.00.DBREAK17">-175863.60000014</definedName>
    <definedName name="MOV.050.C.0.08.2001.00.00.DBREAK18">-78787.37</definedName>
    <definedName name="MOV.050.C.0.08.2001.00.00.DBREAK19">-27227.69999999</definedName>
    <definedName name="MOV.050.C.0.08.2001.00.00.DBREAK20">-86205.8499999</definedName>
    <definedName name="MOV.050.C.0.08.2001.00.00.DBREAK21">-43363.76999998</definedName>
    <definedName name="MOV.050.C.0.08.2001.00.00.DBREAK22">-368099.88999987</definedName>
    <definedName name="MOV.050.C.0.08.2001.00.00.DBREAK23">-27306.72999999</definedName>
    <definedName name="MOV.050.C.0.08.2001.00.00.DBREAK24">-279562.57999992</definedName>
    <definedName name="MOV.050.C.0.08.2001.00.00.DBREAK25">-280026.98999929</definedName>
    <definedName name="MOV.050.C.0.08.2001.00.00.DBREAK26">-36951.7100001</definedName>
    <definedName name="MOV.050.C.0.08.2001.00.00.DBREAK27">-72078.25999999</definedName>
    <definedName name="MOV.050.C.0.08.2001.00.00.DBREAK28">-149855.8900001</definedName>
    <definedName name="MOV.050.C.0.08.2001.00.00.DBREAK29">-86635.58000004</definedName>
    <definedName name="MOV.050.C.0.08.2001.00.00.DBREAK30">-27053.25</definedName>
    <definedName name="MOV.050.C.0.08.2001.00.00.DBREAK31">-52586.42000002</definedName>
    <definedName name="MOV.050.C.0.08.2001.00.00.DBREAK32">-1676503.93000221</definedName>
    <definedName name="MOV.050.C.0.08.2001.00.00.DBREAK33">-5820565.25</definedName>
    <definedName name="MOV.050.C.0.08.2001.00.00.DBREAK34">-3535399.70000076</definedName>
    <definedName name="MOV.050.C.0.08.2001.00.00.DBREAK36">-49332.03000003</definedName>
    <definedName name="MOV.050.C.0.08.2001.00.00.DBREAK37">-148613.79999995</definedName>
    <definedName name="MOV.050.C.0.08.2001.00.00.DBREAK38">-14615.03</definedName>
    <definedName name="MOV.050.C.0.08.2001.00.00.DBREAK39">-145559.95000005</definedName>
    <definedName name="MOV.050.C.0.08.2001.00.00.DGER003">-53062663.8700561</definedName>
    <definedName name="MOV.050.C.0.08.2001.00.00.DGER005">-11568963.4599914</definedName>
    <definedName name="MOV.050.C.0.08.2001.00.00.DGER006">-15534198.9000091</definedName>
    <definedName name="MOV.050.C.0.08.2001.00.00.DGER007">-2705138.42000198</definedName>
    <definedName name="MOV.050.C.0.08.2001.00.00.DGER01">117548906.890136</definedName>
    <definedName name="MOV.050.C.0.08.2001.00.00.DGER015.CG4_AREA_ADM">-1354238.90999985</definedName>
    <definedName name="MOV.050.C.0.08.2001.00.00.DGER015.CG4_AREA_COM">-252225.75999999</definedName>
    <definedName name="MOV.050.C.0.08.2001.00.00.DGER016">-1533954.40995216</definedName>
    <definedName name="MOV.050.C.0.08.2001.00.00.DGER026">-6150813.65000153</definedName>
    <definedName name="MOV.050.C.0.08.2001.00.00.DGER029">333531.97000074</definedName>
    <definedName name="MOV.050.C.0.08.2001.00.00.DGER030">-1902321.19000053</definedName>
    <definedName name="MOV.050.C.0.08.2001.00.00.DGER031">-848422.82999992</definedName>
    <definedName name="MOV.050.C.0.08.2001.00.00.DGER032">252556.10000014</definedName>
    <definedName name="MOV.050.C.0.08.2001.00.00.DGER034">0</definedName>
    <definedName name="MOV.050.C.0.08.2001.00.00.DGER048">-81715.60999918</definedName>
    <definedName name="MOV.050.C.0.08.2001.00.00.DGER049">-5709283.12999725</definedName>
    <definedName name="MOV.050.C.0.08.2001.00.00.DGER050.CG4_AREA_ADM">-6165946.31999207</definedName>
    <definedName name="MOV.050.C.0.08.2001.00.00.DGER050.CG4_AREA_COM">-1715469.95000267</definedName>
    <definedName name="MOV.050.C.0.08.2001.00.00.DGER051">-3629758.22999954</definedName>
    <definedName name="MOV.050.C.0.08.2001.00.00.DGER054">-978854.42000008</definedName>
    <definedName name="MOV.050.C.0.08.2001.00.00.DGER055">-2973488.73000336</definedName>
    <definedName name="MOV.050.C.0.08.2001.00.00.DGER056">398864.84000063</definedName>
    <definedName name="MOV.050.C.0.08.2001.00.00.DGER057">-13557749.1499939</definedName>
    <definedName name="MOV.050.C.0.08.2001.00.00.DRESPER">-17510454.9499816</definedName>
    <definedName name="MOV.050.C.0.09.1998.00.00.3220110">-3169671.49000168</definedName>
    <definedName name="MOV.050.C.0.09.1998.00.00.3220170">-4316096.58999634</definedName>
    <definedName name="MOV.050.C.0.09.1998.00.00.3220180">-3545073.61999893</definedName>
    <definedName name="MOV.050.C.0.09.1998.00.00.3220190">-53183.77999997</definedName>
    <definedName name="MOV.050.C.0.09.1998.00.00.3220200">-587922.86999989</definedName>
    <definedName name="MOV.050.C.0.09.1998.00.00.3220210">0</definedName>
    <definedName name="MOV.050.C.0.09.1998.00.00.3220220">-219344.53999996</definedName>
    <definedName name="MOV.050.C.0.09.1998.00.00.3220230">-274801.63000011</definedName>
    <definedName name="MOV.050.C.0.09.1998.00.00.3220240">-153457.80999994</definedName>
    <definedName name="MOV.050.C.0.09.1998.00.00.3220250">-6402.27</definedName>
    <definedName name="MOV.050.C.0.09.1998.00.00.3220260">-3937415.84999847</definedName>
    <definedName name="MOV.050.C.0.09.1998.00.00.3220550">0</definedName>
    <definedName name="MOV.050.C.0.09.1999.00.00.3211030">-135957.63000011</definedName>
    <definedName name="MOV.050.C.0.09.1999.00.00.3211060">-49665.82999998</definedName>
    <definedName name="MOV.050.C.0.09.1999.00.00.3211110">-106242.36000001</definedName>
    <definedName name="MOV.050.C.0.09.1999.00.00.3211160">-12936.37</definedName>
    <definedName name="MOV.050.C.0.09.1999.00.00.3214500.CG4_42999">-369445.32999992</definedName>
    <definedName name="MOV.050.C.0.09.1999.00.00.3214610">-9476.8</definedName>
    <definedName name="MOV.050.C.0.09.1999.00.00.3214680">-15994.64</definedName>
    <definedName name="MOV.050.C.0.09.1999.00.00.3214780">-16737.65000001</definedName>
    <definedName name="MOV.050.C.0.09.1999.00.00.321543">-119001.90999997</definedName>
    <definedName name="MOV.050.C.0.09.1999.00.00.321555">-48345.37</definedName>
    <definedName name="MOV.050.C.0.09.1999.00.00.321567">-1326936.31999969</definedName>
    <definedName name="MOV.050.C.0.09.1999.00.00.321577">-163849.51999998</definedName>
    <definedName name="MOV.050.C.0.09.1999.00.00.321582">-106210.57000005</definedName>
    <definedName name="MOV.050.C.0.09.1999.00.00.321800">-7896.73</definedName>
    <definedName name="MOV.050.C.0.09.1999.00.00.3220110">-235257.6400001</definedName>
    <definedName name="MOV.050.C.0.09.1999.00.00.3220170">-349128.28000021</definedName>
    <definedName name="MOV.050.C.0.09.1999.00.00.3220180">-183713.70000005</definedName>
    <definedName name="MOV.050.C.0.09.1999.00.00.3220190">0</definedName>
    <definedName name="MOV.050.C.0.09.1999.00.00.3220200">-29681.03</definedName>
    <definedName name="MOV.050.C.0.09.1999.00.00.3220210">0</definedName>
    <definedName name="MOV.050.C.0.09.1999.00.00.3220220">-23630.22999999</definedName>
    <definedName name="MOV.050.C.0.09.1999.00.00.3220230">-16292.2</definedName>
    <definedName name="MOV.050.C.0.09.1999.00.00.3220240">-262.63</definedName>
    <definedName name="MOV.050.C.0.09.1999.00.00.3220250">0</definedName>
    <definedName name="MOV.050.C.0.09.1999.00.00.3220260">-1035041.31999969</definedName>
    <definedName name="MOV.050.C.0.09.1999.00.00.3220550">-64322.41000003</definedName>
    <definedName name="MOV.050.C.0.09.1999.00.00.DBREAK01">-2795454.65000153</definedName>
    <definedName name="MOV.050.C.0.09.1999.00.00.DBREAK02">-19021.09999999</definedName>
    <definedName name="MOV.050.C.0.09.1999.00.00.DBREAK03">-26194.13999999</definedName>
    <definedName name="MOV.050.C.0.09.1999.00.00.DBREAK04">-1894155.77999878</definedName>
    <definedName name="MOV.050.C.0.09.1999.00.00.DBREAK05">-182055.16000009</definedName>
    <definedName name="MOV.050.C.0.09.1999.00.00.DBREAK06">-203613.27999997</definedName>
    <definedName name="MOV.050.C.0.09.1999.00.00.DBREAK07">-9</definedName>
    <definedName name="MOV.050.C.0.09.1999.00.00.DBREAK08">-72853.19000006</definedName>
    <definedName name="MOV.050.C.0.09.1999.00.00.DBREAK09">0</definedName>
    <definedName name="MOV.050.C.0.09.1999.00.00.DBREAK10">-33459.25</definedName>
    <definedName name="MOV.050.C.0.09.1999.00.00.DBREAK11">-1504221.05999947</definedName>
    <definedName name="MOV.050.C.0.09.1999.00.00.DBREAK12">-25064.35999998</definedName>
    <definedName name="MOV.050.C.0.09.1999.00.00.DBREAK13">-234596.23000002</definedName>
    <definedName name="MOV.050.C.0.09.1999.00.00.DBREAK14">-1157108.31999969</definedName>
    <definedName name="MOV.050.C.0.09.1999.00.00.DBREAK15">-178860.21000004</definedName>
    <definedName name="MOV.050.C.0.09.1999.00.00.DBREAK16">-1080694.84999847</definedName>
    <definedName name="MOV.050.C.0.09.1999.00.00.DBREAK17">-303331.17000008</definedName>
    <definedName name="MOV.050.C.0.09.1999.00.00.DBREAK18">-85870.4000001</definedName>
    <definedName name="MOV.050.C.0.09.1999.00.00.DBREAK19">-26381.83000001</definedName>
    <definedName name="MOV.050.C.0.09.1999.00.00.DBREAK20">-51078.70999998</definedName>
    <definedName name="MOV.050.C.0.09.1999.00.00.DBREAK21">-49958.57999998</definedName>
    <definedName name="MOV.050.C.0.09.1999.00.00.DBREAK22">-256585.91000009</definedName>
    <definedName name="MOV.050.C.0.09.1999.00.00.DBREAK23">-55755.83999997</definedName>
    <definedName name="MOV.050.C.0.09.1999.00.00.DBREAK24">-157153.27999997</definedName>
    <definedName name="MOV.050.C.0.09.1999.00.00.DBREAK25">-153636.26000023</definedName>
    <definedName name="MOV.050.C.0.09.1999.00.00.DBREAK26">29715.31</definedName>
    <definedName name="MOV.050.C.0.09.1999.00.00.DBREAK27">-45149.51999998</definedName>
    <definedName name="MOV.050.C.0.09.1999.00.00.DBREAK28">-72436.11000001</definedName>
    <definedName name="MOV.050.C.0.09.1999.00.00.DBREAK29">-52300.46999997</definedName>
    <definedName name="MOV.050.C.0.09.1999.00.00.DBREAK30">-33759.05000001</definedName>
    <definedName name="MOV.050.C.0.09.1999.00.00.DBREAK31">-7592.62</definedName>
    <definedName name="MOV.050.C.0.09.1999.00.00.DBREAK32">-110151.33999991</definedName>
    <definedName name="MOV.050.C.0.09.1999.00.00.DBREAK33">-5832955.29000092</definedName>
    <definedName name="MOV.050.C.0.09.1999.00.00.DBREAK34">-3972215.81999207</definedName>
    <definedName name="MOV.050.C.0.09.1999.00.00.DGER003">-53902793.039978</definedName>
    <definedName name="MOV.050.C.0.09.1999.00.00.DGER005">-8622347.68000793</definedName>
    <definedName name="MOV.050.C.0.09.1999.00.00.DGER006">-16648573.7700042</definedName>
    <definedName name="MOV.050.C.0.09.1999.00.00.DGER007">-1792312.44999886</definedName>
    <definedName name="MOV.050.C.0.09.1999.00.00.DGER01">105966011.519897</definedName>
    <definedName name="MOV.050.C.0.09.1999.00.00.DGER015.CG4_AREA_ADM">-1395104.5</definedName>
    <definedName name="MOV.050.C.0.09.1999.00.00.DGER015.CG4_AREA_COM">-223508.26999998</definedName>
    <definedName name="MOV.050.C.0.09.1999.00.00.DGER015.CG4_AREA_FAB">-4214342.51999664</definedName>
    <definedName name="MOV.050.C.0.09.1999.00.00.DGER016">600806.77994347</definedName>
    <definedName name="MOV.050.C.0.09.1999.00.00.DGER026">-5736559.50999451</definedName>
    <definedName name="MOV.050.C.0.09.1999.00.00.DGER029">740753.8200016</definedName>
    <definedName name="MOV.050.C.0.09.1999.00.00.DGER030">-1907385.77999878</definedName>
    <definedName name="MOV.050.C.0.09.1999.00.00.DGER031">-1047385.2699995</definedName>
    <definedName name="MOV.050.C.0.09.1999.00.00.DGER032">146945.04999995</definedName>
    <definedName name="MOV.050.C.0.09.1999.00.00.DGER034">1071153.87000084</definedName>
    <definedName name="MOV.050.C.0.09.1999.00.00.DGER036">-15168.84</definedName>
    <definedName name="MOV.050.C.0.09.1999.00.00.DGER048">947388.90999985</definedName>
    <definedName name="MOV.050.C.0.09.1999.00.00.DGER049">-4342408.22000122</definedName>
    <definedName name="MOV.050.C.0.09.1999.00.00.DGER050.CG4_AREA_ADM">-5159929.37998962</definedName>
    <definedName name="MOV.050.C.0.09.1999.00.00.DGER050.CG4_AREA_COM">-1691356.77000046</definedName>
    <definedName name="MOV.050.C.0.09.1999.00.00.DGER051">-1924534.88999939</definedName>
    <definedName name="MOV.050.C.0.09.1999.00.00.DGER052">-3566408.82999802</definedName>
    <definedName name="MOV.050.C.0.09.1999.00.00.DGER053">701532.10999966</definedName>
    <definedName name="MOV.050.C.0.09.1999.00.00.DRESPER">-2015527.6799736</definedName>
    <definedName name="MOV.050.C.0.09.2000.00.00.311550">-4304452.43000031</definedName>
    <definedName name="MOV.050.C.0.09.2000.00.00.3214500.CG4_32999">-62279.29000002</definedName>
    <definedName name="MOV.050.C.0.09.2000.00.00.3214500.CG4_33999">-74431.19000006</definedName>
    <definedName name="MOV.050.C.0.09.2000.00.00.3214500.CG4_34999">-22407.15000001</definedName>
    <definedName name="MOV.050.C.0.09.2000.00.00.3214500.CG4_42999">-167500.99000001</definedName>
    <definedName name="MOV.050.C.0.09.2000.00.00.3214610">-11200.8</definedName>
    <definedName name="MOV.050.C.0.09.2000.00.00.3214680">-19283.93000001</definedName>
    <definedName name="MOV.050.C.0.09.2000.00.00.3214780">-9060.86</definedName>
    <definedName name="MOV.050.C.0.09.2000.00.00.3215040">-2327384.25</definedName>
    <definedName name="MOV.050.C.0.09.2000.00.00.3215400">0</definedName>
    <definedName name="MOV.050.C.0.09.2000.00.00.321543">220447.91000009</definedName>
    <definedName name="MOV.050.C.0.09.2000.00.00.3215530">-26182.74000001</definedName>
    <definedName name="MOV.050.C.0.09.2000.00.00.321555">-3465089.31999969</definedName>
    <definedName name="MOV.050.C.0.09.2000.00.00.321567">-1807384.71999931</definedName>
    <definedName name="MOV.050.C.0.09.2000.00.00.321577">-383971.48000002</definedName>
    <definedName name="MOV.050.C.0.09.2000.00.00.321582">0</definedName>
    <definedName name="MOV.050.C.0.09.2000.00.00.321800">-3828.58</definedName>
    <definedName name="MOV.050.C.0.09.2000.00.00.3218500">2513000</definedName>
    <definedName name="MOV.050.C.0.09.2000.00.00.DBREAK01">-3212349.97999954</definedName>
    <definedName name="MOV.050.C.0.09.2000.00.00.DBREAK02">-54841.94999999</definedName>
    <definedName name="MOV.050.C.0.09.2000.00.00.DBREAK03">-22301.44999999</definedName>
    <definedName name="MOV.050.C.0.09.2000.00.00.DBREAK04">-2142054.32000351</definedName>
    <definedName name="MOV.050.C.0.09.2000.00.00.DBREAK05">-336095.77999973</definedName>
    <definedName name="MOV.050.C.0.09.2000.00.00.DBREAK06">-230801.1400001</definedName>
    <definedName name="MOV.050.C.0.09.2000.00.00.DBREAK07">-250.92</definedName>
    <definedName name="MOV.050.C.0.09.2000.00.00.DBREAK08">-45854.61000001</definedName>
    <definedName name="MOV.050.C.0.09.2000.00.00.DBREAK09">-324829.89000034</definedName>
    <definedName name="MOV.050.C.0.09.2000.00.00.DBREAK10">-9771.16</definedName>
    <definedName name="MOV.050.C.0.09.2000.00.00.DBREAK11">-950592.84999943</definedName>
    <definedName name="MOV.050.C.0.09.2000.00.00.DBREAK12">-534076.39000034</definedName>
    <definedName name="MOV.050.C.0.09.2000.00.00.DBREAK13">-248004.22999978</definedName>
    <definedName name="MOV.050.C.0.09.2000.00.00.DBREAK14">-964050.96000099</definedName>
    <definedName name="MOV.050.C.0.09.2000.00.00.DBREAK15">-99875.40999997</definedName>
    <definedName name="MOV.050.C.0.09.2000.00.00.DBREAK16">-436084.52999973</definedName>
    <definedName name="MOV.050.C.0.09.2000.00.00.DBREAK17">-325416.46999979</definedName>
    <definedName name="MOV.050.C.0.09.2000.00.00.DBREAK18">-48766.09000003</definedName>
    <definedName name="MOV.050.C.0.09.2000.00.00.DBREAK19">-32500.79000002</definedName>
    <definedName name="MOV.050.C.0.09.2000.00.00.DBREAK20">-78242.46000004</definedName>
    <definedName name="MOV.050.C.0.09.2000.00.00.DBREAK21">-48528.19999999</definedName>
    <definedName name="MOV.050.C.0.09.2000.00.00.DBREAK22">-173948.53999996</definedName>
    <definedName name="MOV.050.C.0.09.2000.00.00.DBREAK23">-26961.14000002</definedName>
    <definedName name="MOV.050.C.0.09.2000.00.00.DBREAK24">-286432.30999994</definedName>
    <definedName name="MOV.050.C.0.09.2000.00.00.DBREAK25">-101304.39999962</definedName>
    <definedName name="MOV.050.C.0.09.2000.00.00.DBREAK26">-149211.43000007</definedName>
    <definedName name="MOV.050.C.0.09.2000.00.00.DBREAK27">-57735.99000001</definedName>
    <definedName name="MOV.050.C.0.09.2000.00.00.DBREAK28">-137374.93999982</definedName>
    <definedName name="MOV.050.C.0.09.2000.00.00.DBREAK29">-91723.25</definedName>
    <definedName name="MOV.050.C.0.09.2000.00.00.DBREAK30">-31412.90000001</definedName>
    <definedName name="MOV.050.C.0.09.2000.00.00.DBREAK31">279.24</definedName>
    <definedName name="MOV.050.C.0.09.2000.00.00.DBREAK32">-113809.91999984</definedName>
    <definedName name="MOV.050.C.0.09.2000.00.00.DBREAK33">-5960442.95999908</definedName>
    <definedName name="MOV.050.C.0.09.2000.00.00.DBREAK34">-5058885.77000427</definedName>
    <definedName name="MOV.050.C.0.09.2000.00.00.DBREAK36">-50106.01000005</definedName>
    <definedName name="MOV.050.C.0.09.2000.00.00.DBREAK37">-93668.27999997</definedName>
    <definedName name="MOV.050.C.0.09.2000.00.00.DBREAK38">-28833.96000001</definedName>
    <definedName name="MOV.050.C.0.09.2000.00.00.DBREAK39">100</definedName>
    <definedName name="MOV.050.C.0.09.2000.00.00.DGER003">-51825042.5599975</definedName>
    <definedName name="MOV.050.C.0.09.2000.00.00.DGER005">-10200871</definedName>
    <definedName name="MOV.050.C.0.09.2000.00.00.DGER006">-16760599.5899963</definedName>
    <definedName name="MOV.050.C.0.09.2000.00.00.DGER007">-2451278.79000092</definedName>
    <definedName name="MOV.050.C.0.09.2000.00.00.DGER01">103713304.749877</definedName>
    <definedName name="MOV.050.C.0.09.2000.00.00.DGER015.CG4_AREA_ADM">-1441336.04999924</definedName>
    <definedName name="MOV.050.C.0.09.2000.00.00.DGER015.CG4_AREA_COM">-214654.48000002</definedName>
    <definedName name="MOV.050.C.0.09.2000.00.00.DGER016">1591868.5700264</definedName>
    <definedName name="MOV.050.C.0.09.2000.00.00.DGER026">-10468700.6400299</definedName>
    <definedName name="MOV.050.C.0.09.2000.00.00.DGER029">312090.11999989</definedName>
    <definedName name="MOV.050.C.0.09.2000.00.00.DGER030">-2428165.60000229</definedName>
    <definedName name="MOV.050.C.0.09.2000.00.00.DGER031">-826108.7300005</definedName>
    <definedName name="MOV.050.C.0.09.2000.00.00.DGER032">147374.80999994</definedName>
    <definedName name="MOV.050.C.0.09.2000.00.00.DGER034">0</definedName>
    <definedName name="MOV.050.C.0.09.2000.00.00.DGER048">-161508.57999992</definedName>
    <definedName name="MOV.050.C.0.09.2000.00.00.DGER049">-4296309.99000549</definedName>
    <definedName name="MOV.050.C.0.09.2000.00.00.DGER050.CG4_AREA_ADM">-5467777.63999939</definedName>
    <definedName name="MOV.050.C.0.09.2000.00.00.DGER050.CG4_AREA_COM">-3769274.31000137</definedName>
    <definedName name="MOV.050.C.0.09.2000.00.00.DGER051">-1387260.1400013</definedName>
    <definedName name="MOV.050.C.0.09.2000.00.00.DGER052">-5048087.76000214</definedName>
    <definedName name="MOV.050.C.0.09.2000.00.00.DGER053">489853.19000006</definedName>
    <definedName name="MOV.050.C.0.09.2000.00.00.DGER054">-775314.28999996</definedName>
    <definedName name="MOV.050.C.0.09.2000.00.00.DRESPER">-12608766.7399902</definedName>
    <definedName name="MOV.050.C.0.10.1998.00.00.3220110">-3495156.25</definedName>
    <definedName name="MOV.050.C.0.10.1998.00.00.3220170">-4709409.19000244</definedName>
    <definedName name="MOV.050.C.0.10.1998.00.00.3220180">-3724328.63000107</definedName>
    <definedName name="MOV.050.C.0.10.1998.00.00.3220190">-53183.77999997</definedName>
    <definedName name="MOV.050.C.0.10.1998.00.00.3220200">-599776.42000008</definedName>
    <definedName name="MOV.050.C.0.10.1998.00.00.3220210">0</definedName>
    <definedName name="MOV.050.C.0.10.1998.00.00.3220220">-247714.70000005</definedName>
    <definedName name="MOV.050.C.0.10.1998.00.00.3220230">-295665.13000011</definedName>
    <definedName name="MOV.050.C.0.10.1998.00.00.3220240">-168145.63000011</definedName>
    <definedName name="MOV.050.C.0.10.1998.00.00.3220250">-6402.52</definedName>
    <definedName name="MOV.050.C.0.10.1998.00.00.3220260">-4295572.44999695</definedName>
    <definedName name="MOV.050.C.0.10.1998.00.00.3220550">0</definedName>
    <definedName name="MOV.050.C.0.10.1999.00.00.3211030">-135720.45000005</definedName>
    <definedName name="MOV.050.C.0.10.1999.00.00.3211060">-50014.68000001</definedName>
    <definedName name="MOV.050.C.0.10.1999.00.00.3211110">-132790.3499999</definedName>
    <definedName name="MOV.050.C.0.10.1999.00.00.3211160">-13420.59</definedName>
    <definedName name="MOV.050.C.0.10.1999.00.00.3214500.CG4_42999">-369445.0999999</definedName>
    <definedName name="MOV.050.C.0.10.1999.00.00.3214610">2505.7</definedName>
    <definedName name="MOV.050.C.0.10.1999.00.00.3214680">-9056.28</definedName>
    <definedName name="MOV.050.C.0.10.1999.00.00.3214780">-7768.27</definedName>
    <definedName name="MOV.050.C.0.10.1999.00.00.321543">-63468.13</definedName>
    <definedName name="MOV.050.C.0.10.1999.00.00.3215530">0</definedName>
    <definedName name="MOV.050.C.0.10.1999.00.00.321555">5901773.23000336</definedName>
    <definedName name="MOV.050.C.0.10.1999.00.00.321567">-1457904.43000031</definedName>
    <definedName name="MOV.050.C.0.10.1999.00.00.321577">-280486.44000006</definedName>
    <definedName name="MOV.050.C.0.10.1999.00.00.321582">-45698.07999998</definedName>
    <definedName name="MOV.050.C.0.10.1999.00.00.321800">-17706.63999999</definedName>
    <definedName name="MOV.050.C.0.10.1999.00.00.3220110">-218992.82999992</definedName>
    <definedName name="MOV.050.C.0.10.1999.00.00.3220170">-349128.67999983</definedName>
    <definedName name="MOV.050.C.0.10.1999.00.00.3220180">-192478.0999999</definedName>
    <definedName name="MOV.050.C.0.10.1999.00.00.3220190">0</definedName>
    <definedName name="MOV.050.C.0.10.1999.00.00.3220200">1731.74</definedName>
    <definedName name="MOV.050.C.0.10.1999.00.00.3220210">0</definedName>
    <definedName name="MOV.050.C.0.10.1999.00.00.3220220">-24479.78999999</definedName>
    <definedName name="MOV.050.C.0.10.1999.00.00.3220230">-16143.95999999</definedName>
    <definedName name="MOV.050.C.0.10.1999.00.00.3220240">-48.08</definedName>
    <definedName name="MOV.050.C.0.10.1999.00.00.3220250">0</definedName>
    <definedName name="MOV.050.C.0.10.1999.00.00.3220260">-1157939.62000084</definedName>
    <definedName name="MOV.050.C.0.10.1999.00.00.3220550">-150064.36999989</definedName>
    <definedName name="MOV.050.C.0.10.1999.00.00.DBREAK01">-2839228.75</definedName>
    <definedName name="MOV.050.C.0.10.1999.00.00.DBREAK02">-22547.20999998</definedName>
    <definedName name="MOV.050.C.0.10.1999.00.00.DBREAK03">-9100.02</definedName>
    <definedName name="MOV.050.C.0.10.1999.00.00.DBREAK04">-2136822.43000031</definedName>
    <definedName name="MOV.050.C.0.10.1999.00.00.DBREAK05">-142738.29999995</definedName>
    <definedName name="MOV.050.C.0.10.1999.00.00.DBREAK06">-178372.87999988</definedName>
    <definedName name="MOV.050.C.0.10.1999.00.00.DBREAK07">0</definedName>
    <definedName name="MOV.050.C.0.10.1999.00.00.DBREAK08">-97233.35000002</definedName>
    <definedName name="MOV.050.C.0.10.1999.00.00.DBREAK09">-76992.81000006</definedName>
    <definedName name="MOV.050.C.0.10.1999.00.00.DBREAK10">-4284.61</definedName>
    <definedName name="MOV.050.C.0.10.1999.00.00.DBREAK11">-1448909.34000015</definedName>
    <definedName name="MOV.050.C.0.10.1999.00.00.DBREAK12">-72204.11000001</definedName>
    <definedName name="MOV.050.C.0.10.1999.00.00.DBREAK13">-186666.25</definedName>
    <definedName name="MOV.050.C.0.10.1999.00.00.DBREAK14">-943539.00999928</definedName>
    <definedName name="MOV.050.C.0.10.1999.00.00.DBREAK15">-194710.48999977</definedName>
    <definedName name="MOV.050.C.0.10.1999.00.00.DBREAK16">-290482.42999983</definedName>
    <definedName name="MOV.050.C.0.10.1999.00.00.DBREAK17">-255195.96000004</definedName>
    <definedName name="MOV.050.C.0.10.1999.00.00.DBREAK18">-149204.72000003</definedName>
    <definedName name="MOV.050.C.0.10.1999.00.00.DBREAK19">-28693.86999997</definedName>
    <definedName name="MOV.050.C.0.10.1999.00.00.DBREAK20">-82126.33000004</definedName>
    <definedName name="MOV.050.C.0.10.1999.00.00.DBREAK21">-47846.41999996</definedName>
    <definedName name="MOV.050.C.0.10.1999.00.00.DBREAK22">-370413.38999987</definedName>
    <definedName name="MOV.050.C.0.10.1999.00.00.DBREAK23">-34214.48000002</definedName>
    <definedName name="MOV.050.C.0.10.1999.00.00.DBREAK24">-196159.71000004</definedName>
    <definedName name="MOV.050.C.0.10.1999.00.00.DBREAK25">-83732.11999989</definedName>
    <definedName name="MOV.050.C.0.10.1999.00.00.DBREAK26">-86923.86000001</definedName>
    <definedName name="MOV.050.C.0.10.1999.00.00.DBREAK27">-43215.23000002</definedName>
    <definedName name="MOV.050.C.0.10.1999.00.00.DBREAK28">-15720.47</definedName>
    <definedName name="MOV.050.C.0.10.1999.00.00.DBREAK29">-60393.06999999</definedName>
    <definedName name="MOV.050.C.0.10.1999.00.00.DBREAK30">-25839.38999999</definedName>
    <definedName name="MOV.050.C.0.10.1999.00.00.DBREAK31">-22055.5</definedName>
    <definedName name="MOV.050.C.0.10.1999.00.00.DBREAK32">-107393.95000005</definedName>
    <definedName name="MOV.050.C.0.10.1999.00.00.DBREAK33">-5850421.75</definedName>
    <definedName name="MOV.050.C.0.10.1999.00.00.DBREAK34">-3150051.81000519</definedName>
    <definedName name="MOV.050.C.0.10.1999.00.00.DGER003">-52331252.5</definedName>
    <definedName name="MOV.050.C.0.10.1999.00.00.DGER005">-9178256.13999939</definedName>
    <definedName name="MOV.050.C.0.10.1999.00.00.DGER006">-17859442.4200134</definedName>
    <definedName name="MOV.050.C.0.10.1999.00.00.DGER007">-1822394.06999969</definedName>
    <definedName name="MOV.050.C.0.10.1999.00.00.DGER01">102144089.270019</definedName>
    <definedName name="MOV.050.C.0.10.1999.00.00.DGER015.CG4_AREA_ADM">-1381957.95999908</definedName>
    <definedName name="MOV.050.C.0.10.1999.00.00.DGER015.CG4_AREA_COM">-224353.73000002</definedName>
    <definedName name="MOV.050.C.0.10.1999.00.00.DGER015.CG4_AREA_FAB">-4244110.05999756</definedName>
    <definedName name="MOV.050.C.0.10.1999.00.00.DGER016">4124193.10000229</definedName>
    <definedName name="MOV.050.C.0.10.1999.00.00.DGER026">904164.34000397</definedName>
    <definedName name="MOV.050.C.0.10.1999.00.00.DGER029">282497.65999842</definedName>
    <definedName name="MOV.050.C.0.10.1999.00.00.DGER030">-2109227.35000229</definedName>
    <definedName name="MOV.050.C.0.10.1999.00.00.DGER031">-875994.63000107</definedName>
    <definedName name="MOV.050.C.0.10.1999.00.00.DGER032">51987.5200001</definedName>
    <definedName name="MOV.050.C.0.10.1999.00.00.DGER034">-69167.94000006</definedName>
    <definedName name="MOV.050.C.0.10.1999.00.00.DGER036">-16645.33000001</definedName>
    <definedName name="MOV.050.C.0.10.1999.00.00.DGER048">-97787.75999963</definedName>
    <definedName name="MOV.050.C.0.10.1999.00.00.DGER049">-3932951.90999985</definedName>
    <definedName name="MOV.050.C.0.10.1999.00.00.DGER050.CG4_AREA_ADM">-4987633.02000427</definedName>
    <definedName name="MOV.050.C.0.10.1999.00.00.DGER050.CG4_AREA_COM">-1619354.27999878</definedName>
    <definedName name="MOV.050.C.0.10.1999.00.00.DGER051">-1096058.12000084</definedName>
    <definedName name="MOV.050.C.0.10.1999.00.00.DGER052">-6071563.09000397</definedName>
    <definedName name="MOV.050.C.0.10.1999.00.00.DGER053">840077.89000034</definedName>
    <definedName name="MOV.050.C.0.10.1999.00.00.DRESPER">351866.65997314</definedName>
    <definedName name="MOV.050.C.0.10.2000.00.00.311550">-4307020.33000183</definedName>
    <definedName name="MOV.050.C.0.10.2000.00.00.3214500.CG4_32999">-62279.29000002</definedName>
    <definedName name="MOV.050.C.0.10.2000.00.00.3214500.CG4_33999">-74431.19000006</definedName>
    <definedName name="MOV.050.C.0.10.2000.00.00.3214500.CG4_34999">-22407.15000001</definedName>
    <definedName name="MOV.050.C.0.10.2000.00.00.3214500.CG4_42999">-167500.99000001</definedName>
    <definedName name="MOV.050.C.0.10.2000.00.00.3214610">-5950</definedName>
    <definedName name="MOV.050.C.0.10.2000.00.00.3214680">-11846.61</definedName>
    <definedName name="MOV.050.C.0.10.2000.00.00.3214780">-22047.74000001</definedName>
    <definedName name="MOV.050.C.0.10.2000.00.00.3215040">-339558.05999994</definedName>
    <definedName name="MOV.050.C.0.10.2000.00.00.3215400">0</definedName>
    <definedName name="MOV.050.C.0.10.2000.00.00.321543">-59166.25</definedName>
    <definedName name="MOV.050.C.0.10.2000.00.00.3215530">-24109.97999999</definedName>
    <definedName name="MOV.050.C.0.10.2000.00.00.321555">-144993.52999997</definedName>
    <definedName name="MOV.050.C.0.10.2000.00.00.321567">-1060588.73999977</definedName>
    <definedName name="MOV.050.C.0.10.2000.00.00.321577">-298691.9000001</definedName>
    <definedName name="MOV.050.C.0.10.2000.00.00.321582">0</definedName>
    <definedName name="MOV.050.C.0.10.2000.00.00.321800">-86563.04999995</definedName>
    <definedName name="MOV.050.C.0.10.2000.00.00.3218500">0</definedName>
    <definedName name="MOV.050.C.0.10.2000.00.00.DBREAK01">-3445681.49000168</definedName>
    <definedName name="MOV.050.C.0.10.2000.00.00.DBREAK02">-119062.32000005</definedName>
    <definedName name="MOV.050.C.0.10.2000.00.00.DBREAK03">-47797.63</definedName>
    <definedName name="MOV.050.C.0.10.2000.00.00.DBREAK04">-2557228.15000153</definedName>
    <definedName name="MOV.050.C.0.10.2000.00.00.DBREAK05">-335086.60000038</definedName>
    <definedName name="MOV.050.C.0.10.2000.00.00.DBREAK06">-226358.61000013</definedName>
    <definedName name="MOV.050.C.0.10.2000.00.00.DBREAK07">0</definedName>
    <definedName name="MOV.050.C.0.10.2000.00.00.DBREAK08">-95559.76999998</definedName>
    <definedName name="MOV.050.C.0.10.2000.00.00.DBREAK09">-521680.87000036</definedName>
    <definedName name="MOV.050.C.0.10.2000.00.00.DBREAK10">-9822.67</definedName>
    <definedName name="MOV.050.C.0.10.2000.00.00.DBREAK11">-638020.54999924</definedName>
    <definedName name="MOV.050.C.0.10.2000.00.00.DBREAK12">-365413.71999979</definedName>
    <definedName name="MOV.050.C.0.10.2000.00.00.DBREAK13">-154739.91999984</definedName>
    <definedName name="MOV.050.C.0.10.2000.00.00.DBREAK14">-1039441.34999943</definedName>
    <definedName name="MOV.050.C.0.10.2000.00.00.DBREAK15">-112321.63999999</definedName>
    <definedName name="MOV.050.C.0.10.2000.00.00.DBREAK16">-1819578.65999985</definedName>
    <definedName name="MOV.050.C.0.10.2000.00.00.DBREAK17">-286569.27999973</definedName>
    <definedName name="MOV.050.C.0.10.2000.00.00.DBREAK18">-56888.21999997</definedName>
    <definedName name="MOV.050.C.0.10.2000.00.00.DBREAK19">-36165.90999997</definedName>
    <definedName name="MOV.050.C.0.10.2000.00.00.DBREAK20">-75230.07999992</definedName>
    <definedName name="MOV.050.C.0.10.2000.00.00.DBREAK21">-55792.38</definedName>
    <definedName name="MOV.050.C.0.10.2000.00.00.DBREAK22">-738803.45000076</definedName>
    <definedName name="MOV.050.C.0.10.2000.00.00.DBREAK23">-26830.28999999</definedName>
    <definedName name="MOV.050.C.0.10.2000.00.00.DBREAK24">-396625.28999996</definedName>
    <definedName name="MOV.050.C.0.10.2000.00.00.DBREAK25">-325530.6899991</definedName>
    <definedName name="MOV.050.C.0.10.2000.00.00.DBREAK26">-66445.53999996</definedName>
    <definedName name="MOV.050.C.0.10.2000.00.00.DBREAK27">-72538.45999992</definedName>
    <definedName name="MOV.050.C.0.10.2000.00.00.DBREAK28">-109952.49000013</definedName>
    <definedName name="MOV.050.C.0.10.2000.00.00.DBREAK29">-77296.47000003</definedName>
    <definedName name="MOV.050.C.0.10.2000.00.00.DBREAK30">-25739.46000001</definedName>
    <definedName name="MOV.050.C.0.10.2000.00.00.DBREAK31">-18838.72</definedName>
    <definedName name="MOV.050.C.0.10.2000.00.00.DBREAK32">-109126.15999997</definedName>
    <definedName name="MOV.050.C.0.10.2000.00.00.DBREAK33">-5877140.44000244</definedName>
    <definedName name="MOV.050.C.0.10.2000.00.00.DBREAK34">-5633034.75999451</definedName>
    <definedName name="MOV.050.C.0.10.2000.00.00.DBREAK36">-49719.12</definedName>
    <definedName name="MOV.050.C.0.10.2000.00.00.DBREAK37">-156628.22000003</definedName>
    <definedName name="MOV.050.C.0.10.2000.00.00.DBREAK38">-13762.49999999</definedName>
    <definedName name="MOV.050.C.0.10.2000.00.00.DBREAK39">0</definedName>
    <definedName name="MOV.050.C.0.10.2000.00.00.DGER003">-68122726.3101806</definedName>
    <definedName name="MOV.050.C.0.10.2000.00.00.DGER005">-13703416.9199829</definedName>
    <definedName name="MOV.050.C.0.10.2000.00.00.DGER006">-22161019.3400268</definedName>
    <definedName name="MOV.050.C.0.10.2000.00.00.DGER007">-2756026.66999817</definedName>
    <definedName name="MOV.050.C.0.10.2000.00.00.DGER01">137166315.46997</definedName>
    <definedName name="MOV.050.C.0.10.2000.00.00.DGER015.CG4_AREA_ADM">-1515697.06999969</definedName>
    <definedName name="MOV.050.C.0.10.2000.00.00.DGER015.CG4_AREA_COM">-54423.04000002</definedName>
    <definedName name="MOV.050.C.0.10.2000.00.00.DGER016">530684.98990345</definedName>
    <definedName name="MOV.050.C.0.10.2000.00.00.DGER026">-7172365.19999695</definedName>
    <definedName name="MOV.050.C.0.10.2000.00.00.DGER029">350758.50000191</definedName>
    <definedName name="MOV.050.C.0.10.2000.00.00.DGER030">-3037467.86000061</definedName>
    <definedName name="MOV.050.C.0.10.2000.00.00.DGER031">-743152.2699995</definedName>
    <definedName name="MOV.050.C.0.10.2000.00.00.DGER032">17213.59000015</definedName>
    <definedName name="MOV.050.C.0.10.2000.00.00.DGER034">614022.68999958</definedName>
    <definedName name="MOV.050.C.0.10.2000.00.00.DGER048">5558173.04999542</definedName>
    <definedName name="MOV.050.C.0.10.2000.00.00.DGER049">-4240606.6700058</definedName>
    <definedName name="MOV.050.C.0.10.2000.00.00.DGER050.CG4_AREA_ADM">-7526029.63999939</definedName>
    <definedName name="MOV.050.C.0.10.2000.00.00.DGER050.CG4_AREA_COM">-2300374.9600029</definedName>
    <definedName name="MOV.050.C.0.10.2000.00.00.DGER051">-2344816.21000671</definedName>
    <definedName name="MOV.050.C.0.10.2000.00.00.DGER052">-7870300.90000153</definedName>
    <definedName name="MOV.050.C.0.10.2000.00.00.DGER053">1723899.44999886</definedName>
    <definedName name="MOV.050.C.0.10.2000.00.00.DGER054">-1508382.44000053</definedName>
    <definedName name="MOV.050.C.0.10.2000.00.00.DRESPER">-2479606.52001953</definedName>
    <definedName name="MOV.050.C.0.11.0000.00.00.3211030">-142663.69000006</definedName>
    <definedName name="MOV.050.C.0.11.0000.00.00.3211060">-57400.48000002</definedName>
    <definedName name="MOV.050.C.0.11.0000.00.00.3211110">-114028.92999995</definedName>
    <definedName name="MOV.050.C.0.11.0000.00.00.3211160">-13132.02</definedName>
    <definedName name="MOV.050.C.0.11.0000.00.00.3214610">0</definedName>
    <definedName name="MOV.050.C.0.11.0000.00.00.3214680">-38253.38</definedName>
    <definedName name="MOV.050.C.0.11.0000.00.00.3214780">-10556.93000001</definedName>
    <definedName name="MOV.050.C.0.11.0000.00.00.321543">-4275709.54000092</definedName>
    <definedName name="MOV.050.C.0.11.0000.00.00.321555">4263105.30000305</definedName>
    <definedName name="MOV.050.C.0.11.0000.00.00.321567">-2216097.65999985</definedName>
    <definedName name="MOV.050.C.0.11.0000.00.00.321577">-266555.03999996</definedName>
    <definedName name="MOV.050.C.0.11.0000.00.00.321582">-126083.53999996</definedName>
    <definedName name="MOV.050.C.0.11.0000.00.00.321800">-111470.32000005</definedName>
    <definedName name="MOV.050.C.0.11.0000.00.00.DBREAK01">-2906622.90000153</definedName>
    <definedName name="MOV.050.C.0.11.0000.00.00.DBREAK02">-29414.59999999</definedName>
    <definedName name="MOV.050.C.0.11.0000.00.00.DBREAK03">-38032.01999998</definedName>
    <definedName name="MOV.050.C.0.11.0000.00.00.DBREAK04">-2011862.08999825</definedName>
    <definedName name="MOV.050.C.0.11.0000.00.00.DBREAK05">-196821.25999999</definedName>
    <definedName name="MOV.050.C.0.11.0000.00.00.DBREAK06">-255952.13000011</definedName>
    <definedName name="MOV.050.C.0.11.0000.00.00.DBREAK07">-28645.38</definedName>
    <definedName name="MOV.050.C.0.11.0000.00.00.DBREAK08">-100979.3900001</definedName>
    <definedName name="MOV.050.C.0.11.0000.00.00.DBREAK09">-121683.21000004</definedName>
    <definedName name="MOV.050.C.0.11.0000.00.00.DBREAK10">-23391.47</definedName>
    <definedName name="MOV.050.C.0.11.0000.00.00.DBREAK11">-1382920.65999985</definedName>
    <definedName name="MOV.050.C.0.11.0000.00.00.DBREAK12">-298494.25</definedName>
    <definedName name="MOV.050.C.0.11.0000.00.00.DBREAK13">-172988.09000015</definedName>
    <definedName name="MOV.050.C.0.11.0000.00.00.DBREAK14">-1162363.62999916</definedName>
    <definedName name="MOV.050.C.0.11.0000.00.00.DBREAK15">-41165.88</definedName>
    <definedName name="MOV.050.C.0.11.0000.00.00.DBREAK16">-592146.81999969</definedName>
    <definedName name="MOV.050.C.0.11.0000.00.00.DBREAK17">-256852.77999997</definedName>
    <definedName name="MOV.050.C.0.11.0000.00.00.DBREAK18">-78987.5</definedName>
    <definedName name="MOV.050.C.0.11.0000.00.00.DBREAK19">-27941.54999998</definedName>
    <definedName name="MOV.050.C.0.11.0000.00.00.DBREAK20">-58955.56</definedName>
    <definedName name="MOV.050.C.0.11.0000.00.00.DBREAK21">-45402.64999998</definedName>
    <definedName name="MOV.050.C.0.11.0000.00.00.DBREAK22">-474089.88999987</definedName>
    <definedName name="MOV.050.C.0.11.0000.00.00.DBREAK23">-24748.28999999</definedName>
    <definedName name="MOV.050.C.0.11.0000.00.00.DBREAK24">-93725.19000006</definedName>
    <definedName name="MOV.050.C.0.11.0000.00.00.DBREAK25">-104758.66999996</definedName>
    <definedName name="MOV.050.C.0.11.0000.00.00.DBREAK26">-36827.14000005</definedName>
    <definedName name="MOV.050.C.0.11.0000.00.00.DBREAK27">-41900.87</definedName>
    <definedName name="MOV.050.C.0.11.0000.00.00.DBREAK28">-59128.02999997</definedName>
    <definedName name="MOV.050.C.0.11.0000.00.00.DBREAK29">-70925.09000003</definedName>
    <definedName name="MOV.050.C.0.11.0000.00.00.DBREAK30">-37068.97000003</definedName>
    <definedName name="MOV.050.C.0.11.0000.00.00.DBREAK31">-40948.06</definedName>
    <definedName name="MOV.050.C.0.11.0000.00.00.DBREAK32">-82194.43999994</definedName>
    <definedName name="MOV.050.C.0.11.0000.00.00.DBREAK33">-5869469.3999939</definedName>
    <definedName name="MOV.050.C.0.11.0000.00.00.DBREAK34">-5306421.62001038</definedName>
    <definedName name="MOV.050.C.0.11.0000.00.00.DGER003">-56598087.4699707</definedName>
    <definedName name="MOV.050.C.0.11.0000.00.00.DGER005">-10299368.3499908</definedName>
    <definedName name="MOV.050.C.0.11.0000.00.00.DGER006">-19878170.9899902</definedName>
    <definedName name="MOV.050.C.0.11.0000.00.00.DGER007">-2123514.54999924</definedName>
    <definedName name="MOV.050.C.0.11.0000.00.00.DGER01">109731948.540039</definedName>
    <definedName name="MOV.050.C.0.11.0000.00.00.DGER015.CG4_AREA_ADM">-1338667.31999969</definedName>
    <definedName name="MOV.050.C.0.11.0000.00.00.DGER015.CG4_AREA_COM">-228426.51999998</definedName>
    <definedName name="MOV.050.C.0.11.0000.00.00.DGER016">4476877.00997925</definedName>
    <definedName name="MOV.050.C.0.11.0000.00.00.DGER026">-7927762.1000061</definedName>
    <definedName name="MOV.050.C.0.11.0000.00.00.DGER029">508060.30999947</definedName>
    <definedName name="MOV.050.C.0.11.0000.00.00.DGER030">-1991814.27000046</definedName>
    <definedName name="MOV.050.C.0.11.0000.00.00.DGER031">-828221.68999958</definedName>
    <definedName name="MOV.050.C.0.11.0000.00.00.DGER032">-1260616.42000008</definedName>
    <definedName name="MOV.050.C.0.11.0000.00.00.DGER034">-1562943.29999924</definedName>
    <definedName name="MOV.050.C.0.11.0000.00.00.DGER036">1253.05</definedName>
    <definedName name="MOV.050.C.0.11.0000.00.00.DGER048">8113039.14000702</definedName>
    <definedName name="MOV.050.C.0.11.0000.00.00.DGER049">-4487128.98000336</definedName>
    <definedName name="MOV.050.C.0.11.0000.00.00.DGER050.CG4_AREA_ADM">-5320197.73999786</definedName>
    <definedName name="MOV.050.C.0.11.0000.00.00.DGER050.CG4_AREA_COM">-1456434.28000069</definedName>
    <definedName name="MOV.050.C.0.11.0000.00.00.DGER051">-2609131.63000107</definedName>
    <definedName name="MOV.050.C.0.11.0000.00.00.DGER052">653188.60000229</definedName>
    <definedName name="MOV.050.C.0.11.0000.00.00.DGER053">-213892.6699996</definedName>
    <definedName name="MOV.050.C.0.11.0000.00.00.DRESPER">935929.60003662</definedName>
    <definedName name="MOV.050.C.0.11.1998.00.00.3220110">-3823242.47999954</definedName>
    <definedName name="MOV.050.C.0.11.1998.00.00.3220170">-5285628.19000244</definedName>
    <definedName name="MOV.050.C.0.11.1998.00.00.3220180">-3926621.88999939</definedName>
    <definedName name="MOV.050.C.0.11.1998.00.00.3220190">-53183.77999997</definedName>
    <definedName name="MOV.050.C.0.11.1998.00.00.3220200">-608449.55000019</definedName>
    <definedName name="MOV.050.C.0.11.1998.00.00.3220210">0</definedName>
    <definedName name="MOV.050.C.0.11.1998.00.00.3220220">-273756.21000004</definedName>
    <definedName name="MOV.050.C.0.11.1998.00.00.3220230">-315542.67999983</definedName>
    <definedName name="MOV.050.C.0.11.1998.00.00.3220240">-186647.75999999</definedName>
    <definedName name="MOV.050.C.0.11.1998.00.00.3220250">-9656.40000001</definedName>
    <definedName name="MOV.050.C.0.11.1998.00.00.3220260">-4637326.51000214</definedName>
    <definedName name="MOV.050.C.0.11.1998.00.00.3220550">0</definedName>
    <definedName name="MOV.050.C.0.11.1999.00.00.3211030">-142663.69000006</definedName>
    <definedName name="MOV.050.C.0.11.1999.00.00.3211060">-57400.48000002</definedName>
    <definedName name="MOV.050.C.0.11.1999.00.00.3211110">-114028.92999995</definedName>
    <definedName name="MOV.050.C.0.11.1999.00.00.3211160">-13132.02</definedName>
    <definedName name="MOV.050.C.0.11.1999.00.00.3214500.CG4_42999">-369445.1500001</definedName>
    <definedName name="MOV.050.C.0.11.1999.00.00.3214610">0</definedName>
    <definedName name="MOV.050.C.0.11.1999.00.00.3214680">-38253.38</definedName>
    <definedName name="MOV.050.C.0.11.1999.00.00.3214780">-10556.93000001</definedName>
    <definedName name="MOV.050.C.0.11.1999.00.00.321543">-4275709.54000092</definedName>
    <definedName name="MOV.050.C.0.11.1999.00.00.321555">4263105.30000305</definedName>
    <definedName name="MOV.050.C.0.11.1999.00.00.321567">-2216097.65999985</definedName>
    <definedName name="MOV.050.C.0.11.1999.00.00.321577">-266555.03999996</definedName>
    <definedName name="MOV.050.C.0.11.1999.00.00.321582">-126083.53999996</definedName>
    <definedName name="MOV.050.C.0.11.1999.00.00.321800">-111470.32000005</definedName>
    <definedName name="MOV.050.C.0.11.1999.00.00.3220110">-206978.04999995</definedName>
    <definedName name="MOV.050.C.0.11.1999.00.00.3220170">-343773.98000002</definedName>
    <definedName name="MOV.050.C.0.11.1999.00.00.3220180">-163569.50999999</definedName>
    <definedName name="MOV.050.C.0.11.1999.00.00.3220190">0</definedName>
    <definedName name="MOV.050.C.0.11.1999.00.00.3220200">-66827.29999995</definedName>
    <definedName name="MOV.050.C.0.11.1999.00.00.3220210">0</definedName>
    <definedName name="MOV.050.C.0.11.1999.00.00.3220220">-31120.59</definedName>
    <definedName name="MOV.050.C.0.11.1999.00.00.3220230">-15480.18000001</definedName>
    <definedName name="MOV.050.C.0.11.1999.00.00.3220240">-179.85</definedName>
    <definedName name="MOV.050.C.0.11.1999.00.00.3220250">0</definedName>
    <definedName name="MOV.050.C.0.11.1999.00.00.3220260">-1117279.67000008</definedName>
    <definedName name="MOV.050.C.0.11.1999.00.00.3220550">-113612.28999996</definedName>
    <definedName name="MOV.050.C.0.11.1999.00.00.DBREAK01">-2906622.90000153</definedName>
    <definedName name="MOV.050.C.0.11.1999.00.00.DBREAK02">-29414.59999999</definedName>
    <definedName name="MOV.050.C.0.11.1999.00.00.DBREAK03">-38032.01999998</definedName>
    <definedName name="MOV.050.C.0.11.1999.00.00.DBREAK04">-2011862.08999825</definedName>
    <definedName name="MOV.050.C.0.11.1999.00.00.DBREAK05">-196821.25999999</definedName>
    <definedName name="MOV.050.C.0.11.1999.00.00.DBREAK06">-255952.13000011</definedName>
    <definedName name="MOV.050.C.0.11.1999.00.00.DBREAK07">-28645.38</definedName>
    <definedName name="MOV.050.C.0.11.1999.00.00.DBREAK08">-100979.3900001</definedName>
    <definedName name="MOV.050.C.0.11.1999.00.00.DBREAK09">-121683.21000004</definedName>
    <definedName name="MOV.050.C.0.11.1999.00.00.DBREAK10">-23391.47</definedName>
    <definedName name="MOV.050.C.0.11.1999.00.00.DBREAK11">-1382920.65999985</definedName>
    <definedName name="MOV.050.C.0.11.1999.00.00.DBREAK12">-298494.25</definedName>
    <definedName name="MOV.050.C.0.11.1999.00.00.DBREAK13">-172988.09000015</definedName>
    <definedName name="MOV.050.C.0.11.1999.00.00.DBREAK14">-1162363.62999916</definedName>
    <definedName name="MOV.050.C.0.11.1999.00.00.DBREAK15">-41165.88</definedName>
    <definedName name="MOV.050.C.0.11.1999.00.00.DBREAK16">-592146.81999969</definedName>
    <definedName name="MOV.050.C.0.11.1999.00.00.DBREAK17">-256852.77999997</definedName>
    <definedName name="MOV.050.C.0.11.1999.00.00.DBREAK18">-78987.5</definedName>
    <definedName name="MOV.050.C.0.11.1999.00.00.DBREAK19">-27941.54999998</definedName>
    <definedName name="MOV.050.C.0.11.1999.00.00.DBREAK20">-58955.56</definedName>
    <definedName name="MOV.050.C.0.11.1999.00.00.DBREAK21">-45402.64999998</definedName>
    <definedName name="MOV.050.C.0.11.1999.00.00.DBREAK22">-474089.88999987</definedName>
    <definedName name="MOV.050.C.0.11.1999.00.00.DBREAK23">-24748.28999999</definedName>
    <definedName name="MOV.050.C.0.11.1999.00.00.DBREAK24">-93725.19000006</definedName>
    <definedName name="MOV.050.C.0.11.1999.00.00.DBREAK25">-104758.66999996</definedName>
    <definedName name="MOV.050.C.0.11.1999.00.00.DBREAK26">-36827.14000005</definedName>
    <definedName name="MOV.050.C.0.11.1999.00.00.DBREAK27">-41900.87</definedName>
    <definedName name="MOV.050.C.0.11.1999.00.00.DBREAK28">-59128.02999997</definedName>
    <definedName name="MOV.050.C.0.11.1999.00.00.DBREAK29">-70925.09000003</definedName>
    <definedName name="MOV.050.C.0.11.1999.00.00.DBREAK30">-37068.97000003</definedName>
    <definedName name="MOV.050.C.0.11.1999.00.00.DBREAK31">-40948.06</definedName>
    <definedName name="MOV.050.C.0.11.1999.00.00.DBREAK32">-82194.43999994</definedName>
    <definedName name="MOV.050.C.0.11.1999.00.00.DBREAK33">-5869469.3999939</definedName>
    <definedName name="MOV.050.C.0.11.1999.00.00.DBREAK34">-5306421.62001038</definedName>
    <definedName name="MOV.050.C.0.11.1999.00.00.DGER003">-56598087.4699707</definedName>
    <definedName name="MOV.050.C.0.11.1999.00.00.DGER005">-10299368.3499908</definedName>
    <definedName name="MOV.050.C.0.11.1999.00.00.DGER006">-19878170.9899902</definedName>
    <definedName name="MOV.050.C.0.11.1999.00.00.DGER007">-2123514.54999924</definedName>
    <definedName name="MOV.050.C.0.11.1999.00.00.DGER01">109731948.540039</definedName>
    <definedName name="MOV.050.C.0.11.1999.00.00.DGER015.CG4_AREA_ADM">-1338667.31999969</definedName>
    <definedName name="MOV.050.C.0.11.1999.00.00.DGER015.CG4_AREA_COM">-228426.51999998</definedName>
    <definedName name="MOV.050.C.0.11.1999.00.00.DGER015.CG4_AREA_FAB">-4302375.55999756</definedName>
    <definedName name="MOV.050.C.0.11.1999.00.00.DGER016">4476877.00997925</definedName>
    <definedName name="MOV.050.C.0.11.1999.00.00.DGER026">-7927762.1000061</definedName>
    <definedName name="MOV.050.C.0.11.1999.00.00.DGER029">508060.30999947</definedName>
    <definedName name="MOV.050.C.0.11.1999.00.00.DGER030">-1991814.27000046</definedName>
    <definedName name="MOV.050.C.0.11.1999.00.00.DGER031">-828221.68999958</definedName>
    <definedName name="MOV.050.C.0.11.1999.00.00.DGER032">-1260616.42000008</definedName>
    <definedName name="MOV.050.C.0.11.1999.00.00.DGER034">-1562943.29999924</definedName>
    <definedName name="MOV.050.C.0.11.1999.00.00.DGER036">1253.05</definedName>
    <definedName name="MOV.050.C.0.11.1999.00.00.DGER048">8113039.14000702</definedName>
    <definedName name="MOV.050.C.0.11.1999.00.00.DGER049">-4487128.98000336</definedName>
    <definedName name="MOV.050.C.0.11.1999.00.00.DGER050.CG4_AREA_ADM">-5320197.73999786</definedName>
    <definedName name="MOV.050.C.0.11.1999.00.00.DGER050.CG4_AREA_COM">-1456434.28000069</definedName>
    <definedName name="MOV.050.C.0.11.1999.00.00.DGER051">-2609131.63000107</definedName>
    <definedName name="MOV.050.C.0.11.1999.00.00.DGER052">653188.60000229</definedName>
    <definedName name="MOV.050.C.0.11.1999.00.00.DGER053">-213892.6699996</definedName>
    <definedName name="MOV.050.C.0.11.1999.00.00.DRESPER">935929.60003662</definedName>
    <definedName name="MOV.050.C.0.11.2000.00.00.311550">-4301849.63999939</definedName>
    <definedName name="MOV.050.C.0.11.2000.00.00.3214500.CG4_32999">-62279.29000002</definedName>
    <definedName name="MOV.050.C.0.11.2000.00.00.3214500.CG4_33999">-74431.19000006</definedName>
    <definedName name="MOV.050.C.0.11.2000.00.00.3214500.CG4_34999">-22407.15000001</definedName>
    <definedName name="MOV.050.C.0.11.2000.00.00.3214500.CG4_42999">-167500.99000001</definedName>
    <definedName name="MOV.050.C.0.11.2000.00.00.3214610">-13650</definedName>
    <definedName name="MOV.050.C.0.11.2000.00.00.3214680">-15075.64</definedName>
    <definedName name="MOV.050.C.0.11.2000.00.00.3214780">-19220.91</definedName>
    <definedName name="MOV.050.C.0.11.2000.00.00.3215040">-797.67</definedName>
    <definedName name="MOV.050.C.0.11.2000.00.00.3215400">0</definedName>
    <definedName name="MOV.050.C.0.11.2000.00.00.321543">-417321.86000013</definedName>
    <definedName name="MOV.050.C.0.11.2000.00.00.3215530">-23682.74000001</definedName>
    <definedName name="MOV.050.C.0.11.2000.00.00.321555">-274061.17000008</definedName>
    <definedName name="MOV.050.C.0.11.2000.00.00.321567">696948.44999981</definedName>
    <definedName name="MOV.050.C.0.11.2000.00.00.321577">-307537.96000004</definedName>
    <definedName name="MOV.050.C.0.11.2000.00.00.321582">0</definedName>
    <definedName name="MOV.050.C.0.11.2000.00.00.321800">-14952.66</definedName>
    <definedName name="MOV.050.C.0.11.2000.00.00.3218500">266725.67999983</definedName>
    <definedName name="MOV.050.C.0.11.2000.00.00.DBREAK01">-3506707.63999939</definedName>
    <definedName name="MOV.050.C.0.11.2000.00.00.DBREAK02">-128109.49000001</definedName>
    <definedName name="MOV.050.C.0.11.2000.00.00.DBREAK03">-8612.5</definedName>
    <definedName name="MOV.050.C.0.11.2000.00.00.DBREAK04">-2127432.85000229</definedName>
    <definedName name="MOV.050.C.0.11.2000.00.00.DBREAK05">-328965.93000031</definedName>
    <definedName name="MOV.050.C.0.11.2000.00.00.DBREAK06">-229324.30999994</definedName>
    <definedName name="MOV.050.C.0.11.2000.00.00.DBREAK07">-8537.03</definedName>
    <definedName name="MOV.050.C.0.11.2000.00.00.DBREAK08">-140188.32999992</definedName>
    <definedName name="MOV.050.C.0.11.2000.00.00.DBREAK09">-155564.72000003</definedName>
    <definedName name="MOV.050.C.0.11.2000.00.00.DBREAK10">-10368.83</definedName>
    <definedName name="MOV.050.C.0.11.2000.00.00.DBREAK11">-622704.39000034</definedName>
    <definedName name="MOV.050.C.0.11.2000.00.00.DBREAK12">-217516.11999989</definedName>
    <definedName name="MOV.050.C.0.11.2000.00.00.DBREAK13">-255880.86999989</definedName>
    <definedName name="MOV.050.C.0.11.2000.00.00.DBREAK14">-1373509.44000053</definedName>
    <definedName name="MOV.050.C.0.11.2000.00.00.DBREAK15">-244238.05999994</definedName>
    <definedName name="MOV.050.C.0.11.2000.00.00.DBREAK16">-485696.06999969</definedName>
    <definedName name="MOV.050.C.0.11.2000.00.00.DBREAK17">-364461.96000052</definedName>
    <definedName name="MOV.050.C.0.11.2000.00.00.DBREAK18">-113220.11000001</definedName>
    <definedName name="MOV.050.C.0.11.2000.00.00.DBREAK19">-32802.99000001</definedName>
    <definedName name="MOV.050.C.0.11.2000.00.00.DBREAK20">-67483.04999995</definedName>
    <definedName name="MOV.050.C.0.11.2000.00.00.DBREAK21">-50378.19</definedName>
    <definedName name="MOV.050.C.0.11.2000.00.00.DBREAK22">-420752.79999971</definedName>
    <definedName name="MOV.050.C.0.11.2000.00.00.DBREAK23">-29002.75</definedName>
    <definedName name="MOV.050.C.0.11.2000.00.00.DBREAK24">-200531.07999992</definedName>
    <definedName name="MOV.050.C.0.11.2000.00.00.DBREAK25">-121597.43999994</definedName>
    <definedName name="MOV.050.C.0.11.2000.00.00.DBREAK26">-83244.10000002</definedName>
    <definedName name="MOV.050.C.0.11.2000.00.00.DBREAK27">-72339.81000006</definedName>
    <definedName name="MOV.050.C.0.11.2000.00.00.DBREAK28">-59477.04000008</definedName>
    <definedName name="MOV.050.C.0.11.2000.00.00.DBREAK29">-93905.92999983</definedName>
    <definedName name="MOV.050.C.0.11.2000.00.00.DBREAK30">-30094.77000001</definedName>
    <definedName name="MOV.050.C.0.11.2000.00.00.DBREAK31">-50983.80000001</definedName>
    <definedName name="MOV.050.C.0.11.2000.00.00.DBREAK32">-124538.38000011</definedName>
    <definedName name="MOV.050.C.0.11.2000.00.00.DBREAK33">-5925130.55000305</definedName>
    <definedName name="MOV.050.C.0.11.2000.00.00.DBREAK34">-5067263.22001648</definedName>
    <definedName name="MOV.050.C.0.11.2000.00.00.DBREAK36">-49876.08999997</definedName>
    <definedName name="MOV.050.C.0.11.2000.00.00.DBREAK37">-136511.50000024</definedName>
    <definedName name="MOV.050.C.0.11.2000.00.00.DBREAK38">-14429.51000001</definedName>
    <definedName name="MOV.050.C.0.11.2000.00.00.DBREAK39">0</definedName>
    <definedName name="MOV.050.C.0.11.2000.00.00.DGER003">-64822583.7301025</definedName>
    <definedName name="MOV.050.C.0.11.2000.00.00.DGER005">-14010044.4399871</definedName>
    <definedName name="MOV.050.C.0.11.2000.00.00.DGER006">-27830195.9700012</definedName>
    <definedName name="MOV.050.C.0.11.2000.00.00.DGER007">-2950903.36999893</definedName>
    <definedName name="MOV.050.C.0.11.2000.00.00.DGER01">129758050.550048</definedName>
    <definedName name="MOV.050.C.0.11.2000.00.00.DGER015.CG4_AREA_ADM">-1413189.46999931</definedName>
    <definedName name="MOV.050.C.0.11.2000.00.00.DGER015.CG4_AREA_COM">-210091.44000006</definedName>
    <definedName name="MOV.050.C.0.11.2000.00.00.DGER016">12122958.9999237</definedName>
    <definedName name="MOV.050.C.0.11.2000.00.00.DGER026">-5345553.02001953</definedName>
    <definedName name="MOV.050.C.0.11.2000.00.00.DGER029">554641.60000038</definedName>
    <definedName name="MOV.050.C.0.11.2000.00.00.DGER030">-2622170.16999817</definedName>
    <definedName name="MOV.050.C.0.11.2000.00.00.DGER031">-733842.79000092</definedName>
    <definedName name="MOV.050.C.0.11.2000.00.00.DGER032">4417.02</definedName>
    <definedName name="MOV.050.C.0.11.2000.00.00.DGER034">0</definedName>
    <definedName name="MOV.050.C.0.11.2000.00.00.DGER048">14282550.6699981</definedName>
    <definedName name="MOV.050.C.0.11.2000.00.00.DGER049">-4473674.21999359</definedName>
    <definedName name="MOV.050.C.0.11.2000.00.00.DGER050.CG4_AREA_ADM">-5381181.71000671</definedName>
    <definedName name="MOV.050.C.0.11.2000.00.00.DGER050.CG4_AREA_COM">-1745538.43000031</definedName>
    <definedName name="MOV.050.C.0.11.2000.00.00.DGER051">-3620108.98999786</definedName>
    <definedName name="MOV.050.C.0.11.2000.00.00.DGER052">-6776218.29000092</definedName>
    <definedName name="MOV.050.C.0.11.2000.00.00.DGER053">892111.55000019</definedName>
    <definedName name="MOV.050.C.0.11.2000.00.00.DGER054">-1184408.71999931</definedName>
    <definedName name="MOV.050.C.0.11.2000.00.00.DRESPER">11222019.9899902</definedName>
    <definedName name="MOV.050.C.0.11.2001.00.00.311550">-4210412.37000275</definedName>
    <definedName name="MOV.050.C.0.11.2001.00.00.3214500.CG4_32999">-62279.29000002</definedName>
    <definedName name="MOV.050.C.0.11.2001.00.00.3214500.CG4_33999">-74431.19000006</definedName>
    <definedName name="MOV.050.C.0.11.2001.00.00.3214500.CG4_34999">-22407.15000001</definedName>
    <definedName name="MOV.050.C.0.11.2001.00.00.3214500.CG4_42999">-167500.99000001</definedName>
    <definedName name="MOV.050.C.0.11.2001.00.00.3214610">-4116</definedName>
    <definedName name="MOV.050.C.0.11.2001.00.00.3214680">-16953.05000001</definedName>
    <definedName name="MOV.050.C.0.11.2001.00.00.3214780">-26471.59</definedName>
    <definedName name="MOV.050.C.0.11.2001.00.00.3215040">0</definedName>
    <definedName name="MOV.050.C.0.11.2001.00.00.3215400">0</definedName>
    <definedName name="MOV.050.C.0.11.2001.00.00.321543">-1075032.61000061</definedName>
    <definedName name="MOV.050.C.0.11.2001.00.00.3215530">0</definedName>
    <definedName name="MOV.050.C.0.11.2001.00.00.321555">-7296183.55999756</definedName>
    <definedName name="MOV.050.C.0.11.2001.00.00.321567">-1154924.63999939</definedName>
    <definedName name="MOV.050.C.0.11.2001.00.00.321577">-669100.32999992</definedName>
    <definedName name="MOV.050.C.0.11.2001.00.00.321582">0</definedName>
    <definedName name="MOV.050.C.0.11.2001.00.00.321800">-20336.13</definedName>
    <definedName name="MOV.050.C.0.11.2001.00.00.3218500">0</definedName>
    <definedName name="MOV.050.C.0.11.2001.00.00.3218510">-568250</definedName>
    <definedName name="MOV.050.C.0.11.2001.00.00.3218520">708216.35999966</definedName>
    <definedName name="MOV.050.C.0.11.2001.00.00.DBREAK01">-3519635.64999771</definedName>
    <definedName name="MOV.050.C.0.11.2001.00.00.DBREAK02">-65692.39999998</definedName>
    <definedName name="MOV.050.C.0.11.2001.00.00.DBREAK03">-8976.54000001</definedName>
    <definedName name="MOV.050.C.0.11.2001.00.00.DBREAK04">-2614720.40000153</definedName>
    <definedName name="MOV.050.C.0.11.2001.00.00.DBREAK05">-210147.78999996</definedName>
    <definedName name="MOV.050.C.0.11.2001.00.00.DBREAK06">-301901.07999992</definedName>
    <definedName name="MOV.050.C.0.11.2001.00.00.DBREAK07">-82297.0200001</definedName>
    <definedName name="MOV.050.C.0.11.2001.00.00.DBREAK08">0</definedName>
    <definedName name="MOV.050.C.0.11.2001.00.00.DBREAK09">-323341.53999996</definedName>
    <definedName name="MOV.050.C.0.11.2001.00.00.DBREAK10">-23365.51999998</definedName>
    <definedName name="MOV.050.C.0.11.2001.00.00.DBREAK11">-630689.28000069</definedName>
    <definedName name="MOV.050.C.0.11.2001.00.00.DBREAK12">-273313.67999983</definedName>
    <definedName name="MOV.050.C.0.11.2001.00.00.DBREAK13">-184001.1400001</definedName>
    <definedName name="MOV.050.C.0.11.2001.00.00.DBREAK14">-1207769.07999992</definedName>
    <definedName name="MOV.050.C.0.11.2001.00.00.DBREAK15">-71791.02999997</definedName>
    <definedName name="MOV.050.C.0.11.2001.00.00.DBREAK16">-551297.34000015</definedName>
    <definedName name="MOV.050.C.0.11.2001.00.00.DBREAK17">-227087.6099999</definedName>
    <definedName name="MOV.050.C.0.11.2001.00.00.DBREAK18">-48949.05000001</definedName>
    <definedName name="MOV.050.C.0.11.2001.00.00.DBREAK19">-27030.63000003</definedName>
    <definedName name="MOV.050.C.0.11.2001.00.00.DBREAK20">-65701.62</definedName>
    <definedName name="MOV.050.C.0.11.2001.00.00.DBREAK21">-40376.34000003</definedName>
    <definedName name="MOV.050.C.0.11.2001.00.00.DBREAK22">-417500.72000027</definedName>
    <definedName name="MOV.050.C.0.11.2001.00.00.DBREAK23">-34665.95999998</definedName>
    <definedName name="MOV.050.C.0.11.2001.00.00.DBREAK24">-273468.61999989</definedName>
    <definedName name="MOV.050.C.0.11.2001.00.00.DBREAK25">-121430.62000084</definedName>
    <definedName name="MOV.050.C.0.11.2001.00.00.DBREAK26">-44878.62000006</definedName>
    <definedName name="MOV.050.C.0.11.2001.00.00.DBREAK27">-86941.54999995</definedName>
    <definedName name="MOV.050.C.0.11.2001.00.00.DBREAK28">-154866.95000005</definedName>
    <definedName name="MOV.050.C.0.11.2001.00.00.DBREAK29">-113436.78999996</definedName>
    <definedName name="MOV.050.C.0.11.2001.00.00.DBREAK30">-28920.09999999</definedName>
    <definedName name="MOV.050.C.0.11.2001.00.00.DBREAK31">-33930.85000002</definedName>
    <definedName name="MOV.050.C.0.11.2001.00.00.DBREAK32">-70226.92000008</definedName>
    <definedName name="MOV.050.C.0.11.2001.00.00.DBREAK33">-5820467.9200058</definedName>
    <definedName name="MOV.050.C.0.11.2001.00.00.DBREAK34">-2832412.40999985</definedName>
    <definedName name="MOV.050.C.0.11.2001.00.00.DBREAK36">-50276.06999999</definedName>
    <definedName name="MOV.050.C.0.11.2001.00.00.DBREAK37">-131423.5</definedName>
    <definedName name="MOV.050.C.0.11.2001.00.00.DBREAK38">-15271.31999999</definedName>
    <definedName name="MOV.050.C.0.11.2001.00.00.DBREAK39">-152292.70000005</definedName>
    <definedName name="MOV.050.C.0.11.2001.00.00.DGER003">-70316050.4500732</definedName>
    <definedName name="MOV.050.C.0.11.2001.00.00.DGER005">-15206357.9300079</definedName>
    <definedName name="MOV.050.C.0.11.2001.00.00.DGER006">-28633186.4000244</definedName>
    <definedName name="MOV.050.C.0.11.2001.00.00.DGER007">-2951161.64999771</definedName>
    <definedName name="MOV.050.C.0.11.2001.00.00.DGER01">162088790.420166</definedName>
    <definedName name="MOV.050.C.0.11.2001.00.00.DGER015.CG4_AREA_ADM">-1403198.72999954</definedName>
    <definedName name="MOV.050.C.0.11.2001.00.00.DGER015.CG4_AREA_COM">-206782.05000019</definedName>
    <definedName name="MOV.050.C.0.11.2001.00.00.DGER016">303591.83007288</definedName>
    <definedName name="MOV.050.C.0.11.2001.00.00.DGER026">-13027653.550003</definedName>
    <definedName name="MOV.050.C.0.11.2001.00.00.DGER029">-110416.40999985</definedName>
    <definedName name="MOV.050.C.0.11.2001.00.00.DGER030">-2814035.90000153</definedName>
    <definedName name="MOV.050.C.0.11.2001.00.00.DGER031">-2619167.38999939</definedName>
    <definedName name="MOV.050.C.0.11.2001.00.00.DGER032">290456.11000013</definedName>
    <definedName name="MOV.050.C.0.11.2001.00.00.DGER034">0</definedName>
    <definedName name="MOV.050.C.0.11.2001.00.00.DGER048">2512914.96999741</definedName>
    <definedName name="MOV.050.C.0.11.2001.00.00.DGER049">-4245598.22999573</definedName>
    <definedName name="MOV.050.C.0.11.2001.00.00.DGER050.CG4_AREA_ADM">-5858455.36000061</definedName>
    <definedName name="MOV.050.C.0.11.2001.00.00.DGER050.CG4_AREA_COM">-1845798.28000069</definedName>
    <definedName name="MOV.050.C.0.11.2001.00.00.DGER051">-6959388.5699997</definedName>
    <definedName name="MOV.050.C.0.11.2001.00.00.DGER054">-2630897.52000046</definedName>
    <definedName name="MOV.050.C.0.11.2001.00.00.DGER055">-3112191.37999725</definedName>
    <definedName name="MOV.050.C.0.11.2001.00.00.DGER056">197287.30999994</definedName>
    <definedName name="MOV.050.C.0.11.2001.00.00.DGER057">18079374.7099914</definedName>
    <definedName name="MOV.050.C.0.11.2001.00.00.DRESPER">16995947.4799804</definedName>
    <definedName name="MOV.050.C.0.12.1997.00.00.3220110">-14158195.5700073</definedName>
    <definedName name="MOV.050.C.0.12.1997.00.00.3220170">-6198734.98999786</definedName>
    <definedName name="MOV.050.C.0.12.1997.00.00.3220180">-7818612.80000305</definedName>
    <definedName name="MOV.050.C.0.12.1997.00.00.3220190">-162236.71000004</definedName>
    <definedName name="MOV.050.C.0.12.1997.00.00.3220200">-576436.25</definedName>
    <definedName name="MOV.050.C.0.12.1997.00.00.3220210">0</definedName>
    <definedName name="MOV.050.C.0.12.1997.00.00.3220220">-216151.96000004</definedName>
    <definedName name="MOV.050.C.0.12.1997.00.00.3220230">-136767.23000002</definedName>
    <definedName name="MOV.050.C.0.12.1997.00.00.3220240">-52049.7599999899</definedName>
    <definedName name="MOV.050.C.0.12.1997.00.00.3220250">-9429.15000001</definedName>
    <definedName name="MOV.050.C.0.12.1997.00.00.3220260">-2069681.55999947</definedName>
    <definedName name="MOV.050.C.0.12.1997.00.00.3220550">0</definedName>
    <definedName name="MOV.050.C.0.12.1998.00.00.3220110">-322537.57000017</definedName>
    <definedName name="MOV.050.C.0.12.1998.00.00.3220170">-433082.65999985</definedName>
    <definedName name="MOV.050.C.0.12.1998.00.00.3220180">-182097.6500001</definedName>
    <definedName name="MOV.050.C.0.12.1998.00.00.3220190">0</definedName>
    <definedName name="MOV.050.C.0.12.1998.00.00.3220200">-6467.29</definedName>
    <definedName name="MOV.050.C.0.12.1998.00.00.3220210">0</definedName>
    <definedName name="MOV.050.C.0.12.1998.00.00.3220220">-29011.36000001</definedName>
    <definedName name="MOV.050.C.0.12.1998.00.00.3220230">-20797.91</definedName>
    <definedName name="MOV.050.C.0.12.1998.00.00.3220240">-14670.56</definedName>
    <definedName name="MOV.050.C.0.12.1998.00.00.3220250">0</definedName>
    <definedName name="MOV.050.C.0.12.1998.00.00.3220260">-174292.18000007</definedName>
    <definedName name="MOV.050.C.0.12.1998.00.00.3220550">0</definedName>
    <definedName name="MOV.050.C.0.12.1999.00.00.3211030">-148036.18000007</definedName>
    <definedName name="MOV.050.C.0.12.1999.00.00.3211060">-50716.36000001</definedName>
    <definedName name="MOV.050.C.0.12.1999.00.00.3211110">-141767.42000008</definedName>
    <definedName name="MOV.050.C.0.12.1999.00.00.3211160">-13719.73</definedName>
    <definedName name="MOV.050.C.0.12.1999.00.00.3214500.CG4_42999">-369247.67999983</definedName>
    <definedName name="MOV.050.C.0.12.1999.00.00.3214610">-200</definedName>
    <definedName name="MOV.050.C.0.12.1999.00.00.3214680">-11385.11</definedName>
    <definedName name="MOV.050.C.0.12.1999.00.00.3214780">-11446.81</definedName>
    <definedName name="MOV.050.C.0.12.1999.00.00.321543">-6617637.98000336</definedName>
    <definedName name="MOV.050.C.0.12.1999.00.00.321555">-775735.48999977</definedName>
    <definedName name="MOV.050.C.0.12.1999.00.00.321567">-1804992.20000076</definedName>
    <definedName name="MOV.050.C.0.12.1999.00.00.321577">-579663.09000015</definedName>
    <definedName name="MOV.050.C.0.12.1999.00.00.321582">-51349.60000002</definedName>
    <definedName name="MOV.050.C.0.12.1999.00.00.321800">-8828.17</definedName>
    <definedName name="MOV.050.C.0.12.1999.00.00.3220110">-203336.3499999</definedName>
    <definedName name="MOV.050.C.0.12.1999.00.00.3220170">-368498.67999983</definedName>
    <definedName name="MOV.050.C.0.12.1999.00.00.3220180">-76750.39999998</definedName>
    <definedName name="MOV.050.C.0.12.1999.00.00.3220190">0</definedName>
    <definedName name="MOV.050.C.0.12.1999.00.00.3220200">-5062.92</definedName>
    <definedName name="MOV.050.C.0.12.1999.00.00.3220210">0</definedName>
    <definedName name="MOV.050.C.0.12.1999.00.00.3220220">-25388.27000001</definedName>
    <definedName name="MOV.050.C.0.12.1999.00.00.3220230">-15512.48</definedName>
    <definedName name="MOV.050.C.0.12.1999.00.00.3220240">-1411.28</definedName>
    <definedName name="MOV.050.C.0.12.1999.00.00.3220250">0</definedName>
    <definedName name="MOV.050.C.0.12.1999.00.00.3220260">-889732.56000042</definedName>
    <definedName name="MOV.050.C.0.12.1999.00.00.3220550">265488.32000017</definedName>
    <definedName name="MOV.050.C.0.12.1999.00.00.4110110">0</definedName>
    <definedName name="MOV.050.C.0.12.1999.00.00.DBREAK01">-2954993.63000107</definedName>
    <definedName name="MOV.050.C.0.12.1999.00.00.DBREAK02">-109260.03000009</definedName>
    <definedName name="MOV.050.C.0.12.1999.00.00.DBREAK03">-23255.97999999</definedName>
    <definedName name="MOV.050.C.0.12.1999.00.00.DBREAK04">-1980494.33000183</definedName>
    <definedName name="MOV.050.C.0.12.1999.00.00.DBREAK05">-217859.88000011</definedName>
    <definedName name="MOV.050.C.0.12.1999.00.00.DBREAK06">-281413.94000006</definedName>
    <definedName name="MOV.050.C.0.12.1999.00.00.DBREAK07">-147209.17999983</definedName>
    <definedName name="MOV.050.C.0.12.1999.00.00.DBREAK08">-104963.80999994</definedName>
    <definedName name="MOV.050.C.0.12.1999.00.00.DBREAK09">-5360194.70999908</definedName>
    <definedName name="MOV.050.C.0.12.1999.00.00.DBREAK10">-19646.88000003</definedName>
    <definedName name="MOV.050.C.0.12.1999.00.00.DBREAK11">-962012.69000053</definedName>
    <definedName name="MOV.050.C.0.12.1999.00.00.DBREAK12">-394645.62000036</definedName>
    <definedName name="MOV.050.C.0.12.1999.00.00.DBREAK13">-386554.78999996</definedName>
    <definedName name="MOV.050.C.0.12.1999.00.00.DBREAK14">-1840601.8599987</definedName>
    <definedName name="MOV.050.C.0.12.1999.00.00.DBREAK15">-469728.96000004</definedName>
    <definedName name="MOV.050.C.0.12.1999.00.00.DBREAK16">-1254281.0700016</definedName>
    <definedName name="MOV.050.C.0.12.1999.00.00.DBREAK17">-435144.14999962</definedName>
    <definedName name="MOV.050.C.0.12.1999.00.00.DBREAK18">-99292.81000006</definedName>
    <definedName name="MOV.050.C.0.12.1999.00.00.DBREAK19">-33069.2599999899</definedName>
    <definedName name="MOV.050.C.0.12.1999.00.00.DBREAK20">-101051.08000004</definedName>
    <definedName name="MOV.050.C.0.12.1999.00.00.DBREAK21">-137479.56999993</definedName>
    <definedName name="MOV.050.C.0.12.1999.00.00.DBREAK22">-492831.35000038</definedName>
    <definedName name="MOV.050.C.0.12.1999.00.00.DBREAK23">-21542.49000001</definedName>
    <definedName name="MOV.050.C.0.12.1999.00.00.DBREAK24">-230977.75</definedName>
    <definedName name="MOV.050.C.0.12.1999.00.00.DBREAK25">-397817.49000072</definedName>
    <definedName name="MOV.050.C.0.12.1999.00.00.DBREAK26">-67299.56999993</definedName>
    <definedName name="MOV.050.C.0.12.1999.00.00.DBREAK27">-39764.71999997</definedName>
    <definedName name="MOV.050.C.0.12.1999.00.00.DBREAK28">-90273.32999992</definedName>
    <definedName name="MOV.050.C.0.12.1999.00.00.DBREAK29">-153478.76999998</definedName>
    <definedName name="MOV.050.C.0.12.1999.00.00.DBREAK30">-28103.25999999</definedName>
    <definedName name="MOV.050.C.0.12.1999.00.00.DBREAK31">-52792.56999999</definedName>
    <definedName name="MOV.050.C.0.12.1999.00.00.DBREAK32">-134462.45000005</definedName>
    <definedName name="MOV.050.C.0.12.1999.00.00.DBREAK33">-5866917.76000214</definedName>
    <definedName name="MOV.050.C.0.12.1999.00.00.DBREAK34">-2568130.45001221</definedName>
    <definedName name="MOV.050.C.0.12.1999.00.00.DGER003">-94358135.3100586</definedName>
    <definedName name="MOV.050.C.0.12.1999.00.00.DGER005">-12522838.019989</definedName>
    <definedName name="MOV.050.C.0.12.1999.00.00.DGER006">-26307548.9400024</definedName>
    <definedName name="MOV.050.C.0.12.1999.00.00.DGER007">-2200324.5399971</definedName>
    <definedName name="MOV.050.C.0.12.1999.00.00.DGER01">190490481.97998</definedName>
    <definedName name="MOV.050.C.0.12.1999.00.00.DGER015.CG4_AREA_ADM">-1352866.45000076</definedName>
    <definedName name="MOV.050.C.0.12.1999.00.00.DGER015.CG4_AREA_COM">-223885.81999993</definedName>
    <definedName name="MOV.050.C.0.12.1999.00.00.DGER015.CG4_AREA_FAB">-4290165.48999786</definedName>
    <definedName name="MOV.050.C.0.12.1999.00.00.DGER016">-7080785.88999939</definedName>
    <definedName name="MOV.050.C.0.12.1999.00.00.DGER026">-12397508.8099823</definedName>
    <definedName name="MOV.050.C.0.12.1999.00.00.DGER029">9436256.50999451</definedName>
    <definedName name="MOV.050.C.0.12.1999.00.00.DGER030">-1313730.42000008</definedName>
    <definedName name="MOV.050.C.0.12.1999.00.00.DGER031">-1269170.74000168</definedName>
    <definedName name="MOV.050.C.0.12.1999.00.00.DGER032">-501772.65999985</definedName>
    <definedName name="MOV.050.C.0.12.1999.00.00.DGER034">-6732938.41000366</definedName>
    <definedName name="MOV.050.C.0.12.1999.00.00.DGER036">-48455.76999998</definedName>
    <definedName name="MOV.050.C.0.12.1999.00.00.DGER048">5001837.16999817</definedName>
    <definedName name="MOV.050.C.0.12.1999.00.00.DGER049">-4158262.40000153</definedName>
    <definedName name="MOV.050.C.0.12.1999.00.00.DGER050.CG4_AREA_ADM">-7083277.08999634</definedName>
    <definedName name="MOV.050.C.0.12.1999.00.00.DGER050.CG4_AREA_COM">-2806863.55999756</definedName>
    <definedName name="MOV.050.C.0.12.1999.00.00.DGER051">-4329526.33000183</definedName>
    <definedName name="MOV.050.C.0.12.1999.00.00.DGER052">8851692.19000244</definedName>
    <definedName name="MOV.050.C.0.12.1999.00.00.DGER053">-1751994.47999763</definedName>
    <definedName name="MOV.050.C.0.12.1999.00.00.DRESPER">17690022.0100097</definedName>
    <definedName name="MOV.050.C.0.12.2000.00.00.311550">-4277402.88999939</definedName>
    <definedName name="MOV.050.C.0.12.2000.00.00.3214500.CG4_32999">-62279.29000002</definedName>
    <definedName name="MOV.050.C.0.12.2000.00.00.3214500.CG4_33999">-74431.19000006</definedName>
    <definedName name="MOV.050.C.0.12.2000.00.00.3214500.CG4_34999">-22407.15000001</definedName>
    <definedName name="MOV.050.C.0.12.2000.00.00.3214500.CG4_42999">-167500.99000001</definedName>
    <definedName name="MOV.050.C.0.12.2000.00.00.3214610">-14448.38</definedName>
    <definedName name="MOV.050.C.0.12.2000.00.00.3214680">-18934.16999999</definedName>
    <definedName name="MOV.050.C.0.12.2000.00.00.3214780">-18385.86000001</definedName>
    <definedName name="MOV.050.C.0.12.2000.00.00.3215040">-430.56</definedName>
    <definedName name="MOV.050.C.0.12.2000.00.00.3215400">-46076.19</definedName>
    <definedName name="MOV.050.C.0.12.2000.00.00.321543">-114150.39999998</definedName>
    <definedName name="MOV.050.C.0.12.2000.00.00.3215530">-15357.73</definedName>
    <definedName name="MOV.050.C.0.12.2000.00.00.321555">1856446.02000046</definedName>
    <definedName name="MOV.050.C.0.12.2000.00.00.321567">-807868.31000042</definedName>
    <definedName name="MOV.050.C.0.12.2000.00.00.321577">-352658.90999985</definedName>
    <definedName name="MOV.050.C.0.12.2000.00.00.321582">0</definedName>
    <definedName name="MOV.050.C.0.12.2000.00.00.321800">-86264.07000005</definedName>
    <definedName name="MOV.050.C.0.12.2000.00.00.3218500">0</definedName>
    <definedName name="MOV.050.C.0.12.2000.00.00.3220110">0</definedName>
    <definedName name="MOV.050.C.0.12.2000.00.00.3220170">0</definedName>
    <definedName name="MOV.050.C.0.12.2000.00.00.3220180">0</definedName>
    <definedName name="MOV.050.C.0.12.2000.00.00.3220190">0</definedName>
    <definedName name="MOV.050.C.0.12.2000.00.00.3220200">0</definedName>
    <definedName name="MOV.050.C.0.12.2000.00.00.3220210">0</definedName>
    <definedName name="MOV.050.C.0.12.2000.00.00.3220220">0</definedName>
    <definedName name="MOV.050.C.0.12.2000.00.00.3220230">0</definedName>
    <definedName name="MOV.050.C.0.12.2000.00.00.3220240">0</definedName>
    <definedName name="MOV.050.C.0.12.2000.00.00.3220250">0</definedName>
    <definedName name="MOV.050.C.0.12.2000.00.00.3220260">0</definedName>
    <definedName name="MOV.050.C.0.12.2000.00.00.3220550">0</definedName>
    <definedName name="MOV.050.C.0.12.2000.00.00.DBREAK01">-56850.0099999899</definedName>
    <definedName name="MOV.050.C.0.12.2000.00.00.DBREAK02">-102737.57000005</definedName>
    <definedName name="MOV.050.C.0.12.2000.00.00.DBREAK03">-26566.46000001</definedName>
    <definedName name="MOV.050.C.0.12.2000.00.00.DBREAK04">-2374101.53000259</definedName>
    <definedName name="MOV.050.C.0.12.2000.00.00.DBREAK05">-396000.21999979</definedName>
    <definedName name="MOV.050.C.0.12.2000.00.00.DBREAK06">-244905.91999984</definedName>
    <definedName name="MOV.050.C.0.12.2000.00.00.DBREAK07">-129067.19000006</definedName>
    <definedName name="MOV.050.C.0.12.2000.00.00.DBREAK08">-66066.21000004</definedName>
    <definedName name="MOV.050.C.0.12.2000.00.00.DBREAK09">-151848.11000013</definedName>
    <definedName name="MOV.050.C.0.12.2000.00.00.DBREAK10">-74544.36000001</definedName>
    <definedName name="MOV.050.C.0.12.2000.00.00.DBREAK11">-822520</definedName>
    <definedName name="MOV.050.C.0.12.2000.00.00.DBREAK12">-383461.38999987</definedName>
    <definedName name="MOV.050.C.0.12.2000.00.00.DBREAK13">-239161.71000004</definedName>
    <definedName name="MOV.050.C.0.12.2000.00.00.DBREAK14">-1361431.71000099</definedName>
    <definedName name="MOV.050.C.0.12.2000.00.00.DBREAK15">-182639.5599997</definedName>
    <definedName name="MOV.050.C.0.12.2000.00.00.DBREAK16">-1197106.27000046</definedName>
    <definedName name="MOV.050.C.0.12.2000.00.00.DBREAK17">-297096.98000002</definedName>
    <definedName name="MOV.050.C.0.12.2000.00.00.DBREAK18">-68488.95999992</definedName>
    <definedName name="MOV.050.C.0.12.2000.00.00.DBREAK19">-37622.04000002</definedName>
    <definedName name="MOV.050.C.0.12.2000.00.00.DBREAK20">-70621.61000001</definedName>
    <definedName name="MOV.050.C.0.12.2000.00.00.DBREAK21">-49494.93000001</definedName>
    <definedName name="MOV.050.C.0.12.2000.00.00.DBREAK22">-340703.42000008</definedName>
    <definedName name="MOV.050.C.0.12.2000.00.00.DBREAK23">-32632.23999998</definedName>
    <definedName name="MOV.050.C.0.12.2000.00.00.DBREAK24">-191251.71000004</definedName>
    <definedName name="MOV.050.C.0.12.2000.00.00.DBREAK25">-136295.33000016</definedName>
    <definedName name="MOV.050.C.0.12.2000.00.00.DBREAK26">-60753.38000005</definedName>
    <definedName name="MOV.050.C.0.12.2000.00.00.DBREAK27">-76331.19000006</definedName>
    <definedName name="MOV.050.C.0.12.2000.00.00.DBREAK28">-91219.41000009</definedName>
    <definedName name="MOV.050.C.0.12.2000.00.00.DBREAK29">-214995.33999991</definedName>
    <definedName name="MOV.050.C.0.12.2000.00.00.DBREAK30">-32059.35000002</definedName>
    <definedName name="MOV.050.C.0.12.2000.00.00.DBREAK31">-70814.32000005</definedName>
    <definedName name="MOV.050.C.0.12.2000.00.00.DBREAK32">-33707.57999998</definedName>
    <definedName name="MOV.050.C.0.12.2000.00.00.DBREAK33">-5805053.3199997</definedName>
    <definedName name="MOV.050.C.0.12.2000.00.00.DBREAK34">-9052589.87002563</definedName>
    <definedName name="MOV.050.C.0.12.2000.00.00.DBREAK36">-49674.83999997</definedName>
    <definedName name="MOV.050.C.0.12.2000.00.00.DBREAK37">-142115.06000018</definedName>
    <definedName name="MOV.050.C.0.12.2000.00.00.DBREAK38">-14059.22</definedName>
    <definedName name="MOV.050.C.0.12.2000.00.00.DBREAK39">0</definedName>
    <definedName name="MOV.050.C.0.12.2000.00.00.DGER003">-90355583.8800048</definedName>
    <definedName name="MOV.050.C.0.12.2000.00.00.DGER005">-10917779.0299835</definedName>
    <definedName name="MOV.050.C.0.12.2000.00.00.DGER006">-24092547.7799987</definedName>
    <definedName name="MOV.050.C.0.12.2000.00.00.DGER007">-2643491.93999863</definedName>
    <definedName name="MOV.050.C.0.12.2000.00.00.DGER01">181999367.589843</definedName>
    <definedName name="MOV.050.C.0.12.2000.00.00.DGER015.CG4_AREA_ADM">-1318837.26000023</definedName>
    <definedName name="MOV.050.C.0.12.2000.00.00.DGER015.CG4_AREA_COM">-208813.17000008</definedName>
    <definedName name="MOV.050.C.0.12.2000.00.00.DGER016">-11149282.4699859</definedName>
    <definedName name="MOV.050.C.0.12.2000.00.00.DGER026">-8455463.74002075</definedName>
    <definedName name="MOV.050.C.0.12.2000.00.00.DGER029">375274.31000137</definedName>
    <definedName name="MOV.050.C.0.12.2000.00.00.DGER030">-1956633.1400032</definedName>
    <definedName name="MOV.050.C.0.12.2000.00.00.DGER031">-814976.85000038</definedName>
    <definedName name="MOV.050.C.0.12.2000.00.00.DGER032">847456.02999973</definedName>
    <definedName name="MOV.050.C.0.12.2000.00.00.DGER034">-5658316.26999664</definedName>
    <definedName name="MOV.050.C.0.12.2000.00.00.DGER048">11055895.5699768</definedName>
    <definedName name="MOV.050.C.0.12.2000.00.00.DGER049">-4930055.41000366</definedName>
    <definedName name="MOV.050.C.0.12.2000.00.00.DGER050.CG4_AREA_ADM">-6262611.05000305</definedName>
    <definedName name="MOV.050.C.0.12.2000.00.00.DGER050.CG4_AREA_COM">-1864372.23999977</definedName>
    <definedName name="MOV.050.C.0.12.2000.00.00.DGER051">-7063274.37000275</definedName>
    <definedName name="MOV.050.C.0.12.2000.00.00.DGER052">-2736501.61000061</definedName>
    <definedName name="MOV.050.C.0.12.2000.00.00.DGER053">2520229.31999969</definedName>
    <definedName name="MOV.050.C.0.12.2000.00.00.DGER054">-2552418.11000061</definedName>
    <definedName name="MOV.050.C.0.12.2000.00.00.DRESPER">11894355.4200439</definedName>
    <definedName name="MOV.050.C.0.12.2001.00.00.311550">-4639108.30000305</definedName>
    <definedName name="MOV.050.C.0.12.2001.00.00.3214500.CG4_32999">-62279.29000002</definedName>
    <definedName name="MOV.050.C.0.12.2001.00.00.3214500.CG4_33999">-74431.19000006</definedName>
    <definedName name="MOV.050.C.0.12.2001.00.00.3214500.CG4_34999">-22407.15000001</definedName>
    <definedName name="MOV.050.C.0.12.2001.00.00.3214500.CG4_42999">-167500.99000001</definedName>
    <definedName name="MOV.050.C.0.12.2001.00.00.3214610">-11378</definedName>
    <definedName name="MOV.050.C.0.12.2001.00.00.3214680">-8773.91</definedName>
    <definedName name="MOV.050.C.0.12.2001.00.00.3214780">-27766.78999999</definedName>
    <definedName name="MOV.050.C.0.12.2001.00.00.3215040">0</definedName>
    <definedName name="MOV.050.C.0.12.2001.00.00.3215400">0</definedName>
    <definedName name="MOV.050.C.0.12.2001.00.00.321543">-505144.30000019</definedName>
    <definedName name="MOV.050.C.0.12.2001.00.00.3215530">0</definedName>
    <definedName name="MOV.050.C.0.12.2001.00.00.321555">-4484613.04000092</definedName>
    <definedName name="MOV.050.C.0.12.2001.00.00.321567">-2392802.08000183</definedName>
    <definedName name="MOV.050.C.0.12.2001.00.00.321577">-536410.09000015</definedName>
    <definedName name="MOV.050.C.0.12.2001.00.00.321582">0</definedName>
    <definedName name="MOV.050.C.0.12.2001.00.00.321800">-5377.75</definedName>
    <definedName name="MOV.050.C.0.12.2001.00.00.3218500">0</definedName>
    <definedName name="MOV.050.C.0.12.2001.00.00.3218510">-24905245.62</definedName>
    <definedName name="MOV.050.C.0.12.2001.00.00.3218520">24625919.56</definedName>
    <definedName name="MOV.050.C.0.12.2001.00.00.4122070">41771798.09</definedName>
    <definedName name="MOV.050.C.0.12.2001.00.00.DBREAK01">-3599208.45000076</definedName>
    <definedName name="MOV.050.C.0.12.2001.00.00.DBREAK02">-122861.29999995</definedName>
    <definedName name="MOV.050.C.0.12.2001.00.00.DBREAK03">-38.63</definedName>
    <definedName name="MOV.050.C.0.12.2001.00.00.DBREAK04">-2616064.51999664</definedName>
    <definedName name="MOV.050.C.0.12.2001.00.00.DBREAK05">-242408.06999993</definedName>
    <definedName name="MOV.050.C.0.12.2001.00.00.DBREAK06">-308010.70000029</definedName>
    <definedName name="MOV.050.C.0.12.2001.00.00.DBREAK07">-108296.23000002</definedName>
    <definedName name="MOV.050.C.0.12.2001.00.00.DBREAK08">-18573.84</definedName>
    <definedName name="MOV.050.C.0.12.2001.00.00.DBREAK09">-5076370.95999908</definedName>
    <definedName name="MOV.050.C.0.12.2001.00.00.DBREAK10">-38530.92000002</definedName>
    <definedName name="MOV.050.C.0.12.2001.00.00.DBREAK11">-721575.85999966</definedName>
    <definedName name="MOV.050.C.0.12.2001.00.00.DBREAK12">-392103.51999998</definedName>
    <definedName name="MOV.050.C.0.12.2001.00.00.DBREAK13">-363817.88999987</definedName>
    <definedName name="MOV.050.C.0.12.2001.00.00.DBREAK14">-1340898.67000008</definedName>
    <definedName name="MOV.050.C.0.12.2001.00.00.DBREAK15">-203853.49000001</definedName>
    <definedName name="MOV.050.C.0.12.2001.00.00.DBREAK16">-810624.67000008</definedName>
    <definedName name="MOV.050.C.0.12.2001.00.00.DBREAK17">-275410.17999983</definedName>
    <definedName name="MOV.050.C.0.12.2001.00.00.DBREAK18">-62503.29000002</definedName>
    <definedName name="MOV.050.C.0.12.2001.00.00.DBREAK19">-27124.32000002</definedName>
    <definedName name="MOV.050.C.0.12.2001.00.00.DBREAK20">-85559.25999999</definedName>
    <definedName name="MOV.050.C.0.12.2001.00.00.DBREAK21">-44595.94999999</definedName>
    <definedName name="MOV.050.C.0.12.2001.00.00.DBREAK22">-317868.18000031</definedName>
    <definedName name="MOV.050.C.0.12.2001.00.00.DBREAK23">-31448.06999999</definedName>
    <definedName name="MOV.050.C.0.12.2001.00.00.DBREAK24">-272418.75000048</definedName>
    <definedName name="MOV.050.C.0.12.2001.00.00.DBREAK25">-102134.35999727</definedName>
    <definedName name="MOV.050.C.0.12.2001.00.00.DBREAK26">-92439.8599999</definedName>
    <definedName name="MOV.050.C.0.12.2001.00.00.DBREAK27">-80221.61000001</definedName>
    <definedName name="MOV.050.C.0.12.2001.00.00.DBREAK28">614.51</definedName>
    <definedName name="MOV.050.C.0.12.2001.00.00.DBREAK29">-280316.95000029</definedName>
    <definedName name="MOV.050.C.0.12.2001.00.00.DBREAK30">-49700.10999995</definedName>
    <definedName name="MOV.050.C.0.12.2001.00.00.DBREAK31">-45168.76999998</definedName>
    <definedName name="MOV.050.C.0.12.2001.00.00.DBREAK32">64587.61000007</definedName>
    <definedName name="MOV.050.C.0.12.2001.00.00.DBREAK33">-6181383.79000855</definedName>
    <definedName name="MOV.050.C.0.12.2001.00.00.DBREAK34">-5192468.48999786</definedName>
    <definedName name="MOV.050.C.0.12.2001.00.00.DBREAK36">-49010.07999998</definedName>
    <definedName name="MOV.050.C.0.12.2001.00.00.DBREAK37">-166690.07999992</definedName>
    <definedName name="MOV.050.C.0.12.2001.00.00.DBREAK38">-17498.91</definedName>
    <definedName name="MOV.050.C.0.12.2001.00.00.DBREAK39">-151337.5</definedName>
    <definedName name="MOV.050.C.0.12.2001.00.00.DGER003">-99582095.0300293</definedName>
    <definedName name="MOV.050.C.0.12.2001.00.00.DGER005">-17517698.6199951</definedName>
    <definedName name="MOV.050.C.0.12.2001.00.00.DGER006">-39462919.0299682</definedName>
    <definedName name="MOV.050.C.0.12.2001.00.00.DGER007">-3554289.81000137</definedName>
    <definedName name="MOV.050.C.0.12.2001.00.00.DGER01">225321724.130126</definedName>
    <definedName name="MOV.050.C.0.12.2001.00.00.DGER015.CG4_AREA_ADM">-1476136.35000038</definedName>
    <definedName name="MOV.050.C.0.12.2001.00.00.DGER015.CG4_AREA_COM">-66139.13999999</definedName>
    <definedName name="MOV.050.C.0.12.2001.00.00.DGER016">3538646.41000366</definedName>
    <definedName name="MOV.050.C.0.12.2001.00.00.DGER026">-13111438.0000152</definedName>
    <definedName name="MOV.050.C.0.12.2001.00.00.DGER029">245654.80000114</definedName>
    <definedName name="MOV.050.C.0.12.2001.00.00.DGER030">-1557750.62000275</definedName>
    <definedName name="MOV.050.C.0.12.2001.00.00.DGER031">-3819883.32999802</definedName>
    <definedName name="MOV.050.C.0.12.2001.00.00.DGER032">-2140540.66999817</definedName>
    <definedName name="MOV.050.C.0.12.2001.00.00.DGER034">0</definedName>
    <definedName name="MOV.050.C.0.12.2001.00.00.DGER048">42736498.6300048</definedName>
    <definedName name="MOV.050.C.0.12.2001.00.00.DGER049">-4996773.52999115</definedName>
    <definedName name="MOV.050.C.0.12.2001.00.00.DGER050.CG4_AREA_ADM">-6111520.85998535</definedName>
    <definedName name="MOV.050.C.0.12.2001.00.00.DGER050.CG4_AREA_COM">-1918112.93000031</definedName>
    <definedName name="MOV.050.C.0.12.2001.00.00.DGER051">-7140218.3500061</definedName>
    <definedName name="MOV.050.C.0.12.2001.00.00.DGER054">-4851575.36000061</definedName>
    <definedName name="MOV.050.C.0.12.2001.00.00.DGER055">-3343586.34000015</definedName>
    <definedName name="MOV.050.C.0.12.2001.00.00.DGER056">321943.65999985</definedName>
    <definedName name="MOV.050.C.0.12.2001.00.00.DGER057">37909656.0999755</definedName>
    <definedName name="MOV.050.C.0.12.2001.00.00.DRESPER">89707965.960083</definedName>
    <definedName name="MOV.070.C.0.04.2005.00.00.3110030">-650508.44</definedName>
    <definedName name="MOV.070.C.0.04.2005.00.00.311550">-1291364.14</definedName>
    <definedName name="MOV.070.C.0.04.2005.00.00.321450.CG4_NIVEL3_CV">-49308.7</definedName>
    <definedName name="MOV.070.C.0.04.2005.00.00.3214500.CG4_32999">0</definedName>
    <definedName name="MOV.070.C.0.04.2005.00.00.3214500.CG4_33999">0</definedName>
    <definedName name="MOV.070.C.0.04.2005.00.00.3214500.CG4_34999">0</definedName>
    <definedName name="MOV.070.C.0.04.2005.00.00.3214500.CG4_42999">-207886.94</definedName>
    <definedName name="MOV.070.C.0.04.2005.00.00.3214540">-579777.41</definedName>
    <definedName name="MOV.070.C.0.04.2005.00.00.3214570.CG4_NIVEL3_CV">0</definedName>
    <definedName name="MOV.070.C.0.04.2005.00.00.3215100">0</definedName>
    <definedName name="MOV.070.C.0.04.2005.00.00.3215420">0</definedName>
    <definedName name="MOV.070.C.0.04.2005.00.00.3215990.CG4_NIVEL4_AS">-1460271</definedName>
    <definedName name="MOV.070.C.0.04.2005.00.00.421100">0</definedName>
    <definedName name="MOV.070.C.0.04.2005.00.00.4211100">0</definedName>
    <definedName name="MOV.070.C.0.04.2005.00.00.4212080">0</definedName>
    <definedName name="MOV.070.C.0.04.2005.00.00.4220260">-397058.85</definedName>
    <definedName name="MOV.070.C.0.04.2005.00.00.DGER003">-58013092.53</definedName>
    <definedName name="MOV.070.C.0.04.2005.00.00.DGER005">-11557672.28</definedName>
    <definedName name="MOV.070.C.0.04.2005.00.00.DGER007">-3204399.55</definedName>
    <definedName name="MOV.070.C.0.04.2005.00.00.DGER01">116340118.47</definedName>
    <definedName name="MOV.070.C.0.04.2005.00.00.DGER015.CG4_AREA_ADM">-793971.24</definedName>
    <definedName name="MOV.070.C.0.04.2005.00.00.DGER015.CG4_AREA_COM">-80357.61</definedName>
    <definedName name="MOV.070.C.0.04.2005.00.00.DGER016">7930672.37</definedName>
    <definedName name="MOV.070.C.0.04.2005.00.00.DGER026">-11493075.78</definedName>
    <definedName name="MOV.070.C.0.04.2005.00.00.DGER029">211798.14</definedName>
    <definedName name="MOV.070.C.0.04.2005.00.00.DGER030">-633085.73</definedName>
    <definedName name="MOV.070.C.0.04.2005.00.00.DGER031">-2710946.14</definedName>
    <definedName name="MOV.070.C.0.04.2005.00.00.DGER034">0</definedName>
    <definedName name="MOV.070.C.0.04.2005.00.00.DGER036">0</definedName>
    <definedName name="MOV.070.C.0.04.2005.00.00.DGER049">-5394778.14</definedName>
    <definedName name="MOV.070.C.0.04.2005.00.00.DGER050.CG4_AREA_ADM">-6888596.19</definedName>
    <definedName name="MOV.070.C.0.04.2005.00.00.DGER050.CG4_AREA_COM">-5351901.66</definedName>
    <definedName name="MOV.070.C.0.04.2005.00.00.DGER050.CG4_NIVEL3_CV">-3323929.22</definedName>
    <definedName name="MOV.070.C.0.04.2005.00.00.DGER051">-1277447.61</definedName>
    <definedName name="MOV.070.C.0.04.2005.00.00.DGER055">-7769676.16</definedName>
    <definedName name="MOV.070.C.0.04.2005.00.00.DGER056">882568.19</definedName>
    <definedName name="MOV.070.C.0.04.2005.00.00.DGER057">641518.52</definedName>
    <definedName name="MOV.070.C.0.04.2005.00.00.DGER064">-78646.77</definedName>
    <definedName name="MOV.070.C.0.04.2005.00.00.DMOLSON05">-22945182.65</definedName>
    <definedName name="MOV.070.C.0.04.2005.00.00.DMOLSON06">-2718622.44</definedName>
    <definedName name="MOV.070.C.0.04.2005.00.00.DMOLSON08">-12240497.85</definedName>
    <definedName name="MOV.070.C.0.04.2005.00.00.DMOLSON08.CG4_AREA_ADM">-6888596.19</definedName>
    <definedName name="MOV.070.C.0.04.2005.00.00.DMOLSON08.CG4_AREA_COM">-5351901.66</definedName>
    <definedName name="MOV.070.C.0.04.2005.00.00.DMOLSON08.CG4_NIVEL3_26">-524494.17</definedName>
    <definedName name="MOV.070.C.0.04.2005.00.00.DMOLSON08.CG4_NIVEL3_27">-84922.63</definedName>
    <definedName name="MOV.070.C.0.04.2005.00.00.DMOLSON14">-331827.01</definedName>
    <definedName name="MOV.070.C.0.04.2005.00.00.DMOLSON15">-587497.55</definedName>
    <definedName name="MOV.070.C.0.04.2005.00.00.DMOLSON16">69268.77</definedName>
    <definedName name="MOV.070.C.0.04.2005.00.00.DMOLSON27">641936.04</definedName>
    <definedName name="MOV.070.C.0.04.2005.00.00.DMOLSON29">0</definedName>
    <definedName name="MOV.070.C.0.04.2005.00.00.DMOLSON30">0</definedName>
    <definedName name="MOV.070.C.0.04.2005.00.00.DMOLSON31">374809.44</definedName>
    <definedName name="MOV.070.C.0.04.2005.00.00.DRES025">0</definedName>
    <definedName name="MOV.070.C.0.04.2005.00.00.DRES25">0</definedName>
    <definedName name="MOV.070.C.0.04.2005.00.00.DRESPER">-17259737.0999999</definedName>
    <definedName name="MOV.070.C.0.05.2005.00.00.3110030">-699766.44</definedName>
    <definedName name="MOV.070.C.0.05.2005.00.00.311550">-1352334.1</definedName>
    <definedName name="MOV.070.C.0.05.2005.00.00.321450.CG4_NIVEL3_CV">-49165</definedName>
    <definedName name="MOV.070.C.0.05.2005.00.00.3214500.CG4_32999">0</definedName>
    <definedName name="MOV.070.C.0.05.2005.00.00.3214500.CG4_33999">0</definedName>
    <definedName name="MOV.070.C.0.05.2005.00.00.3214500.CG4_34999">0</definedName>
    <definedName name="MOV.070.C.0.05.2005.00.00.3214500.CG4_42999">-207886.94</definedName>
    <definedName name="MOV.070.C.0.05.2005.00.00.3214540">-585556.92</definedName>
    <definedName name="MOV.070.C.0.05.2005.00.00.3214570.CG4_NIVEL3_CV">0</definedName>
    <definedName name="MOV.070.C.0.05.2005.00.00.3215100">0</definedName>
    <definedName name="MOV.070.C.0.05.2005.00.00.3215420">0</definedName>
    <definedName name="MOV.070.C.0.05.2005.00.00.3215990.CG4_NIVEL4_AS">-2076115.67</definedName>
    <definedName name="MOV.070.C.0.05.2005.00.00.421100">0</definedName>
    <definedName name="MOV.070.C.0.05.2005.00.00.4211100">0</definedName>
    <definedName name="MOV.070.C.0.05.2005.00.00.4212080">0</definedName>
    <definedName name="MOV.070.C.0.05.2005.00.00.4220260">-363747.21</definedName>
    <definedName name="MOV.070.C.0.05.2005.00.00.DGER003">-53114124.55</definedName>
    <definedName name="MOV.070.C.0.05.2005.00.00.DGER005">-10731347.63</definedName>
    <definedName name="MOV.070.C.0.05.2005.00.00.DGER007">-3211358.15</definedName>
    <definedName name="MOV.070.C.0.05.2005.00.00.DGER01">106248715.759999</definedName>
    <definedName name="MOV.070.C.0.05.2005.00.00.DGER015.CG4_AREA_ADM">-822363.61</definedName>
    <definedName name="MOV.070.C.0.05.2005.00.00.DGER015.CG4_AREA_COM">-80214.2</definedName>
    <definedName name="MOV.070.C.0.05.2005.00.00.DGER016">4927681.85</definedName>
    <definedName name="MOV.070.C.0.05.2005.00.00.DGER026">-9938087.6</definedName>
    <definedName name="MOV.070.C.0.05.2005.00.00.DGER029">138701.35</definedName>
    <definedName name="MOV.070.C.0.05.2005.00.00.DGER030">-784213.32</definedName>
    <definedName name="MOV.070.C.0.05.2005.00.00.DGER031">-1585075.77</definedName>
    <definedName name="MOV.070.C.0.05.2005.00.00.DGER034">0</definedName>
    <definedName name="MOV.070.C.0.05.2005.00.00.DGER036">6287575.14</definedName>
    <definedName name="MOV.070.C.0.05.2005.00.00.DGER049">-5681684.47</definedName>
    <definedName name="MOV.070.C.0.05.2005.00.00.DGER050.CG4_AREA_ADM">-6515707.68</definedName>
    <definedName name="MOV.070.C.0.05.2005.00.00.DGER050.CG4_AREA_COM">-5052710.46</definedName>
    <definedName name="MOV.070.C.0.05.2005.00.00.DGER050.CG4_NIVEL3_CV">-3119493.44</definedName>
    <definedName name="MOV.070.C.0.05.2005.00.00.DGER051">-1545778.87</definedName>
    <definedName name="MOV.070.C.0.05.2005.00.00.DGER055">-9583950.72</definedName>
    <definedName name="MOV.070.C.0.05.2005.00.00.DGER056">948392.58</definedName>
    <definedName name="MOV.070.C.0.05.2005.00.00.DGER057">1266207.86</definedName>
    <definedName name="MOV.070.C.0.05.2005.00.00.DGER064">-68286.02</definedName>
    <definedName name="MOV.070.C.0.05.2005.00.00.DMOLSON05">-16297711.11</definedName>
    <definedName name="MOV.070.C.0.05.2005.00.00.DMOLSON06">-2350086.76</definedName>
    <definedName name="MOV.070.C.0.05.2005.00.00.DMOLSON08">-11568418.14</definedName>
    <definedName name="MOV.070.C.0.05.2005.00.00.DMOLSON08.CG4_AREA_ADM">-6515707.68</definedName>
    <definedName name="MOV.070.C.0.05.2005.00.00.DMOLSON08.CG4_AREA_COM">-5052710.46</definedName>
    <definedName name="MOV.070.C.0.05.2005.00.00.DMOLSON08.CG4_NIVEL3_26">-721439.76</definedName>
    <definedName name="MOV.070.C.0.05.2005.00.00.DMOLSON08.CG4_NIVEL3_27">-197043.21</definedName>
    <definedName name="MOV.070.C.0.05.2005.00.00.DMOLSON14">-62303.99</definedName>
    <definedName name="MOV.070.C.0.05.2005.00.00.DMOLSON15">-416934.26</definedName>
    <definedName name="MOV.070.C.0.05.2005.00.00.DMOLSON16">943749.27</definedName>
    <definedName name="MOV.070.C.0.05.2005.00.00.DMOLSON27">-1129872.24</definedName>
    <definedName name="MOV.070.C.0.05.2005.00.00.DMOLSON29">0</definedName>
    <definedName name="MOV.070.C.0.05.2005.00.00.DMOLSON30">0</definedName>
    <definedName name="MOV.070.C.0.05.2005.00.00.DMOLSON31">221746.15</definedName>
    <definedName name="MOV.070.C.0.05.2005.00.00.DRES025">0</definedName>
    <definedName name="MOV.070.C.0.05.2005.00.00.DRES25">0</definedName>
    <definedName name="MOV.070.C.0.05.2005.00.00.DRESPER">-10626698.91</definedName>
    <definedName name="MOV.070.C.0.06.2005.00.00.3110030">-508336.11</definedName>
    <definedName name="MOV.070.C.0.06.2005.00.00.311550">-1363498.2</definedName>
    <definedName name="MOV.070.C.0.06.2005.00.00.321450.CG4_NIVEL3_CV">-49123.01</definedName>
    <definedName name="MOV.070.C.0.06.2005.00.00.3214500.CG4_32999">0</definedName>
    <definedName name="MOV.070.C.0.06.2005.00.00.3214500.CG4_33999">0</definedName>
    <definedName name="MOV.070.C.0.06.2005.00.00.3214500.CG4_34999">0</definedName>
    <definedName name="MOV.070.C.0.06.2005.00.00.3214500.CG4_42999">-207886.94</definedName>
    <definedName name="MOV.070.C.0.06.2005.00.00.3214540">-586209.29</definedName>
    <definedName name="MOV.070.C.0.06.2005.00.00.3214570.CG4_NIVEL3_CV">0</definedName>
    <definedName name="MOV.070.C.0.06.2005.00.00.3215100">0</definedName>
    <definedName name="MOV.070.C.0.06.2005.00.00.3215420">0</definedName>
    <definedName name="MOV.070.C.0.06.2005.00.00.3215990.CG4_NIVEL4_AS">-1351841.33</definedName>
    <definedName name="MOV.070.C.0.06.2005.00.00.421100">0</definedName>
    <definedName name="MOV.070.C.0.06.2005.00.00.4211100">0</definedName>
    <definedName name="MOV.070.C.0.06.2005.00.00.4212080">0</definedName>
    <definedName name="MOV.070.C.0.06.2005.00.00.4220260">-104917.15</definedName>
    <definedName name="MOV.070.C.0.06.2005.00.00.DGER003">-55741688.72</definedName>
    <definedName name="MOV.070.C.0.06.2005.00.00.DGER005">-9182468.39</definedName>
    <definedName name="MOV.070.C.0.06.2005.00.00.DGER007">-3254862.19</definedName>
    <definedName name="MOV.070.C.0.06.2005.00.00.DGER01">109429087.399999</definedName>
    <definedName name="MOV.070.C.0.06.2005.00.00.DGER015.CG4_AREA_ADM">-842445.81</definedName>
    <definedName name="MOV.070.C.0.06.2005.00.00.DGER015.CG4_AREA_COM">-82206.11</definedName>
    <definedName name="MOV.070.C.0.06.2005.00.00.DGER016">864906.76</definedName>
    <definedName name="MOV.070.C.0.06.2005.00.00.DGER026">-8167941.57</definedName>
    <definedName name="MOV.070.C.0.06.2005.00.00.DGER029">165611.79</definedName>
    <definedName name="MOV.070.C.0.06.2005.00.00.DGER030">-1517760.4</definedName>
    <definedName name="MOV.070.C.0.06.2005.00.00.DGER031">-1436726.01</definedName>
    <definedName name="MOV.070.C.0.06.2005.00.00.DGER034">0</definedName>
    <definedName name="MOV.070.C.0.06.2005.00.00.DGER036">0</definedName>
    <definedName name="MOV.070.C.0.06.2005.00.00.DGER049">-5341301.92</definedName>
    <definedName name="MOV.070.C.0.06.2005.00.00.DGER050.CG4_AREA_ADM">-5431666.96</definedName>
    <definedName name="MOV.070.C.0.06.2005.00.00.DGER050.CG4_AREA_COM">-5690256.73</definedName>
    <definedName name="MOV.070.C.0.06.2005.00.00.DGER050.CG4_NIVEL3_CV">-3527907.04</definedName>
    <definedName name="MOV.070.C.0.06.2005.00.00.DGER051">-801153.69</definedName>
    <definedName name="MOV.070.C.0.06.2005.00.00.DGER055">-7194933.7</definedName>
    <definedName name="MOV.070.C.0.06.2005.00.00.DGER056">1005041.33</definedName>
    <definedName name="MOV.070.C.0.06.2005.00.00.DGER057">404120.17</definedName>
    <definedName name="MOV.070.C.0.06.2005.00.00.DGER064">-41805.64</definedName>
    <definedName name="MOV.070.C.0.06.2005.00.00.DMOLSON05">-16333015.45</definedName>
    <definedName name="MOV.070.C.0.06.2005.00.00.DMOLSON06">-2147211.32</definedName>
    <definedName name="MOV.070.C.0.06.2005.00.00.DMOLSON08">-11121923.69</definedName>
    <definedName name="MOV.070.C.0.06.2005.00.00.DMOLSON08.CG4_AREA_ADM">-5431666.96</definedName>
    <definedName name="MOV.070.C.0.06.2005.00.00.DMOLSON08.CG4_AREA_COM">-5690256.73</definedName>
    <definedName name="MOV.070.C.0.06.2005.00.00.DMOLSON08.CG4_NIVEL3_26">-696579.06</definedName>
    <definedName name="MOV.070.C.0.06.2005.00.00.DMOLSON08.CG4_NIVEL3_27">-79255.18</definedName>
    <definedName name="MOV.070.C.0.06.2005.00.00.DMOLSON14">-186935.98</definedName>
    <definedName name="MOV.070.C.0.06.2005.00.00.DMOLSON15">-310515.47</definedName>
    <definedName name="MOV.070.C.0.06.2005.00.00.DMOLSON16">103490.04</definedName>
    <definedName name="MOV.070.C.0.06.2005.00.00.DMOLSON27">2397243.42</definedName>
    <definedName name="MOV.070.C.0.06.2005.00.00.DMOLSON29">0</definedName>
    <definedName name="MOV.070.C.0.06.2005.00.00.DMOLSON30">0</definedName>
    <definedName name="MOV.070.C.0.06.2005.00.00.DMOLSON31">466183.51</definedName>
    <definedName name="MOV.070.C.0.06.2005.00.00.DRES025">-7867463.17</definedName>
    <definedName name="MOV.070.C.0.06.2005.00.00.DRES25">0</definedName>
    <definedName name="MOV.070.C.0.06.2005.00.00.DRESPER">-11327255.24</definedName>
    <definedName name="MOV.070.C.0.07.2005.00.00.3110030">-596171.03</definedName>
    <definedName name="MOV.070.C.0.07.2005.00.00.311550">-1350222.25</definedName>
    <definedName name="MOV.070.C.0.07.2005.00.00.321450.CG4_NIVEL3_CV">-49123.24</definedName>
    <definedName name="MOV.070.C.0.07.2005.00.00.3214500.CG4_32999">0</definedName>
    <definedName name="MOV.070.C.0.07.2005.00.00.3214500.CG4_33999">0</definedName>
    <definedName name="MOV.070.C.0.07.2005.00.00.3214500.CG4_34999">0</definedName>
    <definedName name="MOV.070.C.0.07.2005.00.00.3214500.CG4_42999">-207886.94</definedName>
    <definedName name="MOV.070.C.0.07.2005.00.00.3214540">-589583.83</definedName>
    <definedName name="MOV.070.C.0.07.2005.00.00.3215100">0</definedName>
    <definedName name="MOV.070.C.0.07.2005.00.00.3215420">-2964708.69</definedName>
    <definedName name="MOV.070.C.0.07.2005.00.00.3215990.CG4_NIVEL4_AS">-2147491.47</definedName>
    <definedName name="MOV.070.C.0.07.2005.00.00.421100">0</definedName>
    <definedName name="MOV.070.C.0.07.2005.00.00.4211100">0</definedName>
    <definedName name="MOV.070.C.0.07.2005.00.00.4212080">0</definedName>
    <definedName name="MOV.070.C.0.07.2005.00.00.4220260">-29122.73</definedName>
    <definedName name="MOV.070.C.0.07.2005.00.00.DGER003">-56930213.85</definedName>
    <definedName name="MOV.070.C.0.07.2005.00.00.DGER005">-9481978.67</definedName>
    <definedName name="MOV.070.C.0.07.2005.00.00.DGER007">-3211548.2</definedName>
    <definedName name="MOV.070.C.0.07.2005.00.00.DGER01">110934830.37</definedName>
    <definedName name="MOV.070.C.0.07.2005.00.00.DGER015.CG4_AREA_ADM">-840654.64</definedName>
    <definedName name="MOV.070.C.0.07.2005.00.00.DGER015.CG4_AREA_COM">-82614.5</definedName>
    <definedName name="MOV.070.C.0.07.2005.00.00.DGER016">-75823.14</definedName>
    <definedName name="MOV.070.C.0.07.2005.00.00.DGER026">-8158984.09</definedName>
    <definedName name="MOV.070.C.0.07.2005.00.00.DGER029">170394.59</definedName>
    <definedName name="MOV.070.C.0.07.2005.00.00.DGER030">-1704124.04</definedName>
    <definedName name="MOV.070.C.0.07.2005.00.00.DGER031">-1194187.07</definedName>
    <definedName name="MOV.070.C.0.07.2005.00.00.DGER034">0</definedName>
    <definedName name="MOV.070.C.0.07.2005.00.00.DGER036">0</definedName>
    <definedName name="MOV.070.C.0.07.2005.00.00.DGER049">-5401200.51</definedName>
    <definedName name="MOV.070.C.0.07.2005.00.00.DGER050.CG4_AREA_ADM">-5822633.98</definedName>
    <definedName name="MOV.070.C.0.07.2005.00.00.DGER050.CG4_AREA_COM">-4212459.44</definedName>
    <definedName name="MOV.070.C.0.07.2005.00.00.DGER050.CG4_NIVEL3_CV">-2714241.99</definedName>
    <definedName name="MOV.070.C.0.07.2005.00.00.DGER051">-925531.43</definedName>
    <definedName name="MOV.070.C.0.07.2005.00.00.DGER055">-6470882.64</definedName>
    <definedName name="MOV.070.C.0.07.2005.00.00.DGER056">946543.82</definedName>
    <definedName name="MOV.070.C.0.07.2005.00.00.DGER057">3573.58</definedName>
    <definedName name="MOV.070.C.0.07.2005.00.00.DGER064">-40198.48</definedName>
    <definedName name="MOV.070.C.0.07.2005.00.00.DMOLSON05">-15406915.46</definedName>
    <definedName name="MOV.070.C.0.07.2005.00.00.DMOLSON06">-2457712.65</definedName>
    <definedName name="MOV.070.C.0.07.2005.00.00.DMOLSON08">-9525632.1</definedName>
    <definedName name="MOV.070.C.0.07.2005.00.00.DMOLSON08.CG4_AREA_ADM">-2348463.97</definedName>
    <definedName name="MOV.070.C.0.07.2005.00.00.DMOLSON08.CG4_AREA_COM">-7177168.13</definedName>
    <definedName name="MOV.070.C.0.07.2005.00.00.DMOLSON08.CG4_NIVEL3_26">-596867.66</definedName>
    <definedName name="MOV.070.C.0.07.2005.00.00.DMOLSON08.CG4_NIVEL3_27">285740.35</definedName>
    <definedName name="MOV.070.C.0.07.2005.00.00.DMOLSON14">-30412.65</definedName>
    <definedName name="MOV.070.C.0.07.2005.00.00.DMOLSON15">-42009.96</definedName>
    <definedName name="MOV.070.C.0.07.2005.00.00.DMOLSON16">116132.16</definedName>
    <definedName name="MOV.070.C.0.07.2005.00.00.DMOLSON27">-298554.61</definedName>
    <definedName name="MOV.070.C.0.07.2005.00.00.DMOLSON29">0</definedName>
    <definedName name="MOV.070.C.0.07.2005.00.00.DMOLSON30">0</definedName>
    <definedName name="MOV.070.C.0.07.2005.00.00.DMOLSON31">406564.96</definedName>
    <definedName name="MOV.070.C.0.07.2005.00.00.DRES025">-1311243.86</definedName>
    <definedName name="MOV.070.C.0.07.2005.00.00.DRESPER">-14057821.5</definedName>
    <definedName name="MOV.070.C.0.08.2005.00.00.3110030">-707977.66</definedName>
    <definedName name="MOV.070.C.0.08.2005.00.00.311550">-1365797.29</definedName>
    <definedName name="MOV.070.C.0.08.2005.00.00.321450.CG4_NIVEL3_CV">-44304.77</definedName>
    <definedName name="MOV.070.C.0.08.2005.00.00.3214500.CG4_32999">0</definedName>
    <definedName name="MOV.070.C.0.08.2005.00.00.3214500.CG4_33999">0</definedName>
    <definedName name="MOV.070.C.0.08.2005.00.00.3214500.CG4_34999">0</definedName>
    <definedName name="MOV.070.C.0.08.2005.00.00.3214500.CG4_42999">-207829.86</definedName>
    <definedName name="MOV.070.C.0.08.2005.00.00.3214540">-589585.46</definedName>
    <definedName name="MOV.070.C.0.08.2005.00.00.3215100">0</definedName>
    <definedName name="MOV.070.C.0.08.2005.00.00.3215990.CG4_NIVEL4_AS">-2364424.38</definedName>
    <definedName name="MOV.070.C.0.08.2005.00.00.421100">0</definedName>
    <definedName name="MOV.070.C.0.08.2005.00.00.4211100">0</definedName>
    <definedName name="MOV.070.C.0.08.2005.00.00.4212080">0</definedName>
    <definedName name="MOV.070.C.0.08.2005.00.00.DGER003">-66272614.47</definedName>
    <definedName name="MOV.070.C.0.08.2005.00.00.DGER005">-10896998.63</definedName>
    <definedName name="MOV.070.C.0.08.2005.00.00.DGER007">-3225803.46</definedName>
    <definedName name="MOV.070.C.0.08.2005.00.00.DGER01">129677200.669999</definedName>
    <definedName name="MOV.070.C.0.08.2005.00.00.DGER015.CG4_AREA_ADM">-822764.23</definedName>
    <definedName name="MOV.070.C.0.08.2005.00.00.DGER015.CG4_AREA_COM">-76474.51</definedName>
    <definedName name="MOV.070.C.0.08.2005.00.00.DGER016">29591.92999999</definedName>
    <definedName name="MOV.070.C.0.08.2005.00.00.DGER026">-17580112.49</definedName>
    <definedName name="MOV.070.C.0.08.2005.00.00.DGER029">84289.03</definedName>
    <definedName name="MOV.070.C.0.08.2005.00.00.DGER030">-848453.7</definedName>
    <definedName name="MOV.070.C.0.08.2005.00.00.DGER031">-1431757.91</definedName>
    <definedName name="MOV.070.C.0.08.2005.00.00.DGER034">0</definedName>
    <definedName name="MOV.070.C.0.08.2005.00.00.DGER036">0</definedName>
    <definedName name="MOV.070.C.0.08.2005.00.00.DGER049">-5693352.49</definedName>
    <definedName name="MOV.070.C.0.08.2005.00.00.DGER050.CG4_AREA_ADM">-6178262.66</definedName>
    <definedName name="MOV.070.C.0.08.2005.00.00.DGER050.CG4_AREA_COM">-4959127.1</definedName>
    <definedName name="MOV.070.C.0.08.2005.00.00.DGER050.CG4_NIVEL3_CV">-2864451.23</definedName>
    <definedName name="MOV.070.C.0.08.2005.00.00.DGER051">-886272.34</definedName>
    <definedName name="MOV.070.C.0.08.2005.00.00.DGER055">-7151086.24</definedName>
    <definedName name="MOV.070.C.0.08.2005.00.00.DGER056">1044109.23</definedName>
    <definedName name="MOV.070.C.0.08.2005.00.00.DGER057">324469.39</definedName>
    <definedName name="MOV.070.C.0.08.2005.00.00.DGER064">-45526.62</definedName>
    <definedName name="MOV.070.C.0.08.2005.00.00.DMOLSON05">-15851971.43</definedName>
    <definedName name="MOV.070.C.0.08.2005.00.00.DMOLSON06">-2725951.94</definedName>
    <definedName name="MOV.070.C.0.08.2005.00.00.DMOLSON08">-11137389.76</definedName>
    <definedName name="MOV.070.C.0.08.2005.00.00.DMOLSON08.CG4_AREA_ADM">-6178262.66</definedName>
    <definedName name="MOV.070.C.0.08.2005.00.00.DMOLSON08.CG4_AREA_COM">-4959127.1</definedName>
    <definedName name="MOV.070.C.0.08.2005.00.00.DMOLSON08.CG4_NIVEL3_26">-697590.3</definedName>
    <definedName name="MOV.070.C.0.08.2005.00.00.DMOLSON08.CG4_NIVEL3_27">-48556.44</definedName>
    <definedName name="MOV.070.C.0.08.2005.00.00.DMOLSON14">-155220.01</definedName>
    <definedName name="MOV.070.C.0.08.2005.00.00.DMOLSON15">-549100.67</definedName>
    <definedName name="MOV.070.C.0.08.2005.00.00.DMOLSON16">148408.7</definedName>
    <definedName name="MOV.070.C.0.08.2005.00.00.DMOLSON27">-376644.2</definedName>
    <definedName name="MOV.070.C.0.08.2005.00.00.DMOLSON29">0</definedName>
    <definedName name="MOV.070.C.0.08.2005.00.00.DMOLSON30">0</definedName>
    <definedName name="MOV.070.C.0.08.2005.00.00.DMOLSON31">443610.19</definedName>
    <definedName name="MOV.070.C.0.08.2005.00.00.DRES025">-1286136.66</definedName>
    <definedName name="MOV.070.C.0.08.2005.00.00.DRESPER">-17925313.03</definedName>
    <definedName name="MOV.090.C.0.01.2003.00.00.311550">-4476506.93</definedName>
    <definedName name="MOV.090.C.0.01.2003.00.00.3214500.CG4_32999">0</definedName>
    <definedName name="MOV.090.C.0.01.2003.00.00.3214500.CG4_33999">0</definedName>
    <definedName name="MOV.090.C.0.01.2003.00.00.3214500.CG4_34999">0</definedName>
    <definedName name="MOV.090.C.0.01.2003.00.00.3214500.CG4_42999">-350824.08</definedName>
    <definedName name="MOV.090.C.0.01.2003.00.00.3215420">-455654</definedName>
    <definedName name="MOV.090.C.0.01.2003.00.00.421100">-819397.95</definedName>
    <definedName name="MOV.090.C.0.01.2003.00.00.DGER003">-55409351.58</definedName>
    <definedName name="MOV.090.C.0.01.2003.00.00.DGER005">-13129446.58</definedName>
    <definedName name="MOV.090.C.0.01.2003.00.00.DGER006">-13096989.38</definedName>
    <definedName name="MOV.090.C.0.01.2003.00.00.DGER007">-3892608.77</definedName>
    <definedName name="MOV.090.C.0.01.2003.00.00.DGER01">116081092.38</definedName>
    <definedName name="MOV.090.C.0.01.2003.00.00.DGER015.CG4_AREA_ADM">-1498358.23</definedName>
    <definedName name="MOV.090.C.0.01.2003.00.00.DGER015.CG4_AREA_COM">-57912.46</definedName>
    <definedName name="MOV.090.C.0.01.2003.00.00.DGER016">-3550129.16</definedName>
    <definedName name="MOV.090.C.0.01.2003.00.00.DGER026">-15587633.56</definedName>
    <definedName name="MOV.090.C.0.01.2003.00.00.DGER029">236606.55</definedName>
    <definedName name="MOV.090.C.0.01.2003.00.00.DGER030">-1538146.52</definedName>
    <definedName name="MOV.090.C.0.01.2003.00.00.DGER031">-1263978</definedName>
    <definedName name="MOV.090.C.0.01.2003.00.00.DGER032">469653.53</definedName>
    <definedName name="MOV.090.C.0.01.2003.00.00.DGER034">5003931.58</definedName>
    <definedName name="MOV.090.C.0.01.2003.00.00.DGER036">25772.19</definedName>
    <definedName name="MOV.090.C.0.01.2003.00.00.DGER048">8238712.32</definedName>
    <definedName name="MOV.090.C.0.01.2003.00.00.DGER049">-5582720.67</definedName>
    <definedName name="MOV.090.C.0.01.2003.00.00.DGER050">-9335941.73</definedName>
    <definedName name="MOV.090.C.0.01.2003.00.00.DGER050.CG4_AREA_ADM">-7493924.62</definedName>
    <definedName name="MOV.090.C.0.01.2003.00.00.DGER050.CG4_AREA_COM">-1842017.11</definedName>
    <definedName name="MOV.090.C.0.01.2003.00.00.DGER051">-3047796.89</definedName>
    <definedName name="MOV.090.C.0.01.2003.00.00.DGER055">-6399616.37</definedName>
    <definedName name="MOV.090.C.0.01.2003.00.00.DGER056">553417.43</definedName>
    <definedName name="MOV.090.C.0.01.2003.00.00.DGER057">-588577.8</definedName>
    <definedName name="MOV.090.C.0.01.2003.00.00.DGER064">-7665584.56</definedName>
    <definedName name="MOV.090.C.0.01.2003.00.00.DMOLSON27">0</definedName>
    <definedName name="MOV.090.C.0.01.2003.00.00.DRESPER">-16787165.1599999</definedName>
    <definedName name="MOV.090.C.0.01.2004.00.00">0</definedName>
    <definedName name="MOV.090.C.0.01.2004.00.00.3110030">-679271.3</definedName>
    <definedName name="MOV.090.C.0.01.2004.00.00.311550">-4277658.42</definedName>
    <definedName name="MOV.090.C.0.01.2004.00.00.321250">-2880412.03</definedName>
    <definedName name="MOV.090.C.0.01.2004.00.00.321450.CG4_NIVEL3_CV">-116943.04</definedName>
    <definedName name="MOV.090.C.0.01.2004.00.00.3214500.CG4_32999">0</definedName>
    <definedName name="MOV.090.C.0.01.2004.00.00.3214500.CG4_33999">0</definedName>
    <definedName name="MOV.090.C.0.01.2004.00.00.3214500.CG4_34999">0</definedName>
    <definedName name="MOV.090.C.0.01.2004.00.00.3214500.CG4_42999">-167386.17</definedName>
    <definedName name="MOV.090.C.0.01.2004.00.00.3214540">-467969.61</definedName>
    <definedName name="MOV.090.C.0.01.2004.00.00.3214570.CG4_NIVEL3_CV">0</definedName>
    <definedName name="MOV.090.C.0.01.2004.00.00.3215100">-1489056.31</definedName>
    <definedName name="MOV.090.C.0.01.2004.00.00.3215420">0</definedName>
    <definedName name="MOV.090.C.0.01.2004.00.00.421100">639902</definedName>
    <definedName name="MOV.090.C.0.01.2004.00.00.4211100">0</definedName>
    <definedName name="MOV.090.C.0.01.2004.00.00.4212080">0</definedName>
    <definedName name="MOV.090.C.0.01.2004.00.00.DGER003">-50716208.81</definedName>
    <definedName name="MOV.090.C.0.01.2004.00.00.DGER005">-7949727.98</definedName>
    <definedName name="MOV.090.C.0.01.2004.00.00.DGER006">-19365725.37</definedName>
    <definedName name="MOV.090.C.0.01.2004.00.00.DGER007">-3513010.21</definedName>
    <definedName name="MOV.090.C.0.01.2004.00.00.DGER01">107053368.66</definedName>
    <definedName name="MOV.090.C.0.01.2004.00.00.DGER015.CG4_AREA_ADM">-1201078.12</definedName>
    <definedName name="MOV.090.C.0.01.2004.00.00.DGER015.CG4_AREA_COM">-191383.23</definedName>
    <definedName name="MOV.090.C.0.01.2004.00.00.DGER015.CG4_NIVEL3_CV">-116943.04</definedName>
    <definedName name="MOV.090.C.0.01.2004.00.00.DGER016">2370227.26999999</definedName>
    <definedName name="MOV.090.C.0.01.2004.00.00.DGER026">-13553734.94</definedName>
    <definedName name="MOV.090.C.0.01.2004.00.00.DGER026.CG4_NIVEL3_CV">-1108099.39</definedName>
    <definedName name="MOV.090.C.0.01.2004.00.00.DGER029">169631.55</definedName>
    <definedName name="MOV.090.C.0.01.2004.00.00.DGER030">-2222268.99</definedName>
    <definedName name="MOV.090.C.0.01.2004.00.00.DGER031">-1700390.23</definedName>
    <definedName name="MOV.090.C.0.01.2004.00.00.DGER032">-18233.65</definedName>
    <definedName name="MOV.090.C.0.01.2004.00.00.DGER034">6465441.49</definedName>
    <definedName name="MOV.090.C.0.01.2004.00.00.DGER036">304705.4</definedName>
    <definedName name="MOV.090.C.0.01.2004.00.00.DGER048">5234843.87</definedName>
    <definedName name="MOV.090.C.0.01.2004.00.00.DGER049">-6938503.05</definedName>
    <definedName name="MOV.090.C.0.01.2004.00.00.DGER050">-15759875.29</definedName>
    <definedName name="MOV.090.C.0.01.2004.00.00.DGER050.CG4_AREA_ADM">-5185828.63</definedName>
    <definedName name="MOV.090.C.0.01.2004.00.00.DGER050.CG4_AREA_COM">-10578899.66</definedName>
    <definedName name="MOV.090.C.0.01.2004.00.00.DGER050.CG4_NIVEL3_CV">-7607153.61</definedName>
    <definedName name="MOV.090.C.0.01.2004.00.00.DGER051">-2328333.73</definedName>
    <definedName name="MOV.090.C.0.01.2004.00.00.DGER055">-2114707.11</definedName>
    <definedName name="MOV.090.C.0.01.2004.00.00.DGER056">502361.45</definedName>
    <definedName name="MOV.090.C.0.01.2004.00.00.DGER057">-104541.52</definedName>
    <definedName name="MOV.090.C.0.01.2004.00.00.DGER064">-12200585.29</definedName>
    <definedName name="MOV.090.C.0.01.2004.00.00.DMOLSON05">-18138087.95</definedName>
    <definedName name="MOV.090.C.0.01.2004.00.00.DMOLSON06">-2888255.88</definedName>
    <definedName name="MOV.090.C.0.01.2004.00.00.DMOLSON08">-15764728.29</definedName>
    <definedName name="MOV.090.C.0.01.2004.00.00.DMOLSON08.CG4_AREA_ADM">-5185828.63</definedName>
    <definedName name="MOV.090.C.0.01.2004.00.00.DMOLSON08.CG4_AREA_COM">-10578899.66</definedName>
    <definedName name="MOV.090.C.0.01.2004.00.00.DMOLSON08.CG4_NIVEL3_26">-490751.28</definedName>
    <definedName name="MOV.090.C.0.01.2004.00.00.DMOLSON08.CG4_NIVEL3_27">70363.02</definedName>
    <definedName name="MOV.090.C.0.01.2004.00.00.DMOLSON14">-201163.24</definedName>
    <definedName name="MOV.090.C.0.01.2004.00.00.DMOLSON15">-1395620.73</definedName>
    <definedName name="MOV.090.C.0.01.2004.00.00.DMOLSON16">-18233.65</definedName>
    <definedName name="MOV.090.C.0.01.2004.00.00.DMOLSON27">-3606665.04</definedName>
    <definedName name="MOV.090.C.0.01.2004.00.00.DMOLSON29">4406116.8</definedName>
    <definedName name="MOV.090.C.0.01.2004.00.00.DMOLSON30">-1227637.42</definedName>
    <definedName name="MOV.090.C.0.01.2004.00.00.DMOLSON31">2224347.8</definedName>
    <definedName name="MOV.090.C.0.01.2004.00.00.DRESPER">-30752718.63</definedName>
    <definedName name="MOV.090.C.0.01.2005.00.00.3110030">-924721.84</definedName>
    <definedName name="MOV.090.C.0.01.2005.00.00.311550">-1294845.91</definedName>
    <definedName name="MOV.090.C.0.01.2005.00.00.321450.CG4_NIVEL3_CV">-326126.7</definedName>
    <definedName name="MOV.090.C.0.01.2005.00.00.3214500.CG4_32999">0</definedName>
    <definedName name="MOV.090.C.0.01.2005.00.00.3214500.CG4_33999">0</definedName>
    <definedName name="MOV.090.C.0.01.2005.00.00.3214500.CG4_34999">0</definedName>
    <definedName name="MOV.090.C.0.01.2005.00.00.3214500.CG4_42999">-207886.94</definedName>
    <definedName name="MOV.090.C.0.01.2005.00.00.3214540">-554977.1</definedName>
    <definedName name="MOV.090.C.0.01.2005.00.00.3214570">0</definedName>
    <definedName name="MOV.090.C.0.01.2005.00.00.3214570.CG4_NIVEL3_CV">0</definedName>
    <definedName name="MOV.090.C.0.01.2005.00.00.3215100">57946.62</definedName>
    <definedName name="MOV.090.C.0.01.2005.00.00.3215420">0</definedName>
    <definedName name="MOV.090.C.0.01.2005.00.00.3215990.CG4_NIVEL4_AS">-2068535</definedName>
    <definedName name="MOV.090.C.0.01.2005.00.00.421100">0</definedName>
    <definedName name="MOV.090.C.0.01.2005.00.00.4211100">0</definedName>
    <definedName name="MOV.090.C.0.01.2005.00.00.4212080">0</definedName>
    <definedName name="MOV.090.C.0.01.2005.00.00.4220260">0</definedName>
    <definedName name="MOV.090.C.0.01.2005.00.00.DGER003">-69944872.77</definedName>
    <definedName name="MOV.090.C.0.01.2005.00.00.DGER005">-13042803.78</definedName>
    <definedName name="MOV.090.C.0.01.2005.00.00.DGER007">-3277384.92</definedName>
    <definedName name="MOV.090.C.0.01.2005.00.00.DGER01">139442727.9</definedName>
    <definedName name="MOV.090.C.0.01.2005.00.00.DGER015.CG4_AREA_ADM">-1029883.36</definedName>
    <definedName name="MOV.090.C.0.01.2005.00.00.DGER015.CG4_AREA_COM">-398842.47</definedName>
    <definedName name="MOV.090.C.0.01.2005.00.00.DGER016">1405533.20000001</definedName>
    <definedName name="MOV.090.C.0.01.2005.00.00.DGER026">-15921313.43</definedName>
    <definedName name="MOV.090.C.0.01.2005.00.00.DGER026.CG4_NIVEL3_CV">-420083.23</definedName>
    <definedName name="MOV.090.C.0.01.2005.00.00.DGER029">5554036.54</definedName>
    <definedName name="MOV.090.C.0.01.2005.00.00.DGER030">-3137300.42</definedName>
    <definedName name="MOV.090.C.0.01.2005.00.00.DGER031">-2323473.83</definedName>
    <definedName name="MOV.090.C.0.01.2005.00.00.DGER032">0</definedName>
    <definedName name="MOV.090.C.0.01.2005.00.00.DGER034">9827379.15</definedName>
    <definedName name="MOV.090.C.0.01.2005.00.00.DGER036">107476.22</definedName>
    <definedName name="MOV.090.C.0.01.2005.00.00.DGER048">0</definedName>
    <definedName name="MOV.090.C.0.01.2005.00.00.DGER049">-5780252.36</definedName>
    <definedName name="MOV.090.C.0.01.2005.00.00.DGER050.CG4_AREA_ADM">-6395400.8</definedName>
    <definedName name="MOV.090.C.0.01.2005.00.00.DGER050.CG4_AREA_COM">-7088410.16</definedName>
    <definedName name="MOV.090.C.0.01.2005.00.00.DGER050.CG4_NIVEL3_CV">-4332108.01</definedName>
    <definedName name="MOV.090.C.0.01.2005.00.00.DGER051">-1746034.6</definedName>
    <definedName name="MOV.090.C.0.01.2005.00.00.DGER055">-731762.42</definedName>
    <definedName name="MOV.090.C.0.01.2005.00.00.DGER056">1033533.96</definedName>
    <definedName name="MOV.090.C.0.01.2005.00.00.DGER057">1245078.46</definedName>
    <definedName name="MOV.090.C.0.01.2005.00.00.DGER064">0</definedName>
    <definedName name="MOV.090.C.0.01.2005.00.00.DMOLSON05">-19289745.27</definedName>
    <definedName name="MOV.090.C.0.01.2005.00.00.DMOLSON06">-3121450.82</definedName>
    <definedName name="MOV.090.C.0.01.2005.00.00.DMOLSON08">-13483810.96</definedName>
    <definedName name="MOV.090.C.0.01.2005.00.00.DMOLSON08.CG4_AREA_ADM">-6395400.8</definedName>
    <definedName name="MOV.090.C.0.01.2005.00.00.DMOLSON08.CG4_AREA_COM">-7088410.16</definedName>
    <definedName name="MOV.090.C.0.01.2005.00.00.DMOLSON08.CG4_NIVEL3_26">-443546.91</definedName>
    <definedName name="MOV.090.C.0.01.2005.00.00.DMOLSON08.CG4_NIVEL3_27">-12641.58</definedName>
    <definedName name="MOV.090.C.0.01.2005.00.00.DMOLSON14">-176021.2</definedName>
    <definedName name="MOV.090.C.0.01.2005.00.00.DMOLSON15">51733.51</definedName>
    <definedName name="MOV.090.C.0.01.2005.00.00.DMOLSON16">497547.17</definedName>
    <definedName name="MOV.090.C.0.01.2005.00.00.DMOLSON27">5895031.86</definedName>
    <definedName name="MOV.090.C.0.01.2005.00.00.DMOLSON29">0</definedName>
    <definedName name="MOV.090.C.0.01.2005.00.00.DMOLSON30">0</definedName>
    <definedName name="MOV.090.C.0.01.2005.00.00.DMOLSON31">573167.37</definedName>
    <definedName name="MOV.090.C.0.01.2005.00.00.DRES025">0</definedName>
    <definedName name="MOV.090.C.0.01.2005.00.00.DRES25">0</definedName>
    <definedName name="MOV.090.C.0.01.2005.00.00.DRESPER">9511694.49999997</definedName>
    <definedName name="MOV.090.C.0.02.2003.00.00.311550">-4571696.49</definedName>
    <definedName name="MOV.090.C.0.02.2003.00.00.3214500.CG4_32999">-61701.18</definedName>
    <definedName name="MOV.090.C.0.02.2003.00.00.3214500.CG4_33999">-74420.27</definedName>
    <definedName name="MOV.090.C.0.02.2003.00.00.3214500.CG4_34999">-25486.61</definedName>
    <definedName name="MOV.090.C.0.02.2003.00.00.3214500.CG4_42999">-165104.38</definedName>
    <definedName name="MOV.090.C.0.02.2003.00.00.3215420">-211275</definedName>
    <definedName name="MOV.090.C.0.02.2003.00.00.421100">-308559.3</definedName>
    <definedName name="MOV.090.C.0.02.2003.00.00.DGER003">-61807011.9999999</definedName>
    <definedName name="MOV.090.C.0.02.2003.00.00.DGER005">-13409077.33</definedName>
    <definedName name="MOV.090.C.0.02.2003.00.00.DGER006">-22978212.91</definedName>
    <definedName name="MOV.090.C.0.02.2003.00.00.DGER007">-3863654.71</definedName>
    <definedName name="MOV.090.C.0.02.2003.00.00.DGER01">133402681.979999</definedName>
    <definedName name="MOV.090.C.0.02.2003.00.00.DGER015.CG4_AREA_ADM">-1502241.91</definedName>
    <definedName name="MOV.090.C.0.02.2003.00.00.DGER015.CG4_AREA_COM">-57572.54</definedName>
    <definedName name="MOV.090.C.0.02.2003.00.00.DGER016">-2751635.15999998</definedName>
    <definedName name="MOV.090.C.0.02.2003.00.00.DGER026">-3383381.7</definedName>
    <definedName name="MOV.090.C.0.02.2003.00.00.DGER029">194449.11</definedName>
    <definedName name="MOV.090.C.0.02.2003.00.00.DGER030">-1520923.53</definedName>
    <definedName name="MOV.090.C.0.02.2003.00.00.DGER031">-618503.75</definedName>
    <definedName name="MOV.090.C.0.02.2003.00.00.DGER032">90591.69</definedName>
    <definedName name="MOV.090.C.0.02.2003.00.00.DGER034">-1054126.04</definedName>
    <definedName name="MOV.090.C.0.02.2003.00.00.DGER036">38123.34</definedName>
    <definedName name="MOV.090.C.0.02.2003.00.00.DGER048">15368976.4</definedName>
    <definedName name="MOV.090.C.0.02.2003.00.00.DGER049">-5031102.25</definedName>
    <definedName name="MOV.090.C.0.02.2003.00.00.DGER050.CG4_AREA_ADM">-6958992.52</definedName>
    <definedName name="MOV.090.C.0.02.2003.00.00.DGER050.CG4_AREA_COM">-2428544.44</definedName>
    <definedName name="MOV.090.C.0.02.2003.00.00.DGER050.CG4_NIVEL3_CV">0</definedName>
    <definedName name="MOV.090.C.0.02.2003.00.00.DGER051">-5808652.56</definedName>
    <definedName name="MOV.090.C.0.02.2003.00.00.DGER055">-5636615.52</definedName>
    <definedName name="MOV.090.C.0.02.2003.00.00.DGER056">376618.45</definedName>
    <definedName name="MOV.090.C.0.02.2003.00.00.DGER057">17606.6</definedName>
    <definedName name="MOV.090.C.0.02.2003.00.00.DGER064">-7665584.56</definedName>
    <definedName name="MOV.090.C.0.02.2003.00.00.DMOLSON27">0</definedName>
    <definedName name="MOV.090.C.0.02.2003.00.00.DRESPER">-2078316.65000001</definedName>
    <definedName name="MOV.090.C.0.02.2004.00.00">0</definedName>
    <definedName name="MOV.090.C.0.02.2004.00.00.3110030">-994401.52</definedName>
    <definedName name="MOV.090.C.0.02.2004.00.00.311550">-4337195.84</definedName>
    <definedName name="MOV.090.C.0.02.2004.00.00.321250">-3207818.04</definedName>
    <definedName name="MOV.090.C.0.02.2004.00.00.321450.CG4_NIVEL3_CV">-193110.71</definedName>
    <definedName name="MOV.090.C.0.02.2004.00.00.3214500.CG4_32999">0</definedName>
    <definedName name="MOV.090.C.0.02.2004.00.00.3214500.CG4_33999">0</definedName>
    <definedName name="MOV.090.C.0.02.2004.00.00.3214500.CG4_34999">0</definedName>
    <definedName name="MOV.090.C.0.02.2004.00.00.3214500.CG4_42999">-167386.17</definedName>
    <definedName name="MOV.090.C.0.02.2004.00.00.3214540">-506795.26</definedName>
    <definedName name="MOV.090.C.0.02.2004.00.00.3214570.CG4_NIVEL3_CV">0</definedName>
    <definedName name="MOV.090.C.0.02.2004.00.00.3215100">-2612639.66</definedName>
    <definedName name="MOV.090.C.0.02.2004.00.00.3215420">0</definedName>
    <definedName name="MOV.090.C.0.02.2004.00.00.421100">195497.81</definedName>
    <definedName name="MOV.090.C.0.02.2004.00.00.4211100">0</definedName>
    <definedName name="MOV.090.C.0.02.2004.00.00.4212080">0</definedName>
    <definedName name="MOV.090.C.0.02.2004.00.00.DGER003">-63325671.2599999</definedName>
    <definedName name="MOV.090.C.0.02.2004.00.00.DGER005">-12553802.83</definedName>
    <definedName name="MOV.090.C.0.02.2004.00.00.DGER006">-26867603.56</definedName>
    <definedName name="MOV.090.C.0.02.2004.00.00.DGER007">-3581286.94</definedName>
    <definedName name="MOV.090.C.0.02.2004.00.00.DGER01">131469436.229999</definedName>
    <definedName name="MOV.090.C.0.02.2004.00.00.DGER015.CG4_AREA_ADM">-1234222.18</definedName>
    <definedName name="MOV.090.C.0.02.2004.00.00.DGER015.CG4_AREA_COM">-268478.08</definedName>
    <definedName name="MOV.090.C.0.02.2004.00.00.DGER015.CG4_NIVEL3_CV">-151267.33</definedName>
    <definedName name="MOV.090.C.0.02.2004.00.00.DGER016">2000140.00000001</definedName>
    <definedName name="MOV.090.C.0.02.2004.00.00.DGER026">-33679085.17</definedName>
    <definedName name="MOV.090.C.0.02.2004.00.00.DGER026.CG4_NIVEL3_CV">-579264.18</definedName>
    <definedName name="MOV.090.C.0.02.2004.00.00.DGER029">221455.53</definedName>
    <definedName name="MOV.090.C.0.02.2004.00.00.DGER030">-2114058.72</definedName>
    <definedName name="MOV.090.C.0.02.2004.00.00.DGER031">-839526.49</definedName>
    <definedName name="MOV.090.C.0.02.2004.00.00.DGER032">-156259.95</definedName>
    <definedName name="MOV.090.C.0.02.2004.00.00.DGER034">14625919.62</definedName>
    <definedName name="MOV.090.C.0.02.2004.00.00.DGER036">127884.19</definedName>
    <definedName name="MOV.090.C.0.02.2004.00.00.DGER048">3726750.31</definedName>
    <definedName name="MOV.090.C.0.02.2004.00.00.DGER049">-6519418.41</definedName>
    <definedName name="MOV.090.C.0.02.2004.00.00.DGER050">-16148970.86</definedName>
    <definedName name="MOV.090.C.0.02.2004.00.00.DGER050.CG4_AREA_ADM">-6507010.51</definedName>
    <definedName name="MOV.090.C.0.02.2004.00.00.DGER050.CG4_AREA_COM">-9683706.86</definedName>
    <definedName name="MOV.090.C.0.02.2004.00.00.DGER050.CG4_NIVEL3_CV">-6477406.18</definedName>
    <definedName name="MOV.090.C.0.02.2004.00.00.DGER051">-2424326.01</definedName>
    <definedName name="MOV.090.C.0.02.2004.00.00.DGER055">-2643754.81</definedName>
    <definedName name="MOV.090.C.0.02.2004.00.00.DGER056">78652.6</definedName>
    <definedName name="MOV.090.C.0.02.2004.00.00.DGER057">64942.49</definedName>
    <definedName name="MOV.090.C.0.02.2004.00.00.DGER064">-12200585.29</definedName>
    <definedName name="MOV.090.C.0.02.2004.00.00.DMOLSON05">-25855823.75</definedName>
    <definedName name="MOV.090.C.0.02.2004.00.00.DMOLSON06">-3243615.82</definedName>
    <definedName name="MOV.090.C.0.02.2004.00.00.DMOLSON08">-16190717.37</definedName>
    <definedName name="MOV.090.C.0.02.2004.00.00.DMOLSON08.CG4_AREA_ADM">-6507010.51</definedName>
    <definedName name="MOV.090.C.0.02.2004.00.00.DMOLSON08.CG4_AREA_COM">-9683706.86</definedName>
    <definedName name="MOV.090.C.0.02.2004.00.00.DMOLSON08.CG4_NIVEL3_26">-650397.01</definedName>
    <definedName name="MOV.090.C.0.02.2004.00.00.DMOLSON08.CG4_NIVEL3_27">-102758.03</definedName>
    <definedName name="MOV.090.C.0.02.2004.00.00.DMOLSON14">-350531.88</definedName>
    <definedName name="MOV.090.C.0.02.2004.00.00.DMOLSON15">-889951.37</definedName>
    <definedName name="MOV.090.C.0.02.2004.00.00.DMOLSON16">-156259.95</definedName>
    <definedName name="MOV.090.C.0.02.2004.00.00.DMOLSON27">-91887.89</definedName>
    <definedName name="MOV.090.C.0.02.2004.00.00.DMOLSON29">3382679.75</definedName>
    <definedName name="MOV.090.C.0.02.2004.00.00.DMOLSON30">-1011779.81</definedName>
    <definedName name="MOV.090.C.0.02.2004.00.00.DMOLSON31">1234021.93</definedName>
    <definedName name="MOV.090.C.0.02.2004.00.00.DRESPER">-44225186.16</definedName>
    <definedName name="MOV.090.C.0.02.2005.00.00.3110030">-643637.35</definedName>
    <definedName name="MOV.090.C.0.02.2005.00.00.311550">-1295484.23</definedName>
    <definedName name="MOV.090.C.0.02.2005.00.00.321001.CG4_AREA_ADM">0</definedName>
    <definedName name="MOV.090.C.0.02.2005.00.00.321001.CG4_AREA_COM">0</definedName>
    <definedName name="MOV.090.C.0.02.2005.00.00.321001.CG4_NIVEL3_CV">0</definedName>
    <definedName name="MOV.090.C.0.02.2005.00.00.321050.CG4_AREA_ADM">-43187.76</definedName>
    <definedName name="MOV.090.C.0.02.2005.00.00.321050.CG4_AREA_COM">0</definedName>
    <definedName name="MOV.090.C.0.02.2005.00.00.321050.CG4_NIVEL3_CV">0</definedName>
    <definedName name="MOV.090.C.0.02.2005.00.00.321100">-767289.66</definedName>
    <definedName name="MOV.090.C.0.02.2005.00.00.321100.CG4_AREA_ADM">-488770.69</definedName>
    <definedName name="MOV.090.C.0.02.2005.00.00.321100.CG4_AREA_COM">-278518.97</definedName>
    <definedName name="MOV.090.C.0.02.2005.00.00.321100.CG4_NIVEL3_CV">-274439.54</definedName>
    <definedName name="MOV.090.C.0.02.2005.00.00.321150">-268696.46</definedName>
    <definedName name="MOV.090.C.0.02.2005.00.00.321150.CG4_AREA_ADM">-237921.24</definedName>
    <definedName name="MOV.090.C.0.02.2005.00.00.321450.CG4_NIVEL3_CV">-301021.37</definedName>
    <definedName name="MOV.090.C.0.02.2005.00.00.3214500.CG4_32999">0</definedName>
    <definedName name="MOV.090.C.0.02.2005.00.00.3214500.CG4_33999">0</definedName>
    <definedName name="MOV.090.C.0.02.2005.00.00.3214500.CG4_34999">0</definedName>
    <definedName name="MOV.090.C.0.02.2005.00.00.3214500.CG4_42999">-207886.94</definedName>
    <definedName name="MOV.090.C.0.02.2005.00.00.3214540">-554965.88</definedName>
    <definedName name="MOV.090.C.0.02.2005.00.00.3214570">0</definedName>
    <definedName name="MOV.090.C.0.02.2005.00.00.3214570.CG4_NIVEL3_CV">0</definedName>
    <definedName name="MOV.090.C.0.02.2005.00.00.3215100">-188769.77</definedName>
    <definedName name="MOV.090.C.0.02.2005.00.00.3215420">0</definedName>
    <definedName name="MOV.090.C.0.02.2005.00.00.321599.CG4_NIVEL4_AS">0</definedName>
    <definedName name="MOV.090.C.0.02.2005.00.00.3215990.CG4_NIVEL4_AS">-2106723.31</definedName>
    <definedName name="MOV.090.C.0.02.2005.00.00.421100">0</definedName>
    <definedName name="MOV.090.C.0.02.2005.00.00.4211100">0</definedName>
    <definedName name="MOV.090.C.0.02.2005.00.00.4212080">0</definedName>
    <definedName name="MOV.090.C.0.02.2005.00.00.4220260">0</definedName>
    <definedName name="MOV.090.C.0.02.2005.00.00.DGER003">-61966154.6899999</definedName>
    <definedName name="MOV.090.C.0.02.2005.00.00.DGER005">-10034522.82</definedName>
    <definedName name="MOV.090.C.0.02.2005.00.00.DGER007">-2919084.63</definedName>
    <definedName name="MOV.090.C.0.02.2005.00.00.DGER01">123084224.66</definedName>
    <definedName name="MOV.090.C.0.02.2005.00.00.DGER015.CG4_AREA_ADM">-1023809.41</definedName>
    <definedName name="MOV.090.C.0.02.2005.00.00.DGER015.CG4_AREA_COM">-365892.81</definedName>
    <definedName name="MOV.090.C.0.02.2005.00.00.DGER016">-1200339.02</definedName>
    <definedName name="MOV.090.C.0.02.2005.00.00.DGER026">-12358001.48</definedName>
    <definedName name="MOV.090.C.0.02.2005.00.00.DGER026.CG4_NIVEL3_CV">-365391.66</definedName>
    <definedName name="MOV.090.C.0.02.2005.00.00.DGER029">2323750.7</definedName>
    <definedName name="MOV.090.C.0.02.2005.00.00.DGER030">-2498183.46</definedName>
    <definedName name="MOV.090.C.0.02.2005.00.00.DGER031">-2207172.68</definedName>
    <definedName name="MOV.090.C.0.02.2005.00.00.DGER032">0</definedName>
    <definedName name="MOV.090.C.0.02.2005.00.00.DGER034">-69546630.51</definedName>
    <definedName name="MOV.090.C.0.02.2005.00.00.DGER036">1097543.74</definedName>
    <definedName name="MOV.090.C.0.02.2005.00.00.DGER048">0</definedName>
    <definedName name="MOV.090.C.0.02.2005.00.00.DGER049">-5553678.3</definedName>
    <definedName name="MOV.090.C.0.02.2005.00.00.DGER050.CG4_AREA_ADM">-6589305.71</definedName>
    <definedName name="MOV.090.C.0.02.2005.00.00.DGER050.CG4_AREA_COM">-9009446.91</definedName>
    <definedName name="MOV.090.C.0.02.2005.00.00.DGER050.CG4_NIVEL3_CV">-4116916.7</definedName>
    <definedName name="MOV.090.C.0.02.2005.00.00.DGER051">-1667999.62</definedName>
    <definedName name="MOV.090.C.0.02.2005.00.00.DGER055">-32316975.19</definedName>
    <definedName name="MOV.090.C.0.02.2005.00.00.DGER056">815063.39</definedName>
    <definedName name="MOV.090.C.0.02.2005.00.00.DGER057">264900.07</definedName>
    <definedName name="MOV.090.C.0.02.2005.00.00.DGER064">0</definedName>
    <definedName name="MOV.090.C.0.02.2005.00.00.DMOLSON05">-17307503.19</definedName>
    <definedName name="MOV.090.C.0.02.2005.00.00.DMOLSON06">-2666386.65</definedName>
    <definedName name="MOV.090.C.0.02.2005.00.00.DMOLSON08">-15598752.62</definedName>
    <definedName name="MOV.090.C.0.02.2005.00.00.DMOLSON08.CG4_AREA_ADM">-6589305.71</definedName>
    <definedName name="MOV.090.C.0.02.2005.00.00.DMOLSON08.CG4_AREA_COM">-9009446.91</definedName>
    <definedName name="MOV.090.C.0.02.2005.00.00.DMOLSON08.CG4_NIVEL3_26">-453168.55</definedName>
    <definedName name="MOV.090.C.0.02.2005.00.00.DMOLSON08.CG4_NIVEL3_27">-131996.64</definedName>
    <definedName name="MOV.090.C.0.02.2005.00.00.DMOLSON14">41860.42</definedName>
    <definedName name="MOV.090.C.0.02.2005.00.00.DMOLSON15">-209699396.569999</definedName>
    <definedName name="MOV.090.C.0.02.2005.00.00.DMOLSON16">213778.87</definedName>
    <definedName name="MOV.090.C.0.02.2005.00.00.DMOLSON27">-3222745.14</definedName>
    <definedName name="MOV.090.C.0.02.2005.00.00.DMOLSON29">0</definedName>
    <definedName name="MOV.090.C.0.02.2005.00.00.DMOLSON30">0</definedName>
    <definedName name="MOV.090.C.0.02.2005.00.00.DMOLSON31">288071.2</definedName>
    <definedName name="MOV.090.C.0.02.2005.00.00.DRES025">0</definedName>
    <definedName name="MOV.090.C.0.02.2005.00.00.DRES25">0</definedName>
    <definedName name="MOV.090.C.0.02.2005.00.00.DRESPER">-326706892.969999</definedName>
    <definedName name="MOV.090.C.0.03.2002.00.00.DGER032">-548848.02</definedName>
    <definedName name="MOV.090.C.0.03.2002.00.00.DGER048">-192196589.069999</definedName>
    <definedName name="MOV.090.C.0.03.2003.00.00.311550">-4077392.01</definedName>
    <definedName name="MOV.090.C.0.03.2003.00.00.3214500.CG4_32999">-61701.18</definedName>
    <definedName name="MOV.090.C.0.03.2003.00.00.3214500.CG4_33999">-74420.27</definedName>
    <definedName name="MOV.090.C.0.03.2003.00.00.3214500.CG4_34999">-25486.61</definedName>
    <definedName name="MOV.090.C.0.03.2003.00.00.3214500.CG4_42999">-165104.38</definedName>
    <definedName name="MOV.090.C.0.03.2003.00.00.3215420">3547061</definedName>
    <definedName name="MOV.090.C.0.03.2003.00.00.421100">-5009251.24</definedName>
    <definedName name="MOV.090.C.0.03.2003.00.00.DGER003">-63860889.39</definedName>
    <definedName name="MOV.090.C.0.03.2003.00.00.DGER005">-14840192.05</definedName>
    <definedName name="MOV.090.C.0.03.2003.00.00.DGER006">-29811200.03</definedName>
    <definedName name="MOV.090.C.0.03.2003.00.00.DGER007">-3976177.88</definedName>
    <definedName name="MOV.090.C.0.03.2003.00.00.DGER01">137793753.319999</definedName>
    <definedName name="MOV.090.C.0.03.2003.00.00.DGER015.CG4_AREA_ADM">-533871.82</definedName>
    <definedName name="MOV.090.C.0.03.2003.00.00.DGER015.CG4_AREA_COM">-58376.15</definedName>
    <definedName name="MOV.090.C.0.03.2003.00.00.DGER016">3326213.96</definedName>
    <definedName name="MOV.090.C.0.03.2003.00.00.DGER026">-4312480.81</definedName>
    <definedName name="MOV.090.C.0.03.2003.00.00.DGER029">460487.96</definedName>
    <definedName name="MOV.090.C.0.03.2003.00.00.DGER030">-2060778.81</definedName>
    <definedName name="MOV.090.C.0.03.2003.00.00.DGER031">-1068061.36</definedName>
    <definedName name="MOV.090.C.0.03.2003.00.00.DGER032">685269.29999999</definedName>
    <definedName name="MOV.090.C.0.03.2003.00.00.DGER034">22643337.03</definedName>
    <definedName name="MOV.090.C.0.03.2003.00.00.DGER036">-56972.32</definedName>
    <definedName name="MOV.090.C.0.03.2003.00.00.DGER048">-10498292.56</definedName>
    <definedName name="MOV.090.C.0.03.2003.00.00.DGER049">-337153.54</definedName>
    <definedName name="MOV.090.C.0.03.2003.00.00.DGER050.CG4_AREA_ADM">-898666.99</definedName>
    <definedName name="MOV.090.C.0.03.2003.00.00.DGER050.CG4_AREA_COM">653159.62</definedName>
    <definedName name="MOV.090.C.0.03.2003.00.00.DGER050.CG4_NIVEL3_CV">0</definedName>
    <definedName name="MOV.090.C.0.03.2003.00.00.DGER051">-5770424.96</definedName>
    <definedName name="MOV.090.C.0.03.2003.00.00.DGER055">8276562.72</definedName>
    <definedName name="MOV.090.C.0.03.2003.00.00.DGER056">271510.9</definedName>
    <definedName name="MOV.090.C.0.03.2003.00.00.DGER057">-1887970.73</definedName>
    <definedName name="MOV.090.C.0.03.2003.00.00.DGER064">-7665584.56</definedName>
    <definedName name="MOV.090.C.0.03.2003.00.00.DMOLSON27">-84998047.2099999</definedName>
    <definedName name="MOV.090.C.0.03.2003.00.00.DRESPER">-64064428.6099999</definedName>
    <definedName name="MOV.090.C.0.03.2004.00.00.3110030">-822266.41</definedName>
    <definedName name="MOV.090.C.0.03.2004.00.00.311550">-4308955.61</definedName>
    <definedName name="MOV.090.C.0.03.2004.00.00.3212000">0</definedName>
    <definedName name="MOV.090.C.0.03.2004.00.00.3212490">0</definedName>
    <definedName name="MOV.090.C.0.03.2004.00.00.321250">-3541789.52</definedName>
    <definedName name="MOV.090.C.0.03.2004.00.00.321450.CG4_NIVEL3_CV">-214865.63</definedName>
    <definedName name="MOV.090.C.0.03.2004.00.00.3214500.CG4_32999">0</definedName>
    <definedName name="MOV.090.C.0.03.2004.00.00.3214500.CG4_33999">0</definedName>
    <definedName name="MOV.090.C.0.03.2004.00.00.3214500.CG4_34999">0</definedName>
    <definedName name="MOV.090.C.0.03.2004.00.00.3214500.CG4_42999">-317287.08</definedName>
    <definedName name="MOV.090.C.0.03.2004.00.00.3214540">-514642.77</definedName>
    <definedName name="MOV.090.C.0.03.2004.00.00.3214570.CG4_NIVEL3_CV">0</definedName>
    <definedName name="MOV.090.C.0.03.2004.00.00.3215100">-4263485.99</definedName>
    <definedName name="MOV.090.C.0.03.2004.00.00.3215420">0</definedName>
    <definedName name="MOV.090.C.0.03.2004.00.00.421100">-1150494.87</definedName>
    <definedName name="MOV.090.C.0.03.2004.00.00.4211100">0</definedName>
    <definedName name="MOV.090.C.0.03.2004.00.00.4212080">0</definedName>
    <definedName name="MOV.090.C.0.03.2004.00.00.DGER003">-77894916.45</definedName>
    <definedName name="MOV.090.C.0.03.2004.00.00.DGER005">-10165922.12</definedName>
    <definedName name="MOV.090.C.0.03.2004.00.00.DGER006">-20166518.33</definedName>
    <definedName name="MOV.090.C.0.03.2004.00.00.DGER007">-3837089.56</definedName>
    <definedName name="MOV.090.C.0.03.2004.00.00.DGER01">155219368.78</definedName>
    <definedName name="MOV.090.C.0.03.2004.00.00.DGER015.CG4_AREA_ADM">-1141644.34</definedName>
    <definedName name="MOV.090.C.0.03.2004.00.00.DGER015.CG4_AREA_COM">-304922.35</definedName>
    <definedName name="MOV.090.C.0.03.2004.00.00.DGER015.CG4_NIVEL3_CV">-214865.63</definedName>
    <definedName name="MOV.090.C.0.03.2004.00.00.DGER016">-8513709.58000002</definedName>
    <definedName name="MOV.090.C.0.03.2004.00.00.DGER026">-3069508.55</definedName>
    <definedName name="MOV.090.C.0.03.2004.00.00.DGER026.CG4_NIVEL3_CV">2063012.83</definedName>
    <definedName name="MOV.090.C.0.03.2004.00.00.DGER029">131904.1</definedName>
    <definedName name="MOV.090.C.0.03.2004.00.00.DGER030">-2501653.85</definedName>
    <definedName name="MOV.090.C.0.03.2004.00.00.DGER031">-774899.79</definedName>
    <definedName name="MOV.090.C.0.03.2004.00.00.DGER032">65403.3</definedName>
    <definedName name="MOV.090.C.0.03.2004.00.00.DGER034">-1068359.63</definedName>
    <definedName name="MOV.090.C.0.03.2004.00.00.DGER036">254784.29</definedName>
    <definedName name="MOV.090.C.0.03.2004.00.00.DGER048">3469893.21</definedName>
    <definedName name="MOV.090.C.0.03.2004.00.00.DGER049">-7262861.99</definedName>
    <definedName name="MOV.090.C.0.03.2004.00.00.DGER050">-15447839.67</definedName>
    <definedName name="MOV.090.C.0.03.2004.00.00.DGER050.CG4_AREA_ADM">-7084068.28</definedName>
    <definedName name="MOV.090.C.0.03.2004.00.00.DGER050.CG4_AREA_COM">-8502008.21</definedName>
    <definedName name="MOV.090.C.0.03.2004.00.00.DGER050.CG4_NIVEL3_CV">-4891031.71</definedName>
    <definedName name="MOV.090.C.0.03.2004.00.00.DGER051">-3398448.85</definedName>
    <definedName name="MOV.090.C.0.03.2004.00.00.DGER055">-1901177.38</definedName>
    <definedName name="MOV.090.C.0.03.2004.00.00.DGER056">636158.17</definedName>
    <definedName name="MOV.090.C.0.03.2004.00.00.DGER057">139085.17</definedName>
    <definedName name="MOV.090.C.0.03.2004.00.00.DGER064">24401170.58</definedName>
    <definedName name="MOV.090.C.0.03.2004.00.00.DMOLSON05">-19522671.35</definedName>
    <definedName name="MOV.090.C.0.03.2004.00.00.DMOLSON06">-3593923.9</definedName>
    <definedName name="MOV.090.C.0.03.2004.00.00.DMOLSON08">-15586076.49</definedName>
    <definedName name="MOV.090.C.0.03.2004.00.00.DMOLSON08.CG4_AREA_ADM">-7084068.28</definedName>
    <definedName name="MOV.090.C.0.03.2004.00.00.DMOLSON08.CG4_AREA_COM">-8502008.21</definedName>
    <definedName name="MOV.090.C.0.03.2004.00.00.DMOLSON08.CG4_NIVEL3_26">-755470.21</definedName>
    <definedName name="MOV.090.C.0.03.2004.00.00.DMOLSON08.CG4_NIVEL3_27">-127475.02</definedName>
    <definedName name="MOV.090.C.0.03.2004.00.00.DMOLSON14">-174506.88</definedName>
    <definedName name="MOV.090.C.0.03.2004.00.00.DMOLSON15">-1010748.86</definedName>
    <definedName name="MOV.090.C.0.03.2004.00.00.DMOLSON16">65403.3</definedName>
    <definedName name="MOV.090.C.0.03.2004.00.00.DMOLSON27">-5437180.01</definedName>
    <definedName name="MOV.090.C.0.03.2004.00.00.DMOLSON29">3505598.32</definedName>
    <definedName name="MOV.090.C.0.03.2004.00.00.DMOLSON30">-643846.98</definedName>
    <definedName name="MOV.090.C.0.03.2004.00.00.DMOLSON31">975043.75</definedName>
    <definedName name="MOV.090.C.0.03.2004.00.00.DRESPER">6464601.89999998</definedName>
    <definedName name="MOV.090.C.0.03.2005.00.00.3110030">-554835.37</definedName>
    <definedName name="MOV.090.C.0.03.2005.00.00.311550">-1283648.2</definedName>
    <definedName name="MOV.090.C.0.03.2005.00.00.321450.CG4_NIVEL3_CV">-55093.38</definedName>
    <definedName name="MOV.090.C.0.03.2005.00.00.3214500.CG4_32999">0</definedName>
    <definedName name="MOV.090.C.0.03.2005.00.00.3214500.CG4_33999">0</definedName>
    <definedName name="MOV.090.C.0.03.2005.00.00.3214500.CG4_34999">0</definedName>
    <definedName name="MOV.090.C.0.03.2005.00.00.3214500.CG4_42999">-207886.94</definedName>
    <definedName name="MOV.090.C.0.03.2005.00.00.3214540">-554971.49</definedName>
    <definedName name="MOV.090.C.0.03.2005.00.00.3214570">0</definedName>
    <definedName name="MOV.090.C.0.03.2005.00.00.3214570.CG4_NIVEL3_CV">0</definedName>
    <definedName name="MOV.090.C.0.03.2005.00.00.3215100">-112225.47</definedName>
    <definedName name="MOV.090.C.0.03.2005.00.00.3215420">0</definedName>
    <definedName name="MOV.090.C.0.03.2005.00.00.3215990.CG4_NIVEL4_AS">-1855469.28</definedName>
    <definedName name="MOV.090.C.0.03.2005.00.00.421100">0</definedName>
    <definedName name="MOV.090.C.0.03.2005.00.00.4211100">0</definedName>
    <definedName name="MOV.090.C.0.03.2005.00.00.4212080">0</definedName>
    <definedName name="MOV.090.C.0.03.2005.00.00.4220260">0</definedName>
    <definedName name="MOV.090.C.0.03.2005.00.00.DGER003">-67683240.5299999</definedName>
    <definedName name="MOV.090.C.0.03.2005.00.00.DGER005">-9395330.51</definedName>
    <definedName name="MOV.090.C.0.03.2005.00.00.DGER007">-2984608.99</definedName>
    <definedName name="MOV.090.C.0.03.2005.00.00.DGER01">135995319.279999</definedName>
    <definedName name="MOV.090.C.0.03.2005.00.00.DGER015.CG4_AREA_ADM">-815765.11</definedName>
    <definedName name="MOV.090.C.0.03.2005.00.00.DGER015.CG4_AREA_COM">-86074.38</definedName>
    <definedName name="MOV.090.C.0.03.2005.00.00.DGER016">-8683279.14</definedName>
    <definedName name="MOV.090.C.0.03.2005.00.00.DGER026">-8438210.82</definedName>
    <definedName name="MOV.090.C.0.03.2005.00.00.DGER026.CG4_NIVEL3_CV">0</definedName>
    <definedName name="MOV.090.C.0.03.2005.00.00.DGER029">466464.2</definedName>
    <definedName name="MOV.090.C.0.03.2005.00.00.DGER030">-2840491.33</definedName>
    <definedName name="MOV.090.C.0.03.2005.00.00.DGER031">-2111617.3</definedName>
    <definedName name="MOV.090.C.0.03.2005.00.00.DGER032">0</definedName>
    <definedName name="MOV.090.C.0.03.2005.00.00.DGER034">0</definedName>
    <definedName name="MOV.090.C.0.03.2005.00.00.DGER036">98021.23</definedName>
    <definedName name="MOV.090.C.0.03.2005.00.00.DGER048">0</definedName>
    <definedName name="MOV.090.C.0.03.2005.00.00.DGER049">-5210845</definedName>
    <definedName name="MOV.090.C.0.03.2005.00.00.DGER050.CG4_AREA_ADM">-6614210.79</definedName>
    <definedName name="MOV.090.C.0.03.2005.00.00.DGER050.CG4_AREA_COM">-7178159.69</definedName>
    <definedName name="MOV.090.C.0.03.2005.00.00.DGER050.CG4_NIVEL3_CV">-4483434.26</definedName>
    <definedName name="MOV.090.C.0.03.2005.00.00.DGER051">-1515449.61</definedName>
    <definedName name="MOV.090.C.0.03.2005.00.00.DGER055">-9920686.46</definedName>
    <definedName name="MOV.090.C.0.03.2005.00.00.DGER056">1011251.1</definedName>
    <definedName name="MOV.090.C.0.03.2005.00.00.DGER057">-1592235.87</definedName>
    <definedName name="MOV.090.C.0.03.2005.00.00.DGER064">0</definedName>
    <definedName name="MOV.090.C.0.03.2005.00.00.DMOLSON05">-15757257.68</definedName>
    <definedName name="MOV.090.C.0.03.2005.00.00.DMOLSON06">-3294508.54</definedName>
    <definedName name="MOV.090.C.0.03.2005.00.00.DMOLSON08">-13792370.48</definedName>
    <definedName name="MOV.090.C.0.03.2005.00.00.DMOLSON08.CG4_AREA_ADM">-6614210.79</definedName>
    <definedName name="MOV.090.C.0.03.2005.00.00.DMOLSON08.CG4_AREA_COM">-7178159.69</definedName>
    <definedName name="MOV.090.C.0.03.2005.00.00.DMOLSON08.CG4_NIVEL3_26">-640132.57</definedName>
    <definedName name="MOV.090.C.0.03.2005.00.00.DMOLSON08.CG4_NIVEL3_27">-154688.87</definedName>
    <definedName name="MOV.090.C.0.03.2005.00.00.DMOLSON14">50160.62</definedName>
    <definedName name="MOV.090.C.0.03.2005.00.00.DMOLSON15">-34208.92</definedName>
    <definedName name="MOV.090.C.0.03.2005.00.00.DMOLSON16">4870.68</definedName>
    <definedName name="MOV.090.C.0.03.2005.00.00.DMOLSON27">-94550.55</definedName>
    <definedName name="MOV.090.C.0.03.2005.00.00.DMOLSON29">0</definedName>
    <definedName name="MOV.090.C.0.03.2005.00.00.DMOLSON30">0</definedName>
    <definedName name="MOV.090.C.0.03.2005.00.00.DMOLSON31">659627.44</definedName>
    <definedName name="MOV.090.C.0.03.2005.00.00.DRES025">0</definedName>
    <definedName name="MOV.090.C.0.03.2005.00.00.DRES25">0</definedName>
    <definedName name="MOV.090.C.0.03.2005.00.00.DRESPER">-18470697.1999999</definedName>
    <definedName name="MOV.090.C.0.04.0000.00.00.3214540">-118864.82</definedName>
    <definedName name="MOV.090.C.0.04.2002.00.00.311550">-4220205.7</definedName>
    <definedName name="MOV.090.C.0.04.2002.00.00.3214500.CG4_32999">-62279.29</definedName>
    <definedName name="MOV.090.C.0.04.2002.00.00.3214500.CG4_33999">-74431.19</definedName>
    <definedName name="MOV.090.C.0.04.2002.00.00.3214500.CG4_34999">-22407.15</definedName>
    <definedName name="MOV.090.C.0.04.2002.00.00.3214500.CG4_42999">-172552.5</definedName>
    <definedName name="MOV.090.C.0.04.2002.00.00.3214610">-26589</definedName>
    <definedName name="MOV.090.C.0.04.2002.00.00.3214680">-21255.15</definedName>
    <definedName name="MOV.090.C.0.04.2002.00.00.3214780">-34739.63</definedName>
    <definedName name="MOV.090.C.0.04.2002.00.00.3215040">0</definedName>
    <definedName name="MOV.090.C.0.04.2002.00.00.3215400">12460.14</definedName>
    <definedName name="MOV.090.C.0.04.2002.00.00.3215420">740</definedName>
    <definedName name="MOV.090.C.0.04.2002.00.00.321543">-1531923.59</definedName>
    <definedName name="MOV.090.C.0.04.2002.00.00.3215530">0</definedName>
    <definedName name="MOV.090.C.0.04.2002.00.00.321555">-3311364.79</definedName>
    <definedName name="MOV.090.C.0.04.2002.00.00.321567">-1077251.05</definedName>
    <definedName name="MOV.090.C.0.04.2002.00.00.321577">-718552.89</definedName>
    <definedName name="MOV.090.C.0.04.2002.00.00.321582">0</definedName>
    <definedName name="MOV.090.C.0.04.2002.00.00.321800">-10632.71</definedName>
    <definedName name="MOV.090.C.0.04.2002.00.00.3218500">-172675</definedName>
    <definedName name="MOV.090.C.0.04.2002.00.00.3220640">0</definedName>
    <definedName name="MOV.090.C.0.04.2002.00.00.421100">-3577486.55</definedName>
    <definedName name="MOV.090.C.0.04.2002.00.00.DBREAK01">-3513681.89</definedName>
    <definedName name="MOV.090.C.0.04.2002.00.00.DBREAK02">-53139.85</definedName>
    <definedName name="MOV.090.C.0.04.2002.00.00.DBREAK03">-170.51</definedName>
    <definedName name="MOV.090.C.0.04.2002.00.00.DBREAK04">-2588609.73</definedName>
    <definedName name="MOV.090.C.0.04.2002.00.00.DBREAK05">-211148.88</definedName>
    <definedName name="MOV.090.C.0.04.2002.00.00.DBREAK06">-343879.17</definedName>
    <definedName name="MOV.090.C.0.04.2002.00.00.DBREAK07">-158.04</definedName>
    <definedName name="MOV.090.C.0.04.2002.00.00.DBREAK08">-7342.22</definedName>
    <definedName name="MOV.090.C.0.04.2002.00.00.DBREAK09">-115611.92</definedName>
    <definedName name="MOV.090.C.0.04.2002.00.00.DBREAK10">-52484.17</definedName>
    <definedName name="MOV.090.C.0.04.2002.00.00.DBREAK11">-978172.76</definedName>
    <definedName name="MOV.090.C.0.04.2002.00.00.DBREAK12">-464330.52</definedName>
    <definedName name="MOV.090.C.0.04.2002.00.00.DBREAK13">-318938.88</definedName>
    <definedName name="MOV.090.C.0.04.2002.00.00.DBREAK14">-1286612</definedName>
    <definedName name="MOV.090.C.0.04.2002.00.00.DBREAK15">-78899.44</definedName>
    <definedName name="MOV.090.C.0.04.2002.00.00.DBREAK16">-555413.3</definedName>
    <definedName name="MOV.090.C.0.04.2002.00.00.DBREAK17">-284901.87</definedName>
    <definedName name="MOV.090.C.0.04.2002.00.00.DBREAK18">-62647.68</definedName>
    <definedName name="MOV.090.C.0.04.2002.00.00.DBREAK19">-35002.92</definedName>
    <definedName name="MOV.090.C.0.04.2002.00.00.DBREAK20">-78150.25</definedName>
    <definedName name="MOV.090.C.0.04.2002.00.00.DBREAK21">-76747.26</definedName>
    <definedName name="MOV.090.C.0.04.2002.00.00.DBREAK22">-409425.42</definedName>
    <definedName name="MOV.090.C.0.04.2002.00.00.DBREAK23">-24805.82</definedName>
    <definedName name="MOV.090.C.0.04.2002.00.00.DBREAK24">-237114.98</definedName>
    <definedName name="MOV.090.C.0.04.2002.00.00.DBREAK25">-146116.51</definedName>
    <definedName name="MOV.090.C.0.04.2002.00.00.DBREAK26">-34690.66</definedName>
    <definedName name="MOV.090.C.0.04.2002.00.00.DBREAK27">-75613.46</definedName>
    <definedName name="MOV.090.C.0.04.2002.00.00.DBREAK28">-89453.85</definedName>
    <definedName name="MOV.090.C.0.04.2002.00.00.DBREAK29">-76846.02</definedName>
    <definedName name="MOV.090.C.0.04.2002.00.00.DBREAK30">-33403.26</definedName>
    <definedName name="MOV.090.C.0.04.2002.00.00.DBREAK31">-38789.37</definedName>
    <definedName name="MOV.090.C.0.04.2002.00.00.DBREAK32">-28611.57</definedName>
    <definedName name="MOV.090.C.0.04.2002.00.00.DBREAK33">-5640139.58</definedName>
    <definedName name="MOV.090.C.0.04.2002.00.00.DBREAK34">-3341439.36</definedName>
    <definedName name="MOV.090.C.0.04.2002.00.00.DBREAK36">-50258.36</definedName>
    <definedName name="MOV.090.C.0.04.2002.00.00.DBREAK37">-153782.76</definedName>
    <definedName name="MOV.090.C.0.04.2002.00.00.DBREAK38">-13779.67</definedName>
    <definedName name="MOV.090.C.0.04.2002.00.00.DBREAK39">-154041.74</definedName>
    <definedName name="MOV.090.C.0.04.2002.00.00.DGER003">-57466573.6</definedName>
    <definedName name="MOV.090.C.0.04.2002.00.00.DGER005">-11197606.59</definedName>
    <definedName name="MOV.090.C.0.04.2002.00.00.DGER006">-20755520.91</definedName>
    <definedName name="MOV.090.C.0.04.2002.00.00.DGER007">-2697894.71</definedName>
    <definedName name="MOV.090.C.0.04.2002.00.00.DGER01">123369667.83</definedName>
    <definedName name="MOV.090.C.0.04.2002.00.00.DGER015.CG4_AREA_ADM">-1350534.4</definedName>
    <definedName name="MOV.090.C.0.04.2002.00.00.DGER015.CG4_AREA_COM">-69399.48</definedName>
    <definedName name="MOV.090.C.0.04.2002.00.00.DGER016">814964.65</definedName>
    <definedName name="MOV.090.C.0.04.2002.00.00.DGER026">-9980531.68</definedName>
    <definedName name="MOV.090.C.0.04.2002.00.00.DGER029">1143359.28</definedName>
    <definedName name="MOV.090.C.0.04.2002.00.00.DGER030">-381839.13</definedName>
    <definedName name="MOV.090.C.0.04.2002.00.00.DGER031">3218622.98</definedName>
    <definedName name="MOV.090.C.0.04.2002.00.00.DGER032">72447.03</definedName>
    <definedName name="MOV.090.C.0.04.2002.00.00.DGER034">-283832.81</definedName>
    <definedName name="MOV.090.C.0.04.2002.00.00.DGER036">12460.14</definedName>
    <definedName name="MOV.090.C.0.04.2002.00.00.DGER048">328665.51</definedName>
    <definedName name="MOV.090.C.0.04.2002.00.00.DGER049">-4743493.45</definedName>
    <definedName name="MOV.090.C.0.04.2002.00.00.DGER050.CG4_AREA_ADM">-6029548.04</definedName>
    <definedName name="MOV.090.C.0.04.2002.00.00.DGER050.CG4_AREA_COM">-2166366.71</definedName>
    <definedName name="MOV.090.C.0.04.2002.00.00.DGER051">-3284065.59</definedName>
    <definedName name="MOV.090.C.0.04.2002.00.00.DGER054">-1902805.42</definedName>
    <definedName name="MOV.090.C.0.04.2002.00.00.DGER055">-1760007.11</definedName>
    <definedName name="MOV.090.C.0.04.2002.00.00.DGER056">63831.41</definedName>
    <definedName name="MOV.090.C.0.04.2002.00.00.DGER057">-1115668.44</definedName>
    <definedName name="MOV.090.C.0.04.2002.00.00.DGER064">0</definedName>
    <definedName name="MOV.090.C.0.04.2002.00.00.DMOLSON27">-88876.61</definedName>
    <definedName name="MOV.090.C.0.04.2002.00.00.DRESPER">-2144692.69</definedName>
    <definedName name="MOV.090.C.0.04.2003.00.00">0</definedName>
    <definedName name="MOV.090.C.0.04.2003.00.00.3110030">-261885.44</definedName>
    <definedName name="MOV.090.C.0.04.2003.00.00.311550">-4361954.53</definedName>
    <definedName name="MOV.090.C.0.04.2003.00.00.321250">-1661799.25</definedName>
    <definedName name="MOV.090.C.0.04.2003.00.00.321450.CG4_NIVEL3_CV">0</definedName>
    <definedName name="MOV.090.C.0.04.2003.00.00.3214500.CG4_32999">-61685.57</definedName>
    <definedName name="MOV.090.C.0.04.2003.00.00.3214500.CG4_33999">-74368.51</definedName>
    <definedName name="MOV.090.C.0.04.2003.00.00.3214500.CG4_34999">-25486.61</definedName>
    <definedName name="MOV.090.C.0.04.2003.00.00.3214500.CG4_42999">-164603.98</definedName>
    <definedName name="MOV.090.C.0.04.2003.00.00.3214540">-292265.27</definedName>
    <definedName name="MOV.090.C.0.04.2003.00.00.3215100">0</definedName>
    <definedName name="MOV.090.C.0.04.2003.00.00.3215420">0</definedName>
    <definedName name="MOV.090.C.0.04.2003.00.00.421100">26234233.92</definedName>
    <definedName name="MOV.090.C.0.04.2003.00.00.4211100">-28958.15</definedName>
    <definedName name="MOV.090.C.0.04.2003.00.00.4212080">0</definedName>
    <definedName name="MOV.090.C.0.04.2003.00.00.DGER003">-38909974.35</definedName>
    <definedName name="MOV.090.C.0.04.2003.00.00.DGER005">-7807134.85</definedName>
    <definedName name="MOV.090.C.0.04.2003.00.00.DGER006">-13091385.46</definedName>
    <definedName name="MOV.090.C.0.04.2003.00.00.DGER007">-3370282.71</definedName>
    <definedName name="MOV.090.C.0.04.2003.00.00.DGER01">79978002.47</definedName>
    <definedName name="MOV.090.C.0.04.2003.00.00.DGER015.CG4_AREA_ADM">-1489620.6</definedName>
    <definedName name="MOV.090.C.0.04.2003.00.00.DGER015.CG4_AREA_COM">-58672.98</definedName>
    <definedName name="MOV.090.C.0.04.2003.00.00.DGER015.CG4_NIVEL3_CV">0</definedName>
    <definedName name="MOV.090.C.0.04.2003.00.00.DGER016">-414835.1</definedName>
    <definedName name="MOV.090.C.0.04.2003.00.00.DGER026">-7756381.41</definedName>
    <definedName name="MOV.090.C.0.04.2003.00.00.DGER026.CG4_NIVEL3_CV">0</definedName>
    <definedName name="MOV.090.C.0.04.2003.00.00.DGER029">116889.96</definedName>
    <definedName name="MOV.090.C.0.04.2003.00.00.DGER030">-1898158.73</definedName>
    <definedName name="MOV.090.C.0.04.2003.00.00.DGER031">-952394.65</definedName>
    <definedName name="MOV.090.C.0.04.2003.00.00.DGER032">1153.96</definedName>
    <definedName name="MOV.090.C.0.04.2003.00.00.DGER034">14137266.21</definedName>
    <definedName name="MOV.090.C.0.04.2003.00.00.DGER036">39031.14</definedName>
    <definedName name="MOV.090.C.0.04.2003.00.00.DGER048">4276188.69</definedName>
    <definedName name="MOV.090.C.0.04.2003.00.00.DGER049">-5242971.94</definedName>
    <definedName name="MOV.090.C.0.04.2003.00.00.DGER050">-9318820.64</definedName>
    <definedName name="MOV.090.C.0.04.2003.00.00.DGER050.CG4">-9318820.64</definedName>
    <definedName name="MOV.090.C.0.04.2003.00.00.DGER050.CG4_AREA_ADM">-5664042.48</definedName>
    <definedName name="MOV.090.C.0.04.2003.00.00.DGER050.CG4_AREA_COM">-2669494.18</definedName>
    <definedName name="MOV.090.C.0.04.2003.00.00.DGER050.CG4_NIVEL3_CV">0</definedName>
    <definedName name="MOV.090.C.0.04.2003.00.00.DGER051">-1084987.75</definedName>
    <definedName name="MOV.090.C.0.04.2003.00.00.DGER055">-5767331.47</definedName>
    <definedName name="MOV.090.C.0.04.2003.00.00.DGER056">280505.81</definedName>
    <definedName name="MOV.090.C.0.04.2003.00.00.DGER057">405742.53</definedName>
    <definedName name="MOV.090.C.0.04.2003.00.00.DGER064">-7665584.56</definedName>
    <definedName name="MOV.090.C.0.04.2003.00.00.DMOLSON05">-11200677.01</definedName>
    <definedName name="MOV.090.C.0.04.2003.00.00.DMOLSON06">-1661799.25</definedName>
    <definedName name="MOV.090.C.0.04.2003.00.00.DMOLSON08.CG4_AREA_COM">-2669494.18</definedName>
    <definedName name="MOV.090.C.0.04.2003.00.00.DMOLSON08.CG4_NIVEL3_26">-744682.72</definedName>
    <definedName name="MOV.090.C.0.04.2003.00.00.DMOLSON08.CG4_NIVEL3_27">-90629.95</definedName>
    <definedName name="MOV.090.C.0.04.2003.00.00.DMOLSON14">-143650.02</definedName>
    <definedName name="MOV.090.C.0.04.2003.00.00.DMOLSON15">197571.36</definedName>
    <definedName name="MOV.090.C.0.04.2003.00.00.DMOLSON16">1153.96</definedName>
    <definedName name="MOV.090.C.0.04.2003.00.00.DMOLSON27">-26410583.54</definedName>
    <definedName name="MOV.090.C.0.04.2003.00.00.DMOLSON29">3196286.04</definedName>
    <definedName name="MOV.090.C.0.04.2003.00.00.DMOLSON30">-1890708.45</definedName>
    <definedName name="MOV.090.C.0.04.2003.00.00.DMOLSON31">938162.36</definedName>
    <definedName name="MOV.090.C.0.04.2003.00.00.DRESPER">-11506376.58</definedName>
    <definedName name="MOV.090.C.0.04.2004.00.00.3110030">-593625.27</definedName>
    <definedName name="MOV.090.C.0.04.2004.00.00.311550">-1486495.91</definedName>
    <definedName name="MOV.090.C.0.04.2004.00.00.321450.CG4_NIVEL3_CV">-318720.08</definedName>
    <definedName name="MOV.090.C.0.04.2004.00.00.3214500.CG4_32999">0</definedName>
    <definedName name="MOV.090.C.0.04.2004.00.00.3214500.CG4_33999">0</definedName>
    <definedName name="MOV.090.C.0.04.2004.00.00.3214500.CG4_34999">0</definedName>
    <definedName name="MOV.090.C.0.04.2004.00.00.3214500.CG4_42999">-88004.7</definedName>
    <definedName name="MOV.090.C.0.04.2004.00.00.3214540">-531258.35</definedName>
    <definedName name="MOV.090.C.0.04.2004.00.00.3214570">-54140.29000002</definedName>
    <definedName name="MOV.090.C.0.04.2004.00.00.3214570.CG4_NIVEL3_CV">-54140.29</definedName>
    <definedName name="MOV.090.C.0.04.2004.00.00.3215100">-1151719.03</definedName>
    <definedName name="MOV.090.C.0.04.2004.00.00.3215420">0</definedName>
    <definedName name="MOV.090.C.0.04.2004.00.00.421100">338956.6</definedName>
    <definedName name="MOV.090.C.0.04.2004.00.00.4211100">0</definedName>
    <definedName name="MOV.090.C.0.04.2004.00.00.4212080">0</definedName>
    <definedName name="MOV.090.C.0.04.2004.00.00.DGER003">-55234231.54</definedName>
    <definedName name="MOV.090.C.0.04.2004.00.00.DGER005">-10729740.89</definedName>
    <definedName name="MOV.090.C.0.04.2004.00.00.DGER007">-3222740.36</definedName>
    <definedName name="MOV.090.C.0.04.2004.00.00.DGER01">110399717.58</definedName>
    <definedName name="MOV.090.C.0.04.2004.00.00.DGER015.CG4_AREA_ADM">-970668.76</definedName>
    <definedName name="MOV.090.C.0.04.2004.00.00.DGER015.CG4_AREA_COM">-343401.11</definedName>
    <definedName name="MOV.090.C.0.04.2004.00.00.DGER016">711666.24</definedName>
    <definedName name="MOV.090.C.0.04.2004.00.00.DGER026">-8277271.67</definedName>
    <definedName name="MOV.090.C.0.04.2004.00.00.DGER026.CG4_NIVEL3_CV">-1287992.29</definedName>
    <definedName name="MOV.090.C.0.04.2004.00.00.DGER029">136487.65</definedName>
    <definedName name="MOV.090.C.0.04.2004.00.00.DGER030">-2471212.01</definedName>
    <definedName name="MOV.090.C.0.04.2004.00.00.DGER031">-1330464.36</definedName>
    <definedName name="MOV.090.C.0.04.2004.00.00.DGER032">38688.52</definedName>
    <definedName name="MOV.090.C.0.04.2004.00.00.DGER034">6339243.82</definedName>
    <definedName name="MOV.090.C.0.04.2004.00.00.DGER036">170210.69</definedName>
    <definedName name="MOV.090.C.0.04.2004.00.00.DGER048">-64488.86</definedName>
    <definedName name="MOV.090.C.0.04.2004.00.00.DGER049">-5189591.61</definedName>
    <definedName name="MOV.090.C.0.04.2004.00.00.DGER050">-19436904.3299999</definedName>
    <definedName name="MOV.090.C.0.04.2004.00.00.DGER050.CG4_AREA_ADM">-7768672.63</definedName>
    <definedName name="MOV.090.C.0.04.2004.00.00.DGER050.CG4_AREA_COM">-11668231.7</definedName>
    <definedName name="MOV.090.C.0.04.2004.00.00.DGER050.CG4_NIVEL3_CV">-8224111.8</definedName>
    <definedName name="MOV.090.C.0.04.2004.00.00.DGER051">-1741110.92</definedName>
    <definedName name="MOV.090.C.0.04.2004.00.00.DGER055">-2056692.26</definedName>
    <definedName name="MOV.090.C.0.04.2004.00.00.DGER056">14546.34</definedName>
    <definedName name="MOV.090.C.0.04.2004.00.00.DGER057">82752.12</definedName>
    <definedName name="MOV.090.C.0.04.2004.00.00.DGER064">0</definedName>
    <definedName name="MOV.090.C.0.04.2004.00.00.DMOLSON05">-20969453.34</definedName>
    <definedName name="MOV.090.C.0.04.2004.00.00.DMOLSON06">-2495435.87</definedName>
    <definedName name="MOV.090.C.0.04.2004.00.00.DMOLSON08">-19436904.3299999</definedName>
    <definedName name="MOV.090.C.0.04.2004.00.00.DMOLSON08.CG4_AREA_ADM">-7768672.63</definedName>
    <definedName name="MOV.090.C.0.04.2004.00.00.DMOLSON08.CG4_AREA_COM">-11668231.7</definedName>
    <definedName name="MOV.090.C.0.04.2004.00.00.DMOLSON08.CG4_NIVEL3_26">-718226.22</definedName>
    <definedName name="MOV.090.C.0.04.2004.00.00.DMOLSON08.CG4_NIVEL3_27">-138625.33</definedName>
    <definedName name="MOV.090.C.0.04.2004.00.00.DMOLSON14">-19573.2</definedName>
    <definedName name="MOV.090.C.0.04.2004.00.00.DMOLSON15">3253.43</definedName>
    <definedName name="MOV.090.C.0.04.2004.00.00.DMOLSON16">38688.52</definedName>
    <definedName name="MOV.090.C.0.04.2004.00.00.DMOLSON27">-312500</definedName>
    <definedName name="MOV.090.C.0.04.2004.00.00.DMOLSON29">212858.12</definedName>
    <definedName name="MOV.090.C.0.04.2004.00.00.DMOLSON30">-296281.26</definedName>
    <definedName name="MOV.090.C.0.04.2004.00.00.DMOLSON31">293869.86</definedName>
    <definedName name="MOV.090.C.0.04.2004.00.00.DRESPER">-20118121.08</definedName>
    <definedName name="MOV.090.C.0.04.2005.00.00.3110030">0</definedName>
    <definedName name="MOV.090.C.0.04.2005.00.00.311550">0</definedName>
    <definedName name="MOV.090.C.0.04.2005.00.00.321450.CG4_NIVEL3_CV">0</definedName>
    <definedName name="MOV.090.C.0.04.2005.00.00.3214500.CG4_32999">0</definedName>
    <definedName name="MOV.090.C.0.04.2005.00.00.3214500.CG4_33999">0</definedName>
    <definedName name="MOV.090.C.0.04.2005.00.00.3214500.CG4_34999">0</definedName>
    <definedName name="MOV.090.C.0.04.2005.00.00.3214500.CG4_42999">0</definedName>
    <definedName name="MOV.090.C.0.04.2005.00.00.3214540">0</definedName>
    <definedName name="MOV.090.C.0.04.2005.00.00.3214570.CG4_NIVEL3_CV">0</definedName>
    <definedName name="MOV.090.C.0.04.2005.00.00.3215100">0</definedName>
    <definedName name="MOV.090.C.0.04.2005.00.00.3215420">0</definedName>
    <definedName name="MOV.090.C.0.04.2005.00.00.3215990.CG4_NIVEL4_AS">0</definedName>
    <definedName name="MOV.090.C.0.04.2005.00.00.421100">0</definedName>
    <definedName name="MOV.090.C.0.04.2005.00.00.4211100">0</definedName>
    <definedName name="MOV.090.C.0.04.2005.00.00.4212080">0</definedName>
    <definedName name="MOV.090.C.0.04.2005.00.00.DGER003">0</definedName>
    <definedName name="MOV.090.C.0.04.2005.00.00.DGER005">0</definedName>
    <definedName name="MOV.090.C.0.04.2005.00.00.DGER007">0</definedName>
    <definedName name="MOV.090.C.0.04.2005.00.00.DGER01">0</definedName>
    <definedName name="MOV.090.C.0.04.2005.00.00.DGER015.CG4_AREA_ADM">0</definedName>
    <definedName name="MOV.090.C.0.04.2005.00.00.DGER015.CG4_AREA_COM">0</definedName>
    <definedName name="MOV.090.C.0.04.2005.00.00.DGER016">0</definedName>
    <definedName name="MOV.090.C.0.04.2005.00.00.DGER026">0</definedName>
    <definedName name="MOV.090.C.0.04.2005.00.00.DGER026.CG4_NIVEL3_CV">0</definedName>
    <definedName name="MOV.090.C.0.04.2005.00.00.DGER029">0</definedName>
    <definedName name="MOV.090.C.0.04.2005.00.00.DGER030">0</definedName>
    <definedName name="MOV.090.C.0.04.2005.00.00.DGER031">0</definedName>
    <definedName name="MOV.090.C.0.04.2005.00.00.DGER034">0</definedName>
    <definedName name="MOV.090.C.0.04.2005.00.00.DGER036">0</definedName>
    <definedName name="MOV.090.C.0.04.2005.00.00.DGER049">0</definedName>
    <definedName name="MOV.090.C.0.04.2005.00.00.DGER050.CG4_AREA_ADM">0</definedName>
    <definedName name="MOV.090.C.0.04.2005.00.00.DGER050.CG4_AREA_COM">0</definedName>
    <definedName name="MOV.090.C.0.04.2005.00.00.DGER050.CG4_NIVEL3_CV">0</definedName>
    <definedName name="MOV.090.C.0.04.2005.00.00.DGER051">0</definedName>
    <definedName name="MOV.090.C.0.04.2005.00.00.DGER055">0</definedName>
    <definedName name="MOV.090.C.0.04.2005.00.00.DGER056">0</definedName>
    <definedName name="MOV.090.C.0.04.2005.00.00.DGER057">0</definedName>
    <definedName name="MOV.090.C.0.04.2005.00.00.DGER064">0</definedName>
    <definedName name="MOV.090.C.0.04.2005.00.00.DMOLSON05">0</definedName>
    <definedName name="MOV.090.C.0.04.2005.00.00.DMOLSON06">0</definedName>
    <definedName name="MOV.090.C.0.04.2005.00.00.DMOLSON08">0</definedName>
    <definedName name="MOV.090.C.0.04.2005.00.00.DMOLSON08.CG4_AREA_ADM">0</definedName>
    <definedName name="MOV.090.C.0.04.2005.00.00.DMOLSON08.CG4_AREA_COM">0</definedName>
    <definedName name="MOV.090.C.0.04.2005.00.00.DMOLSON08.CG4_NIVEL3_26">0</definedName>
    <definedName name="MOV.090.C.0.04.2005.00.00.DMOLSON08.CG4_NIVEL3_27">0</definedName>
    <definedName name="MOV.090.C.0.04.2005.00.00.DMOLSON14">0</definedName>
    <definedName name="MOV.090.C.0.04.2005.00.00.DMOLSON15">0</definedName>
    <definedName name="MOV.090.C.0.04.2005.00.00.DMOLSON16">0</definedName>
    <definedName name="MOV.090.C.0.04.2005.00.00.DMOLSON27">0</definedName>
    <definedName name="MOV.090.C.0.04.2005.00.00.DMOLSON29">0</definedName>
    <definedName name="MOV.090.C.0.04.2005.00.00.DMOLSON30">0</definedName>
    <definedName name="MOV.090.C.0.04.2005.00.00.DMOLSON31">0</definedName>
    <definedName name="MOV.090.C.0.04.2005.00.00.DRESPER">0</definedName>
    <definedName name="MOV.090.C.0.05.2002.00.00.311550">-4219192.66</definedName>
    <definedName name="MOV.090.C.0.05.2002.00.00.3214500.CG4_32999">-62279.29</definedName>
    <definedName name="MOV.090.C.0.05.2002.00.00.3214500.CG4_33999">-74431.19</definedName>
    <definedName name="MOV.090.C.0.05.2002.00.00.3214500.CG4_34999">-22407.15</definedName>
    <definedName name="MOV.090.C.0.05.2002.00.00.3214500.CG4_42999">-172552.5</definedName>
    <definedName name="MOV.090.C.0.05.2002.00.00.3215420">0</definedName>
    <definedName name="MOV.090.C.0.05.2002.00.00.3220640">0</definedName>
    <definedName name="MOV.090.C.0.05.2002.00.00.421100">-2253515.31</definedName>
    <definedName name="MOV.090.C.0.05.2002.00.00.DGER003">-50660920.78</definedName>
    <definedName name="MOV.090.C.0.05.2002.00.00.DGER005">-10388648</definedName>
    <definedName name="MOV.090.C.0.05.2002.00.00.DGER006">-20047048.26</definedName>
    <definedName name="MOV.090.C.0.05.2002.00.00.DGER007">-2640378.97</definedName>
    <definedName name="MOV.090.C.0.05.2002.00.00.DGER01">109591914.86</definedName>
    <definedName name="MOV.090.C.0.05.2002.00.00.DGER015.CG4_AREA_ADM">-1349237.35</definedName>
    <definedName name="MOV.090.C.0.05.2002.00.00.DGER015.CG4_AREA_COM">-70782.94</definedName>
    <definedName name="MOV.090.C.0.05.2002.00.00.DGER016">3536889.82</definedName>
    <definedName name="MOV.090.C.0.05.2002.00.00.DGER026">-10572889.93</definedName>
    <definedName name="MOV.090.C.0.05.2002.00.00.DGER029">245335.25</definedName>
    <definedName name="MOV.090.C.0.05.2002.00.00.DGER030">-623828.79</definedName>
    <definedName name="MOV.090.C.0.05.2002.00.00.DGER031">-513061.09</definedName>
    <definedName name="MOV.090.C.0.05.2002.00.00.DGER032">99713.59</definedName>
    <definedName name="MOV.090.C.0.05.2002.00.00.DGER034">-119032.88</definedName>
    <definedName name="MOV.090.C.0.05.2002.00.00.DGER036">-25059.59</definedName>
    <definedName name="MOV.090.C.0.05.2002.00.00.DGER048">81924.37</definedName>
    <definedName name="MOV.090.C.0.05.2002.00.00.DGER049">-5297602.32</definedName>
    <definedName name="MOV.090.C.0.05.2002.00.00.DGER050.CG4_AREA_ADM">-6441971.56</definedName>
    <definedName name="MOV.090.C.0.05.2002.00.00.DGER050.CG4_AREA_COM">-2099297.31</definedName>
    <definedName name="MOV.090.C.0.05.2002.00.00.DGER051">-3889612.88</definedName>
    <definedName name="MOV.090.C.0.05.2002.00.00.DGER054">-1344667.72</definedName>
    <definedName name="MOV.090.C.0.05.2002.00.00.DGER055">-6473349.98</definedName>
    <definedName name="MOV.090.C.0.05.2002.00.00.DGER056">5117374.33</definedName>
    <definedName name="MOV.090.C.0.05.2002.00.00.DGER057">-552615.24</definedName>
    <definedName name="MOV.090.C.0.05.2002.00.00.DGER064">-44053098.03</definedName>
    <definedName name="MOV.090.C.0.05.2002.00.00.DMOLSON27">-362455.43</definedName>
    <definedName name="MOV.090.C.0.05.2002.00.00.DRESPER">-53980447.07</definedName>
    <definedName name="MOV.090.C.0.05.2003.00.00">0</definedName>
    <definedName name="MOV.090.C.0.05.2003.00.00.3110030">-377047.29</definedName>
    <definedName name="MOV.090.C.0.05.2003.00.00.311550">-4549071.48</definedName>
    <definedName name="MOV.090.C.0.05.2003.00.00.321250">-2459472.45</definedName>
    <definedName name="MOV.090.C.0.05.2003.00.00.321450.CG4_NIVEL3_CV">0</definedName>
    <definedName name="MOV.090.C.0.05.2003.00.00.3214500.CG4_32999">-61770.38</definedName>
    <definedName name="MOV.090.C.0.05.2003.00.00.3214500.CG4_33999">-74368.86</definedName>
    <definedName name="MOV.090.C.0.05.2003.00.00.3214500.CG4_34999">-25490.81</definedName>
    <definedName name="MOV.090.C.0.05.2003.00.00.3214500.CG4_42999">-164603.98</definedName>
    <definedName name="MOV.090.C.0.05.2003.00.00.3214540">-307950.25</definedName>
    <definedName name="MOV.090.C.0.05.2003.00.00.3215100">0</definedName>
    <definedName name="MOV.090.C.0.05.2003.00.00.3215420">0</definedName>
    <definedName name="MOV.090.C.0.05.2003.00.00.421100">-873666.05</definedName>
    <definedName name="MOV.090.C.0.05.2003.00.00.4211100">-64315.21</definedName>
    <definedName name="MOV.090.C.0.05.2003.00.00.4212080">0</definedName>
    <definedName name="MOV.090.C.0.05.2003.00.00.DGER003">-52202053.96</definedName>
    <definedName name="MOV.090.C.0.05.2003.00.00.DGER005">-10699261.32</definedName>
    <definedName name="MOV.090.C.0.05.2003.00.00.DGER006">-22980391.04</definedName>
    <definedName name="MOV.090.C.0.05.2003.00.00.DGER007">-2458517.31</definedName>
    <definedName name="MOV.090.C.0.05.2003.00.00.DGER01">110696864.51</definedName>
    <definedName name="MOV.090.C.0.05.2003.00.00.DGER015.CG4_AREA_ADM">-1447858.82</definedName>
    <definedName name="MOV.090.C.0.05.2003.00.00.DGER015.CG4_AREA_COM">-60942.97</definedName>
    <definedName name="MOV.090.C.0.05.2003.00.00.DGER015.CG4_NIVEL3_CV">0</definedName>
    <definedName name="MOV.090.C.0.05.2003.00.00.DGER016">-4116459.61999999</definedName>
    <definedName name="MOV.090.C.0.05.2003.00.00.DGER026">-9624742.65</definedName>
    <definedName name="MOV.090.C.0.05.2003.00.00.DGER026.CG4_NIVEL3_CV">0</definedName>
    <definedName name="MOV.090.C.0.05.2003.00.00.DGER029">149155.27</definedName>
    <definedName name="MOV.090.C.0.05.2003.00.00.DGER030">-2513173.47</definedName>
    <definedName name="MOV.090.C.0.05.2003.00.00.DGER031">-1260897.03</definedName>
    <definedName name="MOV.090.C.0.05.2003.00.00.DGER032">868154.19</definedName>
    <definedName name="MOV.090.C.0.05.2003.00.00.DGER034">6584727.54</definedName>
    <definedName name="MOV.090.C.0.05.2003.00.00.DGER036">41894.36</definedName>
    <definedName name="MOV.090.C.0.05.2003.00.00.DGER048">971211.71</definedName>
    <definedName name="MOV.090.C.0.05.2003.00.00.DGER049">-4310037.45</definedName>
    <definedName name="MOV.090.C.0.05.2003.00.00.DGER050">-9912668.38</definedName>
    <definedName name="MOV.090.C.0.05.2003.00.00.DGER050.CG4_AREA_ADM">-7329904.61</definedName>
    <definedName name="MOV.090.C.0.05.2003.00.00.DGER050.CG4_AREA_COM">-2650389.08</definedName>
    <definedName name="MOV.090.C.0.05.2003.00.00.DGER050.CG4_NIVEL3_CV">0</definedName>
    <definedName name="MOV.090.C.0.05.2003.00.00.DGER051">-2071718.56</definedName>
    <definedName name="MOV.090.C.0.05.2003.00.00.DGER055">-2811762.92</definedName>
    <definedName name="MOV.090.C.0.05.2003.00.00.DGER056">239322.35</definedName>
    <definedName name="MOV.090.C.0.05.2003.00.00.DGER057">-797839.59</definedName>
    <definedName name="MOV.090.C.0.05.2003.00.00.DGER064">-7665584.56</definedName>
    <definedName name="MOV.090.C.0.05.2003.00.00.DMOLSON05">-20865737.78</definedName>
    <definedName name="MOV.090.C.0.05.2003.00.00.DMOLSON06">-2463363.46</definedName>
    <definedName name="MOV.090.C.0.05.2003.00.00.DMOLSON08.CG4_AREA_COM">-2650389.08</definedName>
    <definedName name="MOV.090.C.0.05.2003.00.00.DMOLSON08.CG4_NIVEL3_26">-515552.17</definedName>
    <definedName name="MOV.090.C.0.05.2003.00.00.DMOLSON08.CG4_NIVEL3_27">-74161.82</definedName>
    <definedName name="MOV.090.C.0.05.2003.00.00.DMOLSON14">14044.81</definedName>
    <definedName name="MOV.090.C.0.05.2003.00.00.DMOLSON15">52026.18</definedName>
    <definedName name="MOV.090.C.0.05.2003.00.00.DMOLSON16">868154.19</definedName>
    <definedName name="MOV.090.C.0.05.2003.00.00.DMOLSON27">0</definedName>
    <definedName name="MOV.090.C.0.05.2003.00.00.DMOLSON29">-2609.1</definedName>
    <definedName name="MOV.090.C.0.05.2003.00.00.DMOLSON30">-2114653.26</definedName>
    <definedName name="MOV.090.C.0.05.2003.00.00.DMOLSON31">921794.63</definedName>
    <definedName name="MOV.090.C.0.05.2003.00.00.DRESPER">-24007258.75</definedName>
    <definedName name="MOV.090.C.0.05.2004.00.00.3110030">-592342.79</definedName>
    <definedName name="MOV.090.C.0.05.2004.00.00.311550">-1614588.06</definedName>
    <definedName name="MOV.090.C.0.05.2004.00.00.321450.CG4_NIVEL3_CV">-663888.23</definedName>
    <definedName name="MOV.090.C.0.05.2004.00.00.3214500.CG4_32999">0</definedName>
    <definedName name="MOV.090.C.0.05.2004.00.00.3214500.CG4_33999">0</definedName>
    <definedName name="MOV.090.C.0.05.2004.00.00.3214500.CG4_34999">0</definedName>
    <definedName name="MOV.090.C.0.05.2004.00.00.3214500.CG4_42999">-287034.24</definedName>
    <definedName name="MOV.090.C.0.05.2004.00.00.3214540">-533134.03</definedName>
    <definedName name="MOV.090.C.0.05.2004.00.00.3214570">-133103.92000008</definedName>
    <definedName name="MOV.090.C.0.05.2004.00.00.3214570.CG4_NIVEL3_CV">-133103.92</definedName>
    <definedName name="MOV.090.C.0.05.2004.00.00.3215100">-1580136</definedName>
    <definedName name="MOV.090.C.0.05.2004.00.00.3215420">0</definedName>
    <definedName name="MOV.090.C.0.05.2004.00.00.421100">-25611.71</definedName>
    <definedName name="MOV.090.C.0.05.2004.00.00.4211100">0</definedName>
    <definedName name="MOV.090.C.0.05.2004.00.00.4212080">0</definedName>
    <definedName name="MOV.090.C.0.05.2004.00.00.DGER003">-58833845.16</definedName>
    <definedName name="MOV.090.C.0.05.2004.00.00.DGER005">-11449197.91</definedName>
    <definedName name="MOV.090.C.0.05.2004.00.00.DGER007">-3310522.87</definedName>
    <definedName name="MOV.090.C.0.05.2004.00.00.DGER01">119205236.16</definedName>
    <definedName name="MOV.090.C.0.05.2004.00.00.DGER015.CG4_AREA_ADM">-1292000.38</definedName>
    <definedName name="MOV.090.C.0.05.2004.00.00.DGER015.CG4_AREA_COM">-642063.09</definedName>
    <definedName name="MOV.090.C.0.05.2004.00.00.DGER016">-1553046.65999999</definedName>
    <definedName name="MOV.090.C.0.05.2004.00.00.DGER026">-15963970.52</definedName>
    <definedName name="MOV.090.C.0.05.2004.00.00.DGER026.CG4_NIVEL3_CV">-1704037.93</definedName>
    <definedName name="MOV.090.C.0.05.2004.00.00.DGER029">718191.58</definedName>
    <definedName name="MOV.090.C.0.05.2004.00.00.DGER030">-2867484.48</definedName>
    <definedName name="MOV.090.C.0.05.2004.00.00.DGER031">-1184373.51</definedName>
    <definedName name="MOV.090.C.0.05.2004.00.00.DGER032">0</definedName>
    <definedName name="MOV.090.C.0.05.2004.00.00.DGER034">6670260.51</definedName>
    <definedName name="MOV.090.C.0.05.2004.00.00.DGER036">204451.97</definedName>
    <definedName name="MOV.090.C.0.05.2004.00.00.DGER048">0</definedName>
    <definedName name="MOV.090.C.0.05.2004.00.00.DGER049">-5084931.59</definedName>
    <definedName name="MOV.090.C.0.05.2004.00.00.DGER050.CG4_AREA_ADM">-7280034.88</definedName>
    <definedName name="MOV.090.C.0.05.2004.00.00.DGER050.CG4_AREA_COM">-10559378.14</definedName>
    <definedName name="MOV.090.C.0.05.2004.00.00.DGER050.CG4_NIVEL3_CV">-7264955.57</definedName>
    <definedName name="MOV.090.C.0.05.2004.00.00.DGER051">-1789795.19</definedName>
    <definedName name="MOV.090.C.0.05.2004.00.00.DGER055">-2494374.55</definedName>
    <definedName name="MOV.090.C.0.05.2004.00.00.DGER056">15160.43</definedName>
    <definedName name="MOV.090.C.0.05.2004.00.00.DGER057">-146718.3</definedName>
    <definedName name="MOV.090.C.0.05.2004.00.00.DGER064">0</definedName>
    <definedName name="MOV.090.C.0.05.2004.00.00.DMOLSON05">-19426370.18</definedName>
    <definedName name="MOV.090.C.0.05.2004.00.00.DMOLSON06">-2832533.49</definedName>
    <definedName name="MOV.090.C.0.05.2004.00.00.DMOLSON08">-17839413.02</definedName>
    <definedName name="MOV.090.C.0.05.2004.00.00.DMOLSON08.CG4_AREA_ADM">-7280034.88</definedName>
    <definedName name="MOV.090.C.0.05.2004.00.00.DMOLSON08.CG4_AREA_COM">-10559378.14</definedName>
    <definedName name="MOV.090.C.0.05.2004.00.00.DMOLSON08.CG4_NIVEL3_26">-639008.63</definedName>
    <definedName name="MOV.090.C.0.05.2004.00.00.DMOLSON08.CG4_NIVEL3_27">-85255.87</definedName>
    <definedName name="MOV.090.C.0.05.2004.00.00.DMOLSON14">-56300.33</definedName>
    <definedName name="MOV.090.C.0.05.2004.00.00.DMOLSON15">-129917.21</definedName>
    <definedName name="MOV.090.C.0.05.2004.00.00.DMOLSON16">284729.23</definedName>
    <definedName name="MOV.090.C.0.05.2004.00.00.DMOLSON27">0</definedName>
    <definedName name="MOV.090.C.0.05.2004.00.00.DMOLSON29">225037.25</definedName>
    <definedName name="MOV.090.C.0.05.2004.00.00.DMOLSON30">769211.78</definedName>
    <definedName name="MOV.090.C.0.05.2004.00.00.DMOLSON31">456108.72</definedName>
    <definedName name="MOV.090.C.0.05.2004.00.00.DRESPER">-22694283.3999999</definedName>
    <definedName name="MOV.090.C.0.05.2005.00.00.3110030">-699766.44</definedName>
    <definedName name="MOV.090.C.0.05.2005.00.00.311550">-1352334.1</definedName>
    <definedName name="MOV.090.C.0.05.2005.00.00.321450.CG4_NIVEL3_CV">-49165</definedName>
    <definedName name="MOV.090.C.0.05.2005.00.00.3214500.CG4_32999">0</definedName>
    <definedName name="MOV.090.C.0.05.2005.00.00.3214500.CG4_33999">0</definedName>
    <definedName name="MOV.090.C.0.05.2005.00.00.3214500.CG4_34999">0</definedName>
    <definedName name="MOV.090.C.0.05.2005.00.00.3214500.CG4_42999">-207886.94</definedName>
    <definedName name="MOV.090.C.0.05.2005.00.00.3214540">-585556.92</definedName>
    <definedName name="MOV.090.C.0.05.2005.00.00.3214570.CG4_NIVEL3_CV">0</definedName>
    <definedName name="MOV.090.C.0.05.2005.00.00.3215100">0</definedName>
    <definedName name="MOV.090.C.0.05.2005.00.00.3215420">0</definedName>
    <definedName name="MOV.090.C.0.05.2005.00.00.3215990.CG4_NIVEL4_AS">-2076115.67</definedName>
    <definedName name="MOV.090.C.0.05.2005.00.00.421100">0</definedName>
    <definedName name="MOV.090.C.0.05.2005.00.00.4211100">0</definedName>
    <definedName name="MOV.090.C.0.05.2005.00.00.4212080">0</definedName>
    <definedName name="MOV.090.C.0.05.2005.00.00.DGER003">-53114124.55</definedName>
    <definedName name="MOV.090.C.0.05.2005.00.00.DGER005">-10731347.63</definedName>
    <definedName name="MOV.090.C.0.05.2005.00.00.DGER007">-3211358.15</definedName>
    <definedName name="MOV.090.C.0.05.2005.00.00.DGER01">106248715.759999</definedName>
    <definedName name="MOV.090.C.0.05.2005.00.00.DGER015.CG4_AREA_ADM">-822363.61</definedName>
    <definedName name="MOV.090.C.0.05.2005.00.00.DGER015.CG4_AREA_COM">-80214.2</definedName>
    <definedName name="MOV.090.C.0.05.2005.00.00.DGER016">4927681.85</definedName>
    <definedName name="MOV.090.C.0.05.2005.00.00.DGER026">-9298929.95</definedName>
    <definedName name="MOV.090.C.0.05.2005.00.00.DGER026.CG4_NIVEL3_CV">0</definedName>
    <definedName name="MOV.090.C.0.05.2005.00.00.DGER029">103010</definedName>
    <definedName name="MOV.090.C.0.05.2005.00.00.DGER030">-784213.32</definedName>
    <definedName name="MOV.090.C.0.05.2005.00.00.DGER031">-1549384.42</definedName>
    <definedName name="MOV.090.C.0.05.2005.00.00.DGER034">0</definedName>
    <definedName name="MOV.090.C.0.05.2005.00.00.DGER036">0</definedName>
    <definedName name="MOV.090.C.0.05.2005.00.00.DGER049">-5681684.47</definedName>
    <definedName name="MOV.090.C.0.05.2005.00.00.DGER050.CG4_AREA_ADM">-6515707.68</definedName>
    <definedName name="MOV.090.C.0.05.2005.00.00.DGER050.CG4_AREA_COM">-6153596.35</definedName>
    <definedName name="MOV.090.C.0.05.2005.00.00.DGER050.CG4_NIVEL3_CV">-3120195.44</definedName>
    <definedName name="MOV.090.C.0.05.2005.00.00.DGER051">-1416304.53</definedName>
    <definedName name="MOV.090.C.0.05.2005.00.00.DGER055">-9606341.09</definedName>
    <definedName name="MOV.090.C.0.05.2005.00.00.DGER056">936896.02</definedName>
    <definedName name="MOV.090.C.0.05.2005.00.00.DGER057">1230077.3</definedName>
    <definedName name="MOV.090.C.0.05.2005.00.00.DGER064">0</definedName>
    <definedName name="MOV.090.C.0.05.2005.00.00.DMOLSON05">-16297711.11</definedName>
    <definedName name="MOV.090.C.0.05.2005.00.00.DMOLSON06">-2350086.76</definedName>
    <definedName name="MOV.090.C.0.05.2005.00.00.DMOLSON08">-12669304.03</definedName>
    <definedName name="MOV.090.C.0.05.2005.00.00.DMOLSON08.CG4_AREA_ADM">-6515707.68</definedName>
    <definedName name="MOV.090.C.0.05.2005.00.00.DMOLSON08.CG4_AREA_COM">-6153596.35</definedName>
    <definedName name="MOV.090.C.0.05.2005.00.00.DMOLSON08.CG4_NIVEL3_26">-754951.29</definedName>
    <definedName name="MOV.090.C.0.05.2005.00.00.DMOLSON08.CG4_NIVEL3_27">-263410.79</definedName>
    <definedName name="MOV.090.C.0.05.2005.00.00.DMOLSON14">-32816.33</definedName>
    <definedName name="MOV.090.C.0.05.2005.00.00.DMOLSON15">-606007.09</definedName>
    <definedName name="MOV.090.C.0.05.2005.00.00.DMOLSON16">943749.27</definedName>
    <definedName name="MOV.090.C.0.05.2005.00.00.DMOLSON27">-1129872.24</definedName>
    <definedName name="MOV.090.C.0.05.2005.00.00.DMOLSON29">0</definedName>
    <definedName name="MOV.090.C.0.05.2005.00.00.DMOLSON30">0</definedName>
    <definedName name="MOV.090.C.0.05.2005.00.00.DMOLSON31">224531.4</definedName>
    <definedName name="MOV.090.C.0.05.2005.00.00.DRESPER">-17405059.3399999</definedName>
    <definedName name="MOV.090.C.0.06.2002.00.00.311550">-4217912.31</definedName>
    <definedName name="MOV.090.C.0.06.2002.00.00.3214500.CG4_32999">-62279.29</definedName>
    <definedName name="MOV.090.C.0.06.2002.00.00.3214500.CG4_33999">-74431.19</definedName>
    <definedName name="MOV.090.C.0.06.2002.00.00.3214500.CG4_34999">-22407.15</definedName>
    <definedName name="MOV.090.C.0.06.2002.00.00.3214500.CG4_42999">-172552.5</definedName>
    <definedName name="MOV.090.C.0.06.2002.00.00.3215420">0</definedName>
    <definedName name="MOV.090.C.0.06.2002.00.00.3220640">0</definedName>
    <definedName name="MOV.090.C.0.06.2002.00.00.421100">-78997170.44</definedName>
    <definedName name="MOV.090.C.0.06.2002.00.00.DGER003">-49279240.2399999</definedName>
    <definedName name="MOV.090.C.0.06.2002.00.00.DGER005">-8128423.66</definedName>
    <definedName name="MOV.090.C.0.06.2002.00.00.DGER006">-13582879.43</definedName>
    <definedName name="MOV.090.C.0.06.2002.00.00.DGER007">-2503763.1</definedName>
    <definedName name="MOV.090.C.0.06.2002.00.00.DGER01">106318562.849999</definedName>
    <definedName name="MOV.090.C.0.06.2002.00.00.DGER015.CG4_AREA_ADM">-1362662.88</definedName>
    <definedName name="MOV.090.C.0.06.2002.00.00.DGER015.CG4_AREA_COM">-68453.04</definedName>
    <definedName name="MOV.090.C.0.06.2002.00.00.DGER016">-3677311.15999999</definedName>
    <definedName name="MOV.090.C.0.06.2002.00.00.DGER026">-9683853.86</definedName>
    <definedName name="MOV.090.C.0.06.2002.00.00.DGER029">252773.27</definedName>
    <definedName name="MOV.090.C.0.06.2002.00.00.DGER030">-564731.82</definedName>
    <definedName name="MOV.090.C.0.06.2002.00.00.DGER031">-586702.54</definedName>
    <definedName name="MOV.090.C.0.06.2002.00.00.DGER032">948486.01999999</definedName>
    <definedName name="MOV.090.C.0.06.2002.00.00.DGER034">-102729.84</definedName>
    <definedName name="MOV.090.C.0.06.2002.00.00.DGER036">-9429.3</definedName>
    <definedName name="MOV.090.C.0.06.2002.00.00.DGER048">6027155.39</definedName>
    <definedName name="MOV.090.C.0.06.2002.00.00.DGER049">-4877557.7</definedName>
    <definedName name="MOV.090.C.0.06.2002.00.00.DGER050.CG4_AREA_ADM">-5644430.44</definedName>
    <definedName name="MOV.090.C.0.06.2002.00.00.DGER050.CG4_AREA_COM">-1865285.93</definedName>
    <definedName name="MOV.090.C.0.06.2002.00.00.DGER051">344908.85</definedName>
    <definedName name="MOV.090.C.0.06.2002.00.00.DGER054">-1002180.96</definedName>
    <definedName name="MOV.090.C.0.06.2002.00.00.DGER055">-3155101.77</definedName>
    <definedName name="MOV.090.C.0.06.2002.00.00.DGER056">2931952</definedName>
    <definedName name="MOV.090.C.0.06.2002.00.00.DGER057">-2738304.36</definedName>
    <definedName name="MOV.090.C.0.06.2002.00.00.DGER064">-22026548.53</definedName>
    <definedName name="MOV.090.C.0.06.2002.00.00.DMOLSON27">-10931206.13</definedName>
    <definedName name="MOV.090.C.0.06.2002.00.00.DRESPER">-107179860.099999</definedName>
    <definedName name="MOV.090.C.0.06.2003.00.00">0</definedName>
    <definedName name="MOV.090.C.0.06.2003.00.00.3110030">-446570.41</definedName>
    <definedName name="MOV.090.C.0.06.2003.00.00.311550">2900046.34</definedName>
    <definedName name="MOV.090.C.0.06.2003.00.00.321250">-3120168.66</definedName>
    <definedName name="MOV.090.C.0.06.2003.00.00.321450">-823949.64</definedName>
    <definedName name="MOV.090.C.0.06.2003.00.00.321450.CG4_AREA_ADM">-474786.81</definedName>
    <definedName name="MOV.090.C.0.06.2003.00.00.321450.CG4_AREA_COM">-349162.83</definedName>
    <definedName name="MOV.090.C.0.06.2003.00.00.321450.CG4_NIVEL3_CV">0</definedName>
    <definedName name="MOV.090.C.0.06.2003.00.00.3214500.CG4_32999">12197.18</definedName>
    <definedName name="MOV.090.C.0.06.2003.00.00.3214500.CG4_33999">-49387.02</definedName>
    <definedName name="MOV.090.C.0.06.2003.00.00.3214500.CG4_34999">-12441.46</definedName>
    <definedName name="MOV.090.C.0.06.2003.00.00.3214500.CG4_42999">-149657.59</definedName>
    <definedName name="MOV.090.C.0.06.2003.00.00.3214540">-305843.13</definedName>
    <definedName name="MOV.090.C.0.06.2003.00.00.3215100">0</definedName>
    <definedName name="MOV.090.C.0.06.2003.00.00.3215420">0</definedName>
    <definedName name="MOV.090.C.0.06.2003.00.00.421100">2779146.2</definedName>
    <definedName name="MOV.090.C.0.06.2003.00.00.4211100">1995365.46</definedName>
    <definedName name="MOV.090.C.0.06.2003.00.00.4212080">0</definedName>
    <definedName name="MOV.090.C.0.06.2003.00.00.DGER003">-64222950.11</definedName>
    <definedName name="MOV.090.C.0.06.2003.00.00.DGER005">-12227242.79</definedName>
    <definedName name="MOV.090.C.0.06.2003.00.00.DGER006">-23763014.6</definedName>
    <definedName name="MOV.090.C.0.06.2003.00.00.DGER007">-3501089.1</definedName>
    <definedName name="MOV.090.C.0.06.2003.00.00.DGER01">141168520.75</definedName>
    <definedName name="MOV.090.C.0.06.2003.00.00.DGER015">2381922.29</definedName>
    <definedName name="MOV.090.C.0.06.2003.00.00.DGER015.CG4_AREA_ADM">-472879.84</definedName>
    <definedName name="MOV.090.C.0.06.2003.00.00.DGER015.CG4_AREA_COM">-45244.21</definedName>
    <definedName name="MOV.090.C.0.06.2003.00.00.DGER015.CG4_NIVEL3_CV">0</definedName>
    <definedName name="MOV.090.C.0.06.2003.00.00.DGER016">-7449854.68000002</definedName>
    <definedName name="MOV.090.C.0.06.2003.00.00.DGER026">-1531842.14</definedName>
    <definedName name="MOV.090.C.0.06.2003.00.00.DGER026.CG4_NIVEL3_CV">0</definedName>
    <definedName name="MOV.090.C.0.06.2003.00.00.DGER029">773986.55</definedName>
    <definedName name="MOV.090.C.0.06.2003.00.00.DGER030">-2078383.23</definedName>
    <definedName name="MOV.090.C.0.06.2003.00.00.DGER031">-1238797.3</definedName>
    <definedName name="MOV.090.C.0.06.2003.00.00.DGER032">79063.9</definedName>
    <definedName name="MOV.090.C.0.06.2003.00.00.DGER034">16000552.33</definedName>
    <definedName name="MOV.090.C.0.06.2003.00.00.DGER036">30790.42</definedName>
    <definedName name="MOV.090.C.0.06.2003.00.00.DGER048">8595823.53</definedName>
    <definedName name="MOV.090.C.0.06.2003.00.00.DGER049">-5065614.4</definedName>
    <definedName name="MOV.090.C.0.06.2003.00.00.DGER050">-8954158.59</definedName>
    <definedName name="MOV.090.C.0.06.2003.00.00.DGER050.CG4_AREA_ADM">-6216012.8</definedName>
    <definedName name="MOV.090.C.0.06.2003.00.00.DGER050.CG4_AREA_COM">-2738122.69</definedName>
    <definedName name="MOV.090.C.0.06.2003.00.00.DGER050.CG4_NIVEL3_CV">0</definedName>
    <definedName name="MOV.090.C.0.06.2003.00.00.DGER051">-2577254.13</definedName>
    <definedName name="MOV.090.C.0.06.2003.00.00.DGER055">-2000359.81</definedName>
    <definedName name="MOV.090.C.0.06.2003.00.00.DGER056">365458.99</definedName>
    <definedName name="MOV.090.C.0.06.2003.00.00.DGER057">231678.35</definedName>
    <definedName name="MOV.090.C.0.06.2003.00.00.DGER064">-7665584.56</definedName>
    <definedName name="MOV.090.C.0.06.2003.00.00.DMOLSON05">-21689775.59</definedName>
    <definedName name="MOV.090.C.0.06.2003.00.00.DMOLSON06">-3181426.21</definedName>
    <definedName name="MOV.090.C.0.06.2003.00.00.DMOLSON08.CG4_AREA_COM">-2738122.69</definedName>
    <definedName name="MOV.090.C.0.06.2003.00.00.DMOLSON08.CG4_NIVEL3_26">-647613.44</definedName>
    <definedName name="MOV.090.C.0.06.2003.00.00.DMOLSON08.CG4_NIVEL3_27">-100953.77</definedName>
    <definedName name="MOV.090.C.0.06.2003.00.00.DMOLSON14">-357884.05</definedName>
    <definedName name="MOV.090.C.0.06.2003.00.00.DMOLSON15">-814812.84</definedName>
    <definedName name="MOV.090.C.0.06.2003.00.00.DMOLSON16">79063.9</definedName>
    <definedName name="MOV.090.C.0.06.2003.00.00.DMOLSON27">-64474322.67</definedName>
    <definedName name="MOV.090.C.0.06.2003.00.00.DMOLSON29">8616058.65</definedName>
    <definedName name="MOV.090.C.0.06.2003.00.00.DMOLSON30">-2073239.01</definedName>
    <definedName name="MOV.090.C.0.06.2003.00.00.DMOLSON31">794577.72</definedName>
    <definedName name="MOV.090.C.0.06.2003.00.00.DRESPER">-38635225.5</definedName>
    <definedName name="MOV.090.C.0.06.2004.00.00.3110030">-647438.79</definedName>
    <definedName name="MOV.090.C.0.06.2004.00.00.311550">-1454147.04</definedName>
    <definedName name="MOV.090.C.0.06.2004.00.00.321450.CG4_NIVEL3_CV">-3590923.16</definedName>
    <definedName name="MOV.090.C.0.06.2004.00.00.3214500.CG4_32999">0</definedName>
    <definedName name="MOV.090.C.0.06.2004.00.00.3214500.CG4_33999">0</definedName>
    <definedName name="MOV.090.C.0.06.2004.00.00.3214500.CG4_34999">0</definedName>
    <definedName name="MOV.090.C.0.06.2004.00.00.3214500.CG4_42999">-207886.94</definedName>
    <definedName name="MOV.090.C.0.06.2004.00.00.3214540">-534428.58</definedName>
    <definedName name="MOV.090.C.0.06.2004.00.00.3214570">-133103.92</definedName>
    <definedName name="MOV.090.C.0.06.2004.00.00.3214570.CG4_NIVEL3_CV">-3061173.63</definedName>
    <definedName name="MOV.090.C.0.06.2004.00.00.3215100">-586151.12</definedName>
    <definedName name="MOV.090.C.0.06.2004.00.00.3215420">0</definedName>
    <definedName name="MOV.090.C.0.06.2004.00.00.421100">24793.82</definedName>
    <definedName name="MOV.090.C.0.06.2004.00.00.4211100">0</definedName>
    <definedName name="MOV.090.C.0.06.2004.00.00.4212080">0</definedName>
    <definedName name="MOV.090.C.0.06.2004.00.00.DGER003">-60863011.0699999</definedName>
    <definedName name="MOV.090.C.0.06.2004.00.00.DGER005">-12441216.44</definedName>
    <definedName name="MOV.090.C.0.06.2004.00.00.DGER007">-4103150.27</definedName>
    <definedName name="MOV.090.C.0.06.2004.00.00.DGER01">121292735.529999</definedName>
    <definedName name="MOV.090.C.0.06.2004.00.00.DGER015.CG4_AREA_ADM">-1059811.68</definedName>
    <definedName name="MOV.090.C.0.06.2004.00.00.DGER015.CG4_AREA_COM">-626776.77</definedName>
    <definedName name="MOV.090.C.0.06.2004.00.00.DGER016">3426141.63</definedName>
    <definedName name="MOV.090.C.0.06.2004.00.00.DGER026">-11297222.55</definedName>
    <definedName name="MOV.090.C.0.06.2004.00.00.DGER026.CG4_NIVEL3_CV">-4318993.72</definedName>
    <definedName name="MOV.090.C.0.06.2004.00.00.DGER029">100173.67</definedName>
    <definedName name="MOV.090.C.0.06.2004.00.00.DGER030">-3052647.1</definedName>
    <definedName name="MOV.090.C.0.06.2004.00.00.DGER031">-1058600.17</definedName>
    <definedName name="MOV.090.C.0.06.2004.00.00.DGER032">0</definedName>
    <definedName name="MOV.090.C.0.06.2004.00.00.DGER034">6652845.51</definedName>
    <definedName name="MOV.090.C.0.06.2004.00.00.DGER036">136985.43</definedName>
    <definedName name="MOV.090.C.0.06.2004.00.00.DGER048">0</definedName>
    <definedName name="MOV.090.C.0.06.2004.00.00.DGER049">-5473880.83</definedName>
    <definedName name="MOV.090.C.0.06.2004.00.00.DGER050.CG4_AREA_ADM">-7722685.97</definedName>
    <definedName name="MOV.090.C.0.06.2004.00.00.DGER050.CG4_AREA_COM">-9978934.58</definedName>
    <definedName name="MOV.090.C.0.06.2004.00.00.DGER050.CG4_NIVEL3_CV">-6860560.1</definedName>
    <definedName name="MOV.090.C.0.06.2004.00.00.DGER051">-1463301.87</definedName>
    <definedName name="MOV.090.C.0.06.2004.00.00.DGER055">-2072683.31</definedName>
    <definedName name="MOV.090.C.0.06.2004.00.00.DGER056">514142.37</definedName>
    <definedName name="MOV.090.C.0.06.2004.00.00.DGER057">-24257.74</definedName>
    <definedName name="MOV.090.C.0.06.2004.00.00.DGER064">0</definedName>
    <definedName name="MOV.090.C.0.06.2004.00.00.DMOLSON05">-23006319.41</definedName>
    <definedName name="MOV.090.C.0.06.2004.00.00.DMOLSON06">-2836717.41</definedName>
    <definedName name="MOV.090.C.0.06.2004.00.00.DMOLSON08">-17701620.5499999</definedName>
    <definedName name="MOV.090.C.0.06.2004.00.00.DMOLSON08.CG4_AREA_ADM">-7722685.97</definedName>
    <definedName name="MOV.090.C.0.06.2004.00.00.DMOLSON08.CG4_AREA_COM">-9978934.58</definedName>
    <definedName name="MOV.090.C.0.06.2004.00.00.DMOLSON08.CG4_NIVEL3_26">-509517.92</definedName>
    <definedName name="MOV.090.C.0.06.2004.00.00.DMOLSON08.CG4_NIVEL3_27">-6128.98</definedName>
    <definedName name="MOV.090.C.0.06.2004.00.00.DMOLSON14">-28112.16</definedName>
    <definedName name="MOV.090.C.0.06.2004.00.00.DMOLSON15">-457571.37</definedName>
    <definedName name="MOV.090.C.0.06.2004.00.00.DMOLSON16">599755.33</definedName>
    <definedName name="MOV.090.C.0.06.2004.00.00.DMOLSON27">-9936807.33</definedName>
    <definedName name="MOV.090.C.0.06.2004.00.00.DMOLSON29">5157043.89</definedName>
    <definedName name="MOV.090.C.0.06.2004.00.00.DMOLSON30">600620.02</definedName>
    <definedName name="MOV.090.C.0.06.2004.00.00.DMOLSON31">136769.71</definedName>
    <definedName name="MOV.090.C.0.06.2004.00.00.DRESPER">-22083866.6499999</definedName>
    <definedName name="MOV.090.C.0.06.2005.00.00.3110030">-508336.11</definedName>
    <definedName name="MOV.090.C.0.06.2005.00.00.311550">-1363498.2</definedName>
    <definedName name="MOV.090.C.0.06.2005.00.00.321450.CG4_NIVEL3_CV">-49123.01</definedName>
    <definedName name="MOV.090.C.0.06.2005.00.00.3214500.CG4_32999">0</definedName>
    <definedName name="MOV.090.C.0.06.2005.00.00.3214500.CG4_33999">0</definedName>
    <definedName name="MOV.090.C.0.06.2005.00.00.3214500.CG4_34999">0</definedName>
    <definedName name="MOV.090.C.0.06.2005.00.00.3214500.CG4_42999">-207886.94</definedName>
    <definedName name="MOV.090.C.0.06.2005.00.00.3214540">-586209.29</definedName>
    <definedName name="MOV.090.C.0.06.2005.00.00.3214570.CG4_NIVEL3_CV">0</definedName>
    <definedName name="MOV.090.C.0.06.2005.00.00.3215100">0</definedName>
    <definedName name="MOV.090.C.0.06.2005.00.00.3215420">0</definedName>
    <definedName name="MOV.090.C.0.06.2005.00.00.3215990.CG4_NIVEL4_AS">-1351841.33</definedName>
    <definedName name="MOV.090.C.0.06.2005.00.00.421100">0</definedName>
    <definedName name="MOV.090.C.0.06.2005.00.00.4211100">0</definedName>
    <definedName name="MOV.090.C.0.06.2005.00.00.4212080">0</definedName>
    <definedName name="MOV.090.C.0.06.2005.00.00.DGER003">-55741688.72</definedName>
    <definedName name="MOV.090.C.0.06.2005.00.00.DGER005">-9182468.39</definedName>
    <definedName name="MOV.090.C.0.06.2005.00.00.DGER007">-3254862.19</definedName>
    <definedName name="MOV.090.C.0.06.2005.00.00.DGER01">109429087.399999</definedName>
    <definedName name="MOV.090.C.0.06.2005.00.00.DGER015.CG4_AREA_ADM">-842445.81</definedName>
    <definedName name="MOV.090.C.0.06.2005.00.00.DGER015.CG4_AREA_COM">-82206.11</definedName>
    <definedName name="MOV.090.C.0.06.2005.00.00.DGER016">864906.76</definedName>
    <definedName name="MOV.090.C.0.06.2005.00.00.DGER026">-8167941.57</definedName>
    <definedName name="MOV.090.C.0.06.2005.00.00.DGER026.CG4_NIVEL3_CV">0</definedName>
    <definedName name="MOV.090.C.0.06.2005.00.00.DGER029">165611.79</definedName>
    <definedName name="MOV.090.C.0.06.2005.00.00.DGER030">-1517760.4</definedName>
    <definedName name="MOV.090.C.0.06.2005.00.00.DGER031">-1505961.02</definedName>
    <definedName name="MOV.090.C.0.06.2005.00.00.DGER034">0</definedName>
    <definedName name="MOV.090.C.0.06.2005.00.00.DGER036">0</definedName>
    <definedName name="MOV.090.C.0.06.2005.00.00.DGER049">-5454474.74</definedName>
    <definedName name="MOV.090.C.0.06.2005.00.00.DGER050.CG4_AREA_ADM">-5379188.1</definedName>
    <definedName name="MOV.090.C.0.06.2005.00.00.DGER050.CG4_AREA_COM">-5690256.73</definedName>
    <definedName name="MOV.090.C.0.06.2005.00.00.DGER050.CG4_NIVEL3_CV">-3527907.04</definedName>
    <definedName name="MOV.090.C.0.06.2005.00.00.DGER051">-830105.48</definedName>
    <definedName name="MOV.090.C.0.06.2005.00.00.DGER055">-6123015.27</definedName>
    <definedName name="MOV.090.C.0.06.2005.00.00.DGER056">1004238.26</definedName>
    <definedName name="MOV.090.C.0.06.2005.00.00.DGER057">-613292.07</definedName>
    <definedName name="MOV.090.C.0.06.2005.00.00.DGER064">0</definedName>
    <definedName name="MOV.090.C.0.06.2005.00.00.DMOLSON05">-16333015.45</definedName>
    <definedName name="MOV.090.C.0.06.2005.00.00.DMOLSON06">-2147211.32</definedName>
    <definedName name="MOV.090.C.0.06.2005.00.00.DMOLSON08">-11069444.83</definedName>
    <definedName name="MOV.090.C.0.06.2005.00.00.DMOLSON08.CG4_AREA_ADM">-5379188.1</definedName>
    <definedName name="MOV.090.C.0.06.2005.00.00.DMOLSON08.CG4_AREA_COM">-5690256.73</definedName>
    <definedName name="MOV.090.C.0.06.2005.00.00.DMOLSON08.CG4_NIVEL3_26">-696579.06</definedName>
    <definedName name="MOV.090.C.0.06.2005.00.00.DMOLSON08.CG4_NIVEL3_27">-79255.18</definedName>
    <definedName name="MOV.090.C.0.06.2005.00.00.DMOLSON14">-186935.98</definedName>
    <definedName name="MOV.090.C.0.06.2005.00.00.DMOLSON15">-251951.59</definedName>
    <definedName name="MOV.090.C.0.06.2005.00.00.DMOLSON16">103490.04</definedName>
    <definedName name="MOV.090.C.0.06.2005.00.00.DMOLSON27">2397243.42</definedName>
    <definedName name="MOV.090.C.0.06.2005.00.00.DMOLSON29">0</definedName>
    <definedName name="MOV.090.C.0.06.2005.00.00.DMOLSON30">0</definedName>
    <definedName name="MOV.090.C.0.06.2005.00.00.DMOLSON31">468861.55</definedName>
    <definedName name="MOV.090.C.0.06.2005.00.00.DRESPER">-11329385.32</definedName>
    <definedName name="MOV.090.C.0.07.2002.00.00.311550">-4141522.21</definedName>
    <definedName name="MOV.090.C.0.07.2002.00.00.3214500.CG4_32999">-62279.29</definedName>
    <definedName name="MOV.090.C.0.07.2002.00.00.3214500.CG4_33999">-74431.19</definedName>
    <definedName name="MOV.090.C.0.07.2002.00.00.3214500.CG4_34999">-22407.15</definedName>
    <definedName name="MOV.090.C.0.07.2002.00.00.3214500.CG4_42999">-172552.5</definedName>
    <definedName name="MOV.090.C.0.07.2002.00.00.3215420">-477000</definedName>
    <definedName name="MOV.090.C.0.07.2002.00.00.421100">754590.41</definedName>
    <definedName name="MOV.090.C.0.07.2002.00.00.DGER003">-44103683.2399999</definedName>
    <definedName name="MOV.090.C.0.07.2002.00.00.DGER005">-8010453.36</definedName>
    <definedName name="MOV.090.C.0.07.2002.00.00.DGER006">-16261362.45</definedName>
    <definedName name="MOV.090.C.0.07.2002.00.00.DGER007">-2514037.04</definedName>
    <definedName name="MOV.090.C.0.07.2002.00.00.DGER01">95707757.63</definedName>
    <definedName name="MOV.090.C.0.07.2002.00.00.DGER015.CG4_AREA_ADM">-1367166.96</definedName>
    <definedName name="MOV.090.C.0.07.2002.00.00.DGER015.CG4_AREA_COM">-64628.6</definedName>
    <definedName name="MOV.090.C.0.07.2002.00.00.DGER016">-74216.44</definedName>
    <definedName name="MOV.090.C.0.07.2002.00.00.DGER026">-10339296.45</definedName>
    <definedName name="MOV.090.C.0.07.2002.00.00.DGER029">211041.06</definedName>
    <definedName name="MOV.090.C.0.07.2002.00.00.DGER030">-684551.04</definedName>
    <definedName name="MOV.090.C.0.07.2002.00.00.DGER031">-694348.45</definedName>
    <definedName name="MOV.090.C.0.07.2002.00.00.DGER032">-24179.9</definedName>
    <definedName name="MOV.090.C.0.07.2002.00.00.DGER034">372568.35</definedName>
    <definedName name="MOV.090.C.0.07.2002.00.00.DGER036">65490.57</definedName>
    <definedName name="MOV.090.C.0.07.2002.00.00.DGER048">809165.9</definedName>
    <definedName name="MOV.090.C.0.07.2002.00.00.DGER049">-5915746.43</definedName>
    <definedName name="MOV.090.C.0.07.2002.00.00.DGER050.CG4_AREA_ADM">-7854687.69</definedName>
    <definedName name="MOV.090.C.0.07.2002.00.00.DGER050.CG4_AREA_COM">-2474899.93</definedName>
    <definedName name="MOV.090.C.0.07.2002.00.00.DGER051">-2914417.19</definedName>
    <definedName name="MOV.090.C.0.07.2002.00.00.DGER055">-4696552.02</definedName>
    <definedName name="MOV.090.C.0.07.2002.00.00.DGER056">3669570.47</definedName>
    <definedName name="MOV.090.C.0.07.2002.00.00.DGER057">-3180623.3</definedName>
    <definedName name="MOV.090.C.0.07.2002.00.00.DGER064">0</definedName>
    <definedName name="MOV.090.C.0.07.2002.00.00.DMOLSON27">281802.3</definedName>
    <definedName name="MOV.090.C.0.07.2002.00.00.DRESPER">-13921386.01</definedName>
    <definedName name="MOV.090.C.0.07.2003.00.00">0</definedName>
    <definedName name="MOV.090.C.0.07.2003.00.00.3110030">-723109.04</definedName>
    <definedName name="MOV.090.C.0.07.2003.00.00.311550">-2032783.97</definedName>
    <definedName name="MOV.090.C.0.07.2003.00.00.321250">-2931461.39</definedName>
    <definedName name="MOV.090.C.0.07.2003.00.00.321450.CG4_NIVEL3_CV">0</definedName>
    <definedName name="MOV.090.C.0.07.2003.00.00.3214500.CG4_32999">-34431.82</definedName>
    <definedName name="MOV.090.C.0.07.2003.00.00.3214500.CG4_33999">-49387.02</definedName>
    <definedName name="MOV.090.C.0.07.2003.00.00.3214500.CG4_34999">-12441.46</definedName>
    <definedName name="MOV.090.C.0.07.2003.00.00.3214500.CG4_42999">-149657.59</definedName>
    <definedName name="MOV.090.C.0.07.2003.00.00.3214540">-329160.59</definedName>
    <definedName name="MOV.090.C.0.07.2003.00.00.3215100">0</definedName>
    <definedName name="MOV.090.C.0.07.2003.00.00.3215420">0</definedName>
    <definedName name="MOV.090.C.0.07.2003.00.00.421100">-578190.16</definedName>
    <definedName name="MOV.090.C.0.07.2003.00.00.4211100">-1734665.7</definedName>
    <definedName name="MOV.090.C.0.07.2003.00.00.4212080">-18089.42</definedName>
    <definedName name="MOV.090.C.0.07.2003.00.00.DGER003">-61767386.6799999</definedName>
    <definedName name="MOV.090.C.0.07.2003.00.00.DGER005">-16634393.03</definedName>
    <definedName name="MOV.090.C.0.07.2003.00.00.DGER006">-30020640.23</definedName>
    <definedName name="MOV.090.C.0.07.2003.00.00.DGER007">-4233134.79</definedName>
    <definedName name="MOV.090.C.0.07.2003.00.00.DGER01">132971676.499999</definedName>
    <definedName name="MOV.090.C.0.07.2003.00.00.DGER015.CG4_AREA_ADM">-1160924.68</definedName>
    <definedName name="MOV.090.C.0.07.2003.00.00.DGER015.CG4_AREA_COM">-58445.21</definedName>
    <definedName name="MOV.090.C.0.07.2003.00.00.DGER015.CG4_NIVEL3_CV">0</definedName>
    <definedName name="MOV.090.C.0.07.2003.00.00.DGER016">10682191.11</definedName>
    <definedName name="MOV.090.C.0.07.2003.00.00.DGER026">-10920061.84</definedName>
    <definedName name="MOV.090.C.0.07.2003.00.00.DGER026.CG4_NIVEL3_CV">0</definedName>
    <definedName name="MOV.090.C.0.07.2003.00.00.DGER029">-135735.44</definedName>
    <definedName name="MOV.090.C.0.07.2003.00.00.DGER030">-2097289.01</definedName>
    <definedName name="MOV.090.C.0.07.2003.00.00.DGER031">-1246542.86</definedName>
    <definedName name="MOV.090.C.0.07.2003.00.00.DGER032">-2468.81</definedName>
    <definedName name="MOV.090.C.0.07.2003.00.00.DGER034">3744577.48</definedName>
    <definedName name="MOV.090.C.0.07.2003.00.00.DGER036">404.41</definedName>
    <definedName name="MOV.090.C.0.07.2003.00.00.DGER048">670118.88</definedName>
    <definedName name="MOV.090.C.0.07.2003.00.00.DGER049">-5245461.25</definedName>
    <definedName name="MOV.090.C.0.07.2003.00.00.DGER050">-9659507.37</definedName>
    <definedName name="MOV.090.C.0.07.2003.00.00.DGER050.CG4_AREA_ADM">-6507722.66</definedName>
    <definedName name="MOV.090.C.0.07.2003.00.00.DGER050.CG4_AREA_COM">-3165664.44</definedName>
    <definedName name="MOV.090.C.0.07.2003.00.00.DGER050.CG4_NIVEL3_CV">-71797.1</definedName>
    <definedName name="MOV.090.C.0.07.2003.00.00.DGER051">-2464496.86</definedName>
    <definedName name="MOV.090.C.0.07.2003.00.00.DGER055">-1506203.91</definedName>
    <definedName name="MOV.090.C.0.07.2003.00.00.DGER056">616665.32</definedName>
    <definedName name="MOV.090.C.0.07.2003.00.00.DGER057">-334157.79</definedName>
    <definedName name="MOV.090.C.0.07.2003.00.00.DGER064">-7665584.56</definedName>
    <definedName name="MOV.090.C.0.07.2003.00.00.DMOLSON05">-27146652.38</definedName>
    <definedName name="MOV.090.C.0.07.2003.00.00.DMOLSON06">-3052713.73</definedName>
    <definedName name="MOV.090.C.0.07.2003.00.00.DMOLSON08.CG4_AREA_COM">-3165664.44</definedName>
    <definedName name="MOV.090.C.0.07.2003.00.00.DMOLSON08.CG4_NIVEL3_26">-673611.54</definedName>
    <definedName name="MOV.090.C.0.07.2003.00.00.DMOLSON08.CG4_NIVEL3_27">-107145.52</definedName>
    <definedName name="MOV.090.C.0.07.2003.00.00.DMOLSON14">-703524.52</definedName>
    <definedName name="MOV.090.C.0.07.2003.00.00.DMOLSON15">-1340166.36</definedName>
    <definedName name="MOV.090.C.0.07.2003.00.00.DMOLSON16">-20558.23</definedName>
    <definedName name="MOV.090.C.0.07.2003.00.00.DMOLSON27">0</definedName>
    <definedName name="MOV.090.C.0.07.2003.00.00.DMOLSON29">220299</definedName>
    <definedName name="MOV.090.C.0.07.2003.00.00.DMOLSON30">-2873987.85</definedName>
    <definedName name="MOV.090.C.0.07.2003.00.00.DMOLSON31">1789986.24</definedName>
    <definedName name="MOV.090.C.0.07.2003.00.00.DRESPER">-13918251.7799999</definedName>
    <definedName name="MOV.090.C.0.07.2004.00.00.3110030">-616668.39</definedName>
    <definedName name="MOV.090.C.0.07.2004.00.00.311550">-1453411.97</definedName>
    <definedName name="MOV.090.C.0.07.2004.00.00.321450.CG4_NIVEL3_CV">-531232.54</definedName>
    <definedName name="MOV.090.C.0.07.2004.00.00.3214500.CG4_32999">0</definedName>
    <definedName name="MOV.090.C.0.07.2004.00.00.3214500.CG4_33999">0</definedName>
    <definedName name="MOV.090.C.0.07.2004.00.00.3214500.CG4_34999">0</definedName>
    <definedName name="MOV.090.C.0.07.2004.00.00.3214500.CG4_42999">-289291.48</definedName>
    <definedName name="MOV.090.C.0.07.2004.00.00.3214540">-536017.1</definedName>
    <definedName name="MOV.090.C.0.07.2004.00.00.3214570">0</definedName>
    <definedName name="MOV.090.C.0.07.2004.00.00.3215100">-740237.71</definedName>
    <definedName name="MOV.090.C.0.07.2004.00.00.3215420">0</definedName>
    <definedName name="MOV.090.C.0.07.2004.00.00.421100">0</definedName>
    <definedName name="MOV.090.C.0.07.2004.00.00.4211100">0</definedName>
    <definedName name="MOV.090.C.0.07.2004.00.00.4212080">0</definedName>
    <definedName name="MOV.090.C.0.07.2004.00.00.DGER003">-59068540.87</definedName>
    <definedName name="MOV.090.C.0.07.2004.00.00.DGER005">-10125812</definedName>
    <definedName name="MOV.090.C.0.07.2004.00.00.DGER007">-3673748.73</definedName>
    <definedName name="MOV.090.C.0.07.2004.00.00.DGER01">115330610.3</definedName>
    <definedName name="MOV.090.C.0.07.2004.00.00.DGER015.CG4_AREA_ADM">-1133458.69</definedName>
    <definedName name="MOV.090.C.0.07.2004.00.00.DGER015.CG4_AREA_COM">-626803.14</definedName>
    <definedName name="MOV.090.C.0.07.2004.00.00.DGER016">-5200707.70000001</definedName>
    <definedName name="MOV.090.C.0.07.2004.00.00.DGER026">-10853987.32</definedName>
    <definedName name="MOV.090.C.0.07.2004.00.00.DGER026.CG4_NIVEL3_CV">-743333.07</definedName>
    <definedName name="MOV.090.C.0.07.2004.00.00.DGER029">99921.63</definedName>
    <definedName name="MOV.090.C.0.07.2004.00.00.DGER030">-3459286.89</definedName>
    <definedName name="MOV.090.C.0.07.2004.00.00.DGER031">-1412736.19</definedName>
    <definedName name="MOV.090.C.0.07.2004.00.00.DGER032">0</definedName>
    <definedName name="MOV.090.C.0.07.2004.00.00.DGER034">6865774.89</definedName>
    <definedName name="MOV.090.C.0.07.2004.00.00.DGER036">186944.46</definedName>
    <definedName name="MOV.090.C.0.07.2004.00.00.DGER048">0</definedName>
    <definedName name="MOV.090.C.0.07.2004.00.00.DGER049">-5072246.72</definedName>
    <definedName name="MOV.090.C.0.07.2004.00.00.DGER050.CG4_AREA_ADM">-7840107.31</definedName>
    <definedName name="MOV.090.C.0.07.2004.00.00.DGER050.CG4_AREA_COM">-10611442.84</definedName>
    <definedName name="MOV.090.C.0.07.2004.00.00.DGER050.CG4_NIVEL3_CV">-6907807.24</definedName>
    <definedName name="MOV.090.C.0.07.2004.00.00.DGER051">-1726572.49</definedName>
    <definedName name="MOV.090.C.0.07.2004.00.00.DGER055">-2169165.27</definedName>
    <definedName name="MOV.090.C.0.07.2004.00.00.DGER056">489405.68</definedName>
    <definedName name="MOV.090.C.0.07.2004.00.00.DGER057">331716.59</definedName>
    <definedName name="MOV.090.C.0.07.2004.00.00.DGER064">0</definedName>
    <definedName name="MOV.090.C.0.07.2004.00.00.DMOLSON05">-16665640.28</definedName>
    <definedName name="MOV.090.C.0.07.2004.00.00.DMOLSON06">-2808450.44</definedName>
    <definedName name="MOV.090.C.0.07.2004.00.00.DMOLSON08">-18451550.1499999</definedName>
    <definedName name="MOV.090.C.0.07.2004.00.00.DMOLSON08.CG4_AREA_ADM">-7840107.31</definedName>
    <definedName name="MOV.090.C.0.07.2004.00.00.DMOLSON08.CG4_AREA_COM">-10611442.84</definedName>
    <definedName name="MOV.090.C.0.07.2004.00.00.DMOLSON08.CG4_NIVEL3_26">-607379.1</definedName>
    <definedName name="MOV.090.C.0.07.2004.00.00.DMOLSON08.CG4_NIVEL3_27">-119226.99</definedName>
    <definedName name="MOV.090.C.0.07.2004.00.00.DMOLSON14">-656108.3</definedName>
    <definedName name="MOV.090.C.0.07.2004.00.00.DMOLSON15">-167132.44</definedName>
    <definedName name="MOV.090.C.0.07.2004.00.00.DMOLSON16">1532.22</definedName>
    <definedName name="MOV.090.C.0.07.2004.00.00.DMOLSON27">-88911.11</definedName>
    <definedName name="MOV.090.C.0.07.2004.00.00.DMOLSON29">111296.28</definedName>
    <definedName name="MOV.090.C.0.07.2004.00.00.DMOLSON30">-318572.73</definedName>
    <definedName name="MOV.090.C.0.07.2004.00.00.DMOLSON31">482241.47</definedName>
    <definedName name="MOV.090.C.0.07.2004.00.00.DRESPER">-23126323.11</definedName>
    <definedName name="MOV.090.C.0.07.2005.00.00.3110030">0</definedName>
    <definedName name="MOV.090.C.0.07.2005.00.00.311550">0</definedName>
    <definedName name="MOV.090.C.0.07.2005.00.00.321450.CG4_NIVEL3_CV">0</definedName>
    <definedName name="MOV.090.C.0.07.2005.00.00.3214500.CG4_32999">0</definedName>
    <definedName name="MOV.090.C.0.07.2005.00.00.3214500.CG4_33999">0</definedName>
    <definedName name="MOV.090.C.0.07.2005.00.00.3214500.CG4_34999">0</definedName>
    <definedName name="MOV.090.C.0.07.2005.00.00.3214500.CG4_42999">0</definedName>
    <definedName name="MOV.090.C.0.07.2005.00.00.3214540">0</definedName>
    <definedName name="MOV.090.C.0.07.2005.00.00.3215100">0</definedName>
    <definedName name="MOV.090.C.0.07.2005.00.00.3215420">0</definedName>
    <definedName name="MOV.090.C.0.07.2005.00.00.3215990.CG4_NIVEL4_AS">0</definedName>
    <definedName name="MOV.090.C.0.07.2005.00.00.421100">0</definedName>
    <definedName name="MOV.090.C.0.07.2005.00.00.4211100">0</definedName>
    <definedName name="MOV.090.C.0.07.2005.00.00.4212080">0</definedName>
    <definedName name="MOV.090.C.0.07.2005.00.00.4220260">0</definedName>
    <definedName name="MOV.090.C.0.07.2005.00.00.DGER003">0</definedName>
    <definedName name="MOV.090.C.0.07.2005.00.00.DGER005">0</definedName>
    <definedName name="MOV.090.C.0.07.2005.00.00.DGER007">0</definedName>
    <definedName name="MOV.090.C.0.07.2005.00.00.DGER01">0</definedName>
    <definedName name="MOV.090.C.0.07.2005.00.00.DGER015.CG4_AREA_ADM">0</definedName>
    <definedName name="MOV.090.C.0.07.2005.00.00.DGER015.CG4_AREA_COM">0</definedName>
    <definedName name="MOV.090.C.0.07.2005.00.00.DGER016">0</definedName>
    <definedName name="MOV.090.C.0.07.2005.00.00.DGER026">0</definedName>
    <definedName name="MOV.090.C.0.07.2005.00.00.DGER026.CG4_NIVEL3_CV">0</definedName>
    <definedName name="MOV.090.C.0.07.2005.00.00.DGER029">0</definedName>
    <definedName name="MOV.090.C.0.07.2005.00.00.DGER030">0</definedName>
    <definedName name="MOV.090.C.0.07.2005.00.00.DGER031">0</definedName>
    <definedName name="MOV.090.C.0.07.2005.00.00.DGER034">0</definedName>
    <definedName name="MOV.090.C.0.07.2005.00.00.DGER036">0</definedName>
    <definedName name="MOV.090.C.0.07.2005.00.00.DGER049">0</definedName>
    <definedName name="MOV.090.C.0.07.2005.00.00.DGER050.CG4_AREA_ADM">0</definedName>
    <definedName name="MOV.090.C.0.07.2005.00.00.DGER050.CG4_AREA_COM">0</definedName>
    <definedName name="MOV.090.C.0.07.2005.00.00.DGER050.CG4_NIVEL3_CV">0</definedName>
    <definedName name="MOV.090.C.0.07.2005.00.00.DGER051">0</definedName>
    <definedName name="MOV.090.C.0.07.2005.00.00.DGER055">0</definedName>
    <definedName name="MOV.090.C.0.07.2005.00.00.DGER056">0</definedName>
    <definedName name="MOV.090.C.0.07.2005.00.00.DGER057">0</definedName>
    <definedName name="MOV.090.C.0.07.2005.00.00.DGER064">0</definedName>
    <definedName name="MOV.090.C.0.07.2005.00.00.DMOLSON05">0</definedName>
    <definedName name="MOV.090.C.0.07.2005.00.00.DMOLSON06">0</definedName>
    <definedName name="MOV.090.C.0.07.2005.00.00.DMOLSON08">0</definedName>
    <definedName name="MOV.090.C.0.07.2005.00.00.DMOLSON08.CG4_AREA_ADM">0</definedName>
    <definedName name="MOV.090.C.0.07.2005.00.00.DMOLSON08.CG4_AREA_COM">0</definedName>
    <definedName name="MOV.090.C.0.07.2005.00.00.DMOLSON08.CG4_NIVEL3_26">0</definedName>
    <definedName name="MOV.090.C.0.07.2005.00.00.DMOLSON08.CG4_NIVEL3_27">0</definedName>
    <definedName name="MOV.090.C.0.07.2005.00.00.DMOLSON14">0</definedName>
    <definedName name="MOV.090.C.0.07.2005.00.00.DMOLSON15">0</definedName>
    <definedName name="MOV.090.C.0.07.2005.00.00.DMOLSON16">0</definedName>
    <definedName name="MOV.090.C.0.07.2005.00.00.DMOLSON27">0</definedName>
    <definedName name="MOV.090.C.0.07.2005.00.00.DMOLSON29">0</definedName>
    <definedName name="MOV.090.C.0.07.2005.00.00.DMOLSON30">0</definedName>
    <definedName name="MOV.090.C.0.07.2005.00.00.DMOLSON31">0</definedName>
    <definedName name="MOV.090.C.0.07.2005.00.00.DRES025">0</definedName>
    <definedName name="MOV.090.C.0.07.2005.00.00.DRES25">0</definedName>
    <definedName name="MOV.090.C.0.07.2005.00.00.DRESPER">0</definedName>
    <definedName name="MOV.090.C.0.08.2002.00.00.311550">-4479129.36</definedName>
    <definedName name="MOV.090.C.0.08.2002.00.00.3214500.CG4_32999">-62279.29</definedName>
    <definedName name="MOV.090.C.0.08.2002.00.00.3214500.CG4_33999">-74431.19</definedName>
    <definedName name="MOV.090.C.0.08.2002.00.00.3214500.CG4_34999">-22407.15</definedName>
    <definedName name="MOV.090.C.0.08.2002.00.00.3214500.CG4_42999">-172554.04</definedName>
    <definedName name="MOV.090.C.0.08.2002.00.00.3215420">-476539</definedName>
    <definedName name="MOV.090.C.0.08.2002.00.00.421100">-946682.62</definedName>
    <definedName name="MOV.090.C.0.08.2002.00.00.DGER003">-57387292.87</definedName>
    <definedName name="MOV.090.C.0.08.2002.00.00.DGER005">-12248242.5</definedName>
    <definedName name="MOV.090.C.0.08.2002.00.00.DGER006">-24308072.21</definedName>
    <definedName name="MOV.090.C.0.08.2002.00.00.DGER007">-2972348.79</definedName>
    <definedName name="MOV.090.C.0.08.2002.00.00.DGER01">130948578.65</definedName>
    <definedName name="MOV.090.C.0.08.2002.00.00.DGER015.CG4_AREA_ADM">-1384685.9</definedName>
    <definedName name="MOV.090.C.0.08.2002.00.00.DGER015.CG4_AREA_COM">-64404.75</definedName>
    <definedName name="MOV.090.C.0.08.2002.00.00.DGER016">-2520338.54999999</definedName>
    <definedName name="MOV.090.C.0.08.2002.00.00.DGER026">-14544276.26</definedName>
    <definedName name="MOV.090.C.0.08.2002.00.00.DGER029">141846.5</definedName>
    <definedName name="MOV.090.C.0.08.2002.00.00.DGER030">-487561.78</definedName>
    <definedName name="MOV.090.C.0.08.2002.00.00.DGER031">-699365.29</definedName>
    <definedName name="MOV.090.C.0.08.2002.00.00.DGER032">133208.76</definedName>
    <definedName name="MOV.090.C.0.08.2002.00.00.DGER034">667183.01</definedName>
    <definedName name="MOV.090.C.0.08.2002.00.00.DGER036">7937.91</definedName>
    <definedName name="MOV.090.C.0.08.2002.00.00.DGER048">1017365.89</definedName>
    <definedName name="MOV.090.C.0.08.2002.00.00.DGER049">-5954207.68</definedName>
    <definedName name="MOV.090.C.0.08.2002.00.00.DGER050.CG4_AREA_ADM">-7704509.9</definedName>
    <definedName name="MOV.090.C.0.08.2002.00.00.DGER050.CG4_AREA_COM">-3036931.06</definedName>
    <definedName name="MOV.090.C.0.08.2002.00.00.DGER051">-4133736.86</definedName>
    <definedName name="MOV.090.C.0.08.2002.00.00.DGER055">-5671192.18</definedName>
    <definedName name="MOV.090.C.0.08.2002.00.00.DGER056">2822266.3</definedName>
    <definedName name="MOV.090.C.0.08.2002.00.00.DGER057">2237244.4</definedName>
    <definedName name="MOV.090.C.0.08.2002.00.00.DGER064">0</definedName>
    <definedName name="MOV.090.C.0.08.2002.00.00.DMOLSON27">27.16</definedName>
    <definedName name="MOV.090.C.0.08.2002.00.00.DRESPER">-11043858.6299999</definedName>
    <definedName name="MOV.090.C.0.08.2003.00.00">0</definedName>
    <definedName name="MOV.090.C.0.08.2003.00.00.3110030">-743127.26</definedName>
    <definedName name="MOV.090.C.0.08.2003.00.00.311550">-1910815.93</definedName>
    <definedName name="MOV.090.C.0.08.2003.00.00.321250">-2637712.25</definedName>
    <definedName name="MOV.090.C.0.08.2003.00.00.321450.CG4_NIVEL3_CV">0</definedName>
    <definedName name="MOV.090.C.0.08.2003.00.00.3214500.CG4_32999">-34431.82</definedName>
    <definedName name="MOV.090.C.0.08.2003.00.00.3214500.CG4_33999">-49387.02</definedName>
    <definedName name="MOV.090.C.0.08.2003.00.00.3214500.CG4_34999">-12441.46</definedName>
    <definedName name="MOV.090.C.0.08.2003.00.00.3214500.CG4_42999">-149657.59</definedName>
    <definedName name="MOV.090.C.0.08.2003.00.00.3214540">-371285.8</definedName>
    <definedName name="MOV.090.C.0.08.2003.00.00.3215100">0</definedName>
    <definedName name="MOV.090.C.0.08.2003.00.00.3215420">0</definedName>
    <definedName name="MOV.090.C.0.08.2003.00.00.421100">499233.49</definedName>
    <definedName name="MOV.090.C.0.08.2003.00.00.4211100">-426114</definedName>
    <definedName name="MOV.090.C.0.08.2003.00.00.4212080">4017.52</definedName>
    <definedName name="MOV.090.C.0.08.2003.00.00.DGER003">-57907323.15</definedName>
    <definedName name="MOV.090.C.0.08.2003.00.00.DGER005">-11478227.81</definedName>
    <definedName name="MOV.090.C.0.08.2003.00.00.DGER006">-22847705.96</definedName>
    <definedName name="MOV.090.C.0.08.2003.00.00.DGER007">-3337862.3</definedName>
    <definedName name="MOV.090.C.0.08.2003.00.00.DGER01">122629806.74</definedName>
    <definedName name="MOV.090.C.0.08.2003.00.00.DGER015.CG4_AREA_ADM">-1094442.96</definedName>
    <definedName name="MOV.090.C.0.08.2003.00.00.DGER015.CG4_AREA_COM">-59427.05</definedName>
    <definedName name="MOV.090.C.0.08.2003.00.00.DGER015.CG4_NIVEL3_CV">0</definedName>
    <definedName name="MOV.090.C.0.08.2003.00.00.DGER016">-1940948.9</definedName>
    <definedName name="MOV.090.C.0.08.2003.00.00.DGER026">-9147591.08</definedName>
    <definedName name="MOV.090.C.0.08.2003.00.00.DGER026.CG4_NIVEL3_CV">0</definedName>
    <definedName name="MOV.090.C.0.08.2003.00.00.DGER029">257435.23</definedName>
    <definedName name="MOV.090.C.0.08.2003.00.00.DGER030">-2379595.32</definedName>
    <definedName name="MOV.090.C.0.08.2003.00.00.DGER031">-1313944.57</definedName>
    <definedName name="MOV.090.C.0.08.2003.00.00.DGER032">33942.4</definedName>
    <definedName name="MOV.090.C.0.08.2003.00.00.DGER034">2815854.1</definedName>
    <definedName name="MOV.090.C.0.08.2003.00.00.DGER036">2000.68</definedName>
    <definedName name="MOV.090.C.0.08.2003.00.00.DGER048">5985469.94</definedName>
    <definedName name="MOV.090.C.0.08.2003.00.00.DGER049">-4762206.96</definedName>
    <definedName name="MOV.090.C.0.08.2003.00.00.DGER050">-10603615.82</definedName>
    <definedName name="MOV.090.C.0.08.2003.00.00.DGER050.CG4_AREA_ADM">-7115540.38</definedName>
    <definedName name="MOV.090.C.0.08.2003.00.00.DGER050.CG4_AREA_COM">-3551731.91</definedName>
    <definedName name="MOV.090.C.0.08.2003.00.00.DGER050.CG4_NIVEL3_CV">-131456.41</definedName>
    <definedName name="MOV.090.C.0.08.2003.00.00.DGER051">-2585626.48</definedName>
    <definedName name="MOV.090.C.0.08.2003.00.00.DGER055">-2138966.08</definedName>
    <definedName name="MOV.090.C.0.08.2003.00.00.DGER056">170216.04</definedName>
    <definedName name="MOV.090.C.0.08.2003.00.00.DGER057">57125.73</definedName>
    <definedName name="MOV.090.C.0.08.2003.00.00.DGER064">-7665584.56</definedName>
    <definedName name="MOV.090.C.0.08.2003.00.00.DMOLSON05">-21767648.43</definedName>
    <definedName name="MOV.090.C.0.08.2003.00.00.DMOLSON06">-2692227.15</definedName>
    <definedName name="MOV.090.C.0.08.2003.00.00.DMOLSON08.CG4_AREA_COM">-3551731.91</definedName>
    <definedName name="MOV.090.C.0.08.2003.00.00.DMOLSON08.CG4_NIVEL3_26">-716412.43</definedName>
    <definedName name="MOV.090.C.0.08.2003.00.00.DMOLSON08.CG4_NIVEL3_27">-91113.37</definedName>
    <definedName name="MOV.090.C.0.08.2003.00.00.DMOLSON14">-50307.61</definedName>
    <definedName name="MOV.090.C.0.08.2003.00.00.DMOLSON15">-1009624.47</definedName>
    <definedName name="MOV.090.C.0.08.2003.00.00.DMOLSON16">37959.92</definedName>
    <definedName name="MOV.090.C.0.08.2003.00.00.DMOLSON27">0</definedName>
    <definedName name="MOV.090.C.0.08.2003.00.00.DMOLSON29">5768249.87</definedName>
    <definedName name="MOV.090.C.0.08.2003.00.00.DMOLSON30">-1080057.53</definedName>
    <definedName name="MOV.090.C.0.08.2003.00.00.DMOLSON31">1226844.54</definedName>
    <definedName name="MOV.090.C.0.08.2003.00.00.DRESPER">-12639387.35</definedName>
    <definedName name="MOV.090.C.0.08.2004.00.00.3110030">-696709.48</definedName>
    <definedName name="MOV.090.C.0.08.2004.00.00.311550">-1499081.4</definedName>
    <definedName name="MOV.090.C.0.08.2004.00.00.321450.CG4_NIVEL3_CV">-531115.85</definedName>
    <definedName name="MOV.090.C.0.08.2004.00.00.3214500.CG4_32999">0</definedName>
    <definedName name="MOV.090.C.0.08.2004.00.00.3214500.CG4_33999">0</definedName>
    <definedName name="MOV.090.C.0.08.2004.00.00.3214500.CG4_34999">0</definedName>
    <definedName name="MOV.090.C.0.08.2004.00.00.3214500.CG4_42999">-207886.94</definedName>
    <definedName name="MOV.090.C.0.08.2004.00.00.3214540">-559616.64</definedName>
    <definedName name="MOV.090.C.0.08.2004.00.00.3214570">0</definedName>
    <definedName name="MOV.090.C.0.08.2004.00.00.3215100">-781192.71</definedName>
    <definedName name="MOV.090.C.0.08.2004.00.00.3215420">0</definedName>
    <definedName name="MOV.090.C.0.08.2004.00.00.421100">0</definedName>
    <definedName name="MOV.090.C.0.08.2004.00.00.4211100">0</definedName>
    <definedName name="MOV.090.C.0.08.2004.00.00.4212080">0</definedName>
    <definedName name="MOV.090.C.0.08.2004.00.00.DGER003">-61559026.4599999</definedName>
    <definedName name="MOV.090.C.0.08.2004.00.00.DGER005">-11932072.04</definedName>
    <definedName name="MOV.090.C.0.08.2004.00.00.DGER007">-3771424.65</definedName>
    <definedName name="MOV.090.C.0.08.2004.00.00.DGER01">120459900.789999</definedName>
    <definedName name="MOV.090.C.0.08.2004.00.00.DGER015.CG4_AREA_ADM">-1042484.28</definedName>
    <definedName name="MOV.090.C.0.08.2004.00.00.DGER015.CG4_AREA_COM">-606258.27</definedName>
    <definedName name="MOV.090.C.0.08.2004.00.00.DGER016">1782673.14000001</definedName>
    <definedName name="MOV.090.C.0.08.2004.00.00.DGER026">-17228910.42</definedName>
    <definedName name="MOV.090.C.0.08.2004.00.00.DGER026.CG4_NIVEL3_CV">-868066.05</definedName>
    <definedName name="MOV.090.C.0.08.2004.00.00.DGER029">140339.92</definedName>
    <definedName name="MOV.090.C.0.08.2004.00.00.DGER030">-3779176.26</definedName>
    <definedName name="MOV.090.C.0.08.2004.00.00.DGER031">-2740630.47</definedName>
    <definedName name="MOV.090.C.0.08.2004.00.00.DGER032">0</definedName>
    <definedName name="MOV.090.C.0.08.2004.00.00.DGER034">8504243.42</definedName>
    <definedName name="MOV.090.C.0.08.2004.00.00.DGER036">126490.48</definedName>
    <definedName name="MOV.090.C.0.08.2004.00.00.DGER048">0</definedName>
    <definedName name="MOV.090.C.0.08.2004.00.00.DGER049">-6058114.9</definedName>
    <definedName name="MOV.090.C.0.08.2004.00.00.DGER050.CG4_AREA_ADM">-6912155.93</definedName>
    <definedName name="MOV.090.C.0.08.2004.00.00.DGER050.CG4_AREA_COM">-8568443.13</definedName>
    <definedName name="MOV.090.C.0.08.2004.00.00.DGER050.CG4_NIVEL3_CV">-5433263.36</definedName>
    <definedName name="MOV.090.C.0.08.2004.00.00.DGER051">-1771235.3</definedName>
    <definedName name="MOV.090.C.0.08.2004.00.00.DGER055">-2996218.64</definedName>
    <definedName name="MOV.090.C.0.08.2004.00.00.DGER056">854475.12</definedName>
    <definedName name="MOV.090.C.0.08.2004.00.00.DGER057">287301.33</definedName>
    <definedName name="MOV.090.C.0.08.2004.00.00.DGER064">0</definedName>
    <definedName name="MOV.090.C.0.08.2004.00.00.DMOLSON05">-22128046.34</definedName>
    <definedName name="MOV.090.C.0.08.2004.00.00.DMOLSON06">-2838130.25</definedName>
    <definedName name="MOV.090.C.0.08.2004.00.00.DMOLSON08">-15480599.06</definedName>
    <definedName name="MOV.090.C.0.08.2004.00.00.DMOLSON08.CG4_AREA_ADM">-6912155.93</definedName>
    <definedName name="MOV.090.C.0.08.2004.00.00.DMOLSON08.CG4_AREA_COM">-8568443.13</definedName>
    <definedName name="MOV.090.C.0.08.2004.00.00.DMOLSON08.CG4_NIVEL3_26">-515927.44</definedName>
    <definedName name="MOV.090.C.0.08.2004.00.00.DMOLSON08.CG4_NIVEL3_27">-329379.69</definedName>
    <definedName name="MOV.090.C.0.08.2004.00.00.DMOLSON14">-77676.18</definedName>
    <definedName name="MOV.090.C.0.08.2004.00.00.DMOLSON15">-60915</definedName>
    <definedName name="MOV.090.C.0.08.2004.00.00.DMOLSON16">-65477.47</definedName>
    <definedName name="MOV.090.C.0.08.2004.00.00.DMOLSON27">-753092.17</definedName>
    <definedName name="MOV.090.C.0.08.2004.00.00.DMOLSON29">329687.97</definedName>
    <definedName name="MOV.090.C.0.08.2004.00.00.DMOLSON30">-1490750</definedName>
    <definedName name="MOV.090.C.0.08.2004.00.00.DMOLSON31">263040.65</definedName>
    <definedName name="MOV.090.C.0.08.2004.00.00.DRESPER">-27168685.57</definedName>
    <definedName name="MOV.090.C.0.08.2005.00.00.3110030">0</definedName>
    <definedName name="MOV.090.C.0.08.2005.00.00.311550">0</definedName>
    <definedName name="MOV.090.C.0.08.2005.00.00.321450.CG4_NIVEL3_CV">0</definedName>
    <definedName name="MOV.090.C.0.08.2005.00.00.3214500.CG4_32999">0</definedName>
    <definedName name="MOV.090.C.0.08.2005.00.00.3214500.CG4_33999">0</definedName>
    <definedName name="MOV.090.C.0.08.2005.00.00.3214500.CG4_34999">0</definedName>
    <definedName name="MOV.090.C.0.08.2005.00.00.3214500.CG4_42999">0</definedName>
    <definedName name="MOV.090.C.0.08.2005.00.00.3214540">0</definedName>
    <definedName name="MOV.090.C.0.08.2005.00.00.3215100">0</definedName>
    <definedName name="MOV.090.C.0.08.2005.00.00.3215420">0</definedName>
    <definedName name="MOV.090.C.0.08.2005.00.00.3215990.CG4_NIVEL4_AS">0</definedName>
    <definedName name="MOV.090.C.0.08.2005.00.00.421100">0</definedName>
    <definedName name="MOV.090.C.0.08.2005.00.00.4211100">0</definedName>
    <definedName name="MOV.090.C.0.08.2005.00.00.4212080">0</definedName>
    <definedName name="MOV.090.C.0.08.2005.00.00.4220260">0</definedName>
    <definedName name="MOV.090.C.0.08.2005.00.00.DGER003">0</definedName>
    <definedName name="MOV.090.C.0.08.2005.00.00.DGER005">0</definedName>
    <definedName name="MOV.090.C.0.08.2005.00.00.DGER007">0</definedName>
    <definedName name="MOV.090.C.0.08.2005.00.00.DGER01">0</definedName>
    <definedName name="MOV.090.C.0.08.2005.00.00.DGER015.CG4_AREA_ADM">0</definedName>
    <definedName name="MOV.090.C.0.08.2005.00.00.DGER015.CG4_AREA_COM">0</definedName>
    <definedName name="MOV.090.C.0.08.2005.00.00.DGER016">0</definedName>
    <definedName name="MOV.090.C.0.08.2005.00.00.DGER026">0</definedName>
    <definedName name="MOV.090.C.0.08.2005.00.00.DGER026.CG4_NIVEL3_CV">0</definedName>
    <definedName name="MOV.090.C.0.08.2005.00.00.DGER029">0</definedName>
    <definedName name="MOV.090.C.0.08.2005.00.00.DGER030">0</definedName>
    <definedName name="MOV.090.C.0.08.2005.00.00.DGER031">0</definedName>
    <definedName name="MOV.090.C.0.08.2005.00.00.DGER034">0</definedName>
    <definedName name="MOV.090.C.0.08.2005.00.00.DGER036">0</definedName>
    <definedName name="MOV.090.C.0.08.2005.00.00.DGER049">0</definedName>
    <definedName name="MOV.090.C.0.08.2005.00.00.DGER050.CG4_AREA_ADM">0</definedName>
    <definedName name="MOV.090.C.0.08.2005.00.00.DGER050.CG4_AREA_COM">0</definedName>
    <definedName name="MOV.090.C.0.08.2005.00.00.DGER050.CG4_NIVEL3_CV">0</definedName>
    <definedName name="MOV.090.C.0.08.2005.00.00.DGER051">0</definedName>
    <definedName name="MOV.090.C.0.08.2005.00.00.DGER055">0</definedName>
    <definedName name="MOV.090.C.0.08.2005.00.00.DGER056">0</definedName>
    <definedName name="MOV.090.C.0.08.2005.00.00.DGER057">0</definedName>
    <definedName name="MOV.090.C.0.08.2005.00.00.DGER064">0</definedName>
    <definedName name="MOV.090.C.0.08.2005.00.00.DMOLSON05">0</definedName>
    <definedName name="MOV.090.C.0.08.2005.00.00.DMOLSON06">0</definedName>
    <definedName name="MOV.090.C.0.08.2005.00.00.DMOLSON08">0</definedName>
    <definedName name="MOV.090.C.0.08.2005.00.00.DMOLSON08.CG4_AREA_ADM">0</definedName>
    <definedName name="MOV.090.C.0.08.2005.00.00.DMOLSON08.CG4_AREA_COM">0</definedName>
    <definedName name="MOV.090.C.0.08.2005.00.00.DMOLSON08.CG4_NIVEL3_26">0</definedName>
    <definedName name="MOV.090.C.0.08.2005.00.00.DMOLSON08.CG4_NIVEL3_27">0</definedName>
    <definedName name="MOV.090.C.0.08.2005.00.00.DMOLSON14">0</definedName>
    <definedName name="MOV.090.C.0.08.2005.00.00.DMOLSON15">0</definedName>
    <definedName name="MOV.090.C.0.08.2005.00.00.DMOLSON16">0</definedName>
    <definedName name="MOV.090.C.0.08.2005.00.00.DMOLSON27">0</definedName>
    <definedName name="MOV.090.C.0.08.2005.00.00.DMOLSON29">0</definedName>
    <definedName name="MOV.090.C.0.08.2005.00.00.DMOLSON30">0</definedName>
    <definedName name="MOV.090.C.0.08.2005.00.00.DMOLSON31">0</definedName>
    <definedName name="MOV.090.C.0.08.2005.00.00.DRES025">0</definedName>
    <definedName name="MOV.090.C.0.08.2005.00.00.DRES25">0</definedName>
    <definedName name="MOV.090.C.0.08.2005.00.00.DRESPER">0</definedName>
    <definedName name="MOV.090.C.0.09.2002.00.00.311550">-4424873.72</definedName>
    <definedName name="MOV.090.C.0.09.2002.00.00.3214500.CG4_32999">-62243.85</definedName>
    <definedName name="MOV.090.C.0.09.2002.00.00.3214500.CG4_33999">-74431.19</definedName>
    <definedName name="MOV.090.C.0.09.2002.00.00.3214500.CG4_34999">-22407.15</definedName>
    <definedName name="MOV.090.C.0.09.2002.00.00.3214500.CG4_42999">-172552.49</definedName>
    <definedName name="MOV.090.C.0.09.2002.00.00.3215420">-476078</definedName>
    <definedName name="MOV.090.C.0.09.2002.00.00.421100">-1105011.95</definedName>
    <definedName name="MOV.090.C.0.09.2002.00.00.DGER003">-58394487.77</definedName>
    <definedName name="MOV.090.C.0.09.2002.00.00.DGER005">-11457002.6</definedName>
    <definedName name="MOV.090.C.0.09.2002.00.00.DGER006">-15459847.71</definedName>
    <definedName name="MOV.090.C.0.09.2002.00.00.DGER007">-2902594.36</definedName>
    <definedName name="MOV.090.C.0.09.2002.00.00.DGER01">129504065.539999</definedName>
    <definedName name="MOV.090.C.0.09.2002.00.00.DGER015.CG4_AREA_ADM">-1400113.64</definedName>
    <definedName name="MOV.090.C.0.09.2002.00.00.DGER015.CG4_AREA_COM">-63326.6</definedName>
    <definedName name="MOV.090.C.0.09.2002.00.00.DGER016">-2208359.61</definedName>
    <definedName name="MOV.090.C.0.09.2002.00.00.DGER026">-6899489.93</definedName>
    <definedName name="MOV.090.C.0.09.2002.00.00.DGER029">166168.37</definedName>
    <definedName name="MOV.090.C.0.09.2002.00.00.DGER030">-722821.51</definedName>
    <definedName name="MOV.090.C.0.09.2002.00.00.DGER031">-512610.34</definedName>
    <definedName name="MOV.090.C.0.09.2002.00.00.DGER032">681635.14</definedName>
    <definedName name="MOV.090.C.0.09.2002.00.00.DGER034">-106692.15</definedName>
    <definedName name="MOV.090.C.0.09.2002.00.00.DGER036">-18462.92</definedName>
    <definedName name="MOV.090.C.0.09.2002.00.00.DGER048">6174295.37</definedName>
    <definedName name="MOV.090.C.0.09.2002.00.00.DGER049">-5423432.66</definedName>
    <definedName name="MOV.090.C.0.09.2002.00.00.DGER050.CG4_AREA_ADM">-6923221.74</definedName>
    <definedName name="MOV.090.C.0.09.2002.00.00.DGER050.CG4_AREA_COM">-5174335.51</definedName>
    <definedName name="MOV.090.C.0.09.2002.00.00.DGER051">-2157881.65</definedName>
    <definedName name="MOV.090.C.0.09.2002.00.00.DGER055">-4096659.34</definedName>
    <definedName name="MOV.090.C.0.09.2002.00.00.DGER056">2645499.78</definedName>
    <definedName name="MOV.090.C.0.09.2002.00.00.DGER057">128559.26</definedName>
    <definedName name="MOV.090.C.0.09.2002.00.00.DGER064">35091641.16</definedName>
    <definedName name="MOV.090.C.0.09.2002.00.00.DMOLSON27">-162108.09</definedName>
    <definedName name="MOV.090.C.0.09.2002.00.00.DRESPER">44302452.4699999</definedName>
    <definedName name="MOV.090.C.0.09.2003.00.00">0</definedName>
    <definedName name="MOV.090.C.0.09.2003.00.00.3110030">-774119.34</definedName>
    <definedName name="MOV.090.C.0.09.2003.00.00.311550">-1943885.3</definedName>
    <definedName name="MOV.090.C.0.09.2003.00.00.321250">-2826846.38</definedName>
    <definedName name="MOV.090.C.0.09.2003.00.00.321450.CG4_NIVEL3_CV">-85.11</definedName>
    <definedName name="MOV.090.C.0.09.2003.00.00.3214500.CG4_32999">-34431.82</definedName>
    <definedName name="MOV.090.C.0.09.2003.00.00.3214500.CG4_33999">-49387.02</definedName>
    <definedName name="MOV.090.C.0.09.2003.00.00.3214500.CG4_34999">-12441.46</definedName>
    <definedName name="MOV.090.C.0.09.2003.00.00.3214500.CG4_42999">-149657.59</definedName>
    <definedName name="MOV.090.C.0.09.2003.00.00.3214540">-389593.58</definedName>
    <definedName name="MOV.090.C.0.09.2003.00.00.3215100">0</definedName>
    <definedName name="MOV.090.C.0.09.2003.00.00.3215420">0</definedName>
    <definedName name="MOV.090.C.0.09.2003.00.00.421100">1598831.66</definedName>
    <definedName name="MOV.090.C.0.09.2003.00.00.4211100">258660.36</definedName>
    <definedName name="MOV.090.C.0.09.2003.00.00.4212080">14071.9</definedName>
    <definedName name="MOV.090.C.0.09.2003.00.00.DGER003">-64632322.44</definedName>
    <definedName name="MOV.090.C.0.09.2003.00.00.DGER005">-12505328.49</definedName>
    <definedName name="MOV.090.C.0.09.2003.00.00.DGER006">-22529426.66</definedName>
    <definedName name="MOV.090.C.0.09.2003.00.00.DGER007">-3503662.9</definedName>
    <definedName name="MOV.090.C.0.09.2003.00.00.DGER01">141297938.79</definedName>
    <definedName name="MOV.090.C.0.09.2003.00.00.DGER015.CG4_AREA_ADM">-967300.6</definedName>
    <definedName name="MOV.090.C.0.09.2003.00.00.DGER015.CG4_AREA_COM">-59309.88</definedName>
    <definedName name="MOV.090.C.0.09.2003.00.00.DGER015.CG4_NIVEL3_CV">-85.11</definedName>
    <definedName name="MOV.090.C.0.09.2003.00.00.DGER016">387852.28999998</definedName>
    <definedName name="MOV.090.C.0.09.2003.00.00.DGER026">-2085104.27</definedName>
    <definedName name="MOV.090.C.0.09.2003.00.00.DGER026.CG4_NIVEL3_CV">-5414.19</definedName>
    <definedName name="MOV.090.C.0.09.2003.00.00.DGER029">194104.61</definedName>
    <definedName name="MOV.090.C.0.09.2003.00.00.DGER030">-2098203.96</definedName>
    <definedName name="MOV.090.C.0.09.2003.00.00.DGER031">-1089301</definedName>
    <definedName name="MOV.090.C.0.09.2003.00.00.DGER032">106746.63</definedName>
    <definedName name="MOV.090.C.0.09.2003.00.00.DGER034">-53318.46</definedName>
    <definedName name="MOV.090.C.0.09.2003.00.00.DGER036">-17635.42</definedName>
    <definedName name="MOV.090.C.0.09.2003.00.00.DGER048">3083467.98</definedName>
    <definedName name="MOV.090.C.0.09.2003.00.00.DGER049">-6087212.76</definedName>
    <definedName name="MOV.090.C.0.09.2003.00.00.DGER050">-9413428.01</definedName>
    <definedName name="MOV.090.C.0.09.2003.00.00.DGER050.CG4_AREA_ADM">-6164776.99</definedName>
    <definedName name="MOV.090.C.0.09.2003.00.00.DGER050.CG4_AREA_COM">-3355017.26</definedName>
    <definedName name="MOV.090.C.0.09.2003.00.00.DGER050.CG4_NIVEL3_CV">-29138.41</definedName>
    <definedName name="MOV.090.C.0.09.2003.00.00.DGER051">-2483311.9</definedName>
    <definedName name="MOV.090.C.0.09.2003.00.00.DGER055">-2102891.98</definedName>
    <definedName name="MOV.090.C.0.09.2003.00.00.DGER056">408052.7</definedName>
    <definedName name="MOV.090.C.0.09.2003.00.00.DGER057">-48545.86</definedName>
    <definedName name="MOV.090.C.0.09.2003.00.00.DGER064">-7665584.56</definedName>
    <definedName name="MOV.090.C.0.09.2003.00.00.DMOLSON05">-21393183.02</definedName>
    <definedName name="MOV.090.C.0.09.2003.00.00.DMOLSON06">-2852591.08</definedName>
    <definedName name="MOV.090.C.0.09.2003.00.00.DMOLSON08.CG4_AREA_COM">-3355017.26</definedName>
    <definedName name="MOV.090.C.0.09.2003.00.00.DMOLSON08.CG4_NIVEL3_26">-588636.67</definedName>
    <definedName name="MOV.090.C.0.09.2003.00.00.DMOLSON08.CG4_NIVEL3_27">-84119.11</definedName>
    <definedName name="MOV.090.C.0.09.2003.00.00.DMOLSON14">237658.45</definedName>
    <definedName name="MOV.090.C.0.09.2003.00.00.DMOLSON15">-1085284.94</definedName>
    <definedName name="MOV.090.C.0.09.2003.00.00.DMOLSON16">120818.53</definedName>
    <definedName name="MOV.090.C.0.09.2003.00.00.DMOLSON27">-2600000</definedName>
    <definedName name="MOV.090.C.0.09.2003.00.00.DMOLSON29">2626902.53</definedName>
    <definedName name="MOV.090.C.0.09.2003.00.00.DMOLSON30">-1136243.64</definedName>
    <definedName name="MOV.090.C.0.09.2003.00.00.DMOLSON31">1541850.39</definedName>
    <definedName name="MOV.090.C.0.09.2003.00.00.DRESPER">1320280.32</definedName>
    <definedName name="MOV.090.C.0.09.2004.00.00.3110030">-711858.64</definedName>
    <definedName name="MOV.090.C.0.09.2004.00.00.311550">-1502538.54</definedName>
    <definedName name="MOV.090.C.0.09.2004.00.00.321450.CG4_NIVEL3_CV">-530705.05</definedName>
    <definedName name="MOV.090.C.0.09.2004.00.00.3214500.CG4_32999">0</definedName>
    <definedName name="MOV.090.C.0.09.2004.00.00.3214500.CG4_33999">0</definedName>
    <definedName name="MOV.090.C.0.09.2004.00.00.3214500.CG4_34999">0</definedName>
    <definedName name="MOV.090.C.0.09.2004.00.00.3214500.CG4_42999">-207886.94</definedName>
    <definedName name="MOV.090.C.0.09.2004.00.00.3214540">-549000.78</definedName>
    <definedName name="MOV.090.C.0.09.2004.00.00.3214570">0</definedName>
    <definedName name="MOV.090.C.0.09.2004.00.00.3215100">182325.9</definedName>
    <definedName name="MOV.090.C.0.09.2004.00.00.3215420">0</definedName>
    <definedName name="MOV.090.C.0.09.2004.00.00.421100">0</definedName>
    <definedName name="MOV.090.C.0.09.2004.00.00.4211100">0</definedName>
    <definedName name="MOV.090.C.0.09.2004.00.00.4212080">0</definedName>
    <definedName name="MOV.090.C.0.09.2004.00.00.DGER003">-73217987.16</definedName>
    <definedName name="MOV.090.C.0.09.2004.00.00.DGER005">-16342705.15</definedName>
    <definedName name="MOV.090.C.0.09.2004.00.00.DGER007">-4184547.58</definedName>
    <definedName name="MOV.090.C.0.09.2004.00.00.DGER01">141910247.519999</definedName>
    <definedName name="MOV.090.C.0.09.2004.00.00.DGER015.CG4_AREA_ADM">-1034241.73</definedName>
    <definedName name="MOV.090.C.0.09.2004.00.00.DGER015.CG4_AREA_COM">813756.01</definedName>
    <definedName name="MOV.090.C.0.09.2004.00.00.DGER016">2113737.98000002</definedName>
    <definedName name="MOV.090.C.0.09.2004.00.00.DGER026">-6289252.37</definedName>
    <definedName name="MOV.090.C.0.09.2004.00.00.DGER026.CG4_NIVEL3_CV">-478523.17</definedName>
    <definedName name="MOV.090.C.0.09.2004.00.00.DGER029">12310081.29</definedName>
    <definedName name="MOV.090.C.0.09.2004.00.00.DGER030">-3578712.59</definedName>
    <definedName name="MOV.090.C.0.09.2004.00.00.DGER031">-1652830.57</definedName>
    <definedName name="MOV.090.C.0.09.2004.00.00.DGER032">0</definedName>
    <definedName name="MOV.090.C.0.09.2004.00.00.DGER034">6209069.29</definedName>
    <definedName name="MOV.090.C.0.09.2004.00.00.DGER036">62062.71</definedName>
    <definedName name="MOV.090.C.0.09.2004.00.00.DGER048">0</definedName>
    <definedName name="MOV.090.C.0.09.2004.00.00.DGER049">-6637860.16</definedName>
    <definedName name="MOV.090.C.0.09.2004.00.00.DGER050.CG4_AREA_ADM">-7217972.34</definedName>
    <definedName name="MOV.090.C.0.09.2004.00.00.DGER050.CG4_AREA_COM">-7725646.69</definedName>
    <definedName name="MOV.090.C.0.09.2004.00.00.DGER050.CG4_NIVEL3_CV">-5549874.85</definedName>
    <definedName name="MOV.090.C.0.09.2004.00.00.DGER051">-1913517.55</definedName>
    <definedName name="MOV.090.C.0.09.2004.00.00.DGER055">-2000075.67</definedName>
    <definedName name="MOV.090.C.0.09.2004.00.00.DGER056">19496.61</definedName>
    <definedName name="MOV.090.C.0.09.2004.00.00.DGER057">243308.59</definedName>
    <definedName name="MOV.090.C.0.09.2004.00.00.DGER064">0</definedName>
    <definedName name="MOV.090.C.0.09.2004.00.00.DMOLSON05">-25738080.31</definedName>
    <definedName name="MOV.090.C.0.09.2004.00.00.DMOLSON06">-2874127.74</definedName>
    <definedName name="MOV.090.C.0.09.2004.00.00.DMOLSON08">-14943619.03</definedName>
    <definedName name="MOV.090.C.0.09.2004.00.00.DMOLSON08.CG4_AREA_ADM">-7217972.34</definedName>
    <definedName name="MOV.090.C.0.09.2004.00.00.DMOLSON08.CG4_AREA_COM">-7725646.69</definedName>
    <definedName name="MOV.090.C.0.09.2004.00.00.DMOLSON08.CG4_NIVEL3_26">-527441.25</definedName>
    <definedName name="MOV.090.C.0.09.2004.00.00.DMOLSON08.CG4_NIVEL3_27">-58498.2</definedName>
    <definedName name="MOV.090.C.0.09.2004.00.00.DMOLSON14">7202.16</definedName>
    <definedName name="MOV.090.C.0.09.2004.00.00.DMOLSON15">734412.83</definedName>
    <definedName name="MOV.090.C.0.09.2004.00.00.DMOLSON16">-71952.39</definedName>
    <definedName name="MOV.090.C.0.09.2004.00.00.DMOLSON27">-11470415.19</definedName>
    <definedName name="MOV.090.C.0.09.2004.00.00.DMOLSON29">-8124801.52</definedName>
    <definedName name="MOV.090.C.0.09.2004.00.00.DMOLSON30">-2365350</definedName>
    <definedName name="MOV.090.C.0.09.2004.00.00.DMOLSON31">1302381.82</definedName>
    <definedName name="MOV.090.C.0.09.2004.00.00.DRESPER">-19295391.96</definedName>
    <definedName name="MOV.090.C.0.09.2005.00.00.3110030">0</definedName>
    <definedName name="MOV.090.C.0.09.2005.00.00.311550">0</definedName>
    <definedName name="MOV.090.C.0.09.2005.00.00.321450.CG4_NIVEL3_CV">0</definedName>
    <definedName name="MOV.090.C.0.09.2005.00.00.3214500.CG4_32999">0</definedName>
    <definedName name="MOV.090.C.0.09.2005.00.00.3214500.CG4_33999">0</definedName>
    <definedName name="MOV.090.C.0.09.2005.00.00.3214500.CG4_34999">0</definedName>
    <definedName name="MOV.090.C.0.09.2005.00.00.3214500.CG4_42999">0</definedName>
    <definedName name="MOV.090.C.0.09.2005.00.00.3214540">0</definedName>
    <definedName name="MOV.090.C.0.09.2005.00.00.3215100">0</definedName>
    <definedName name="MOV.090.C.0.09.2005.00.00.3215420">0</definedName>
    <definedName name="MOV.090.C.0.09.2005.00.00.3215990.CG4_NIVEL4_AS">0</definedName>
    <definedName name="MOV.090.C.0.09.2005.00.00.421100">0</definedName>
    <definedName name="MOV.090.C.0.09.2005.00.00.4211100">0</definedName>
    <definedName name="MOV.090.C.0.09.2005.00.00.4212080">0</definedName>
    <definedName name="MOV.090.C.0.09.2005.00.00.4220260">0</definedName>
    <definedName name="MOV.090.C.0.09.2005.00.00.DGER003">0</definedName>
    <definedName name="MOV.090.C.0.09.2005.00.00.DGER005">0</definedName>
    <definedName name="MOV.090.C.0.09.2005.00.00.DGER007">0</definedName>
    <definedName name="MOV.090.C.0.09.2005.00.00.DGER01">0</definedName>
    <definedName name="MOV.090.C.0.09.2005.00.00.DGER015.CG4_AREA_ADM">0</definedName>
    <definedName name="MOV.090.C.0.09.2005.00.00.DGER015.CG4_AREA_COM">0</definedName>
    <definedName name="MOV.090.C.0.09.2005.00.00.DGER016">0</definedName>
    <definedName name="MOV.090.C.0.09.2005.00.00.DGER026">0</definedName>
    <definedName name="MOV.090.C.0.09.2005.00.00.DGER026.CG4_NIVEL3_CV">0</definedName>
    <definedName name="MOV.090.C.0.09.2005.00.00.DGER029">0</definedName>
    <definedName name="MOV.090.C.0.09.2005.00.00.DGER030">0</definedName>
    <definedName name="MOV.090.C.0.09.2005.00.00.DGER031">0</definedName>
    <definedName name="MOV.090.C.0.09.2005.00.00.DGER034">0</definedName>
    <definedName name="MOV.090.C.0.09.2005.00.00.DGER036">0</definedName>
    <definedName name="MOV.090.C.0.09.2005.00.00.DGER049">0</definedName>
    <definedName name="MOV.090.C.0.09.2005.00.00.DGER050.CG4_AREA_ADM">0</definedName>
    <definedName name="MOV.090.C.0.09.2005.00.00.DGER050.CG4_AREA_COM">0</definedName>
    <definedName name="MOV.090.C.0.09.2005.00.00.DGER050.CG4_NIVEL3_CV">0</definedName>
    <definedName name="MOV.090.C.0.09.2005.00.00.DGER051">0</definedName>
    <definedName name="MOV.090.C.0.09.2005.00.00.DGER055">0</definedName>
    <definedName name="MOV.090.C.0.09.2005.00.00.DGER056">0</definedName>
    <definedName name="MOV.090.C.0.09.2005.00.00.DGER057">0</definedName>
    <definedName name="MOV.090.C.0.09.2005.00.00.DGER064">0</definedName>
    <definedName name="MOV.090.C.0.09.2005.00.00.DMOLSON05">0</definedName>
    <definedName name="MOV.090.C.0.09.2005.00.00.DMOLSON06">0</definedName>
    <definedName name="MOV.090.C.0.09.2005.00.00.DMOLSON08">0</definedName>
    <definedName name="MOV.090.C.0.09.2005.00.00.DMOLSON08.CG4_AREA_ADM">0</definedName>
    <definedName name="MOV.090.C.0.09.2005.00.00.DMOLSON08.CG4_AREA_COM">0</definedName>
    <definedName name="MOV.090.C.0.09.2005.00.00.DMOLSON08.CG4_NIVEL3_26">0</definedName>
    <definedName name="MOV.090.C.0.09.2005.00.00.DMOLSON08.CG4_NIVEL3_27">0</definedName>
    <definedName name="MOV.090.C.0.09.2005.00.00.DMOLSON14">0</definedName>
    <definedName name="MOV.090.C.0.09.2005.00.00.DMOLSON15">0</definedName>
    <definedName name="MOV.090.C.0.09.2005.00.00.DMOLSON16">0</definedName>
    <definedName name="MOV.090.C.0.09.2005.00.00.DMOLSON27">0</definedName>
    <definedName name="MOV.090.C.0.09.2005.00.00.DMOLSON29">0</definedName>
    <definedName name="MOV.090.C.0.09.2005.00.00.DMOLSON30">0</definedName>
    <definedName name="MOV.090.C.0.09.2005.00.00.DMOLSON31">0</definedName>
    <definedName name="MOV.090.C.0.09.2005.00.00.DRES025">0</definedName>
    <definedName name="MOV.090.C.0.09.2005.00.00.DRES25">0</definedName>
    <definedName name="MOV.090.C.0.09.2005.00.00.DRESPER">0</definedName>
    <definedName name="MOV.090.C.0.10.2002.00.00.311550">-4444801.4</definedName>
    <definedName name="MOV.090.C.0.10.2002.00.00.3214500.CG4_32999">-62243.85</definedName>
    <definedName name="MOV.090.C.0.10.2002.00.00.3214500.CG4_33999">-74431.19</definedName>
    <definedName name="MOV.090.C.0.10.2002.00.00.3214500.CG4_34999">-22407.15</definedName>
    <definedName name="MOV.090.C.0.10.2002.00.00.3214500.CG4_42999">-165106.84</definedName>
    <definedName name="MOV.090.C.0.10.2002.00.00.3215420">-490424</definedName>
    <definedName name="MOV.090.C.0.10.2002.00.00.421100">-620683.71</definedName>
    <definedName name="MOV.090.C.0.10.2002.00.00.DGER003">-79110730.77</definedName>
    <definedName name="MOV.090.C.0.10.2002.00.00.DGER005">-16434912.7</definedName>
    <definedName name="MOV.090.C.0.10.2002.00.00.DGER006">-32861495.22</definedName>
    <definedName name="MOV.090.C.0.10.2002.00.00.DGER007">-3442985.53</definedName>
    <definedName name="MOV.090.C.0.10.2002.00.00.DGER01">179364673.36</definedName>
    <definedName name="MOV.090.C.0.10.2002.00.00.DGER015.CG4_AREA_ADM">-1415692.19</definedName>
    <definedName name="MOV.090.C.0.10.2002.00.00.DGER015.CG4_AREA_COM">-57762.03</definedName>
    <definedName name="MOV.090.C.0.10.2002.00.00.DGER016">-2121288.27000004</definedName>
    <definedName name="MOV.090.C.0.10.2002.00.00.DGER026">-12803581.61</definedName>
    <definedName name="MOV.090.C.0.10.2002.00.00.DGER029">97836.95</definedName>
    <definedName name="MOV.090.C.0.10.2002.00.00.DGER030">-857688.68</definedName>
    <definedName name="MOV.090.C.0.10.2002.00.00.DGER031">-783352.73</definedName>
    <definedName name="MOV.090.C.0.10.2002.00.00.DGER032">103400.17</definedName>
    <definedName name="MOV.090.C.0.10.2002.00.00.DGER034">13657.41</definedName>
    <definedName name="MOV.090.C.0.10.2002.00.00.DGER036">19860.51</definedName>
    <definedName name="MOV.090.C.0.10.2002.00.00.DGER048">7104733.1</definedName>
    <definedName name="MOV.090.C.0.10.2002.00.00.DGER049">-5967323.61</definedName>
    <definedName name="MOV.090.C.0.10.2002.00.00.DGER050.CG4_AREA_ADM">-6879714.42</definedName>
    <definedName name="MOV.090.C.0.10.2002.00.00.DGER050.CG4_AREA_COM">-2438761.62</definedName>
    <definedName name="MOV.090.C.0.10.2002.00.00.DGER051">-8088064.53</definedName>
    <definedName name="MOV.090.C.0.10.2002.00.00.DGER055">-5030889.23</definedName>
    <definedName name="MOV.090.C.0.10.2002.00.00.DGER056">2683693.15</definedName>
    <definedName name="MOV.090.C.0.10.2002.00.00.DGER057">2316339.71</definedName>
    <definedName name="MOV.090.C.0.10.2002.00.00.DGER064">-5164667.49</definedName>
    <definedName name="MOV.090.C.0.10.2002.00.00.DMOLSON27">324792.11</definedName>
    <definedName name="MOV.090.C.0.10.2002.00.00.DRESPER">3014166.73000002</definedName>
    <definedName name="MOV.090.C.0.10.2003.00.00">0</definedName>
    <definedName name="MOV.090.C.0.10.2003.00.00.3110030">-880048.52</definedName>
    <definedName name="MOV.090.C.0.10.2003.00.00.311550">-1920941.63</definedName>
    <definedName name="MOV.090.C.0.10.2003.00.00.321250">-3028138.96</definedName>
    <definedName name="MOV.090.C.0.10.2003.00.00.321450.CG4_NIVEL3_CV">-24738.97999999</definedName>
    <definedName name="MOV.090.C.0.10.2003.00.00.3214500.CG4_32999">-34431.82</definedName>
    <definedName name="MOV.090.C.0.10.2003.00.00.3214500.CG4_33999">-49387.02</definedName>
    <definedName name="MOV.090.C.0.10.2003.00.00.3214500.CG4_34999">-12441.46</definedName>
    <definedName name="MOV.090.C.0.10.2003.00.00.3214500.CG4_42999">-149657.59</definedName>
    <definedName name="MOV.090.C.0.10.2003.00.00.3214540">-398331.44</definedName>
    <definedName name="MOV.090.C.0.10.2003.00.00.3215100">0</definedName>
    <definedName name="MOV.090.C.0.10.2003.00.00.3215420">0</definedName>
    <definedName name="MOV.090.C.0.10.2003.00.00.421100">1366177.49</definedName>
    <definedName name="MOV.090.C.0.10.2003.00.00.4211100">47398.3</definedName>
    <definedName name="MOV.090.C.0.10.2003.00.00.4212080">0</definedName>
    <definedName name="MOV.090.C.0.10.2003.00.00.DGER003">-69059427.05</definedName>
    <definedName name="MOV.090.C.0.10.2003.00.00.DGER005">-14254195.9</definedName>
    <definedName name="MOV.090.C.0.10.2003.00.00.DGER006">-30747499.74</definedName>
    <definedName name="MOV.090.C.0.10.2003.00.00.DGER007">-4421059.95</definedName>
    <definedName name="MOV.090.C.0.10.2003.00.00.DGER01">150061339.38</definedName>
    <definedName name="MOV.090.C.0.10.2003.00.00.DGER015.CG4_AREA_ADM">-1001490.93</definedName>
    <definedName name="MOV.090.C.0.10.2003.00.00.DGER015.CG4_AREA_COM">-92939.04</definedName>
    <definedName name="MOV.090.C.0.10.2003.00.00.DGER015.CG4_NIVEL3_CV">-24738.98</definedName>
    <definedName name="MOV.090.C.0.10.2003.00.00.DGER016">2889791.35</definedName>
    <definedName name="MOV.090.C.0.10.2003.00.00.DGER026">-12683432.67</definedName>
    <definedName name="MOV.090.C.0.10.2003.00.00.DGER026.CG4_NIVEL3_CV">13.66</definedName>
    <definedName name="MOV.090.C.0.10.2003.00.00.DGER029">231768.28</definedName>
    <definedName name="MOV.090.C.0.10.2003.00.00.DGER030">-1989712.29</definedName>
    <definedName name="MOV.090.C.0.10.2003.00.00.DGER031">-1234385.72</definedName>
    <definedName name="MOV.090.C.0.10.2003.00.00.DGER032">196919.5</definedName>
    <definedName name="MOV.090.C.0.10.2003.00.00.DGER034">3891691.79</definedName>
    <definedName name="MOV.090.C.0.10.2003.00.00.DGER036">53396.42</definedName>
    <definedName name="MOV.090.C.0.10.2003.00.00.DGER048">4126978.28</definedName>
    <definedName name="MOV.090.C.0.10.2003.00.00.DGER049">-6175042.84</definedName>
    <definedName name="MOV.090.C.0.10.2003.00.00.DGER050">-11946402.55</definedName>
    <definedName name="MOV.090.C.0.10.2003.00.00.DGER050.CG4_AREA_ADM">-7888719.59</definedName>
    <definedName name="MOV.090.C.0.10.2003.00.00.DGER050.CG4_AREA_COM">-4304019.71</definedName>
    <definedName name="MOV.090.C.0.10.2003.00.00.DGER050.CG4_NIVEL3_CV">-891174.57</definedName>
    <definedName name="MOV.090.C.0.10.2003.00.00.DGER051">-3647379.22</definedName>
    <definedName name="MOV.090.C.0.10.2003.00.00.DGER055">-2711647.12</definedName>
    <definedName name="MOV.090.C.0.10.2003.00.00.DGER056">216963.61</definedName>
    <definedName name="MOV.090.C.0.10.2003.00.00.DGER057">222879.59</definedName>
    <definedName name="MOV.090.C.0.10.2003.00.00.DGER064">-7665584.56</definedName>
    <definedName name="MOV.090.C.0.10.2003.00.00.DMOLSON05">-28807363.05</definedName>
    <definedName name="MOV.090.C.0.10.2003.00.00.DMOLSON06">-3057050.15</definedName>
    <definedName name="MOV.090.C.0.10.2003.00.00.DMOLSON08.CG4_AREA_COM">-4304019.71</definedName>
    <definedName name="MOV.090.C.0.10.2003.00.00.DMOLSON08.CG4_NIVEL3_26">-608740.62</definedName>
    <definedName name="MOV.090.C.0.10.2003.00.00.DMOLSON08.CG4_NIVEL3_27">-83991.07</definedName>
    <definedName name="MOV.090.C.0.10.2003.00.00.DMOLSON14">-288.47</definedName>
    <definedName name="MOV.090.C.0.10.2003.00.00.DMOLSON15">-1533133.8</definedName>
    <definedName name="MOV.090.C.0.10.2003.00.00.DMOLSON16">196919.5</definedName>
    <definedName name="MOV.090.C.0.10.2003.00.00.DMOLSON27">0</definedName>
    <definedName name="MOV.090.C.0.10.2003.00.00.DMOLSON29">4413015.4</definedName>
    <definedName name="MOV.090.C.0.10.2003.00.00.DMOLSON30">-1940136.69</definedName>
    <definedName name="MOV.090.C.0.10.2003.00.00.DMOLSON31">1247096.68</definedName>
    <definedName name="MOV.090.C.0.10.2003.00.00.DRESPER">-10875290.85</definedName>
    <definedName name="MOV.090.C.0.10.2004.00.00.3110030">-960463.32</definedName>
    <definedName name="MOV.090.C.0.10.2004.00.00.311550">-1495565.7</definedName>
    <definedName name="MOV.090.C.0.10.2004.00.00.321450.CG4_NIVEL3_CV">-521010.05</definedName>
    <definedName name="MOV.090.C.0.10.2004.00.00.3214500.CG4_32999">0</definedName>
    <definedName name="MOV.090.C.0.10.2004.00.00.3214500.CG4_33999">0</definedName>
    <definedName name="MOV.090.C.0.10.2004.00.00.3214500.CG4_34999">0</definedName>
    <definedName name="MOV.090.C.0.10.2004.00.00.3214500.CG4_42999">-207886.94</definedName>
    <definedName name="MOV.090.C.0.10.2004.00.00.3214540">-554098.18</definedName>
    <definedName name="MOV.090.C.0.10.2004.00.00.3214570">0</definedName>
    <definedName name="MOV.090.C.0.10.2004.00.00.3215100">-755915</definedName>
    <definedName name="MOV.090.C.0.10.2004.00.00.3215420">0</definedName>
    <definedName name="MOV.090.C.0.10.2004.00.00.421100">0</definedName>
    <definedName name="MOV.090.C.0.10.2004.00.00.4211100">0</definedName>
    <definedName name="MOV.090.C.0.10.2004.00.00.4212080">0</definedName>
    <definedName name="MOV.090.C.0.10.2004.00.00.DGER003">-71826338.14</definedName>
    <definedName name="MOV.090.C.0.10.2004.00.00.DGER005">-15773306.49</definedName>
    <definedName name="MOV.090.C.0.10.2004.00.00.DGER007">-3834786.54</definedName>
    <definedName name="MOV.090.C.0.10.2004.00.00.DGER01">141284943.68</definedName>
    <definedName name="MOV.090.C.0.10.2004.00.00.DGER015.CG4_AREA_ADM">-1029548.46</definedName>
    <definedName name="MOV.090.C.0.10.2004.00.00.DGER015.CG4_AREA_COM">-1890104.2</definedName>
    <definedName name="MOV.090.C.0.10.2004.00.00.DGER016">8437004.69999999</definedName>
    <definedName name="MOV.090.C.0.10.2004.00.00.DGER026">-5969011.76</definedName>
    <definedName name="MOV.090.C.0.10.2004.00.00.DGER026.CG4_NIVEL3_CV">-425401.97</definedName>
    <definedName name="MOV.090.C.0.10.2004.00.00.DGER029">5133719.74</definedName>
    <definedName name="MOV.090.C.0.10.2004.00.00.DGER030">-3530221.41</definedName>
    <definedName name="MOV.090.C.0.10.2004.00.00.DGER031">-2302149.79</definedName>
    <definedName name="MOV.090.C.0.10.2004.00.00.DGER032">0</definedName>
    <definedName name="MOV.090.C.0.10.2004.00.00.DGER034">530792.33</definedName>
    <definedName name="MOV.090.C.0.10.2004.00.00.DGER036">59837.2</definedName>
    <definedName name="MOV.090.C.0.10.2004.00.00.DGER048">0</definedName>
    <definedName name="MOV.090.C.0.10.2004.00.00.DGER049">-4756407.35</definedName>
    <definedName name="MOV.090.C.0.10.2004.00.00.DGER050.CG4_AREA_ADM">-7577380.17</definedName>
    <definedName name="MOV.090.C.0.10.2004.00.00.DGER050.CG4_AREA_COM">-7902442.96</definedName>
    <definedName name="MOV.090.C.0.10.2004.00.00.DGER050.CG4_NIVEL3_CV">-5497401.99</definedName>
    <definedName name="MOV.090.C.0.10.2004.00.00.DGER051">-1873740.26</definedName>
    <definedName name="MOV.090.C.0.10.2004.00.00.DGER055">-3671090.35</definedName>
    <definedName name="MOV.090.C.0.10.2004.00.00.DGER056">2592541.58</definedName>
    <definedName name="MOV.090.C.0.10.2004.00.00.DGER057">33454.05</definedName>
    <definedName name="MOV.090.C.0.10.2004.00.00.DGER064">0</definedName>
    <definedName name="MOV.090.C.0.10.2004.00.00.DMOLSON05">-28850714</definedName>
    <definedName name="MOV.090.C.0.10.2004.00.00.DMOLSON06">-3033209.14</definedName>
    <definedName name="MOV.090.C.0.10.2004.00.00.DMOLSON08">-15479823.13</definedName>
    <definedName name="MOV.090.C.0.10.2004.00.00.DMOLSON08.CG4_AREA_ADM">-7577380.17</definedName>
    <definedName name="MOV.090.C.0.10.2004.00.00.DMOLSON08.CG4_AREA_COM">-7902442.96</definedName>
    <definedName name="MOV.090.C.0.10.2004.00.00.DMOLSON08.CG4_NIVEL3_26">-409079.23</definedName>
    <definedName name="MOV.090.C.0.10.2004.00.00.DMOLSON08.CG4_NIVEL3_27">212000.6</definedName>
    <definedName name="MOV.090.C.0.10.2004.00.00.DMOLSON14">-366827.29</definedName>
    <definedName name="MOV.090.C.0.10.2004.00.00.DMOLSON15">-499498.75</definedName>
    <definedName name="MOV.090.C.0.10.2004.00.00.DMOLSON16">-71620.83</definedName>
    <definedName name="MOV.090.C.0.10.2004.00.00.DMOLSON27">8999830.62</definedName>
    <definedName name="MOV.090.C.0.10.2004.00.00.DMOLSON29">-4535.48</definedName>
    <definedName name="MOV.090.C.0.10.2004.00.00.DMOLSON30">-1803845.74</definedName>
    <definedName name="MOV.090.C.0.10.2004.00.00.DMOLSON31">505245.93</definedName>
    <definedName name="MOV.090.C.0.10.2004.00.00.DRESPER">-2755451.48</definedName>
    <definedName name="MOV.090.C.0.10.2005.00.00.3110030">0</definedName>
    <definedName name="MOV.090.C.0.10.2005.00.00.311550">0</definedName>
    <definedName name="MOV.090.C.0.10.2005.00.00.321450.CG4_NIVEL3_CV">0</definedName>
    <definedName name="MOV.090.C.0.10.2005.00.00.3214500.CG4_32999">0</definedName>
    <definedName name="MOV.090.C.0.10.2005.00.00.3214500.CG4_33999">0</definedName>
    <definedName name="MOV.090.C.0.10.2005.00.00.3214500.CG4_34999">0</definedName>
    <definedName name="MOV.090.C.0.10.2005.00.00.3214500.CG4_42999">0</definedName>
    <definedName name="MOV.090.C.0.10.2005.00.00.3214540">0</definedName>
    <definedName name="MOV.090.C.0.10.2005.00.00.3215100">0</definedName>
    <definedName name="MOV.090.C.0.10.2005.00.00.3215420">0</definedName>
    <definedName name="MOV.090.C.0.10.2005.00.00.3215990.CG4_NIVEL4_AS">0</definedName>
    <definedName name="MOV.090.C.0.10.2005.00.00.421100">0</definedName>
    <definedName name="MOV.090.C.0.10.2005.00.00.4211100">0</definedName>
    <definedName name="MOV.090.C.0.10.2005.00.00.4212080">0</definedName>
    <definedName name="MOV.090.C.0.10.2005.00.00.4220260">0</definedName>
    <definedName name="MOV.090.C.0.10.2005.00.00.DGER003">0</definedName>
    <definedName name="MOV.090.C.0.10.2005.00.00.DGER005">0</definedName>
    <definedName name="MOV.090.C.0.10.2005.00.00.DGER007">0</definedName>
    <definedName name="MOV.090.C.0.10.2005.00.00.DGER01">0</definedName>
    <definedName name="MOV.090.C.0.10.2005.00.00.DGER015.CG4_AREA_ADM">0</definedName>
    <definedName name="MOV.090.C.0.10.2005.00.00.DGER015.CG4_AREA_COM">0</definedName>
    <definedName name="MOV.090.C.0.10.2005.00.00.DGER016">0</definedName>
    <definedName name="MOV.090.C.0.10.2005.00.00.DGER026">0</definedName>
    <definedName name="MOV.090.C.0.10.2005.00.00.DGER026.CG4_NIVEL3_CV">0</definedName>
    <definedName name="MOV.090.C.0.10.2005.00.00.DGER029">0</definedName>
    <definedName name="MOV.090.C.0.10.2005.00.00.DGER030">0</definedName>
    <definedName name="MOV.090.C.0.10.2005.00.00.DGER031">0</definedName>
    <definedName name="MOV.090.C.0.10.2005.00.00.DGER034">0</definedName>
    <definedName name="MOV.090.C.0.10.2005.00.00.DGER036">0</definedName>
    <definedName name="MOV.090.C.0.10.2005.00.00.DGER049">0</definedName>
    <definedName name="MOV.090.C.0.10.2005.00.00.DGER050.CG4_AREA_ADM">0</definedName>
    <definedName name="MOV.090.C.0.10.2005.00.00.DGER050.CG4_AREA_COM">0</definedName>
    <definedName name="MOV.090.C.0.10.2005.00.00.DGER050.CG4_NIVEL3_CV">0</definedName>
    <definedName name="MOV.090.C.0.10.2005.00.00.DGER051">0</definedName>
    <definedName name="MOV.090.C.0.10.2005.00.00.DGER055">0</definedName>
    <definedName name="MOV.090.C.0.10.2005.00.00.DGER056">0</definedName>
    <definedName name="MOV.090.C.0.10.2005.00.00.DGER057">0</definedName>
    <definedName name="MOV.090.C.0.10.2005.00.00.DGER064">0</definedName>
    <definedName name="MOV.090.C.0.10.2005.00.00.DMOLSON05">0</definedName>
    <definedName name="MOV.090.C.0.10.2005.00.00.DMOLSON06">0</definedName>
    <definedName name="MOV.090.C.0.10.2005.00.00.DMOLSON08">0</definedName>
    <definedName name="MOV.090.C.0.10.2005.00.00.DMOLSON08.CG4_AREA_ADM">0</definedName>
    <definedName name="MOV.090.C.0.10.2005.00.00.DMOLSON08.CG4_AREA_COM">0</definedName>
    <definedName name="MOV.090.C.0.10.2005.00.00.DMOLSON08.CG4_NIVEL3_26">0</definedName>
    <definedName name="MOV.090.C.0.10.2005.00.00.DMOLSON08.CG4_NIVEL3_27">0</definedName>
    <definedName name="MOV.090.C.0.10.2005.00.00.DMOLSON14">0</definedName>
    <definedName name="MOV.090.C.0.10.2005.00.00.DMOLSON15">0</definedName>
    <definedName name="MOV.090.C.0.10.2005.00.00.DMOLSON16">0</definedName>
    <definedName name="MOV.090.C.0.10.2005.00.00.DMOLSON27">0</definedName>
    <definedName name="MOV.090.C.0.10.2005.00.00.DMOLSON29">0</definedName>
    <definedName name="MOV.090.C.0.10.2005.00.00.DMOLSON30">0</definedName>
    <definedName name="MOV.090.C.0.10.2005.00.00.DMOLSON31">0</definedName>
    <definedName name="MOV.090.C.0.10.2005.00.00.DRES025">0</definedName>
    <definedName name="MOV.090.C.0.10.2005.00.00.DRES25">0</definedName>
    <definedName name="MOV.090.C.0.10.2005.00.00.DRESPER">0</definedName>
    <definedName name="MOV.090.C.0.11.2002.00.00.311550">-4465877.24</definedName>
    <definedName name="MOV.090.C.0.11.2002.00.00.3214500.CG4_32999">0</definedName>
    <definedName name="MOV.090.C.0.11.2002.00.00.3214500.CG4_33999">0</definedName>
    <definedName name="MOV.090.C.0.11.2002.00.00.3214500.CG4_34999">0</definedName>
    <definedName name="MOV.090.C.0.11.2002.00.00.3214500.CG4_42999">-351692.6</definedName>
    <definedName name="MOV.090.C.0.11.2002.00.00.3215420">-497424</definedName>
    <definedName name="MOV.090.C.0.11.2002.00.00.421100">-788606.15</definedName>
    <definedName name="MOV.090.C.0.11.2002.00.00.DGER003">-90580933.69</definedName>
    <definedName name="MOV.090.C.0.11.2002.00.00.DGER005">-25009068.41</definedName>
    <definedName name="MOV.090.C.0.11.2002.00.00.DGER006">-51917606.47</definedName>
    <definedName name="MOV.090.C.0.11.2002.00.00.DGER007">-4693837.32</definedName>
    <definedName name="MOV.090.C.0.11.2002.00.00.DGER01">207008297.83</definedName>
    <definedName name="MOV.090.C.0.11.2002.00.00.DGER015.CG4_AREA_ADM">-1391438.96</definedName>
    <definedName name="MOV.090.C.0.11.2002.00.00.DGER015.CG4_AREA_COM">-57618.08</definedName>
    <definedName name="MOV.090.C.0.11.2002.00.00.DGER016">10459855.48</definedName>
    <definedName name="MOV.090.C.0.11.2002.00.00.DGER026">-11890567.13</definedName>
    <definedName name="MOV.090.C.0.11.2002.00.00.DGER029">107951.92</definedName>
    <definedName name="MOV.090.C.0.11.2002.00.00.DGER030">-877804.94</definedName>
    <definedName name="MOV.090.C.0.11.2002.00.00.DGER031">-952135.18</definedName>
    <definedName name="MOV.090.C.0.11.2002.00.00.DGER032">40832.42</definedName>
    <definedName name="MOV.090.C.0.11.2002.00.00.DGER034">-252469.4</definedName>
    <definedName name="MOV.090.C.0.11.2002.00.00.DGER036">47145.51</definedName>
    <definedName name="MOV.090.C.0.11.2002.00.00.DGER048">8508729.13</definedName>
    <definedName name="MOV.090.C.0.11.2002.00.00.DGER049">-6248362.23</definedName>
    <definedName name="MOV.090.C.0.11.2002.00.00.DGER050.CG4_AREA_ADM">-7878165.46</definedName>
    <definedName name="MOV.090.C.0.11.2002.00.00.DGER050.CG4_AREA_COM">-2587516.64</definedName>
    <definedName name="MOV.090.C.0.11.2002.00.00.DGER051">-10685589.79</definedName>
    <definedName name="MOV.090.C.0.11.2002.00.00.DGER055">-6928324.58</definedName>
    <definedName name="MOV.090.C.0.11.2002.00.00.DGER056">3377418.12</definedName>
    <definedName name="MOV.090.C.0.11.2002.00.00.DGER057">386473.81</definedName>
    <definedName name="MOV.090.C.0.11.2002.00.00.DGER064">-5164667.49</definedName>
    <definedName name="MOV.090.C.0.11.2002.00.00.DMOLSON27">746556.31</definedName>
    <definedName name="MOV.090.C.0.11.2002.00.00.DRESPER">-2184752.63000002</definedName>
    <definedName name="MOV.090.C.0.11.2003.00.00">0</definedName>
    <definedName name="MOV.090.C.0.11.2003.00.00.3110030">-1084829.53</definedName>
    <definedName name="MOV.090.C.0.11.2003.00.00.311550">-20532633.61</definedName>
    <definedName name="MOV.090.C.0.11.2003.00.00.321250">-3288382.88</definedName>
    <definedName name="MOV.090.C.0.11.2003.00.00.321450.CG4_NIVEL3_CV">-64295.55000001</definedName>
    <definedName name="MOV.090.C.0.11.2003.00.00.3214500.CG4_32999">0</definedName>
    <definedName name="MOV.090.C.0.11.2003.00.00.3214500.CG4_33999">0</definedName>
    <definedName name="MOV.090.C.0.11.2003.00.00.3214500.CG4_34999">0</definedName>
    <definedName name="MOV.090.C.0.11.2003.00.00.3214500.CG4_42999">-167386.17</definedName>
    <definedName name="MOV.090.C.0.11.2003.00.00.3214540">-400949.54</definedName>
    <definedName name="MOV.090.C.0.11.2003.00.00.3215100">12428.46</definedName>
    <definedName name="MOV.090.C.0.11.2003.00.00.3215420">0</definedName>
    <definedName name="MOV.090.C.0.11.2003.00.00.421100">-3689917.07</definedName>
    <definedName name="MOV.090.C.0.11.2003.00.00.4211100">-47371.06</definedName>
    <definedName name="MOV.090.C.0.11.2003.00.00.4212080">0</definedName>
    <definedName name="MOV.090.C.0.11.2003.00.00.DGER003">-74015467.62</definedName>
    <definedName name="MOV.090.C.0.11.2003.00.00.DGER005">-14905150.6</definedName>
    <definedName name="MOV.090.C.0.11.2003.00.00.DGER006">-33340310.19</definedName>
    <definedName name="MOV.090.C.0.11.2003.00.00.DGER007">-4357276.34</definedName>
    <definedName name="MOV.090.C.0.11.2003.00.00.DGER01">159121506.01</definedName>
    <definedName name="MOV.090.C.0.11.2003.00.00.DGER015.CG4_AREA_ADM">-3420540.81</definedName>
    <definedName name="MOV.090.C.0.11.2003.00.00.DGER015.CG4_AREA_COM">-139710.09</definedName>
    <definedName name="MOV.090.C.0.11.2003.00.00.DGER015.CG4_NIVEL3_CV">-64295.55</definedName>
    <definedName name="MOV.090.C.0.11.2003.00.00.DGER016">6036268.31</definedName>
    <definedName name="MOV.090.C.0.11.2003.00.00.DGER026">-16132363.42</definedName>
    <definedName name="MOV.090.C.0.11.2003.00.00.DGER026.CG4_NIVEL3_CV">-341830.58</definedName>
    <definedName name="MOV.090.C.0.11.2003.00.00.DGER029">139299.63</definedName>
    <definedName name="MOV.090.C.0.11.2003.00.00.DGER030">-2224797.51</definedName>
    <definedName name="MOV.090.C.0.11.2003.00.00.DGER031">-859064.41</definedName>
    <definedName name="MOV.090.C.0.11.2003.00.00.DGER032">-1786302.15</definedName>
    <definedName name="MOV.090.C.0.11.2003.00.00.DGER034">10723506.33</definedName>
    <definedName name="MOV.090.C.0.11.2003.00.00.DGER036">50874.32</definedName>
    <definedName name="MOV.090.C.0.11.2003.00.00.DGER048">-930017.19</definedName>
    <definedName name="MOV.090.C.0.11.2003.00.00.DGER049">-6458213.11</definedName>
    <definedName name="MOV.090.C.0.11.2003.00.00.DGER050">-12510938.22</definedName>
    <definedName name="MOV.090.C.0.11.2003.00.00.DGER050.CG4_AREA_ADM">-7575291.53</definedName>
    <definedName name="MOV.090.C.0.11.2003.00.00.DGER050.CG4_AREA_COM">-5283788.15</definedName>
    <definedName name="MOV.090.C.0.11.2003.00.00.DGER050.CG4_NIVEL3_CV">-1735050.55</definedName>
    <definedName name="MOV.090.C.0.11.2003.00.00.DGER051">-3356602.87</definedName>
    <definedName name="MOV.090.C.0.11.2003.00.00.DGER055">-1833504.21</definedName>
    <definedName name="MOV.090.C.0.11.2003.00.00.DGER056">141765.62</definedName>
    <definedName name="MOV.090.C.0.11.2003.00.00.DGER057">-107610.01</definedName>
    <definedName name="MOV.090.C.0.11.2003.00.00.DGER064">-7665584.56</definedName>
    <definedName name="MOV.090.C.0.11.2003.00.00.DMOLSON05">-32216138.98</definedName>
    <definedName name="MOV.090.C.0.11.2003.00.00.DMOLSON06">-3294580.66</definedName>
    <definedName name="MOV.090.C.0.11.2003.00.00.DMOLSON08.CG4_AREA_COM">-5283788.15</definedName>
    <definedName name="MOV.090.C.0.11.2003.00.00.DMOLSON08.CG4_NIVEL3_26">-644646.4</definedName>
    <definedName name="MOV.090.C.0.11.2003.00.00.DMOLSON08.CG4_NIVEL3_27">-73954.99</definedName>
    <definedName name="MOV.090.C.0.11.2003.00.00.DMOLSON14">-67550.66</definedName>
    <definedName name="MOV.090.C.0.11.2003.00.00.DMOLSON15">-2359034.18</definedName>
    <definedName name="MOV.090.C.0.11.2003.00.00.DMOLSON16">-1786302.15</definedName>
    <definedName name="MOV.090.C.0.11.2003.00.00.DMOLSON27">0</definedName>
    <definedName name="MOV.090.C.0.11.2003.00.00.DMOLSON29">88664.1</definedName>
    <definedName name="MOV.090.C.0.11.2003.00.00.DMOLSON30">-1124171.21</definedName>
    <definedName name="MOV.090.C.0.11.2003.00.00.DMOLSON31">1340352.89</definedName>
    <definedName name="MOV.090.C.0.11.2003.00.00.DRESPER">-37248835.6199999</definedName>
    <definedName name="MOV.090.C.0.11.2004.00.00.3110030">-919749.05</definedName>
    <definedName name="MOV.090.C.0.11.2004.00.00.311550">-1279172.56</definedName>
    <definedName name="MOV.090.C.0.11.2004.00.00.321450.CG4_NIVEL3_CV">-442067.44</definedName>
    <definedName name="MOV.090.C.0.11.2004.00.00.3214500.CG4_32999">0</definedName>
    <definedName name="MOV.090.C.0.11.2004.00.00.3214500.CG4_33999">0</definedName>
    <definedName name="MOV.090.C.0.11.2004.00.00.3214500.CG4_34999">0</definedName>
    <definedName name="MOV.090.C.0.11.2004.00.00.3214500.CG4_42999">-207886.94</definedName>
    <definedName name="MOV.090.C.0.11.2004.00.00.3214540">-554442.6</definedName>
    <definedName name="MOV.090.C.0.11.2004.00.00.3214570">0</definedName>
    <definedName name="MOV.090.C.0.11.2004.00.00.3215100">-469001.86</definedName>
    <definedName name="MOV.090.C.0.11.2004.00.00.3215420">0</definedName>
    <definedName name="MOV.090.C.0.11.2004.00.00.421100">0</definedName>
    <definedName name="MOV.090.C.0.11.2004.00.00.4211100">0</definedName>
    <definedName name="MOV.090.C.0.11.2004.00.00.4212080">0</definedName>
    <definedName name="MOV.090.C.0.11.2004.00.00.DGER003">-77370067.42</definedName>
    <definedName name="MOV.090.C.0.11.2004.00.00.DGER005">-14756614.13</definedName>
    <definedName name="MOV.090.C.0.11.2004.00.00.DGER007">-3926916.83</definedName>
    <definedName name="MOV.090.C.0.11.2004.00.00.DGER01">151464052.44</definedName>
    <definedName name="MOV.090.C.0.11.2004.00.00.DGER015.CG4_AREA_ADM">-1005234.15</definedName>
    <definedName name="MOV.090.C.0.11.2004.00.00.DGER015.CG4_AREA_COM">-517593.34</definedName>
    <definedName name="MOV.090.C.0.11.2004.00.00.DGER016">3048145.06</definedName>
    <definedName name="MOV.090.C.0.11.2004.00.00.DGER026">-8003902.25</definedName>
    <definedName name="MOV.090.C.0.11.2004.00.00.DGER026.CG4_NIVEL3_CV">-637101.97</definedName>
    <definedName name="MOV.090.C.0.11.2004.00.00.DGER029">7285590.37</definedName>
    <definedName name="MOV.090.C.0.11.2004.00.00.DGER030">-3277534.03</definedName>
    <definedName name="MOV.090.C.0.11.2004.00.00.DGER031">-2286307.36</definedName>
    <definedName name="MOV.090.C.0.11.2004.00.00.DGER032">0</definedName>
    <definedName name="MOV.090.C.0.11.2004.00.00.DGER034">11680564.13</definedName>
    <definedName name="MOV.090.C.0.11.2004.00.00.DGER036">262275.16</definedName>
    <definedName name="MOV.090.C.0.11.2004.00.00.DGER048">0</definedName>
    <definedName name="MOV.090.C.0.11.2004.00.00.DGER049">-5995684.36</definedName>
    <definedName name="MOV.090.C.0.11.2004.00.00.DGER050.CG4_AREA_ADM">-7368851.72</definedName>
    <definedName name="MOV.090.C.0.11.2004.00.00.DGER050.CG4_AREA_COM">-8226683.38</definedName>
    <definedName name="MOV.090.C.0.11.2004.00.00.DGER050.CG4_NIVEL3_CV">-5387596.9</definedName>
    <definedName name="MOV.090.C.0.11.2004.00.00.DGER051">-1983409.41</definedName>
    <definedName name="MOV.090.C.0.11.2004.00.00.DGER055">-8191717.35</definedName>
    <definedName name="MOV.090.C.0.11.2004.00.00.DGER056">4579794.3</definedName>
    <definedName name="MOV.090.C.0.11.2004.00.00.DGER057">643169.75</definedName>
    <definedName name="MOV.090.C.0.11.2004.00.00.DGER064">0</definedName>
    <definedName name="MOV.090.C.0.11.2004.00.00.DMOLSON05">-26027400.33</definedName>
    <definedName name="MOV.090.C.0.11.2004.00.00.DMOLSON06">-3137317.6</definedName>
    <definedName name="MOV.090.C.0.11.2004.00.00.DMOLSON08">-15595535.1</definedName>
    <definedName name="MOV.090.C.0.11.2004.00.00.DMOLSON08.CG4_AREA_ADM">-7368851.72</definedName>
    <definedName name="MOV.090.C.0.11.2004.00.00.DMOLSON08.CG4_AREA_COM">-8226683.38</definedName>
    <definedName name="MOV.090.C.0.11.2004.00.00.DMOLSON08.CG4_NIVEL3_26">-459568.48</definedName>
    <definedName name="MOV.090.C.0.11.2004.00.00.DMOLSON08.CG4_NIVEL3_27">-133938.54</definedName>
    <definedName name="MOV.090.C.0.11.2004.00.00.DMOLSON14">-115465.94</definedName>
    <definedName name="MOV.090.C.0.11.2004.00.00.DMOLSON15">-297551.83</definedName>
    <definedName name="MOV.090.C.0.11.2004.00.00.DMOLSON16">427461.8</definedName>
    <definedName name="MOV.090.C.0.11.2004.00.00.DMOLSON27">-42588485.93</definedName>
    <definedName name="MOV.090.C.0.11.2004.00.00.DMOLSON29">-462.52</definedName>
    <definedName name="MOV.090.C.0.11.2004.00.00.DMOLSON30">0</definedName>
    <definedName name="MOV.090.C.0.11.2004.00.00.DMOLSON31">646873.85</definedName>
    <definedName name="MOV.090.C.0.11.2004.00.00.DRESPER">-38261639.09</definedName>
    <definedName name="MOV.090.C.0.11.2005.00.00.3110030">0</definedName>
    <definedName name="MOV.090.C.0.11.2005.00.00.311550">0</definedName>
    <definedName name="MOV.090.C.0.11.2005.00.00.321450.CG4_NIVEL3_CV">0</definedName>
    <definedName name="MOV.090.C.0.11.2005.00.00.3214500.CG4_32999">0</definedName>
    <definedName name="MOV.090.C.0.11.2005.00.00.3214500.CG4_33999">0</definedName>
    <definedName name="MOV.090.C.0.11.2005.00.00.3214500.CG4_34999">0</definedName>
    <definedName name="MOV.090.C.0.11.2005.00.00.3214500.CG4_42999">0</definedName>
    <definedName name="MOV.090.C.0.11.2005.00.00.3214540">0</definedName>
    <definedName name="MOV.090.C.0.11.2005.00.00.3215100">0</definedName>
    <definedName name="MOV.090.C.0.11.2005.00.00.3215420">0</definedName>
    <definedName name="MOV.090.C.0.11.2005.00.00.3215990.CG4_NIVEL4_AS">0</definedName>
    <definedName name="MOV.090.C.0.11.2005.00.00.421100">0</definedName>
    <definedName name="MOV.090.C.0.11.2005.00.00.4211100">0</definedName>
    <definedName name="MOV.090.C.0.11.2005.00.00.4212080">0</definedName>
    <definedName name="MOV.090.C.0.11.2005.00.00.4220260">0</definedName>
    <definedName name="MOV.090.C.0.11.2005.00.00.DGER003">0</definedName>
    <definedName name="MOV.090.C.0.11.2005.00.00.DGER005">0</definedName>
    <definedName name="MOV.090.C.0.11.2005.00.00.DGER007">0</definedName>
    <definedName name="MOV.090.C.0.11.2005.00.00.DGER01">0</definedName>
    <definedName name="MOV.090.C.0.11.2005.00.00.DGER015.CG4_AREA_ADM">0</definedName>
    <definedName name="MOV.090.C.0.11.2005.00.00.DGER015.CG4_AREA_COM">0</definedName>
    <definedName name="MOV.090.C.0.11.2005.00.00.DGER016">0</definedName>
    <definedName name="MOV.090.C.0.11.2005.00.00.DGER026">0</definedName>
    <definedName name="MOV.090.C.0.11.2005.00.00.DGER026.CG4_NIVEL3_CV">0</definedName>
    <definedName name="MOV.090.C.0.11.2005.00.00.DGER029">0</definedName>
    <definedName name="MOV.090.C.0.11.2005.00.00.DGER030">0</definedName>
    <definedName name="MOV.090.C.0.11.2005.00.00.DGER031">0</definedName>
    <definedName name="MOV.090.C.0.11.2005.00.00.DGER034">0</definedName>
    <definedName name="MOV.090.C.0.11.2005.00.00.DGER036">0</definedName>
    <definedName name="MOV.090.C.0.11.2005.00.00.DGER049">0</definedName>
    <definedName name="MOV.090.C.0.11.2005.00.00.DGER050.CG4_AREA_ADM">0</definedName>
    <definedName name="MOV.090.C.0.11.2005.00.00.DGER050.CG4_AREA_COM">0</definedName>
    <definedName name="MOV.090.C.0.11.2005.00.00.DGER050.CG4_NIVEL3_CV">0</definedName>
    <definedName name="MOV.090.C.0.11.2005.00.00.DGER051">0</definedName>
    <definedName name="MOV.090.C.0.11.2005.00.00.DGER055">0</definedName>
    <definedName name="MOV.090.C.0.11.2005.00.00.DGER056">0</definedName>
    <definedName name="MOV.090.C.0.11.2005.00.00.DGER057">0</definedName>
    <definedName name="MOV.090.C.0.11.2005.00.00.DGER064">0</definedName>
    <definedName name="MOV.090.C.0.11.2005.00.00.DMOLSON05">0</definedName>
    <definedName name="MOV.090.C.0.11.2005.00.00.DMOLSON06">0</definedName>
    <definedName name="MOV.090.C.0.11.2005.00.00.DMOLSON08">0</definedName>
    <definedName name="MOV.090.C.0.11.2005.00.00.DMOLSON08.CG4_AREA_ADM">0</definedName>
    <definedName name="MOV.090.C.0.11.2005.00.00.DMOLSON08.CG4_AREA_COM">0</definedName>
    <definedName name="MOV.090.C.0.11.2005.00.00.DMOLSON08.CG4_NIVEL3_26">0</definedName>
    <definedName name="MOV.090.C.0.11.2005.00.00.DMOLSON08.CG4_NIVEL3_27">0</definedName>
    <definedName name="MOV.090.C.0.11.2005.00.00.DMOLSON14">0</definedName>
    <definedName name="MOV.090.C.0.11.2005.00.00.DMOLSON15">0</definedName>
    <definedName name="MOV.090.C.0.11.2005.00.00.DMOLSON16">0</definedName>
    <definedName name="MOV.090.C.0.11.2005.00.00.DMOLSON27">0</definedName>
    <definedName name="MOV.090.C.0.11.2005.00.00.DMOLSON29">0</definedName>
    <definedName name="MOV.090.C.0.11.2005.00.00.DMOLSON30">0</definedName>
    <definedName name="MOV.090.C.0.11.2005.00.00.DMOLSON31">0</definedName>
    <definedName name="MOV.090.C.0.11.2005.00.00.DRES025">0</definedName>
    <definedName name="MOV.090.C.0.11.2005.00.00.DRES25">0</definedName>
    <definedName name="MOV.090.C.0.11.2005.00.00.DRESPER">0</definedName>
    <definedName name="MOV.090.C.0.12.2002.00.00.311550">-4462243.31</definedName>
    <definedName name="MOV.090.C.0.12.2002.00.00.3214500.CG4_32999">0</definedName>
    <definedName name="MOV.090.C.0.12.2002.00.00.3214500.CG4_33999">0</definedName>
    <definedName name="MOV.090.C.0.12.2002.00.00.3214500.CG4_34999">0</definedName>
    <definedName name="MOV.090.C.0.12.2002.00.00.3214500.CG4_42999">-350824.08</definedName>
    <definedName name="MOV.090.C.0.12.2002.00.00.3215420">-462654</definedName>
    <definedName name="MOV.090.C.0.12.2002.00.00.421100">-31969664.6499999</definedName>
    <definedName name="MOV.090.C.0.12.2002.00.00.DGER003">-106985702.44</definedName>
    <definedName name="MOV.090.C.0.12.2002.00.00.DGER005">-23223145.54</definedName>
    <definedName name="MOV.090.C.0.12.2002.00.00.DGER006">-44062367.0799999</definedName>
    <definedName name="MOV.090.C.0.12.2002.00.00.DGER007">-4613576.8</definedName>
    <definedName name="MOV.090.C.0.12.2002.00.00.DGER01">229705879.809999</definedName>
    <definedName name="MOV.090.C.0.12.2002.00.00.DGER015.CG4_AREA_ADM">-1403596.64</definedName>
    <definedName name="MOV.090.C.0.12.2002.00.00.DGER015.CG4_AREA_COM">-58268.87</definedName>
    <definedName name="MOV.090.C.0.12.2002.00.00.DGER016">4548647.04000002</definedName>
    <definedName name="MOV.090.C.0.12.2002.00.00.DGER026">-15653864.62</definedName>
    <definedName name="MOV.090.C.0.12.2002.00.00.DGER029">544923.57</definedName>
    <definedName name="MOV.090.C.0.12.2002.00.00.DGER030">-1074534.61</definedName>
    <definedName name="MOV.090.C.0.12.2002.00.00.DGER031">-1522175.36</definedName>
    <definedName name="MOV.090.C.0.12.2002.00.00.DGER032">1207463.09000001</definedName>
    <definedName name="MOV.090.C.0.12.2002.00.00.DGER034">111032556.46</definedName>
    <definedName name="MOV.090.C.0.12.2002.00.00.DGER036">-194851</definedName>
    <definedName name="MOV.090.C.0.12.2002.00.00.DGER048">10884603.35</definedName>
    <definedName name="MOV.090.C.0.12.2002.00.00.DGER049">-6216899.64</definedName>
    <definedName name="MOV.090.C.0.12.2002.00.00.DGER050.CG4_AREA_ADM">-9532864.93</definedName>
    <definedName name="MOV.090.C.0.12.2002.00.00.DGER050.CG4_AREA_COM">-1666553.13</definedName>
    <definedName name="MOV.090.C.0.12.2002.00.00.DGER051">-10668479.35</definedName>
    <definedName name="MOV.090.C.0.12.2002.00.00.DGER055">-7274228.21</definedName>
    <definedName name="MOV.090.C.0.12.2002.00.00.DGER056">29079339.23</definedName>
    <definedName name="MOV.090.C.0.12.2002.00.00.DGER057">-336030.54</definedName>
    <definedName name="MOV.090.C.0.12.2002.00.00.DGER064">-5164667.49</definedName>
    <definedName name="MOV.090.C.0.12.2002.00.00.DMOLSON27">-1190982.63</definedName>
    <definedName name="MOV.090.C.0.12.2002.00.00.DRESPER">109266061.71</definedName>
    <definedName name="MOV.090.C.0.12.2003.00.00">0</definedName>
    <definedName name="MOV.090.C.0.12.2003.00.00.3110030">-1619725.64</definedName>
    <definedName name="MOV.090.C.0.12.2003.00.00.311550">-4113209.95</definedName>
    <definedName name="MOV.090.C.0.12.2003.00.00.321250">-5066162.54</definedName>
    <definedName name="MOV.090.C.0.12.2003.00.00.321450.CG4_NIVEL3_CV">-102108.51999998</definedName>
    <definedName name="MOV.090.C.0.12.2003.00.00.3214500.CG4_32999">0</definedName>
    <definedName name="MOV.090.C.0.12.2003.00.00.3214500.CG4_33999">0</definedName>
    <definedName name="MOV.090.C.0.12.2003.00.00.3214500.CG4_34999">0</definedName>
    <definedName name="MOV.090.C.0.12.2003.00.00.3214500.CG4_42999">-167386.17</definedName>
    <definedName name="MOV.090.C.0.12.2003.00.00.3214540">-436101.25</definedName>
    <definedName name="MOV.090.C.0.12.2003.00.00.3215100">70623.34</definedName>
    <definedName name="MOV.090.C.0.12.2003.00.00.3215420">0</definedName>
    <definedName name="MOV.090.C.0.12.2003.00.00.421100">-7907077.89</definedName>
    <definedName name="MOV.090.C.0.12.2003.00.00.4211100">0</definedName>
    <definedName name="MOV.090.C.0.12.2003.00.00.4212080">0</definedName>
    <definedName name="MOV.090.C.0.12.2003.00.00.DGER003">-118452034.539999</definedName>
    <definedName name="MOV.090.C.0.12.2003.00.00.DGER005">-18581557.67</definedName>
    <definedName name="MOV.090.C.0.12.2003.00.00.DGER006">-42915747.8</definedName>
    <definedName name="MOV.090.C.0.12.2003.00.00.DGER007">-5476281.77</definedName>
    <definedName name="MOV.090.C.0.12.2003.00.00.DGER01">238971440.819999</definedName>
    <definedName name="MOV.090.C.0.12.2003.00.00.DGER015.CG4_AREA_ADM">-1184007.69</definedName>
    <definedName name="MOV.090.C.0.12.2003.00.00.DGER015.CG4_AREA_COM">-202579.74</definedName>
    <definedName name="MOV.090.C.0.12.2003.00.00.DGER015.CG4_NIVEL3_CV">-102108.52</definedName>
    <definedName name="MOV.090.C.0.12.2003.00.00.DGER016">-9046922.62999999</definedName>
    <definedName name="MOV.090.C.0.12.2003.00.00.DGER026">-10574174.92</definedName>
    <definedName name="MOV.090.C.0.12.2003.00.00.DGER026.CG4_NIVEL3_CV">-338133.73</definedName>
    <definedName name="MOV.090.C.0.12.2003.00.00.DGER029">221640.19</definedName>
    <definedName name="MOV.090.C.0.12.2003.00.00.DGER030">-2489907.98</definedName>
    <definedName name="MOV.090.C.0.12.2003.00.00.DGER031">-1305092.48</definedName>
    <definedName name="MOV.090.C.0.12.2003.00.00.DGER032">2758547.68</definedName>
    <definedName name="MOV.090.C.0.12.2003.00.00.DGER034">-19265976.47</definedName>
    <definedName name="MOV.090.C.0.12.2003.00.00.DGER036">-118263.65</definedName>
    <definedName name="MOV.090.C.0.12.2003.00.00.DGER048">8420109.71</definedName>
    <definedName name="MOV.090.C.0.12.2003.00.00.DGER049">-7810975.73</definedName>
    <definedName name="MOV.090.C.0.12.2003.00.00.DGER050">-8797571.62</definedName>
    <definedName name="MOV.090.C.0.12.2003.00.00.DGER050.CG4_AREA_ADM">-6771730.28</definedName>
    <definedName name="MOV.090.C.0.12.2003.00.00.DGER050.CG4_AREA_COM">-2117056.23</definedName>
    <definedName name="MOV.090.C.0.12.2003.00.00.DGER050.CG4_NIVEL3_CV">-745672.14</definedName>
    <definedName name="MOV.090.C.0.12.2003.00.00.DGER051">-5316042.11</definedName>
    <definedName name="MOV.090.C.0.12.2003.00.00.DGER055">-1876203.44</definedName>
    <definedName name="MOV.090.C.0.12.2003.00.00.DGER056">12379.1</definedName>
    <definedName name="MOV.090.C.0.12.2003.00.00.DGER057">-49736.14</definedName>
    <definedName name="MOV.090.C.0.12.2003.00.00.DGER064">84321430.16</definedName>
    <definedName name="MOV.090.C.0.12.2003.00.00.DMOLSON05">-40412780.47</definedName>
    <definedName name="MOV.090.C.0.12.2003.00.00.DMOLSON06">-5073684.63</definedName>
    <definedName name="MOV.090.C.0.12.2003.00.00.DMOLSON08.CG4_AREA_COM">-2117056.23</definedName>
    <definedName name="MOV.090.C.0.12.2003.00.00.DMOLSON08.CG4_NIVEL3_26">-596131.66</definedName>
    <definedName name="MOV.090.C.0.12.2003.00.00.DMOLSON08.CG4_NIVEL3_27">28143.29</definedName>
    <definedName name="MOV.090.C.0.12.2003.00.00.DMOLSON14">-435050.74</definedName>
    <definedName name="MOV.090.C.0.12.2003.00.00.DMOLSON15">977122.78</definedName>
    <definedName name="MOV.090.C.0.12.2003.00.00.DMOLSON16">2758547.68</definedName>
    <definedName name="MOV.090.C.0.12.2003.00.00.DMOLSON27">-9663876.85</definedName>
    <definedName name="MOV.090.C.0.12.2003.00.00.DMOLSON29">5602105.35</definedName>
    <definedName name="MOV.090.C.0.12.2003.00.00.DMOLSON30">-2502967.33</definedName>
    <definedName name="MOV.090.C.0.12.2003.00.00.DMOLSON31">1840881.58</definedName>
    <definedName name="MOV.090.C.0.12.2003.00.00.DRESPER">51902529.4399999</definedName>
    <definedName name="MOV.090.C.0.12.2004.00.00.3110030">-1425063.96</definedName>
    <definedName name="MOV.090.C.0.12.2004.00.00.311550">-1293734.94</definedName>
    <definedName name="MOV.090.C.0.12.2004.00.00.321450.CG4_NIVEL3_CV">-519431.9</definedName>
    <definedName name="MOV.090.C.0.12.2004.00.00.3214500.CG4_32999">0</definedName>
    <definedName name="MOV.090.C.0.12.2004.00.00.3214500.CG4_33999">0</definedName>
    <definedName name="MOV.090.C.0.12.2004.00.00.3214500.CG4_34999">0</definedName>
    <definedName name="MOV.090.C.0.12.2004.00.00.3214500.CG4_42999">-207886.94</definedName>
    <definedName name="MOV.090.C.0.12.2004.00.00.3214540">-554556.74</definedName>
    <definedName name="MOV.090.C.0.12.2004.00.00.3214570">0</definedName>
    <definedName name="MOV.090.C.0.12.2004.00.00.3215100">-795606.72</definedName>
    <definedName name="MOV.090.C.0.12.2004.00.00.3215420">0</definedName>
    <definedName name="MOV.090.C.0.12.2004.00.00.421100">0</definedName>
    <definedName name="MOV.090.C.0.12.2004.00.00.4211100">0</definedName>
    <definedName name="MOV.090.C.0.12.2004.00.00.4212080">0</definedName>
    <definedName name="MOV.090.C.0.12.2004.00.00.DGER003">-109853408.949999</definedName>
    <definedName name="MOV.090.C.0.12.2004.00.00.DGER005">-15837452.19</definedName>
    <definedName name="MOV.090.C.0.12.2004.00.00.DGER007">-3835950.88</definedName>
    <definedName name="MOV.090.C.0.12.2004.00.00.DGER01">220046423.29</definedName>
    <definedName name="MOV.090.C.0.12.2004.00.00.DGER015.CG4_AREA_ADM">-1039715.59</definedName>
    <definedName name="MOV.090.C.0.12.2004.00.00.DGER015.CG4_AREA_COM">-594958.72</definedName>
    <definedName name="MOV.090.C.0.12.2004.00.00.DGER016">-12432935.43</definedName>
    <definedName name="MOV.090.C.0.12.2004.00.00.DGER026">-20565951.67</definedName>
    <definedName name="MOV.090.C.0.12.2004.00.00.DGER026.CG4_NIVEL3_CV">-899497.35</definedName>
    <definedName name="MOV.090.C.0.12.2004.00.00.DGER029">9528076.29</definedName>
    <definedName name="MOV.090.C.0.12.2004.00.00.DGER030">-4020187.72</definedName>
    <definedName name="MOV.090.C.0.12.2004.00.00.DGER031">-2032800.15</definedName>
    <definedName name="MOV.090.C.0.12.2004.00.00.DGER032">0</definedName>
    <definedName name="MOV.090.C.0.12.2004.00.00.DGER034">7359270.78</definedName>
    <definedName name="MOV.090.C.0.12.2004.00.00.DGER036">-116475.76</definedName>
    <definedName name="MOV.090.C.0.12.2004.00.00.DGER048">0</definedName>
    <definedName name="MOV.090.C.0.12.2004.00.00.DGER049">-7146349.03</definedName>
    <definedName name="MOV.090.C.0.12.2004.00.00.DGER050.CG4_AREA_ADM">-7213064.9</definedName>
    <definedName name="MOV.090.C.0.12.2004.00.00.DGER050.CG4_AREA_COM">-8782724.65</definedName>
    <definedName name="MOV.090.C.0.12.2004.00.00.DGER050.CG4_NIVEL3_CV">-5433820.35</definedName>
    <definedName name="MOV.090.C.0.12.2004.00.00.DGER051">-3413110.07</definedName>
    <definedName name="MOV.090.C.0.12.2004.00.00.DGER055">-4387042.25</definedName>
    <definedName name="MOV.090.C.0.12.2004.00.00.DGER056">-2348233.61</definedName>
    <definedName name="MOV.090.C.0.12.2004.00.00.DGER057">1035319.75</definedName>
    <definedName name="MOV.090.C.0.12.2004.00.00.DGER064">0</definedName>
    <definedName name="MOV.090.C.0.12.2004.00.00.DMOLSON05">-29587037.21</definedName>
    <definedName name="MOV.090.C.0.12.2004.00.00.DMOLSON06">-5480473.05</definedName>
    <definedName name="MOV.090.C.0.12.2004.00.00.DMOLSON08">-15995789.55</definedName>
    <definedName name="MOV.090.C.0.12.2004.00.00.DMOLSON08.CG4_AREA_ADM">-7213064.9</definedName>
    <definedName name="MOV.090.C.0.12.2004.00.00.DMOLSON08.CG4_AREA_COM">-8782724.65</definedName>
    <definedName name="MOV.090.C.0.12.2004.00.00.DMOLSON08.CG4_NIVEL3_26">-607291.33</definedName>
    <definedName name="MOV.090.C.0.12.2004.00.00.DMOLSON08.CG4_NIVEL3_27">-220494.97</definedName>
    <definedName name="MOV.090.C.0.12.2004.00.00.DMOLSON14">-477280.08</definedName>
    <definedName name="MOV.090.C.0.12.2004.00.00.DMOLSON15">-273880.9</definedName>
    <definedName name="MOV.090.C.0.12.2004.00.00.DMOLSON16">2530517.83</definedName>
    <definedName name="MOV.090.C.0.12.2004.00.00.DMOLSON27">-54314409.69</definedName>
    <definedName name="MOV.090.C.0.12.2004.00.00.DMOLSON29">0</definedName>
    <definedName name="MOV.090.C.0.12.2004.00.00.DMOLSON30">0</definedName>
    <definedName name="MOV.090.C.0.12.2004.00.00.DMOLSON31">607410.56</definedName>
    <definedName name="MOV.090.C.0.12.2004.00.00.DRESPER">-56715386.36</definedName>
    <definedName name="MOV.090.C.0.12.2005.00.00.3110030">0</definedName>
    <definedName name="MOV.090.C.0.12.2005.00.00.311550">0</definedName>
    <definedName name="MOV.090.C.0.12.2005.00.00.321450.CG4_NIVEL3_CV">0</definedName>
    <definedName name="MOV.090.C.0.12.2005.00.00.3214500.CG4_32999">0</definedName>
    <definedName name="MOV.090.C.0.12.2005.00.00.3214500.CG4_33999">0</definedName>
    <definedName name="MOV.090.C.0.12.2005.00.00.3214500.CG4_34999">0</definedName>
    <definedName name="MOV.090.C.0.12.2005.00.00.3214500.CG4_42999">0</definedName>
    <definedName name="MOV.090.C.0.12.2005.00.00.3214540">0</definedName>
    <definedName name="MOV.090.C.0.12.2005.00.00.3215100">0</definedName>
    <definedName name="MOV.090.C.0.12.2005.00.00.3215420">0</definedName>
    <definedName name="MOV.090.C.0.12.2005.00.00.3215990.CG4_NIVEL4_AS">0</definedName>
    <definedName name="MOV.090.C.0.12.2005.00.00.421100">0</definedName>
    <definedName name="MOV.090.C.0.12.2005.00.00.4211100">0</definedName>
    <definedName name="MOV.090.C.0.12.2005.00.00.4212080">0</definedName>
    <definedName name="MOV.090.C.0.12.2005.00.00.4220260">0</definedName>
    <definedName name="MOV.090.C.0.12.2005.00.00.DGER003">0</definedName>
    <definedName name="MOV.090.C.0.12.2005.00.00.DGER005">0</definedName>
    <definedName name="MOV.090.C.0.12.2005.00.00.DGER007">0</definedName>
    <definedName name="MOV.090.C.0.12.2005.00.00.DGER01">0</definedName>
    <definedName name="MOV.090.C.0.12.2005.00.00.DGER015.CG4_AREA_ADM">0</definedName>
    <definedName name="MOV.090.C.0.12.2005.00.00.DGER015.CG4_AREA_COM">0</definedName>
    <definedName name="MOV.090.C.0.12.2005.00.00.DGER016">0</definedName>
    <definedName name="MOV.090.C.0.12.2005.00.00.DGER026">0</definedName>
    <definedName name="MOV.090.C.0.12.2005.00.00.DGER026.CG4_NIVEL3_CV">0</definedName>
    <definedName name="MOV.090.C.0.12.2005.00.00.DGER029">0</definedName>
    <definedName name="MOV.090.C.0.12.2005.00.00.DGER030">0</definedName>
    <definedName name="MOV.090.C.0.12.2005.00.00.DGER031">0</definedName>
    <definedName name="MOV.090.C.0.12.2005.00.00.DGER034">0</definedName>
    <definedName name="MOV.090.C.0.12.2005.00.00.DGER036">0</definedName>
    <definedName name="MOV.090.C.0.12.2005.00.00.DGER049">0</definedName>
    <definedName name="MOV.090.C.0.12.2005.00.00.DGER050.CG4_AREA_ADM">0</definedName>
    <definedName name="MOV.090.C.0.12.2005.00.00.DGER050.CG4_AREA_COM">0</definedName>
    <definedName name="MOV.090.C.0.12.2005.00.00.DGER050.CG4_NIVEL3_CV">0</definedName>
    <definedName name="MOV.090.C.0.12.2005.00.00.DGER051">0</definedName>
    <definedName name="MOV.090.C.0.12.2005.00.00.DGER055">0</definedName>
    <definedName name="MOV.090.C.0.12.2005.00.00.DGER056">0</definedName>
    <definedName name="MOV.090.C.0.12.2005.00.00.DGER057">0</definedName>
    <definedName name="MOV.090.C.0.12.2005.00.00.DGER064">0</definedName>
    <definedName name="MOV.090.C.0.12.2005.00.00.DMOLSON05">0</definedName>
    <definedName name="MOV.090.C.0.12.2005.00.00.DMOLSON06">0</definedName>
    <definedName name="MOV.090.C.0.12.2005.00.00.DMOLSON08">0</definedName>
    <definedName name="MOV.090.C.0.12.2005.00.00.DMOLSON08.CG4_AREA_ADM">0</definedName>
    <definedName name="MOV.090.C.0.12.2005.00.00.DMOLSON08.CG4_AREA_COM">0</definedName>
    <definedName name="MOV.090.C.0.12.2005.00.00.DMOLSON08.CG4_NIVEL3_26">0</definedName>
    <definedName name="MOV.090.C.0.12.2005.00.00.DMOLSON08.CG4_NIVEL3_27">0</definedName>
    <definedName name="MOV.090.C.0.12.2005.00.00.DMOLSON14">0</definedName>
    <definedName name="MOV.090.C.0.12.2005.00.00.DMOLSON15">0</definedName>
    <definedName name="MOV.090.C.0.12.2005.00.00.DMOLSON16">0</definedName>
    <definedName name="MOV.090.C.0.12.2005.00.00.DMOLSON27">0</definedName>
    <definedName name="MOV.090.C.0.12.2005.00.00.DMOLSON29">0</definedName>
    <definedName name="MOV.090.C.0.12.2005.00.00.DMOLSON30">0</definedName>
    <definedName name="MOV.090.C.0.12.2005.00.00.DMOLSON31">0</definedName>
    <definedName name="MOV.090.C.0.12.2005.00.00.DRES025">0</definedName>
    <definedName name="MOV.090.C.0.12.2005.00.00.DRES25">0</definedName>
    <definedName name="MOV.090.C.0.12.2005.00.00.DRESPER">0</definedName>
    <definedName name="Number_Of_Sheets" localSheetId="3">OFFSET('04 -Base Orçado 2026'!File_Name,0,1,1,1)</definedName>
    <definedName name="Number_Of_Sheets" localSheetId="11">OFFSET(Serv!File_Name,0,1,1,1)</definedName>
    <definedName name="Number_Of_Sheets" localSheetId="13">OFFSET('Base Gorjeta'!File_Name,0,1,1,1)</definedName>
    <definedName name="Number_Of_Sheets" localSheetId="4">OFFSET('Base Realizado'!File_Name,0,1,1,1)</definedName>
    <definedName name="Number_Of_Sheets" localSheetId="12">OFFSET('Base Folha'!File_Name,0,1,1,1)</definedName>
    <definedName name="Number_Of_Sheets">OFFSET([0]!File_Name,0,1,1,1)</definedName>
    <definedName name="Other" localSheetId="3">OFFSET('04 -Base Orçado 2026'!File_Name,0,6,1,1)</definedName>
    <definedName name="Other" localSheetId="11">OFFSET(Serv!File_Name,0,6,1,1)</definedName>
    <definedName name="Other" localSheetId="13">OFFSET('Base Gorjeta'!File_Name,0,6,1,1)</definedName>
    <definedName name="Other" localSheetId="4">OFFSET('Base Realizado'!File_Name,0,6,1,1)</definedName>
    <definedName name="Other" localSheetId="12">OFFSET('Base Folha'!File_Name,0,6,1,1)</definedName>
    <definedName name="Other">OFFSET([0]!File_Name,0,6,1,1)</definedName>
    <definedName name="Passivo" localSheetId="11">#REF!</definedName>
    <definedName name="Passivo" localSheetId="13">#REF!</definedName>
    <definedName name="Passivo" localSheetId="12">#REF!</definedName>
    <definedName name="Passivo">#REF!</definedName>
    <definedName name="PO">#REF!</definedName>
    <definedName name="Prazo_carência" localSheetId="3">#REF!</definedName>
    <definedName name="Prazo_carência" localSheetId="11">#REF!</definedName>
    <definedName name="Prazo_carência" localSheetId="13">#REF!</definedName>
    <definedName name="Prazo_carência" localSheetId="4">#REF!</definedName>
    <definedName name="Prazo_carência" localSheetId="12">#REF!</definedName>
    <definedName name="Prazo_carência">#REF!</definedName>
    <definedName name="Premissas" localSheetId="2">#REF!</definedName>
    <definedName name="Premissas" localSheetId="3">#REF!</definedName>
    <definedName name="Premissas" localSheetId="11">#REF!</definedName>
    <definedName name="Premissas" localSheetId="13">#REF!</definedName>
    <definedName name="Premissas" localSheetId="4">#REF!</definedName>
    <definedName name="Premissas" localSheetId="12">#REF!</definedName>
    <definedName name="Premissas">#REF!</definedName>
    <definedName name="proj" localSheetId="11">#REF!</definedName>
    <definedName name="proj" localSheetId="13">#REF!</definedName>
    <definedName name="proj" localSheetId="12">#REF!</definedName>
    <definedName name="proj">#REF!</definedName>
    <definedName name="Prz_Total" localSheetId="3">#REF!</definedName>
    <definedName name="Prz_Total" localSheetId="11">#REF!</definedName>
    <definedName name="Prz_Total" localSheetId="13">#REF!</definedName>
    <definedName name="Prz_Total" localSheetId="4">#REF!</definedName>
    <definedName name="Prz_Total" localSheetId="12">#REF!</definedName>
    <definedName name="Prz_Total">#REF!</definedName>
    <definedName name="QQ" localSheetId="11">#REF!</definedName>
    <definedName name="QQ" localSheetId="13">#REF!</definedName>
    <definedName name="QQ" localSheetId="12">#REF!</definedName>
    <definedName name="QQ">#REF!</definedName>
    <definedName name="re">#REF!</definedName>
    <definedName name="resultado" localSheetId="11">#REF!</definedName>
    <definedName name="resultado" localSheetId="13">#REF!</definedName>
    <definedName name="resultado">#REF!</definedName>
    <definedName name="Saidas_BD_Colar1" localSheetId="2">#REF!</definedName>
    <definedName name="Saidas_BD_Colar1" localSheetId="3">#REF!</definedName>
    <definedName name="Saidas_BD_Colar1" localSheetId="11">#REF!</definedName>
    <definedName name="Saidas_BD_Colar1" localSheetId="13">#REF!</definedName>
    <definedName name="Saidas_BD_Colar1" localSheetId="4">#REF!</definedName>
    <definedName name="Saidas_BD_Colar1" localSheetId="12">#REF!</definedName>
    <definedName name="Saidas_BD_Colar1">#REF!</definedName>
    <definedName name="Saidas_Linhas_Excluir" localSheetId="2">#REF!</definedName>
    <definedName name="Saidas_Linhas_Excluir" localSheetId="3">#REF!</definedName>
    <definedName name="Saidas_Linhas_Excluir" localSheetId="11">#REF!</definedName>
    <definedName name="Saidas_Linhas_Excluir" localSheetId="13">#REF!</definedName>
    <definedName name="Saidas_Linhas_Excluir" localSheetId="4">#REF!</definedName>
    <definedName name="Saidas_Linhas_Excluir" localSheetId="12">#REF!</definedName>
    <definedName name="Saidas_Linhas_Excluir">#REF!</definedName>
    <definedName name="SDFSFSG">-5178820.06000519</definedName>
    <definedName name="SLD.000.C.0.00.0000.00.00.2130500">246340.16000009</definedName>
    <definedName name="SLD.000.C.0.00.0000.00.00.3214540">-1885361.26</definedName>
    <definedName name="SLD.000.C.0.00.0000.00.00.3218510">-198002836.78</definedName>
    <definedName name="SLD.000.C.0.00.0000.00.00.3218520">5728868.97</definedName>
    <definedName name="SLD.000.C.0.00.0000.00.00.3218650">6687336.48</definedName>
    <definedName name="SLD.000.C.0.00.0000.00.00.4211030">0</definedName>
    <definedName name="SLD.000.C.0.00.0000.00.00.4220320">105361</definedName>
    <definedName name="SLD.000.C.0.00.0000.00.00.DENDIVIDAME">408263358.760253</definedName>
    <definedName name="SLD.000.C.0.00.0000.00.00.DGER01">568850998.099609</definedName>
    <definedName name="SLD.000.C.0.00.1999.00.00.DGER01">562154793.90039</definedName>
    <definedName name="SLD.000.C.0.02.0000.00.00.3218510">-548353.46</definedName>
    <definedName name="SLD.000.C.0.02.0000.00.00.3218520">1501956.29</definedName>
    <definedName name="SLD.000.C.0.04.0000.00.00.3218650">6687336.48</definedName>
    <definedName name="SLD.000.C.0.12.1999.00.00.DGER01">1254184798.21875</definedName>
    <definedName name="SLD.002.C.0.00.0000.00.00.4211030">0</definedName>
    <definedName name="SLD.003.C.0.00.0000.00.00.2421060">16811942.43</definedName>
    <definedName name="SLD.009.C.0.01.1998.00.00.4210110">0</definedName>
    <definedName name="SLD.009.C.0.02.1998.00.00.4210110">0</definedName>
    <definedName name="SLD.009.C.0.03.1998.00.00.4210110">0</definedName>
    <definedName name="SLD.009.C.0.04.1998.00.00.4210110">0</definedName>
    <definedName name="SLD.009.C.0.05.1998.00.00.4210110">0</definedName>
    <definedName name="SLD.009.C.0.06.1998.00.00.4210110">0</definedName>
    <definedName name="SLD.009.C.0.07.1998.00.00.4210110">0</definedName>
    <definedName name="SLD.009.C.0.08.1998.00.00.4210110">0</definedName>
    <definedName name="SLD.009.C.0.09.1998.00.00.4210110">0</definedName>
    <definedName name="SLD.009.C.0.10.1998.00.00.4210110">0</definedName>
    <definedName name="SLD.009.C.0.11.1998.00.00.4210110">119541.50999999</definedName>
    <definedName name="SLD.009.C.0.12.1997.00.00.4210110">0</definedName>
    <definedName name="SLD.009.C.0.12.1998.00.00.4210110">326269.4000001</definedName>
    <definedName name="SLD.050.C.0.01.1998.00.00.3220110">-1122794.89999962</definedName>
    <definedName name="SLD.050.C.0.01.1998.00.00.3220170">-948369.26000023</definedName>
    <definedName name="SLD.050.C.0.01.1998.00.00.3220180">-633792.18000031</definedName>
    <definedName name="SLD.050.C.0.01.1998.00.00.3220190">-43884.77999997</definedName>
    <definedName name="SLD.050.C.0.01.1998.00.00.3220200">-161774.3599999</definedName>
    <definedName name="SLD.050.C.0.01.1998.00.00.3220210">0</definedName>
    <definedName name="SLD.050.C.0.01.1998.00.00.3220220">-24350.25</definedName>
    <definedName name="SLD.050.C.0.01.1998.00.00.3220230">-61079.38</definedName>
    <definedName name="SLD.050.C.0.01.1998.00.00.3220240">-7147.63</definedName>
    <definedName name="SLD.050.C.0.01.1998.00.00.3220250">-617.51</definedName>
    <definedName name="SLD.050.C.0.01.1998.00.00.3220260">-678389.22000027</definedName>
    <definedName name="SLD.050.C.0.01.1998.00.00.3220550">0</definedName>
    <definedName name="SLD.050.C.0.01.1998.00.00.DENDIVIDAME">456537918.140136</definedName>
    <definedName name="SLD.050.C.0.01.1999.00.00.DENDIVIDAME">0</definedName>
    <definedName name="SLD.050.C.0.01.2000.00.00.DENDIVIDAME">0</definedName>
    <definedName name="SLD.050.C.0.02.1998.00.00.3220110">-2126029.31000137</definedName>
    <definedName name="SLD.050.C.0.02.1998.00.00.3220170">-1738133.09000015</definedName>
    <definedName name="SLD.050.C.0.02.1998.00.00.3220180">-1168003.04000092</definedName>
    <definedName name="SLD.050.C.0.02.1998.00.00.3220190">-48368.33999997</definedName>
    <definedName name="SLD.050.C.0.02.1998.00.00.3220200">-110192.83000004</definedName>
    <definedName name="SLD.050.C.0.02.1998.00.00.3220210">0</definedName>
    <definedName name="SLD.050.C.0.02.1998.00.00.3220220">-48039.75</definedName>
    <definedName name="SLD.050.C.0.02.1998.00.00.3220230">-117045.24000001</definedName>
    <definedName name="SLD.050.C.0.02.1998.00.00.3220240">-23193.18000001</definedName>
    <definedName name="SLD.050.C.0.02.1998.00.00.3220250">-2364.92</definedName>
    <definedName name="SLD.050.C.0.02.1998.00.00.3220260">-1363594.44000053</definedName>
    <definedName name="SLD.050.C.0.02.1998.00.00.3220550">0</definedName>
    <definedName name="SLD.050.C.0.02.1998.00.00.DENDIVIDAME">443388224.70996</definedName>
    <definedName name="SLD.050.C.0.02.1999.00.00.DENDIVIDAME">459484099.399902</definedName>
    <definedName name="SLD.050.C.0.03.1998.00.00.3220110">-1198295.64999962</definedName>
    <definedName name="SLD.050.C.0.03.1998.00.00.3220170">-1047411.60000038</definedName>
    <definedName name="SLD.050.C.0.03.1998.00.00.3220180">-1377368.72999954</definedName>
    <definedName name="SLD.050.C.0.03.1998.00.00.3220190">-51529.30000001</definedName>
    <definedName name="SLD.050.C.0.03.1998.00.00.3220200">-170597.38000011</definedName>
    <definedName name="SLD.050.C.0.03.1998.00.00.3220210">0</definedName>
    <definedName name="SLD.050.C.0.03.1998.00.00.3220220">-74857.94000006</definedName>
    <definedName name="SLD.050.C.0.03.1998.00.00.3220230">-64634.16000003</definedName>
    <definedName name="SLD.050.C.0.03.1998.00.00.3220240">-38536.45999998</definedName>
    <definedName name="SLD.050.C.0.03.1998.00.00.3220250">-2384.56</definedName>
    <definedName name="SLD.050.C.0.03.1998.00.00.3220260">-2052833.47999954</definedName>
    <definedName name="SLD.050.C.0.03.1998.00.00.3220550">0</definedName>
    <definedName name="SLD.050.C.0.03.1998.00.00.DENDIVIDAME">424417009.500488</definedName>
    <definedName name="SLD.050.C.0.03.1999.00.00.DENDIVIDAME">413964724.040039</definedName>
    <definedName name="SLD.050.C.0.04.1998.00.00.3220110">-1585506.87000084</definedName>
    <definedName name="SLD.050.C.0.04.1998.00.00.3220170">-1374606.71999931</definedName>
    <definedName name="SLD.050.C.0.04.1998.00.00.3220180">-1841874.81999969</definedName>
    <definedName name="SLD.050.C.0.04.1998.00.00.3220190">-51529.30000001</definedName>
    <definedName name="SLD.050.C.0.04.1998.00.00.3220200">-512854.98999977</definedName>
    <definedName name="SLD.050.C.0.04.1998.00.00.3220210">0</definedName>
    <definedName name="SLD.050.C.0.04.1998.00.00.3220220">-100875.51999998</definedName>
    <definedName name="SLD.050.C.0.04.1998.00.00.3220230">-86308.28999996</definedName>
    <definedName name="SLD.050.C.0.04.1998.00.00.3220240">-53962.16000003</definedName>
    <definedName name="SLD.050.C.0.04.1998.00.00.3220250">-2384.56</definedName>
    <definedName name="SLD.050.C.0.04.1998.00.00.3220260">-2730854.31999969</definedName>
    <definedName name="SLD.050.C.0.04.1998.00.00.3220550">0</definedName>
    <definedName name="SLD.050.C.0.04.1998.00.00.DENDIVIDAME">425498966.299804</definedName>
    <definedName name="SLD.050.C.0.04.1999.00.00.DENDIVIDAME">417962669.909667</definedName>
    <definedName name="SLD.050.C.0.04.2000.00.00.DRESPER">-22317929.3100586</definedName>
    <definedName name="SLD.050.C.0.05.1998.00.00.3220110">-2610289.74000168</definedName>
    <definedName name="SLD.050.C.0.05.1998.00.00.3220170">-2261037.91999817</definedName>
    <definedName name="SLD.050.C.0.05.1998.00.00.3220180">-2684869.93000031</definedName>
    <definedName name="SLD.050.C.0.05.1998.00.00.3220190">-51529.30000001</definedName>
    <definedName name="SLD.050.C.0.05.1998.00.00.3220200">-531303.36999989</definedName>
    <definedName name="SLD.050.C.0.05.1998.00.00.3220210">0</definedName>
    <definedName name="SLD.050.C.0.05.1998.00.00.3220220">-125336.24000001</definedName>
    <definedName name="SLD.050.C.0.05.1998.00.00.3220230">-149218.73000002</definedName>
    <definedName name="SLD.050.C.0.05.1998.00.00.3220240">-71405.57000005</definedName>
    <definedName name="SLD.050.C.0.05.1998.00.00.3220250">-2384.56</definedName>
    <definedName name="SLD.050.C.0.05.1998.00.00.3220260">-3416079.18999863</definedName>
    <definedName name="SLD.050.C.0.05.1998.00.00.3220550">0</definedName>
    <definedName name="SLD.050.C.0.05.1998.00.00.DENDIVIDAME">404303379.140136</definedName>
    <definedName name="SLD.050.C.0.05.1999.00.00.DENDIVIDAME">425099232.17041</definedName>
    <definedName name="SLD.050.C.0.06.1998.00.00.3220110">-2137154.47999954</definedName>
    <definedName name="SLD.050.C.0.06.1998.00.00.3220170">-2144194.29999924</definedName>
    <definedName name="SLD.050.C.0.06.1998.00.00.3220180">-2922302.40000153</definedName>
    <definedName name="SLD.050.C.0.06.1998.00.00.3220190">-51688.92000002</definedName>
    <definedName name="SLD.050.C.0.06.1998.00.00.3220200">-556888.47999954</definedName>
    <definedName name="SLD.050.C.0.06.1998.00.00.3220210">0</definedName>
    <definedName name="SLD.050.C.0.06.1998.00.00.3220220">-148091.8900001</definedName>
    <definedName name="SLD.050.C.0.06.1998.00.00.3220230">-131465.82999992</definedName>
    <definedName name="SLD.050.C.0.06.1998.00.00.3220240">-86371.38</definedName>
    <definedName name="SLD.050.C.0.06.1998.00.00.3220250">-2414.28</definedName>
    <definedName name="SLD.050.C.0.06.1998.00.00.3220260">-2714266.06999969</definedName>
    <definedName name="SLD.050.C.0.06.1998.00.00.3220550">0</definedName>
    <definedName name="SLD.050.C.0.06.1998.00.00.DENDIVIDAME">347919692.700195</definedName>
    <definedName name="SLD.050.C.0.06.1999.00.00.DENDIVIDAME">432903488.149902</definedName>
    <definedName name="SLD.050.C.0.07.1998.00.00.3220110">-2483664.16999817</definedName>
    <definedName name="SLD.050.C.0.07.1998.00.00.3220170">-3583863.22999954</definedName>
    <definedName name="SLD.050.C.0.07.1998.00.00.3220180">-3199921.15999985</definedName>
    <definedName name="SLD.050.C.0.07.1998.00.00.3220190">-51688.92000002</definedName>
    <definedName name="SLD.050.C.0.07.1998.00.00.3220200">-562560.11999989</definedName>
    <definedName name="SLD.050.C.0.07.1998.00.00.3220210">0</definedName>
    <definedName name="SLD.050.C.0.07.1998.00.00.3220220">-171665.53999996</definedName>
    <definedName name="SLD.050.C.0.07.1998.00.00.3220230">-232389.58999991</definedName>
    <definedName name="SLD.050.C.0.07.1998.00.00.3220240">-123052.26999998</definedName>
    <definedName name="SLD.050.C.0.07.1998.00.00.3220250">-2427.98</definedName>
    <definedName name="SLD.050.C.0.07.1998.00.00.3220260">-3123085.04999924</definedName>
    <definedName name="SLD.050.C.0.07.1998.00.00.3220550">0</definedName>
    <definedName name="SLD.050.C.0.07.1998.00.00.DENDIVIDAME">359655595.029785</definedName>
    <definedName name="SLD.050.C.0.07.1999.00.00.DENDIVIDAME">430053484.899902</definedName>
    <definedName name="SLD.050.C.0.08.1998.00.00.3220110">-2838856.29000092</definedName>
    <definedName name="SLD.050.C.0.08.1998.00.00.3220170">-3949506.40000153</definedName>
    <definedName name="SLD.050.C.0.08.1998.00.00.3220180">-3369104.59999847</definedName>
    <definedName name="SLD.050.C.0.08.1998.00.00.3220190">-51688.92000002</definedName>
    <definedName name="SLD.050.C.0.08.1998.00.00.3220200">-574260.72000027</definedName>
    <definedName name="SLD.050.C.0.08.1998.00.00.3220210">0</definedName>
    <definedName name="SLD.050.C.0.08.1998.00.00.3220220">-193958.29999995</definedName>
    <definedName name="SLD.050.C.0.08.1998.00.00.3220230">-254008.5999999</definedName>
    <definedName name="SLD.050.C.0.08.1998.00.00.3220240">-134574.97000003</definedName>
    <definedName name="SLD.050.C.0.08.1998.00.00.3220250">-2427.98</definedName>
    <definedName name="SLD.050.C.0.08.1998.00.00.3220260">-3539379.33000183</definedName>
    <definedName name="SLD.050.C.0.08.1998.00.00.3220550">0</definedName>
    <definedName name="SLD.050.C.0.08.1998.00.00.DENDIVIDAME">365235279.080078</definedName>
    <definedName name="SLD.050.C.0.08.1999.00.00.DENDIVIDAME">439109536.40039</definedName>
    <definedName name="SLD.050.C.0.09.1998.00.00.3220110">-3169671.49000168</definedName>
    <definedName name="SLD.050.C.0.09.1998.00.00.3220170">-4316096.58999634</definedName>
    <definedName name="SLD.050.C.0.09.1998.00.00.3220180">-3545073.61999893</definedName>
    <definedName name="SLD.050.C.0.09.1998.00.00.3220190">-53183.77999997</definedName>
    <definedName name="SLD.050.C.0.09.1998.00.00.3220200">-587922.86999989</definedName>
    <definedName name="SLD.050.C.0.09.1998.00.00.3220210">0</definedName>
    <definedName name="SLD.050.C.0.09.1998.00.00.3220220">-219344.53999996</definedName>
    <definedName name="SLD.050.C.0.09.1998.00.00.3220230">-274801.63000011</definedName>
    <definedName name="SLD.050.C.0.09.1998.00.00.3220240">-153457.80999994</definedName>
    <definedName name="SLD.050.C.0.09.1998.00.00.3220250">-6402.27</definedName>
    <definedName name="SLD.050.C.0.09.1998.00.00.3220260">-3937415.84999847</definedName>
    <definedName name="SLD.050.C.0.09.1998.00.00.3220550">0</definedName>
    <definedName name="SLD.050.C.0.09.1998.00.00.DENDIVIDAME">369135145.080078</definedName>
    <definedName name="SLD.050.C.0.09.1999.00.00.DENDIVIDAME">429099354.950195</definedName>
    <definedName name="SLD.050.C.0.10.1998.00.00.3220110">-3495156.25</definedName>
    <definedName name="SLD.050.C.0.10.1998.00.00.3220170">-4709409.19000244</definedName>
    <definedName name="SLD.050.C.0.10.1998.00.00.3220180">-3724328.63000107</definedName>
    <definedName name="SLD.050.C.0.10.1998.00.00.3220190">-53183.77999997</definedName>
    <definedName name="SLD.050.C.0.10.1998.00.00.3220200">-599776.42000008</definedName>
    <definedName name="SLD.050.C.0.10.1998.00.00.3220210">0</definedName>
    <definedName name="SLD.050.C.0.10.1998.00.00.3220220">-247714.70000005</definedName>
    <definedName name="SLD.050.C.0.10.1998.00.00.3220230">-295665.13000011</definedName>
    <definedName name="SLD.050.C.0.10.1998.00.00.3220240">-168145.63000011</definedName>
    <definedName name="SLD.050.C.0.10.1998.00.00.3220250">-6402.52</definedName>
    <definedName name="SLD.050.C.0.10.1998.00.00.3220260">-4295572.44999695</definedName>
    <definedName name="SLD.050.C.0.10.1998.00.00.3220550">0</definedName>
    <definedName name="SLD.050.C.0.10.1998.00.00.DENDIVIDAME">380204268.830078</definedName>
    <definedName name="SLD.050.C.0.10.1999.00.00.DENDIVIDAME">426248450.089843</definedName>
    <definedName name="SLD.050.C.0.11.1998.00.00.3220110">-3823242.47999954</definedName>
    <definedName name="SLD.050.C.0.11.1998.00.00.3220170">-5285628.19000244</definedName>
    <definedName name="SLD.050.C.0.11.1998.00.00.3220180">-3926621.88999939</definedName>
    <definedName name="SLD.050.C.0.11.1998.00.00.3220190">-53183.77999997</definedName>
    <definedName name="SLD.050.C.0.11.1998.00.00.3220200">-608449.55000019</definedName>
    <definedName name="SLD.050.C.0.11.1998.00.00.3220210">0</definedName>
    <definedName name="SLD.050.C.0.11.1998.00.00.3220220">-273756.21000004</definedName>
    <definedName name="SLD.050.C.0.11.1998.00.00.3220230">-315542.67999983</definedName>
    <definedName name="SLD.050.C.0.11.1998.00.00.3220240">-186647.75999999</definedName>
    <definedName name="SLD.050.C.0.11.1998.00.00.3220250">-9656.40000001</definedName>
    <definedName name="SLD.050.C.0.11.1998.00.00.3220260">-4637326.51000214</definedName>
    <definedName name="SLD.050.C.0.11.1998.00.00.3220550">0</definedName>
    <definedName name="SLD.050.C.0.11.1998.00.00.DENDIVIDAME">379405347.200195</definedName>
    <definedName name="SLD.050.C.0.11.1999.00.00.DENDIVIDAME">433164015.129882</definedName>
    <definedName name="SLD.050.C.0.12.1997.00.00.3220110">-14158195.5700073</definedName>
    <definedName name="SLD.050.C.0.12.1997.00.00.3220170">-6198734.98999786</definedName>
    <definedName name="SLD.050.C.0.12.1997.00.00.3220180">-7818612.80000305</definedName>
    <definedName name="SLD.050.C.0.12.1997.00.00.3220190">-162236.71000004</definedName>
    <definedName name="SLD.050.C.0.12.1997.00.00.3220200">-576436.25</definedName>
    <definedName name="SLD.050.C.0.12.1997.00.00.3220210">0</definedName>
    <definedName name="SLD.050.C.0.12.1997.00.00.3220220">-216151.96000004</definedName>
    <definedName name="SLD.050.C.0.12.1997.00.00.3220230">-136767.23000002</definedName>
    <definedName name="SLD.050.C.0.12.1997.00.00.3220240">-52049.7599999899</definedName>
    <definedName name="SLD.050.C.0.12.1997.00.00.3220250">-9429.15000001</definedName>
    <definedName name="SLD.050.C.0.12.1997.00.00.3220260">-2069681.55999947</definedName>
    <definedName name="SLD.050.C.0.12.1997.00.00.3220550">0</definedName>
    <definedName name="SLD.050.C.0.12.1998.00.00.3220110">-4145780.04999924</definedName>
    <definedName name="SLD.050.C.0.12.1998.00.00.3220170">-5718710.84999847</definedName>
    <definedName name="SLD.050.C.0.12.1998.00.00.3220180">-4108719.54000092</definedName>
    <definedName name="SLD.050.C.0.12.1998.00.00.3220190">-53183.77999997</definedName>
    <definedName name="SLD.050.C.0.12.1998.00.00.3220200">-614916.84000015</definedName>
    <definedName name="SLD.050.C.0.12.1998.00.00.3220210">0</definedName>
    <definedName name="SLD.050.C.0.12.1998.00.00.3220220">-302767.57000017</definedName>
    <definedName name="SLD.050.C.0.12.1998.00.00.3220230">-336340.59000015</definedName>
    <definedName name="SLD.050.C.0.12.1998.00.00.3220240">-201318.31999993</definedName>
    <definedName name="SLD.050.C.0.12.1998.00.00.3220250">-9656.40000001</definedName>
    <definedName name="SLD.050.C.0.12.1998.00.00.3220260">-4811618.69000244</definedName>
    <definedName name="SLD.050.C.0.12.1998.00.00.3220550">0</definedName>
    <definedName name="SLD.050.C.0.12.1998.00.00.DENDIVIDAME">376899278.880371</definedName>
    <definedName name="SLD.050.C.0.12.1999.00.00.2130500">246340.16000009</definedName>
    <definedName name="SLD.050.C.0.12.1999.00.00.2130520">516759.71000004</definedName>
    <definedName name="SLD.050.C.0.12.1999.00.00.3220110">-3008860.5</definedName>
    <definedName name="SLD.050.C.0.12.1999.00.00.DENDIVIDAME">0</definedName>
    <definedName name="SLD.050.C.0.12.2000.00.00.311550">-52195427.9099731</definedName>
    <definedName name="SLD.050.C.0.12.2000.00.00.3214500.CG4_32999">-380490.53000021</definedName>
    <definedName name="SLD.050.C.0.12.2000.00.00.3214500.CG4_33999">-472736.55000019</definedName>
    <definedName name="SLD.050.C.0.12.2000.00.00.3214500.CG4_34999">-143783.42000008</definedName>
    <definedName name="SLD.050.C.0.12.2000.00.00.3214500.CG4_42999">-2851623.95000076</definedName>
    <definedName name="SLD.050.C.0.12.2000.00.00.3214610">-197712.26999998</definedName>
    <definedName name="SLD.050.C.0.12.2000.00.00.3214680">-172365.9000001</definedName>
    <definedName name="SLD.050.C.0.12.2000.00.00.3214780">-180462.31999993</definedName>
    <definedName name="SLD.050.C.0.12.2000.00.00.3215040">-2668170.54000092</definedName>
    <definedName name="SLD.050.C.0.12.2000.00.00.3215400">-193798.05999994</definedName>
    <definedName name="SLD.050.C.0.12.2000.00.00.321543">-15706804.75</definedName>
    <definedName name="SLD.050.C.0.12.2000.00.00.3215530">-10163862.9400024</definedName>
    <definedName name="SLD.050.C.0.12.2000.00.00.321555">-23391935.6600036</definedName>
    <definedName name="SLD.050.C.0.12.2000.00.00.321567">-15272675.6000061</definedName>
    <definedName name="SLD.050.C.0.12.2000.00.00.321577">-4677700.44999695</definedName>
    <definedName name="SLD.050.C.0.12.2000.00.00.321582">0</definedName>
    <definedName name="SLD.050.C.0.12.2000.00.00.321800">-299742.82000017</definedName>
    <definedName name="SLD.050.C.0.12.2000.00.00.3218500">266725.67999983</definedName>
    <definedName name="SLD.050.C.0.12.2000.00.00.DBREAK01">-512840.94000006</definedName>
    <definedName name="SLD.050.C.0.12.2000.00.00.DBREAK02">-727209.05999947</definedName>
    <definedName name="SLD.050.C.0.12.2000.00.00.DBREAK03">-283014.63000011</definedName>
    <definedName name="SLD.050.C.0.12.2000.00.00.DBREAK04">-26044163.3900451</definedName>
    <definedName name="SLD.050.C.0.12.2000.00.00.DBREAK05">-3718609.06999969</definedName>
    <definedName name="SLD.050.C.0.12.2000.00.00.DBREAK06">-2596291.13000107</definedName>
    <definedName name="SLD.050.C.0.12.2000.00.00.DBREAK07">-197300.56999993</definedName>
    <definedName name="SLD.050.C.0.12.2000.00.00.DBREAK08">-879875.05999947</definedName>
    <definedName name="SLD.050.C.0.12.2000.00.00.DBREAK09">-184032.28000069</definedName>
    <definedName name="SLD.050.C.0.12.2000.00.00.DBREAK10">-237726.82999992</definedName>
    <definedName name="SLD.050.C.0.12.2000.00.00.DBREAK11">-12108110.7400054</definedName>
    <definedName name="SLD.050.C.0.12.2000.00.00.DBREAK12">-4681757.02000427</definedName>
    <definedName name="SLD.050.C.0.12.2000.00.00.DBREAK13">-3026375.66999817</definedName>
    <definedName name="SLD.050.C.0.12.2000.00.00.DBREAK14">-13212511.4299926</definedName>
    <definedName name="SLD.050.C.0.12.2000.00.00.DBREAK15">-1201273.65000153</definedName>
    <definedName name="SLD.050.C.0.12.2000.00.00.DBREAK16">-6830543.8299942</definedName>
    <definedName name="SLD.050.C.0.12.2000.00.00.DBREAK17">-3302566.88000107</definedName>
    <definedName name="SLD.050.C.0.12.2000.00.00.DBREAK18">-1003213.74000072</definedName>
    <definedName name="SLD.050.C.0.12.2000.00.00.DBREAK19">-410939.57000017</definedName>
    <definedName name="SLD.050.C.0.12.2000.00.00.DBREAK20">-878751.55000019</definedName>
    <definedName name="SLD.050.C.0.12.2000.00.00.DBREAK21">-559371.75</definedName>
    <definedName name="SLD.050.C.0.12.2000.00.00.DBREAK22">-4305113.48000336</definedName>
    <definedName name="SLD.050.C.0.12.2000.00.00.DBREAK23">-308846.30999994</definedName>
    <definedName name="SLD.050.C.0.12.2000.00.00.DBREAK24">-3051752.88999939</definedName>
    <definedName name="SLD.050.C.0.12.2000.00.00.DBREAK25">-1791633.39000511</definedName>
    <definedName name="SLD.050.C.0.12.2000.00.00.DBREAK26">-654338.67999935</definedName>
    <definedName name="SLD.050.C.0.12.2000.00.00.DBREAK27">-634651.63000011</definedName>
    <definedName name="SLD.050.C.0.12.2000.00.00.DBREAK28">-1284723.74999809</definedName>
    <definedName name="SLD.050.C.0.12.2000.00.00.DBREAK29">-1251313.48999977</definedName>
    <definedName name="SLD.050.C.0.12.2000.00.00.DBREAK30">-375270.57000017</definedName>
    <definedName name="SLD.050.C.0.12.2000.00.00.DBREAK31">-411830.26999998</definedName>
    <definedName name="SLD.050.C.0.12.2000.00.00.DBREAK32">-523230.39999962</definedName>
    <definedName name="SLD.050.C.0.12.2000.00.00.DBREAK33">-71398458.0899658</definedName>
    <definedName name="SLD.050.C.0.12.2000.00.00.DBREAK34">-52889166.2399902</definedName>
    <definedName name="SLD.050.C.0.12.2000.00.00.DBREAK36">-553537.06999969</definedName>
    <definedName name="SLD.050.C.0.12.2000.00.00.DBREAK37">-1552232.45999908</definedName>
    <definedName name="SLD.050.C.0.12.2000.00.00.DBREAK38">-165738.00999999</definedName>
    <definedName name="SLD.050.C.0.12.2000.00.00.DBREAK39">-245905.26999998</definedName>
    <definedName name="SLD.050.C.0.12.2000.00.00.DENDIVIDAME">0</definedName>
    <definedName name="SLD.050.C.0.12.2000.00.00.DGER003">-653400069.520507</definedName>
    <definedName name="SLD.050.C.0.12.2000.00.00.DGER005">-113390942.050048</definedName>
    <definedName name="SLD.050.C.0.12.2000.00.00.DGER006">-201700386.639892</definedName>
    <definedName name="SLD.050.C.0.12.2000.00.00.DGER007">-28942651.1099853</definedName>
    <definedName name="SLD.050.C.0.12.2000.00.00.DGER01">1294752753.23242</definedName>
    <definedName name="SLD.050.C.0.12.2000.00.00.DGER015.CG4_AREA_ADM">-16676574.2700042</definedName>
    <definedName name="SLD.050.C.0.12.2000.00.00.DGER015.CG4_AREA_COM">-2526455.90999985</definedName>
    <definedName name="SLD.050.C.0.12.2000.00.00.DGER016">2721662.46933365</definedName>
    <definedName name="SLD.050.C.0.12.2000.00.00.DGER026">-101774419.760131</definedName>
    <definedName name="SLD.050.C.0.12.2000.00.00.DGER029">6315918.63999939</definedName>
    <definedName name="SLD.050.C.0.12.2000.00.00.DGER030">-24485234.8600158</definedName>
    <definedName name="SLD.050.C.0.12.2000.00.00.DGER031">-10176020.1500244</definedName>
    <definedName name="SLD.050.C.0.12.2000.00.00.DGER032">3092918.77999878</definedName>
    <definedName name="SLD.050.C.0.12.2000.00.00.DGER034">14051118.6199951</definedName>
    <definedName name="SLD.050.C.0.12.2000.00.00.DGER048">53897670.1499633</definedName>
    <definedName name="SLD.050.C.0.12.2000.00.00.DGER049">-52708848.1600341</definedName>
    <definedName name="SLD.050.C.0.12.2000.00.00.DGER050.CG4_AREA_ADM">-64913398.0200805</definedName>
    <definedName name="SLD.050.C.0.12.2000.00.00.DGER050.CG4_AREA_COM">-22589286.7099914</definedName>
    <definedName name="SLD.050.C.0.12.2000.00.00.DGER051">-27682435.4900207</definedName>
    <definedName name="SLD.050.C.0.12.2000.00.00.DGER052">-73443636.4101562</definedName>
    <definedName name="SLD.050.C.0.12.2000.00.00.DGER053">7933106.11999512</definedName>
    <definedName name="SLD.050.C.0.12.2000.00.00.DGER054">-20239292.4100036</definedName>
    <definedName name="SLD.050.C.0.12.2000.00.00.DRESPER">-64218468.7498169</definedName>
    <definedName name="SLD.090.C.0.03.2002.00.00.DGER032">-1122085.24</definedName>
    <definedName name="SLD.090.C.0.03.2002.00.00.DGER048">-186563771.88</definedName>
    <definedName name="SLD.090.C.0.03.2003.00.00.DGER032">1245514.51999998</definedName>
    <definedName name="SLD.090.C.0.03.2003.00.00.DGER048">13109396.1599999</definedName>
    <definedName name="SLD.090.C.0.04.0000.00.00.3214540">-417991.37</definedName>
    <definedName name="SLD.090.C.0.04.0000.00.00.3218650">6687336.48</definedName>
    <definedName name="SLD.090.C.0.08.2004.00.00.321450.CG4_NIVEL3_CV">-6160799.24</definedName>
    <definedName name="SLD.090.C.0.12.2002.00.00.DGER032">2140921.08000002</definedName>
    <definedName name="SLD.090.C.0.12.2002.00.00.DGER048">-145627133.869999</definedName>
    <definedName name="ss" localSheetId="11">#REF!</definedName>
    <definedName name="ss" localSheetId="13">#REF!</definedName>
    <definedName name="ss">#REF!</definedName>
    <definedName name="tar" localSheetId="11">#REF!</definedName>
    <definedName name="tar" localSheetId="13">#REF!</definedName>
    <definedName name="tar">#REF!</definedName>
    <definedName name="Total_Encargos" localSheetId="3">#REF!</definedName>
    <definedName name="Total_Encargos" localSheetId="11">#REF!</definedName>
    <definedName name="Total_Encargos" localSheetId="13">#REF!</definedName>
    <definedName name="Total_Encargos" localSheetId="4">#REF!</definedName>
    <definedName name="Total_Encargos" localSheetId="12">#REF!</definedName>
    <definedName name="Total_Encargos">#REF!</definedName>
    <definedName name="Tx_BNDES" localSheetId="3">#REF!</definedName>
    <definedName name="Tx_BNDES" localSheetId="11">#REF!</definedName>
    <definedName name="Tx_BNDES" localSheetId="13">#REF!</definedName>
    <definedName name="Tx_BNDES" localSheetId="4">#REF!</definedName>
    <definedName name="Tx_BNDES" localSheetId="12">#REF!</definedName>
    <definedName name="Tx_BNDES">#REF!</definedName>
    <definedName name="Tx_TJLP" localSheetId="3">#REF!</definedName>
    <definedName name="Tx_TJLP" localSheetId="11">#REF!</definedName>
    <definedName name="Tx_TJLP" localSheetId="13">#REF!</definedName>
    <definedName name="Tx_TJLP" localSheetId="4">#REF!</definedName>
    <definedName name="Tx_TJLP" localSheetId="12">#REF!</definedName>
    <definedName name="Tx_TJLP">#REF!</definedName>
    <definedName name="Vl_URTJLP" localSheetId="3">#REF!</definedName>
    <definedName name="Vl_URTJLP" localSheetId="11">#REF!</definedName>
    <definedName name="Vl_URTJLP" localSheetId="13">#REF!</definedName>
    <definedName name="Vl_URTJLP" localSheetId="4">#REF!</definedName>
    <definedName name="Vl_URTJLP" localSheetId="12">#REF!</definedName>
    <definedName name="Vl_URTJLP">#REF!</definedName>
    <definedName name="vo">#REF!</definedName>
    <definedName name="woetpwe" localSheetId="3">#REF!</definedName>
    <definedName name="woetpwe" localSheetId="11">#REF!</definedName>
    <definedName name="woetpwe" localSheetId="13">#REF!</definedName>
    <definedName name="woetpwe" localSheetId="4">#REF!</definedName>
    <definedName name="woetpwe" localSheetId="12">#REF!</definedName>
    <definedName name="woetpwe">#REF!</definedName>
    <definedName name="wrn.Accretion._.Dilution." localSheetId="1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localSheetId="13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localSheetId="12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>{#N/A,#N/A,TRUE,"Snapshot";#N/A,#N/A,TRUE,"PE at Different Premiums";#N/A,#N/A,TRUE,"EBITDA at Different Premiums";#N/A,#N/A,TRUE,"Long Form Dilution";#N/A,#N/A,TRUE,"AVP";#N/A,#N/A,TRUE,"Has-Gets";#N/A,#N/A,TRUE,"Contribution"}</definedName>
    <definedName name="wrn.Carrefour._.Worse._.Case." localSheetId="1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localSheetId="13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localSheetId="12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>{#N/A,#N/A,TRUE,"DIVIDER PAGE";#N/A,#N/A,TRUE,"Exist + Reg A IS";#N/A,#N/A,TRUE,"Summary IS exc. B";#N/A,#N/A,TRUE,"New Stores";#N/A,#N/A,TRUE,"Existing DCF";#N/A,#N/A,TRUE,"Region A DCF";#N/A,#N/A,TRUE,"Existing + Reg. A DCF"}</definedName>
    <definedName name="wrn.Company._.Analysis." localSheetId="1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localSheetId="13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localSheetId="12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>{#N/A,#N/A,TRUE,"Summary LTM";#N/A,#N/A,TRUE,"95-97";#N/A,#N/A,TRUE,"97 US &amp; Peso Sum";#N/A,#N/A,TRUE,"1997 Peso Comparison";#N/A,#N/A,TRUE,"97 IS per store";#N/A,#N/A,TRUE,"96 IS per store";#N/A,#N/A,TRUE,"95 IS per store"}</definedName>
    <definedName name="wrn.divestiture." localSheetId="11">{#N/A,#N/A,TRUE,"Overview";#N/A,#N/A,TRUE,"Divest Val";#N/A,#N/A,TRUE,"sources &amp; uses";#N/A,#N/A,TRUE,"Has-Gets Divest"}</definedName>
    <definedName name="wrn.divestiture." localSheetId="13">{#N/A,#N/A,TRUE,"Overview";#N/A,#N/A,TRUE,"Divest Val";#N/A,#N/A,TRUE,"sources &amp; uses";#N/A,#N/A,TRUE,"Has-Gets Divest"}</definedName>
    <definedName name="wrn.divestiture." localSheetId="12">{#N/A,#N/A,TRUE,"Overview";#N/A,#N/A,TRUE,"Divest Val";#N/A,#N/A,TRUE,"sources &amp; uses";#N/A,#N/A,TRUE,"Has-Gets Divest"}</definedName>
    <definedName name="wrn.divestiture.">{#N/A,#N/A,TRUE,"Overview";#N/A,#N/A,TRUE,"Divest Val";#N/A,#N/A,TRUE,"sources &amp; uses";#N/A,#N/A,TRUE,"Has-Gets Divest"}</definedName>
    <definedName name="wrn.EXITO." localSheetId="1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localSheetId="13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localSheetId="12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Friendly." localSheetId="11">{#N/A,#N/A,TRUE,"Julio";#N/A,#N/A,TRUE,"Agosto";#N/A,#N/A,TRUE,"BHCo";#N/A,#N/A,TRUE,"Abril";#N/A,#N/A,TRUE,"Pro Forma"}</definedName>
    <definedName name="wrn.Friendly." localSheetId="13">{#N/A,#N/A,TRUE,"Julio";#N/A,#N/A,TRUE,"Agosto";#N/A,#N/A,TRUE,"BHCo";#N/A,#N/A,TRUE,"Abril";#N/A,#N/A,TRUE,"Pro Forma"}</definedName>
    <definedName name="wrn.Friendly." localSheetId="12">{#N/A,#N/A,TRUE,"Julio";#N/A,#N/A,TRUE,"Agosto";#N/A,#N/A,TRUE,"BHCo";#N/A,#N/A,TRUE,"Abril";#N/A,#N/A,TRUE,"Pro Forma"}</definedName>
    <definedName name="wrn.Friendly.">{#N/A,#N/A,TRUE,"Julio";#N/A,#N/A,TRUE,"Agosto";#N/A,#N/A,TRUE,"BHCo";#N/A,#N/A,TRUE,"Abril";#N/A,#N/A,TRUE,"Pro Forma"}</definedName>
    <definedName name="wrn.prices." localSheetId="11">{#N/A,#N/A,TRUE,"BANAMEX";#N/A,#N/A,TRUE,"CGT";#N/A,#N/A,TRUE,"ALFA";#N/A,#N/A,TRUE,"ICA (2)"}</definedName>
    <definedName name="wrn.prices." localSheetId="13">{#N/A,#N/A,TRUE,"BANAMEX";#N/A,#N/A,TRUE,"CGT";#N/A,#N/A,TRUE,"ALFA";#N/A,#N/A,TRUE,"ICA (2)"}</definedName>
    <definedName name="wrn.prices." localSheetId="12">{#N/A,#N/A,TRUE,"BANAMEX";#N/A,#N/A,TRUE,"CGT";#N/A,#N/A,TRUE,"ALFA";#N/A,#N/A,TRUE,"ICA (2)"}</definedName>
    <definedName name="wrn.prices.">{#N/A,#N/A,TRUE,"BANAMEX";#N/A,#N/A,TRUE,"CGT";#N/A,#N/A,TRUE,"ALFA";#N/A,#N/A,TRUE,"ICA (2)"}</definedName>
    <definedName name="wrn.totalcomp." localSheetId="11">{"comp1",#N/A,FALSE,"COMPS";"footnotes",#N/A,FALSE,"COMPS"}</definedName>
    <definedName name="wrn.totalcomp." localSheetId="13">{"comp1",#N/A,FALSE,"COMPS";"footnotes",#N/A,FALSE,"COMPS"}</definedName>
    <definedName name="wrn.totalcomp." localSheetId="12">{"comp1",#N/A,FALSE,"COMPS";"footnotes",#N/A,FALSE,"COMPS"}</definedName>
    <definedName name="wrn.totalcomp.">{"comp1",#N/A,FALSE,"COMPS";"footnotes",#N/A,FALSE,"COMPS"}</definedName>
    <definedName name="Z" localSheetId="2">#REF!</definedName>
    <definedName name="Z" localSheetId="3">[0]!BreakComercial</definedName>
    <definedName name="Z" localSheetId="11">[0]!BreakComercial</definedName>
    <definedName name="Z" localSheetId="13">[0]!BreakComercial</definedName>
    <definedName name="Z" localSheetId="4">[0]!BreakComercial</definedName>
    <definedName name="Z" localSheetId="12">[0]!BreakComercial</definedName>
    <definedName name="Z">[0]!BreakComercial</definedName>
  </definedNames>
  <calcPr calcId="191029"/>
  <pivotCaches>
    <pivotCache cacheId="12" r:id="rId21"/>
    <pivotCache cacheId="37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G5XQr/3s2D8YVudaRrdyvqh0uWsmE+lsAyrxhPcdbeo="/>
    </ext>
  </extLst>
</workbook>
</file>

<file path=xl/calcChain.xml><?xml version="1.0" encoding="utf-8"?>
<calcChain xmlns="http://schemas.openxmlformats.org/spreadsheetml/2006/main">
  <c r="K3240" i="12" l="1"/>
  <c r="L3240" i="12" s="1"/>
  <c r="J3240" i="12"/>
  <c r="I3240" i="12"/>
  <c r="K3239" i="12"/>
  <c r="L3239" i="12" s="1"/>
  <c r="J3239" i="12"/>
  <c r="I3239" i="12"/>
  <c r="I3148" i="12"/>
  <c r="J3148" i="12"/>
  <c r="K3238" i="12"/>
  <c r="L3238" i="12" s="1"/>
  <c r="J3238" i="12"/>
  <c r="I3238" i="12"/>
  <c r="E2664" i="12"/>
  <c r="I2664" i="12"/>
  <c r="J2664" i="12"/>
  <c r="K2664" i="12"/>
  <c r="L2664" i="12" s="1"/>
  <c r="K3237" i="12"/>
  <c r="L3237" i="12" s="1"/>
  <c r="J3237" i="12"/>
  <c r="I3237" i="12"/>
  <c r="K3236" i="12"/>
  <c r="L3236" i="12" s="1"/>
  <c r="J3236" i="12"/>
  <c r="I3236" i="12"/>
  <c r="K3235" i="12"/>
  <c r="L3235" i="12" s="1"/>
  <c r="J3235" i="12"/>
  <c r="I3235" i="12"/>
  <c r="K2435" i="12"/>
  <c r="L2435" i="12" s="1"/>
  <c r="J2435" i="12"/>
  <c r="I2435" i="12"/>
  <c r="K2434" i="12"/>
  <c r="L2434" i="12" s="1"/>
  <c r="J2434" i="12"/>
  <c r="I2434" i="12"/>
  <c r="K3234" i="12"/>
  <c r="L3234" i="12" s="1"/>
  <c r="J3234" i="12"/>
  <c r="I3234" i="12"/>
  <c r="K3233" i="12"/>
  <c r="L3233" i="12" s="1"/>
  <c r="J3233" i="12"/>
  <c r="I3233" i="12"/>
  <c r="K2843" i="12"/>
  <c r="L2843" i="12" s="1"/>
  <c r="J2843" i="12"/>
  <c r="I2843" i="12"/>
  <c r="K3232" i="12"/>
  <c r="L3232" i="12" s="1"/>
  <c r="J3232" i="12"/>
  <c r="I3232" i="12"/>
  <c r="K3231" i="12"/>
  <c r="L3231" i="12" s="1"/>
  <c r="J3231" i="12"/>
  <c r="I3231" i="12"/>
  <c r="K3230" i="12"/>
  <c r="L3230" i="12" s="1"/>
  <c r="J3230" i="12"/>
  <c r="I3230" i="12"/>
  <c r="K3229" i="12" l="1"/>
  <c r="L3229" i="12" s="1"/>
  <c r="J3229" i="12"/>
  <c r="I3229" i="12"/>
  <c r="K3088" i="12"/>
  <c r="K3047" i="12"/>
  <c r="K2937" i="12"/>
  <c r="K2861" i="12"/>
  <c r="K2852" i="12"/>
  <c r="K2845" i="12"/>
  <c r="K2844" i="12"/>
  <c r="K2700" i="12"/>
  <c r="K2624" i="12"/>
  <c r="K2612" i="12"/>
  <c r="K2528" i="12"/>
  <c r="K2437" i="12"/>
  <c r="K2436" i="12"/>
  <c r="K2416" i="12"/>
  <c r="K2391" i="12"/>
  <c r="K2315" i="12"/>
  <c r="K2151" i="12"/>
  <c r="K2099" i="12"/>
  <c r="K2087" i="12"/>
  <c r="K2065" i="12"/>
  <c r="K2008" i="12"/>
  <c r="K3005" i="12"/>
  <c r="L3005" i="12" s="1"/>
  <c r="J3005" i="12"/>
  <c r="I3005" i="12"/>
  <c r="W19" i="15" l="1"/>
  <c r="V19" i="15"/>
  <c r="D26" i="15"/>
  <c r="D24" i="15"/>
  <c r="B24" i="15"/>
  <c r="I2407" i="12" l="1"/>
  <c r="J2407" i="12"/>
  <c r="K2407" i="12"/>
  <c r="L2407" i="12" s="1"/>
  <c r="K3148" i="12"/>
  <c r="L3148" i="12" s="1"/>
  <c r="K3228" i="12"/>
  <c r="L3228" i="12" s="1"/>
  <c r="J3228" i="12"/>
  <c r="I3228" i="12"/>
  <c r="E3228" i="12"/>
  <c r="K2836" i="12"/>
  <c r="L2836" i="12" s="1"/>
  <c r="J2836" i="12"/>
  <c r="I2836" i="12"/>
  <c r="K3226" i="12"/>
  <c r="L3226" i="12" s="1"/>
  <c r="J3226" i="12"/>
  <c r="I3226" i="12"/>
  <c r="K3225" i="12"/>
  <c r="L3225" i="12" s="1"/>
  <c r="J3225" i="12"/>
  <c r="I3225" i="12"/>
  <c r="K2998" i="12" l="1"/>
  <c r="L2998" i="12" s="1"/>
  <c r="J2998" i="12"/>
  <c r="I2998" i="12"/>
  <c r="K2919" i="12"/>
  <c r="L2919" i="12" s="1"/>
  <c r="J2919" i="12"/>
  <c r="I2919" i="12"/>
  <c r="K3224" i="12"/>
  <c r="L3224" i="12" s="1"/>
  <c r="J3224" i="12"/>
  <c r="I3224" i="12"/>
  <c r="H41" i="10" l="1"/>
  <c r="H40" i="10"/>
  <c r="K41" i="10" s="1"/>
  <c r="D40" i="10"/>
  <c r="F41" i="10" l="1"/>
  <c r="E24" i="13"/>
  <c r="E22" i="13"/>
  <c r="E23" i="13"/>
  <c r="H20" i="13"/>
  <c r="H21" i="13"/>
  <c r="H22" i="13"/>
  <c r="H23" i="13"/>
  <c r="H24" i="13"/>
  <c r="H25" i="13"/>
  <c r="F21" i="13"/>
  <c r="G21" i="13" s="1"/>
  <c r="F22" i="13"/>
  <c r="G22" i="13" s="1"/>
  <c r="F23" i="13"/>
  <c r="G23" i="13" s="1"/>
  <c r="F24" i="13"/>
  <c r="G24" i="13" s="1"/>
  <c r="F25" i="13"/>
  <c r="G25" i="13" s="1"/>
  <c r="F20" i="13"/>
  <c r="G20" i="13" s="1"/>
  <c r="K2835" i="12" l="1"/>
  <c r="L2835" i="12" s="1"/>
  <c r="J2835" i="12"/>
  <c r="I2835" i="12"/>
  <c r="K2834" i="12"/>
  <c r="L2834" i="12" s="1"/>
  <c r="J2834" i="12"/>
  <c r="I2834" i="12"/>
  <c r="K2833" i="12"/>
  <c r="L2833" i="12" s="1"/>
  <c r="J2833" i="12"/>
  <c r="I2833" i="12"/>
  <c r="K2000" i="12"/>
  <c r="L2000" i="12" s="1"/>
  <c r="J2000" i="12"/>
  <c r="I2000" i="12"/>
  <c r="K1999" i="12"/>
  <c r="L1999" i="12" s="1"/>
  <c r="J1999" i="12"/>
  <c r="I1999" i="12"/>
  <c r="K1998" i="12"/>
  <c r="L1998" i="12" s="1"/>
  <c r="J1998" i="12"/>
  <c r="I1998" i="12"/>
  <c r="I2001" i="12"/>
  <c r="J2001" i="12"/>
  <c r="K2001" i="12"/>
  <c r="L2001" i="12" s="1"/>
  <c r="I2388" i="12"/>
  <c r="J2388" i="12"/>
  <c r="K2388" i="12"/>
  <c r="L2388" i="12" s="1"/>
  <c r="I2389" i="12"/>
  <c r="J2389" i="12"/>
  <c r="K2389" i="12"/>
  <c r="L2389" i="12" s="1"/>
  <c r="I2390" i="12"/>
  <c r="J2390" i="12"/>
  <c r="K2390" i="12"/>
  <c r="L2390" i="12" s="1"/>
  <c r="N40" i="1"/>
  <c r="N42" i="1"/>
  <c r="N17" i="1"/>
  <c r="N12" i="1"/>
  <c r="N8" i="1"/>
  <c r="N7" i="1"/>
  <c r="N69" i="1"/>
  <c r="N11" i="1"/>
  <c r="K3223" i="12" l="1"/>
  <c r="L3223" i="12" s="1"/>
  <c r="J3223" i="12"/>
  <c r="K3222" i="12"/>
  <c r="L3222" i="12" s="1"/>
  <c r="J3222" i="12"/>
  <c r="K3221" i="12"/>
  <c r="L3221" i="12" s="1"/>
  <c r="J3221" i="12"/>
  <c r="K3220" i="12"/>
  <c r="L3220" i="12" s="1"/>
  <c r="J3220" i="12"/>
  <c r="K3219" i="12"/>
  <c r="L3219" i="12" s="1"/>
  <c r="J3219" i="12"/>
  <c r="K3218" i="12"/>
  <c r="L3218" i="12" s="1"/>
  <c r="J3218" i="12"/>
  <c r="K3217" i="12"/>
  <c r="L3217" i="12" s="1"/>
  <c r="J3217" i="12"/>
  <c r="K3216" i="12"/>
  <c r="L3216" i="12" s="1"/>
  <c r="J3216" i="12"/>
  <c r="K3215" i="12"/>
  <c r="L3215" i="12" s="1"/>
  <c r="J3215" i="12"/>
  <c r="K3214" i="12"/>
  <c r="L3214" i="12" s="1"/>
  <c r="J3214" i="12"/>
  <c r="K3213" i="12"/>
  <c r="L3213" i="12" s="1"/>
  <c r="J3213" i="12"/>
  <c r="K3212" i="12"/>
  <c r="L3212" i="12" s="1"/>
  <c r="J3212" i="12"/>
  <c r="K3211" i="12"/>
  <c r="L3211" i="12" s="1"/>
  <c r="J3211" i="12"/>
  <c r="K3210" i="12"/>
  <c r="L3210" i="12" s="1"/>
  <c r="J3210" i="12"/>
  <c r="K3209" i="12"/>
  <c r="L3209" i="12" s="1"/>
  <c r="J3209" i="12"/>
  <c r="K3208" i="12"/>
  <c r="L3208" i="12" s="1"/>
  <c r="J3208" i="12"/>
  <c r="K3207" i="12"/>
  <c r="L3207" i="12" s="1"/>
  <c r="J3207" i="12"/>
  <c r="K3206" i="12"/>
  <c r="L3206" i="12" s="1"/>
  <c r="J3206" i="12"/>
  <c r="K3205" i="12"/>
  <c r="L3205" i="12" s="1"/>
  <c r="J3205" i="12"/>
  <c r="K3204" i="12"/>
  <c r="L3204" i="12" s="1"/>
  <c r="J3204" i="12"/>
  <c r="K3203" i="12"/>
  <c r="L3203" i="12" s="1"/>
  <c r="J3203" i="12"/>
  <c r="K3202" i="12"/>
  <c r="L3202" i="12" s="1"/>
  <c r="J3202" i="12"/>
  <c r="K3201" i="12"/>
  <c r="L3201" i="12" s="1"/>
  <c r="J3201" i="12"/>
  <c r="K3200" i="12"/>
  <c r="L3200" i="12" s="1"/>
  <c r="J3200" i="12"/>
  <c r="K3199" i="12"/>
  <c r="L3199" i="12" s="1"/>
  <c r="J3199" i="12"/>
  <c r="K3198" i="12"/>
  <c r="L3198" i="12" s="1"/>
  <c r="J3198" i="12"/>
  <c r="K3197" i="12"/>
  <c r="L3197" i="12" s="1"/>
  <c r="J3197" i="12"/>
  <c r="K3196" i="12"/>
  <c r="L3196" i="12" s="1"/>
  <c r="J3196" i="12"/>
  <c r="K3195" i="12"/>
  <c r="L3195" i="12" s="1"/>
  <c r="J3195" i="12"/>
  <c r="K3194" i="12"/>
  <c r="L3194" i="12" s="1"/>
  <c r="J3194" i="12"/>
  <c r="K3193" i="12"/>
  <c r="L3193" i="12" s="1"/>
  <c r="J3193" i="12"/>
  <c r="K3192" i="12"/>
  <c r="L3192" i="12" s="1"/>
  <c r="J3192" i="12"/>
  <c r="K3191" i="12"/>
  <c r="L3191" i="12" s="1"/>
  <c r="J3191" i="12"/>
  <c r="K3190" i="12"/>
  <c r="L3190" i="12" s="1"/>
  <c r="J3190" i="12"/>
  <c r="K3189" i="12"/>
  <c r="L3189" i="12" s="1"/>
  <c r="J3189" i="12"/>
  <c r="K3188" i="12"/>
  <c r="L3188" i="12" s="1"/>
  <c r="J3188" i="12"/>
  <c r="K3187" i="12"/>
  <c r="L3187" i="12" s="1"/>
  <c r="J3187" i="12"/>
  <c r="K3186" i="12"/>
  <c r="L3186" i="12" s="1"/>
  <c r="J3186" i="12"/>
  <c r="K3185" i="12"/>
  <c r="L3185" i="12" s="1"/>
  <c r="J3185" i="12"/>
  <c r="K3184" i="12"/>
  <c r="L3184" i="12" s="1"/>
  <c r="J3184" i="12"/>
  <c r="K3183" i="12"/>
  <c r="L3183" i="12" s="1"/>
  <c r="J3183" i="12"/>
  <c r="K3182" i="12"/>
  <c r="L3182" i="12" s="1"/>
  <c r="J3182" i="12"/>
  <c r="K3181" i="12"/>
  <c r="L3181" i="12" s="1"/>
  <c r="J3181" i="12"/>
  <c r="K3180" i="12"/>
  <c r="L3180" i="12" s="1"/>
  <c r="J3180" i="12"/>
  <c r="K3179" i="12"/>
  <c r="L3179" i="12" s="1"/>
  <c r="J3179" i="12"/>
  <c r="K3178" i="12"/>
  <c r="L3178" i="12" s="1"/>
  <c r="J3178" i="12"/>
  <c r="K3177" i="12"/>
  <c r="L3177" i="12" s="1"/>
  <c r="J3177" i="12"/>
  <c r="K3176" i="12"/>
  <c r="L3176" i="12" s="1"/>
  <c r="J3176" i="12"/>
  <c r="K3175" i="12"/>
  <c r="L3175" i="12" s="1"/>
  <c r="J3175" i="12"/>
  <c r="K3174" i="12"/>
  <c r="L3174" i="12" s="1"/>
  <c r="J3174" i="12"/>
  <c r="K3173" i="12"/>
  <c r="L3173" i="12" s="1"/>
  <c r="J3173" i="12"/>
  <c r="K3172" i="12"/>
  <c r="L3172" i="12" s="1"/>
  <c r="J3172" i="12"/>
  <c r="K3171" i="12"/>
  <c r="L3171" i="12" s="1"/>
  <c r="J3171" i="12"/>
  <c r="K3170" i="12"/>
  <c r="L3170" i="12" s="1"/>
  <c r="J3170" i="12"/>
  <c r="K3169" i="12"/>
  <c r="L3169" i="12" s="1"/>
  <c r="J3169" i="12"/>
  <c r="K3168" i="12"/>
  <c r="L3168" i="12" s="1"/>
  <c r="J3168" i="12"/>
  <c r="K3167" i="12"/>
  <c r="L3167" i="12" s="1"/>
  <c r="J3167" i="12"/>
  <c r="K3166" i="12"/>
  <c r="L3166" i="12" s="1"/>
  <c r="J3166" i="12"/>
  <c r="K3165" i="12"/>
  <c r="L3165" i="12" s="1"/>
  <c r="J3165" i="12"/>
  <c r="K3164" i="12"/>
  <c r="L3164" i="12" s="1"/>
  <c r="J3164" i="12"/>
  <c r="L3163" i="12"/>
  <c r="J3163" i="12"/>
  <c r="K3162" i="12"/>
  <c r="L3162" i="12" s="1"/>
  <c r="J3162" i="12"/>
  <c r="K3161" i="12"/>
  <c r="L3161" i="12" s="1"/>
  <c r="J3161" i="12"/>
  <c r="K3160" i="12"/>
  <c r="L3160" i="12" s="1"/>
  <c r="J3160" i="12"/>
  <c r="K3159" i="12"/>
  <c r="L3159" i="12" s="1"/>
  <c r="J3159" i="12"/>
  <c r="K3158" i="12"/>
  <c r="L3158" i="12" s="1"/>
  <c r="J3158" i="12"/>
  <c r="K3157" i="12"/>
  <c r="L3157" i="12" s="1"/>
  <c r="J3157" i="12"/>
  <c r="K3156" i="12"/>
  <c r="L3156" i="12" s="1"/>
  <c r="J3156" i="12"/>
  <c r="K3155" i="12"/>
  <c r="L3155" i="12" s="1"/>
  <c r="J3155" i="12"/>
  <c r="K3154" i="12"/>
  <c r="L3154" i="12" s="1"/>
  <c r="J3154" i="12"/>
  <c r="K3153" i="12"/>
  <c r="L3153" i="12" s="1"/>
  <c r="J3153" i="12"/>
  <c r="K3152" i="12"/>
  <c r="L3152" i="12" s="1"/>
  <c r="J3152" i="12"/>
  <c r="K3151" i="12"/>
  <c r="L3151" i="12" s="1"/>
  <c r="J3151" i="12"/>
  <c r="K3150" i="12"/>
  <c r="L3150" i="12" s="1"/>
  <c r="J3150" i="12"/>
  <c r="K3149" i="12"/>
  <c r="L3149" i="12" s="1"/>
  <c r="J3149" i="12"/>
  <c r="K3147" i="12"/>
  <c r="L3147" i="12" s="1"/>
  <c r="J3147" i="12"/>
  <c r="K3146" i="12"/>
  <c r="L3146" i="12" s="1"/>
  <c r="J3146" i="12"/>
  <c r="K3145" i="12"/>
  <c r="L3145" i="12" s="1"/>
  <c r="J3145" i="12"/>
  <c r="K3144" i="12"/>
  <c r="L3144" i="12" s="1"/>
  <c r="J3144" i="12"/>
  <c r="K3143" i="12"/>
  <c r="L3143" i="12" s="1"/>
  <c r="J3143" i="12"/>
  <c r="K3142" i="12"/>
  <c r="L3142" i="12" s="1"/>
  <c r="J3142" i="12"/>
  <c r="K3141" i="12"/>
  <c r="L3141" i="12" s="1"/>
  <c r="J3141" i="12"/>
  <c r="K3140" i="12"/>
  <c r="L3140" i="12" s="1"/>
  <c r="J3140" i="12"/>
  <c r="K3139" i="12"/>
  <c r="L3139" i="12" s="1"/>
  <c r="J3139" i="12"/>
  <c r="K3138" i="12"/>
  <c r="L3138" i="12" s="1"/>
  <c r="J3138" i="12"/>
  <c r="K3137" i="12"/>
  <c r="L3137" i="12" s="1"/>
  <c r="J3137" i="12"/>
  <c r="K3136" i="12"/>
  <c r="L3136" i="12" s="1"/>
  <c r="J3136" i="12"/>
  <c r="K3135" i="12"/>
  <c r="L3135" i="12" s="1"/>
  <c r="J3135" i="12"/>
  <c r="K3134" i="12"/>
  <c r="L3134" i="12" s="1"/>
  <c r="J3134" i="12"/>
  <c r="K3133" i="12"/>
  <c r="L3133" i="12" s="1"/>
  <c r="J3133" i="12"/>
  <c r="K3132" i="12"/>
  <c r="L3132" i="12" s="1"/>
  <c r="J3132" i="12"/>
  <c r="K3131" i="12"/>
  <c r="L3131" i="12" s="1"/>
  <c r="J3131" i="12"/>
  <c r="K3130" i="12"/>
  <c r="L3130" i="12" s="1"/>
  <c r="J3130" i="12"/>
  <c r="K3129" i="12"/>
  <c r="L3129" i="12" s="1"/>
  <c r="J3129" i="12"/>
  <c r="K3128" i="12"/>
  <c r="L3128" i="12" s="1"/>
  <c r="J3128" i="12"/>
  <c r="K3127" i="12"/>
  <c r="L3127" i="12" s="1"/>
  <c r="J3127" i="12"/>
  <c r="K3126" i="12"/>
  <c r="L3126" i="12" s="1"/>
  <c r="J3126" i="12"/>
  <c r="K3125" i="12"/>
  <c r="L3125" i="12" s="1"/>
  <c r="J3125" i="12"/>
  <c r="K3124" i="12"/>
  <c r="L3124" i="12" s="1"/>
  <c r="J3124" i="12"/>
  <c r="K3123" i="12"/>
  <c r="L3123" i="12" s="1"/>
  <c r="J3123" i="12"/>
  <c r="K3122" i="12"/>
  <c r="L3122" i="12" s="1"/>
  <c r="J3122" i="12"/>
  <c r="K3121" i="12"/>
  <c r="L3121" i="12" s="1"/>
  <c r="J3121" i="12"/>
  <c r="K3120" i="12"/>
  <c r="L3120" i="12" s="1"/>
  <c r="J3120" i="12"/>
  <c r="K3119" i="12"/>
  <c r="L3119" i="12" s="1"/>
  <c r="J3119" i="12"/>
  <c r="K3118" i="12"/>
  <c r="L3118" i="12" s="1"/>
  <c r="J3118" i="12"/>
  <c r="K3117" i="12"/>
  <c r="L3117" i="12" s="1"/>
  <c r="J3117" i="12"/>
  <c r="K3116" i="12"/>
  <c r="L3116" i="12" s="1"/>
  <c r="J3116" i="12"/>
  <c r="K3115" i="12"/>
  <c r="L3115" i="12" s="1"/>
  <c r="J3115" i="12"/>
  <c r="K3114" i="12"/>
  <c r="L3114" i="12" s="1"/>
  <c r="J3114" i="12"/>
  <c r="K3113" i="12"/>
  <c r="L3113" i="12" s="1"/>
  <c r="J3113" i="12"/>
  <c r="K3112" i="12"/>
  <c r="L3112" i="12" s="1"/>
  <c r="J3112" i="12"/>
  <c r="K3111" i="12"/>
  <c r="L3111" i="12" s="1"/>
  <c r="J3111" i="12"/>
  <c r="K3110" i="12"/>
  <c r="L3110" i="12" s="1"/>
  <c r="J3110" i="12"/>
  <c r="K3109" i="12"/>
  <c r="L3109" i="12" s="1"/>
  <c r="J3109" i="12"/>
  <c r="K3108" i="12"/>
  <c r="L3108" i="12" s="1"/>
  <c r="J3108" i="12"/>
  <c r="K3107" i="12"/>
  <c r="L3107" i="12" s="1"/>
  <c r="J3107" i="12"/>
  <c r="K3106" i="12"/>
  <c r="L3106" i="12" s="1"/>
  <c r="J3106" i="12"/>
  <c r="K3105" i="12"/>
  <c r="L3105" i="12" s="1"/>
  <c r="J3105" i="12"/>
  <c r="K3104" i="12"/>
  <c r="L3104" i="12" s="1"/>
  <c r="J3104" i="12"/>
  <c r="K3103" i="12"/>
  <c r="L3103" i="12" s="1"/>
  <c r="J3103" i="12"/>
  <c r="K3102" i="12"/>
  <c r="L3102" i="12" s="1"/>
  <c r="J3102" i="12"/>
  <c r="K3101" i="12"/>
  <c r="L3101" i="12" s="1"/>
  <c r="J3101" i="12"/>
  <c r="K3100" i="12"/>
  <c r="L3100" i="12" s="1"/>
  <c r="J3100" i="12"/>
  <c r="K3099" i="12"/>
  <c r="L3099" i="12" s="1"/>
  <c r="J3099" i="12"/>
  <c r="K3098" i="12"/>
  <c r="L3098" i="12" s="1"/>
  <c r="J3098" i="12"/>
  <c r="K3097" i="12"/>
  <c r="L3097" i="12" s="1"/>
  <c r="J3097" i="12"/>
  <c r="K3096" i="12"/>
  <c r="L3096" i="12" s="1"/>
  <c r="J3096" i="12"/>
  <c r="K3095" i="12"/>
  <c r="L3095" i="12" s="1"/>
  <c r="J3095" i="12"/>
  <c r="K3094" i="12"/>
  <c r="L3094" i="12" s="1"/>
  <c r="J3094" i="12"/>
  <c r="K3093" i="12"/>
  <c r="L3093" i="12" s="1"/>
  <c r="J3093" i="12"/>
  <c r="K3092" i="12"/>
  <c r="L3092" i="12" s="1"/>
  <c r="J3092" i="12"/>
  <c r="K3091" i="12"/>
  <c r="L3091" i="12" s="1"/>
  <c r="J3091" i="12"/>
  <c r="K3090" i="12"/>
  <c r="L3090" i="12" s="1"/>
  <c r="J3090" i="12"/>
  <c r="K3089" i="12"/>
  <c r="L3089" i="12" s="1"/>
  <c r="J3089" i="12"/>
  <c r="L3088" i="12"/>
  <c r="J3088" i="12"/>
  <c r="K3087" i="12"/>
  <c r="L3087" i="12" s="1"/>
  <c r="J3087" i="12"/>
  <c r="K3086" i="12"/>
  <c r="L3086" i="12" s="1"/>
  <c r="J3086" i="12"/>
  <c r="K3085" i="12"/>
  <c r="L3085" i="12" s="1"/>
  <c r="J3085" i="12"/>
  <c r="K3084" i="12"/>
  <c r="L3084" i="12" s="1"/>
  <c r="J3084" i="12"/>
  <c r="K3083" i="12"/>
  <c r="L3083" i="12" s="1"/>
  <c r="J3083" i="12"/>
  <c r="K3082" i="12"/>
  <c r="L3082" i="12" s="1"/>
  <c r="J3082" i="12"/>
  <c r="K3081" i="12"/>
  <c r="L3081" i="12" s="1"/>
  <c r="J3081" i="12"/>
  <c r="K3080" i="12"/>
  <c r="L3080" i="12" s="1"/>
  <c r="J3080" i="12"/>
  <c r="K3079" i="12"/>
  <c r="L3079" i="12" s="1"/>
  <c r="J3079" i="12"/>
  <c r="K3078" i="12"/>
  <c r="L3078" i="12" s="1"/>
  <c r="J3078" i="12"/>
  <c r="K3077" i="12"/>
  <c r="L3077" i="12" s="1"/>
  <c r="J3077" i="12"/>
  <c r="K3076" i="12"/>
  <c r="L3076" i="12" s="1"/>
  <c r="J3076" i="12"/>
  <c r="K3075" i="12"/>
  <c r="L3075" i="12" s="1"/>
  <c r="J3075" i="12"/>
  <c r="K3074" i="12"/>
  <c r="L3074" i="12" s="1"/>
  <c r="J3074" i="12"/>
  <c r="K3073" i="12"/>
  <c r="L3073" i="12" s="1"/>
  <c r="J3073" i="12"/>
  <c r="K3072" i="12"/>
  <c r="L3072" i="12" s="1"/>
  <c r="J3072" i="12"/>
  <c r="K3071" i="12"/>
  <c r="L3071" i="12" s="1"/>
  <c r="J3071" i="12"/>
  <c r="K3070" i="12"/>
  <c r="L3070" i="12" s="1"/>
  <c r="J3070" i="12"/>
  <c r="K3069" i="12"/>
  <c r="L3069" i="12" s="1"/>
  <c r="J3069" i="12"/>
  <c r="K3068" i="12"/>
  <c r="L3068" i="12" s="1"/>
  <c r="J3068" i="12"/>
  <c r="K3067" i="12"/>
  <c r="L3067" i="12" s="1"/>
  <c r="J3067" i="12"/>
  <c r="K3066" i="12"/>
  <c r="L3066" i="12" s="1"/>
  <c r="J3066" i="12"/>
  <c r="K3065" i="12"/>
  <c r="L3065" i="12" s="1"/>
  <c r="J3065" i="12"/>
  <c r="K3064" i="12"/>
  <c r="L3064" i="12" s="1"/>
  <c r="J3064" i="12"/>
  <c r="K3063" i="12"/>
  <c r="L3063" i="12" s="1"/>
  <c r="J3063" i="12"/>
  <c r="K3062" i="12"/>
  <c r="L3062" i="12" s="1"/>
  <c r="J3062" i="12"/>
  <c r="K3061" i="12"/>
  <c r="L3061" i="12" s="1"/>
  <c r="J3061" i="12"/>
  <c r="K3060" i="12"/>
  <c r="L3060" i="12" s="1"/>
  <c r="J3060" i="12"/>
  <c r="K3059" i="12"/>
  <c r="L3059" i="12" s="1"/>
  <c r="J3059" i="12"/>
  <c r="K3058" i="12"/>
  <c r="L3058" i="12" s="1"/>
  <c r="J3058" i="12"/>
  <c r="K3057" i="12"/>
  <c r="L3057" i="12" s="1"/>
  <c r="J3057" i="12"/>
  <c r="K3056" i="12"/>
  <c r="L3056" i="12" s="1"/>
  <c r="J3056" i="12"/>
  <c r="K3055" i="12"/>
  <c r="L3055" i="12" s="1"/>
  <c r="J3055" i="12"/>
  <c r="K3054" i="12"/>
  <c r="L3054" i="12" s="1"/>
  <c r="J3054" i="12"/>
  <c r="K3053" i="12"/>
  <c r="L3053" i="12" s="1"/>
  <c r="J3053" i="12"/>
  <c r="K3052" i="12"/>
  <c r="L3052" i="12" s="1"/>
  <c r="J3052" i="12"/>
  <c r="K3051" i="12"/>
  <c r="L3051" i="12" s="1"/>
  <c r="J3051" i="12"/>
  <c r="K3050" i="12"/>
  <c r="L3050" i="12" s="1"/>
  <c r="J3050" i="12"/>
  <c r="K3049" i="12"/>
  <c r="L3049" i="12" s="1"/>
  <c r="J3049" i="12"/>
  <c r="K3048" i="12"/>
  <c r="L3048" i="12" s="1"/>
  <c r="J3048" i="12"/>
  <c r="L3047" i="12"/>
  <c r="J3047" i="12"/>
  <c r="K3046" i="12"/>
  <c r="L3046" i="12" s="1"/>
  <c r="J3046" i="12"/>
  <c r="K3045" i="12"/>
  <c r="L3045" i="12" s="1"/>
  <c r="J3045" i="12"/>
  <c r="K3044" i="12"/>
  <c r="L3044" i="12" s="1"/>
  <c r="J3044" i="12"/>
  <c r="K3043" i="12"/>
  <c r="L3043" i="12" s="1"/>
  <c r="J3043" i="12"/>
  <c r="K3042" i="12"/>
  <c r="L3042" i="12" s="1"/>
  <c r="J3042" i="12"/>
  <c r="K3041" i="12"/>
  <c r="L3041" i="12" s="1"/>
  <c r="J3041" i="12"/>
  <c r="K3040" i="12"/>
  <c r="L3040" i="12" s="1"/>
  <c r="J3040" i="12"/>
  <c r="K3039" i="12"/>
  <c r="L3039" i="12" s="1"/>
  <c r="J3039" i="12"/>
  <c r="K3038" i="12"/>
  <c r="L3038" i="12" s="1"/>
  <c r="J3038" i="12"/>
  <c r="K3037" i="12"/>
  <c r="L3037" i="12" s="1"/>
  <c r="J3037" i="12"/>
  <c r="K3036" i="12"/>
  <c r="L3036" i="12" s="1"/>
  <c r="J3036" i="12"/>
  <c r="K3035" i="12"/>
  <c r="L3035" i="12" s="1"/>
  <c r="J3035" i="12"/>
  <c r="K3034" i="12"/>
  <c r="L3034" i="12" s="1"/>
  <c r="J3034" i="12"/>
  <c r="K3033" i="12"/>
  <c r="L3033" i="12" s="1"/>
  <c r="J3033" i="12"/>
  <c r="K3032" i="12"/>
  <c r="L3032" i="12" s="1"/>
  <c r="J3032" i="12"/>
  <c r="K3031" i="12"/>
  <c r="L3031" i="12" s="1"/>
  <c r="J3031" i="12"/>
  <c r="K3030" i="12"/>
  <c r="L3030" i="12" s="1"/>
  <c r="J3030" i="12"/>
  <c r="K3029" i="12"/>
  <c r="L3029" i="12" s="1"/>
  <c r="J3029" i="12"/>
  <c r="K3028" i="12"/>
  <c r="L3028" i="12" s="1"/>
  <c r="J3028" i="12"/>
  <c r="K3027" i="12"/>
  <c r="L3027" i="12" s="1"/>
  <c r="J3027" i="12"/>
  <c r="K3026" i="12"/>
  <c r="L3026" i="12" s="1"/>
  <c r="J3026" i="12"/>
  <c r="K3025" i="12"/>
  <c r="L3025" i="12" s="1"/>
  <c r="J3025" i="12"/>
  <c r="K3024" i="12"/>
  <c r="L3024" i="12" s="1"/>
  <c r="J3024" i="12"/>
  <c r="K3023" i="12"/>
  <c r="L3023" i="12" s="1"/>
  <c r="J3023" i="12"/>
  <c r="K3022" i="12"/>
  <c r="L3022" i="12" s="1"/>
  <c r="J3022" i="12"/>
  <c r="K3021" i="12"/>
  <c r="L3021" i="12" s="1"/>
  <c r="J3021" i="12"/>
  <c r="K3020" i="12"/>
  <c r="L3020" i="12" s="1"/>
  <c r="J3020" i="12"/>
  <c r="K3019" i="12"/>
  <c r="L3019" i="12" s="1"/>
  <c r="J3019" i="12"/>
  <c r="K3018" i="12"/>
  <c r="L3018" i="12" s="1"/>
  <c r="J3018" i="12"/>
  <c r="K3017" i="12"/>
  <c r="L3017" i="12" s="1"/>
  <c r="J3017" i="12"/>
  <c r="K3016" i="12"/>
  <c r="L3016" i="12" s="1"/>
  <c r="J3016" i="12"/>
  <c r="K3015" i="12"/>
  <c r="L3015" i="12" s="1"/>
  <c r="J3015" i="12"/>
  <c r="K3014" i="12"/>
  <c r="L3014" i="12" s="1"/>
  <c r="J3014" i="12"/>
  <c r="K3013" i="12"/>
  <c r="L3013" i="12" s="1"/>
  <c r="J3013" i="12"/>
  <c r="K3012" i="12"/>
  <c r="L3012" i="12" s="1"/>
  <c r="J3012" i="12"/>
  <c r="K3011" i="12"/>
  <c r="L3011" i="12" s="1"/>
  <c r="J3011" i="12"/>
  <c r="K3010" i="12"/>
  <c r="L3010" i="12" s="1"/>
  <c r="J3010" i="12"/>
  <c r="K3009" i="12"/>
  <c r="L3009" i="12" s="1"/>
  <c r="J3009" i="12"/>
  <c r="K3008" i="12"/>
  <c r="L3008" i="12" s="1"/>
  <c r="J3008" i="12"/>
  <c r="K3007" i="12"/>
  <c r="L3007" i="12" s="1"/>
  <c r="J3007" i="12"/>
  <c r="K3006" i="12"/>
  <c r="L3006" i="12" s="1"/>
  <c r="J3006" i="12"/>
  <c r="K3004" i="12"/>
  <c r="L3004" i="12" s="1"/>
  <c r="J3004" i="12"/>
  <c r="K3003" i="12"/>
  <c r="L3003" i="12" s="1"/>
  <c r="J3003" i="12"/>
  <c r="K3002" i="12"/>
  <c r="L3002" i="12" s="1"/>
  <c r="J3002" i="12"/>
  <c r="K3001" i="12"/>
  <c r="L3001" i="12" s="1"/>
  <c r="J3001" i="12"/>
  <c r="K3000" i="12"/>
  <c r="L3000" i="12" s="1"/>
  <c r="J3000" i="12"/>
  <c r="K2999" i="12"/>
  <c r="L2999" i="12" s="1"/>
  <c r="J2999" i="12"/>
  <c r="K2997" i="12"/>
  <c r="L2997" i="12" s="1"/>
  <c r="J2997" i="12"/>
  <c r="K2996" i="12"/>
  <c r="L2996" i="12" s="1"/>
  <c r="J2996" i="12"/>
  <c r="K2995" i="12"/>
  <c r="L2995" i="12" s="1"/>
  <c r="J2995" i="12"/>
  <c r="K2994" i="12"/>
  <c r="L2994" i="12" s="1"/>
  <c r="J2994" i="12"/>
  <c r="K2993" i="12"/>
  <c r="L2993" i="12" s="1"/>
  <c r="J2993" i="12"/>
  <c r="K2992" i="12"/>
  <c r="L2992" i="12" s="1"/>
  <c r="J2992" i="12"/>
  <c r="K2991" i="12"/>
  <c r="L2991" i="12" s="1"/>
  <c r="J2991" i="12"/>
  <c r="K2990" i="12"/>
  <c r="L2990" i="12" s="1"/>
  <c r="J2990" i="12"/>
  <c r="K2989" i="12"/>
  <c r="L2989" i="12" s="1"/>
  <c r="J2989" i="12"/>
  <c r="K2988" i="12"/>
  <c r="L2988" i="12" s="1"/>
  <c r="J2988" i="12"/>
  <c r="K2987" i="12"/>
  <c r="L2987" i="12" s="1"/>
  <c r="J2987" i="12"/>
  <c r="K2986" i="12"/>
  <c r="L2986" i="12" s="1"/>
  <c r="J2986" i="12"/>
  <c r="K2985" i="12"/>
  <c r="L2985" i="12" s="1"/>
  <c r="J2985" i="12"/>
  <c r="K2984" i="12"/>
  <c r="L2984" i="12" s="1"/>
  <c r="J2984" i="12"/>
  <c r="K2983" i="12"/>
  <c r="L2983" i="12" s="1"/>
  <c r="J2983" i="12"/>
  <c r="K2982" i="12"/>
  <c r="L2982" i="12" s="1"/>
  <c r="J2982" i="12"/>
  <c r="K2981" i="12"/>
  <c r="L2981" i="12" s="1"/>
  <c r="J2981" i="12"/>
  <c r="K2980" i="12"/>
  <c r="L2980" i="12" s="1"/>
  <c r="J2980" i="12"/>
  <c r="K2979" i="12"/>
  <c r="L2979" i="12" s="1"/>
  <c r="J2979" i="12"/>
  <c r="K2978" i="12"/>
  <c r="L2978" i="12" s="1"/>
  <c r="J2978" i="12"/>
  <c r="K2977" i="12"/>
  <c r="L2977" i="12" s="1"/>
  <c r="J2977" i="12"/>
  <c r="K2976" i="12"/>
  <c r="L2976" i="12" s="1"/>
  <c r="J2976" i="12"/>
  <c r="K2975" i="12"/>
  <c r="L2975" i="12" s="1"/>
  <c r="J2975" i="12"/>
  <c r="K2974" i="12"/>
  <c r="L2974" i="12" s="1"/>
  <c r="J2974" i="12"/>
  <c r="K2973" i="12"/>
  <c r="L2973" i="12" s="1"/>
  <c r="J2973" i="12"/>
  <c r="K2972" i="12"/>
  <c r="L2972" i="12" s="1"/>
  <c r="J2972" i="12"/>
  <c r="K2971" i="12"/>
  <c r="L2971" i="12" s="1"/>
  <c r="J2971" i="12"/>
  <c r="K2970" i="12"/>
  <c r="L2970" i="12" s="1"/>
  <c r="J2970" i="12"/>
  <c r="K2969" i="12"/>
  <c r="L2969" i="12" s="1"/>
  <c r="J2969" i="12"/>
  <c r="K2968" i="12"/>
  <c r="L2968" i="12" s="1"/>
  <c r="J2968" i="12"/>
  <c r="K2967" i="12"/>
  <c r="L2967" i="12" s="1"/>
  <c r="J2967" i="12"/>
  <c r="K2966" i="12"/>
  <c r="L2966" i="12" s="1"/>
  <c r="J2966" i="12"/>
  <c r="K2965" i="12"/>
  <c r="L2965" i="12" s="1"/>
  <c r="J2965" i="12"/>
  <c r="K2964" i="12"/>
  <c r="L2964" i="12" s="1"/>
  <c r="J2964" i="12"/>
  <c r="K2963" i="12"/>
  <c r="L2963" i="12" s="1"/>
  <c r="J2963" i="12"/>
  <c r="K2962" i="12"/>
  <c r="L2962" i="12" s="1"/>
  <c r="J2962" i="12"/>
  <c r="K2961" i="12"/>
  <c r="L2961" i="12" s="1"/>
  <c r="J2961" i="12"/>
  <c r="K2960" i="12"/>
  <c r="L2960" i="12" s="1"/>
  <c r="J2960" i="12"/>
  <c r="K2959" i="12"/>
  <c r="L2959" i="12" s="1"/>
  <c r="J2959" i="12"/>
  <c r="K2958" i="12"/>
  <c r="L2958" i="12" s="1"/>
  <c r="J2958" i="12"/>
  <c r="K2957" i="12"/>
  <c r="L2957" i="12" s="1"/>
  <c r="J2957" i="12"/>
  <c r="K2956" i="12"/>
  <c r="L2956" i="12" s="1"/>
  <c r="J2956" i="12"/>
  <c r="K2955" i="12"/>
  <c r="L2955" i="12" s="1"/>
  <c r="J2955" i="12"/>
  <c r="K2954" i="12"/>
  <c r="L2954" i="12" s="1"/>
  <c r="J2954" i="12"/>
  <c r="K2953" i="12"/>
  <c r="L2953" i="12" s="1"/>
  <c r="J2953" i="12"/>
  <c r="K2952" i="12"/>
  <c r="L2952" i="12" s="1"/>
  <c r="J2952" i="12"/>
  <c r="K2951" i="12"/>
  <c r="L2951" i="12" s="1"/>
  <c r="J2951" i="12"/>
  <c r="K2950" i="12"/>
  <c r="L2950" i="12" s="1"/>
  <c r="J2950" i="12"/>
  <c r="K2949" i="12"/>
  <c r="L2949" i="12" s="1"/>
  <c r="J2949" i="12"/>
  <c r="K2948" i="12"/>
  <c r="L2948" i="12" s="1"/>
  <c r="J2948" i="12"/>
  <c r="K2947" i="12"/>
  <c r="L2947" i="12" s="1"/>
  <c r="J2947" i="12"/>
  <c r="K2946" i="12"/>
  <c r="L2946" i="12" s="1"/>
  <c r="J2946" i="12"/>
  <c r="K2945" i="12"/>
  <c r="L2945" i="12" s="1"/>
  <c r="J2945" i="12"/>
  <c r="K2944" i="12"/>
  <c r="L2944" i="12" s="1"/>
  <c r="J2944" i="12"/>
  <c r="K2943" i="12"/>
  <c r="L2943" i="12" s="1"/>
  <c r="J2943" i="12"/>
  <c r="K2942" i="12"/>
  <c r="L2942" i="12" s="1"/>
  <c r="J2942" i="12"/>
  <c r="K2941" i="12"/>
  <c r="L2941" i="12" s="1"/>
  <c r="J2941" i="12"/>
  <c r="K2940" i="12"/>
  <c r="L2940" i="12" s="1"/>
  <c r="J2940" i="12"/>
  <c r="K2939" i="12"/>
  <c r="L2939" i="12" s="1"/>
  <c r="J2939" i="12"/>
  <c r="K2938" i="12"/>
  <c r="L2938" i="12" s="1"/>
  <c r="J2938" i="12"/>
  <c r="L2937" i="12"/>
  <c r="J2937" i="12"/>
  <c r="K2936" i="12"/>
  <c r="L2936" i="12" s="1"/>
  <c r="J2936" i="12"/>
  <c r="K2935" i="12"/>
  <c r="L2935" i="12" s="1"/>
  <c r="J2935" i="12"/>
  <c r="K2934" i="12"/>
  <c r="L2934" i="12" s="1"/>
  <c r="J2934" i="12"/>
  <c r="K2933" i="12"/>
  <c r="L2933" i="12" s="1"/>
  <c r="J2933" i="12"/>
  <c r="K2932" i="12"/>
  <c r="L2932" i="12" s="1"/>
  <c r="J2932" i="12"/>
  <c r="K2931" i="12"/>
  <c r="L2931" i="12" s="1"/>
  <c r="J2931" i="12"/>
  <c r="K2930" i="12"/>
  <c r="L2930" i="12" s="1"/>
  <c r="J2930" i="12"/>
  <c r="K2929" i="12"/>
  <c r="L2929" i="12" s="1"/>
  <c r="J2929" i="12"/>
  <c r="K2928" i="12"/>
  <c r="L2928" i="12" s="1"/>
  <c r="J2928" i="12"/>
  <c r="K2927" i="12"/>
  <c r="L2927" i="12" s="1"/>
  <c r="J2927" i="12"/>
  <c r="K2926" i="12"/>
  <c r="L2926" i="12" s="1"/>
  <c r="J2926" i="12"/>
  <c r="K2925" i="12"/>
  <c r="L2925" i="12" s="1"/>
  <c r="J2925" i="12"/>
  <c r="K2924" i="12"/>
  <c r="L2924" i="12" s="1"/>
  <c r="J2924" i="12"/>
  <c r="K2923" i="12"/>
  <c r="L2923" i="12" s="1"/>
  <c r="J2923" i="12"/>
  <c r="K2922" i="12"/>
  <c r="L2922" i="12" s="1"/>
  <c r="J2922" i="12"/>
  <c r="K2921" i="12"/>
  <c r="L2921" i="12" s="1"/>
  <c r="J2921" i="12"/>
  <c r="K2920" i="12"/>
  <c r="L2920" i="12" s="1"/>
  <c r="J2920" i="12"/>
  <c r="K2918" i="12"/>
  <c r="L2918" i="12" s="1"/>
  <c r="J2918" i="12"/>
  <c r="K2917" i="12"/>
  <c r="L2917" i="12" s="1"/>
  <c r="J2917" i="12"/>
  <c r="K2916" i="12"/>
  <c r="L2916" i="12" s="1"/>
  <c r="J2916" i="12"/>
  <c r="K2915" i="12"/>
  <c r="L2915" i="12" s="1"/>
  <c r="J2915" i="12"/>
  <c r="K2914" i="12"/>
  <c r="L2914" i="12" s="1"/>
  <c r="J2914" i="12"/>
  <c r="K2913" i="12"/>
  <c r="L2913" i="12" s="1"/>
  <c r="J2913" i="12"/>
  <c r="K2912" i="12"/>
  <c r="L2912" i="12" s="1"/>
  <c r="J2912" i="12"/>
  <c r="K2911" i="12"/>
  <c r="L2911" i="12" s="1"/>
  <c r="J2911" i="12"/>
  <c r="K2910" i="12"/>
  <c r="L2910" i="12" s="1"/>
  <c r="J2910" i="12"/>
  <c r="K2909" i="12"/>
  <c r="L2909" i="12" s="1"/>
  <c r="J2909" i="12"/>
  <c r="K2908" i="12"/>
  <c r="L2908" i="12" s="1"/>
  <c r="J2908" i="12"/>
  <c r="K2907" i="12"/>
  <c r="L2907" i="12" s="1"/>
  <c r="J2907" i="12"/>
  <c r="K2906" i="12"/>
  <c r="L2906" i="12" s="1"/>
  <c r="J2906" i="12"/>
  <c r="K2905" i="12"/>
  <c r="L2905" i="12" s="1"/>
  <c r="J2905" i="12"/>
  <c r="K2904" i="12"/>
  <c r="L2904" i="12" s="1"/>
  <c r="J2904" i="12"/>
  <c r="K2903" i="12"/>
  <c r="L2903" i="12" s="1"/>
  <c r="J2903" i="12"/>
  <c r="K2902" i="12"/>
  <c r="L2902" i="12" s="1"/>
  <c r="J2902" i="12"/>
  <c r="K2901" i="12"/>
  <c r="L2901" i="12" s="1"/>
  <c r="J2901" i="12"/>
  <c r="K2900" i="12"/>
  <c r="L2900" i="12" s="1"/>
  <c r="J2900" i="12"/>
  <c r="K2899" i="12"/>
  <c r="L2899" i="12" s="1"/>
  <c r="J2899" i="12"/>
  <c r="K2898" i="12"/>
  <c r="L2898" i="12" s="1"/>
  <c r="J2898" i="12"/>
  <c r="K2897" i="12"/>
  <c r="L2897" i="12" s="1"/>
  <c r="J2897" i="12"/>
  <c r="K2896" i="12"/>
  <c r="L2896" i="12" s="1"/>
  <c r="J2896" i="12"/>
  <c r="K2895" i="12"/>
  <c r="L2895" i="12" s="1"/>
  <c r="J2895" i="12"/>
  <c r="K2894" i="12"/>
  <c r="L2894" i="12" s="1"/>
  <c r="J2894" i="12"/>
  <c r="K2893" i="12"/>
  <c r="L2893" i="12" s="1"/>
  <c r="J2893" i="12"/>
  <c r="K2892" i="12"/>
  <c r="L2892" i="12" s="1"/>
  <c r="J2892" i="12"/>
  <c r="K2891" i="12"/>
  <c r="L2891" i="12" s="1"/>
  <c r="J2891" i="12"/>
  <c r="K2890" i="12"/>
  <c r="L2890" i="12" s="1"/>
  <c r="J2890" i="12"/>
  <c r="K2889" i="12"/>
  <c r="L2889" i="12" s="1"/>
  <c r="J2889" i="12"/>
  <c r="K2888" i="12"/>
  <c r="L2888" i="12" s="1"/>
  <c r="J2888" i="12"/>
  <c r="K2887" i="12"/>
  <c r="L2887" i="12" s="1"/>
  <c r="J2887" i="12"/>
  <c r="K2886" i="12"/>
  <c r="L2886" i="12" s="1"/>
  <c r="J2886" i="12"/>
  <c r="K2885" i="12"/>
  <c r="L2885" i="12" s="1"/>
  <c r="J2885" i="12"/>
  <c r="K2884" i="12"/>
  <c r="L2884" i="12" s="1"/>
  <c r="J2884" i="12"/>
  <c r="K2883" i="12"/>
  <c r="L2883" i="12" s="1"/>
  <c r="J2883" i="12"/>
  <c r="K2882" i="12"/>
  <c r="L2882" i="12" s="1"/>
  <c r="J2882" i="12"/>
  <c r="K2881" i="12"/>
  <c r="L2881" i="12" s="1"/>
  <c r="J2881" i="12"/>
  <c r="K2880" i="12"/>
  <c r="L2880" i="12" s="1"/>
  <c r="J2880" i="12"/>
  <c r="K2879" i="12"/>
  <c r="L2879" i="12" s="1"/>
  <c r="J2879" i="12"/>
  <c r="K2878" i="12"/>
  <c r="L2878" i="12" s="1"/>
  <c r="J2878" i="12"/>
  <c r="K2877" i="12"/>
  <c r="L2877" i="12" s="1"/>
  <c r="J2877" i="12"/>
  <c r="K2876" i="12"/>
  <c r="L2876" i="12" s="1"/>
  <c r="J2876" i="12"/>
  <c r="K2875" i="12"/>
  <c r="L2875" i="12" s="1"/>
  <c r="J2875" i="12"/>
  <c r="K2874" i="12"/>
  <c r="L2874" i="12" s="1"/>
  <c r="J2874" i="12"/>
  <c r="K2873" i="12"/>
  <c r="L2873" i="12" s="1"/>
  <c r="J2873" i="12"/>
  <c r="K2872" i="12"/>
  <c r="L2872" i="12" s="1"/>
  <c r="J2872" i="12"/>
  <c r="K2871" i="12"/>
  <c r="L2871" i="12" s="1"/>
  <c r="J2871" i="12"/>
  <c r="K2870" i="12"/>
  <c r="L2870" i="12" s="1"/>
  <c r="J2870" i="12"/>
  <c r="K2869" i="12"/>
  <c r="L2869" i="12" s="1"/>
  <c r="J2869" i="12"/>
  <c r="L2868" i="12"/>
  <c r="J2868" i="12"/>
  <c r="K2867" i="12"/>
  <c r="L2867" i="12" s="1"/>
  <c r="J2867" i="12"/>
  <c r="K2866" i="12"/>
  <c r="L2866" i="12" s="1"/>
  <c r="J2866" i="12"/>
  <c r="K2865" i="12"/>
  <c r="L2865" i="12" s="1"/>
  <c r="J2865" i="12"/>
  <c r="K2864" i="12"/>
  <c r="L2864" i="12" s="1"/>
  <c r="J2864" i="12"/>
  <c r="K2863" i="12"/>
  <c r="L2863" i="12" s="1"/>
  <c r="J2863" i="12"/>
  <c r="K2862" i="12"/>
  <c r="L2862" i="12" s="1"/>
  <c r="J2862" i="12"/>
  <c r="L2861" i="12"/>
  <c r="J2861" i="12"/>
  <c r="K2860" i="12"/>
  <c r="L2860" i="12" s="1"/>
  <c r="J2860" i="12"/>
  <c r="K2859" i="12"/>
  <c r="L2859" i="12" s="1"/>
  <c r="J2859" i="12"/>
  <c r="K2858" i="12"/>
  <c r="L2858" i="12" s="1"/>
  <c r="J2858" i="12"/>
  <c r="K2857" i="12"/>
  <c r="L2857" i="12" s="1"/>
  <c r="J2857" i="12"/>
  <c r="K2856" i="12"/>
  <c r="L2856" i="12" s="1"/>
  <c r="J2856" i="12"/>
  <c r="K2855" i="12"/>
  <c r="L2855" i="12" s="1"/>
  <c r="J2855" i="12"/>
  <c r="K2854" i="12"/>
  <c r="L2854" i="12" s="1"/>
  <c r="J2854" i="12"/>
  <c r="K2853" i="12"/>
  <c r="L2853" i="12" s="1"/>
  <c r="J2853" i="12"/>
  <c r="L2852" i="12"/>
  <c r="J2852" i="12"/>
  <c r="K2851" i="12"/>
  <c r="L2851" i="12" s="1"/>
  <c r="J2851" i="12"/>
  <c r="K2850" i="12"/>
  <c r="L2850" i="12" s="1"/>
  <c r="J2850" i="12"/>
  <c r="L2849" i="12"/>
  <c r="J2849" i="12"/>
  <c r="K2848" i="12"/>
  <c r="L2848" i="12" s="1"/>
  <c r="J2848" i="12"/>
  <c r="K2847" i="12"/>
  <c r="L2847" i="12" s="1"/>
  <c r="J2847" i="12"/>
  <c r="K2846" i="12"/>
  <c r="L2846" i="12" s="1"/>
  <c r="J2846" i="12"/>
  <c r="L2845" i="12"/>
  <c r="J2845" i="12"/>
  <c r="L2844" i="12"/>
  <c r="J2844" i="12"/>
  <c r="K2842" i="12"/>
  <c r="L2842" i="12" s="1"/>
  <c r="J2842" i="12"/>
  <c r="K2841" i="12"/>
  <c r="L2841" i="12" s="1"/>
  <c r="J2841" i="12"/>
  <c r="K2840" i="12"/>
  <c r="L2840" i="12" s="1"/>
  <c r="J2840" i="12"/>
  <c r="K2839" i="12"/>
  <c r="L2839" i="12" s="1"/>
  <c r="J2839" i="12"/>
  <c r="K2838" i="12"/>
  <c r="L2838" i="12" s="1"/>
  <c r="J2838" i="12"/>
  <c r="K2837" i="12"/>
  <c r="J2837" i="12"/>
  <c r="I2838" i="12"/>
  <c r="I2839" i="12"/>
  <c r="I2840" i="12"/>
  <c r="I2841" i="12"/>
  <c r="I2842" i="12"/>
  <c r="I2844" i="12"/>
  <c r="I2845" i="12"/>
  <c r="I2846" i="12"/>
  <c r="I2847" i="12"/>
  <c r="I2848" i="12"/>
  <c r="I2849" i="12"/>
  <c r="I2850" i="12"/>
  <c r="I2851" i="12"/>
  <c r="I2852" i="12"/>
  <c r="I2853" i="12"/>
  <c r="I2854" i="12"/>
  <c r="I2855" i="12"/>
  <c r="I2856" i="12"/>
  <c r="I2857" i="12"/>
  <c r="I2858" i="12"/>
  <c r="I2859" i="12"/>
  <c r="I2860" i="12"/>
  <c r="I2861" i="12"/>
  <c r="I2862" i="12"/>
  <c r="I2863" i="12"/>
  <c r="I2864" i="12"/>
  <c r="I2865" i="12"/>
  <c r="I2866" i="12"/>
  <c r="I2867" i="12"/>
  <c r="I2868" i="12"/>
  <c r="I2869" i="12"/>
  <c r="I2870" i="12"/>
  <c r="I2871" i="12"/>
  <c r="I2872" i="12"/>
  <c r="I2873" i="12"/>
  <c r="I2874" i="12"/>
  <c r="I2875" i="12"/>
  <c r="I2876" i="12"/>
  <c r="I2877" i="12"/>
  <c r="I2878" i="12"/>
  <c r="I2879" i="12"/>
  <c r="I2880" i="12"/>
  <c r="I2881" i="12"/>
  <c r="I2882" i="12"/>
  <c r="I2883" i="12"/>
  <c r="I2884" i="12"/>
  <c r="I2885" i="12"/>
  <c r="I2886" i="12"/>
  <c r="I2887" i="12"/>
  <c r="I2888" i="12"/>
  <c r="I2889" i="12"/>
  <c r="I2890" i="12"/>
  <c r="I2891" i="12"/>
  <c r="I2892" i="12"/>
  <c r="I2893" i="12"/>
  <c r="I2894" i="12"/>
  <c r="I2895" i="12"/>
  <c r="I2896" i="12"/>
  <c r="I2897" i="12"/>
  <c r="I2898" i="12"/>
  <c r="I2899" i="12"/>
  <c r="I2900" i="12"/>
  <c r="I2901" i="12"/>
  <c r="I2902" i="12"/>
  <c r="I2903" i="12"/>
  <c r="I2904" i="12"/>
  <c r="I2905" i="12"/>
  <c r="I2906" i="12"/>
  <c r="I2907" i="12"/>
  <c r="I2908" i="12"/>
  <c r="I2909" i="12"/>
  <c r="I2910" i="12"/>
  <c r="I2911" i="12"/>
  <c r="I2912" i="12"/>
  <c r="I2913" i="12"/>
  <c r="I2914" i="12"/>
  <c r="I2915" i="12"/>
  <c r="I2916" i="12"/>
  <c r="I2917" i="12"/>
  <c r="I2918" i="12"/>
  <c r="I2920" i="12"/>
  <c r="I2921" i="12"/>
  <c r="I2922" i="12"/>
  <c r="I2923" i="12"/>
  <c r="I2924" i="12"/>
  <c r="I2925" i="12"/>
  <c r="I2926" i="12"/>
  <c r="I2927" i="12"/>
  <c r="I2928" i="12"/>
  <c r="I2929" i="12"/>
  <c r="I2930" i="12"/>
  <c r="I2931" i="12"/>
  <c r="I2932" i="12"/>
  <c r="I2933" i="12"/>
  <c r="I2934" i="12"/>
  <c r="I2935" i="12"/>
  <c r="I2936" i="12"/>
  <c r="I2937" i="12"/>
  <c r="I2938" i="12"/>
  <c r="I2939" i="12"/>
  <c r="I2940" i="12"/>
  <c r="I2941" i="12"/>
  <c r="I2942" i="12"/>
  <c r="I2943" i="12"/>
  <c r="I2944" i="12"/>
  <c r="I2945" i="12"/>
  <c r="I2946" i="12"/>
  <c r="I2947" i="12"/>
  <c r="I2948" i="12"/>
  <c r="I2949" i="12"/>
  <c r="I2950" i="12"/>
  <c r="I2951" i="12"/>
  <c r="I2952" i="12"/>
  <c r="I2953" i="12"/>
  <c r="I2954" i="12"/>
  <c r="I2955" i="12"/>
  <c r="I2956" i="12"/>
  <c r="I2957" i="12"/>
  <c r="I2958" i="12"/>
  <c r="I2959" i="12"/>
  <c r="I2960" i="12"/>
  <c r="I2961" i="12"/>
  <c r="I2962" i="12"/>
  <c r="I2963" i="12"/>
  <c r="I2964" i="12"/>
  <c r="I2965" i="12"/>
  <c r="I2966" i="12"/>
  <c r="I2967" i="12"/>
  <c r="I2968" i="12"/>
  <c r="I2969" i="12"/>
  <c r="I2970" i="12"/>
  <c r="I2971" i="12"/>
  <c r="I2972" i="12"/>
  <c r="I2973" i="12"/>
  <c r="I2974" i="12"/>
  <c r="I2975" i="12"/>
  <c r="I2976" i="12"/>
  <c r="I2977" i="12"/>
  <c r="I2978" i="12"/>
  <c r="I2979" i="12"/>
  <c r="I2980" i="12"/>
  <c r="I2981" i="12"/>
  <c r="I2982" i="12"/>
  <c r="I2983" i="12"/>
  <c r="I2984" i="12"/>
  <c r="I2985" i="12"/>
  <c r="I2986" i="12"/>
  <c r="I2987" i="12"/>
  <c r="I2988" i="12"/>
  <c r="I2989" i="12"/>
  <c r="I2990" i="12"/>
  <c r="I2991" i="12"/>
  <c r="I2992" i="12"/>
  <c r="I2993" i="12"/>
  <c r="I2994" i="12"/>
  <c r="I2995" i="12"/>
  <c r="I2996" i="12"/>
  <c r="I2997" i="12"/>
  <c r="I2999" i="12"/>
  <c r="I3000" i="12"/>
  <c r="I3001" i="12"/>
  <c r="I3002" i="12"/>
  <c r="I3003" i="12"/>
  <c r="I3004" i="12"/>
  <c r="I3006" i="12"/>
  <c r="I3007" i="12"/>
  <c r="I3008" i="12"/>
  <c r="I3009" i="12"/>
  <c r="I3010" i="12"/>
  <c r="I3011" i="12"/>
  <c r="I3012" i="12"/>
  <c r="I3013" i="12"/>
  <c r="I3014" i="12"/>
  <c r="I3015" i="12"/>
  <c r="I3016" i="12"/>
  <c r="I3017" i="12"/>
  <c r="I3018" i="12"/>
  <c r="I3019" i="12"/>
  <c r="I3020" i="12"/>
  <c r="I3021" i="12"/>
  <c r="I3022" i="12"/>
  <c r="I3023" i="12"/>
  <c r="I3024" i="12"/>
  <c r="I3025" i="12"/>
  <c r="I3026" i="12"/>
  <c r="I3027" i="12"/>
  <c r="I3028" i="12"/>
  <c r="I3029" i="12"/>
  <c r="I3030" i="12"/>
  <c r="I3031" i="12"/>
  <c r="I3032" i="12"/>
  <c r="I3033" i="12"/>
  <c r="I3034" i="12"/>
  <c r="I3035" i="12"/>
  <c r="I3036" i="12"/>
  <c r="I3037" i="12"/>
  <c r="I3038" i="12"/>
  <c r="I3039" i="12"/>
  <c r="I3040" i="12"/>
  <c r="I3041" i="12"/>
  <c r="I3042" i="12"/>
  <c r="I3043" i="12"/>
  <c r="I3044" i="12"/>
  <c r="I3045" i="12"/>
  <c r="I3046" i="12"/>
  <c r="I3047" i="12"/>
  <c r="I3048" i="12"/>
  <c r="I3049" i="12"/>
  <c r="I3050" i="12"/>
  <c r="I3051" i="12"/>
  <c r="I3052" i="12"/>
  <c r="I3053" i="12"/>
  <c r="I3054" i="12"/>
  <c r="I3055" i="12"/>
  <c r="I3056" i="12"/>
  <c r="I3057" i="12"/>
  <c r="I3058" i="12"/>
  <c r="I3059" i="12"/>
  <c r="I3060" i="12"/>
  <c r="I3061" i="12"/>
  <c r="I3062" i="12"/>
  <c r="I3063" i="12"/>
  <c r="I3064" i="12"/>
  <c r="I3065" i="12"/>
  <c r="I3066" i="12"/>
  <c r="I3067" i="12"/>
  <c r="I3068" i="12"/>
  <c r="I3069" i="12"/>
  <c r="I3070" i="12"/>
  <c r="I3071" i="12"/>
  <c r="I3072" i="12"/>
  <c r="I3073" i="12"/>
  <c r="I3074" i="12"/>
  <c r="I3075" i="12"/>
  <c r="I3076" i="12"/>
  <c r="I3077" i="12"/>
  <c r="I3078" i="12"/>
  <c r="I3079" i="12"/>
  <c r="I3080" i="12"/>
  <c r="I3081" i="12"/>
  <c r="I3082" i="12"/>
  <c r="I3083" i="12"/>
  <c r="I3084" i="12"/>
  <c r="I3085" i="12"/>
  <c r="I3086" i="12"/>
  <c r="I3087" i="12"/>
  <c r="I3088" i="12"/>
  <c r="I3089" i="12"/>
  <c r="I3090" i="12"/>
  <c r="I3091" i="12"/>
  <c r="I3092" i="12"/>
  <c r="I3093" i="12"/>
  <c r="I3094" i="12"/>
  <c r="I3095" i="12"/>
  <c r="I3096" i="12"/>
  <c r="I3097" i="12"/>
  <c r="I3098" i="12"/>
  <c r="I3099" i="12"/>
  <c r="I3100" i="12"/>
  <c r="I3101" i="12"/>
  <c r="I3102" i="12"/>
  <c r="I3103" i="12"/>
  <c r="I3104" i="12"/>
  <c r="I3105" i="12"/>
  <c r="I3106" i="12"/>
  <c r="I3107" i="12"/>
  <c r="I3108" i="12"/>
  <c r="I3109" i="12"/>
  <c r="I3110" i="12"/>
  <c r="I3111" i="12"/>
  <c r="I3112" i="12"/>
  <c r="I3113" i="12"/>
  <c r="I3114" i="12"/>
  <c r="I3115" i="12"/>
  <c r="I3116" i="12"/>
  <c r="I3117" i="12"/>
  <c r="I3118" i="12"/>
  <c r="I3119" i="12"/>
  <c r="I3120" i="12"/>
  <c r="I3121" i="12"/>
  <c r="I3122" i="12"/>
  <c r="I3123" i="12"/>
  <c r="I3124" i="12"/>
  <c r="I3125" i="12"/>
  <c r="I3126" i="12"/>
  <c r="I3127" i="12"/>
  <c r="I3128" i="12"/>
  <c r="I3129" i="12"/>
  <c r="I3130" i="12"/>
  <c r="I3131" i="12"/>
  <c r="I3132" i="12"/>
  <c r="I3133" i="12"/>
  <c r="I3134" i="12"/>
  <c r="I3135" i="12"/>
  <c r="I3136" i="12"/>
  <c r="I3137" i="12"/>
  <c r="I3138" i="12"/>
  <c r="I3139" i="12"/>
  <c r="I3140" i="12"/>
  <c r="I3141" i="12"/>
  <c r="I3142" i="12"/>
  <c r="I3143" i="12"/>
  <c r="I3144" i="12"/>
  <c r="I3145" i="12"/>
  <c r="I3146" i="12"/>
  <c r="I3147" i="12"/>
  <c r="I3149" i="12"/>
  <c r="I3150" i="12"/>
  <c r="I3151" i="12"/>
  <c r="I3152" i="12"/>
  <c r="I3153" i="12"/>
  <c r="I3154" i="12"/>
  <c r="I3155" i="12"/>
  <c r="I3156" i="12"/>
  <c r="I3157" i="12"/>
  <c r="I3158" i="12"/>
  <c r="I3159" i="12"/>
  <c r="I3160" i="12"/>
  <c r="I3161" i="12"/>
  <c r="I3162" i="12"/>
  <c r="I3163" i="12"/>
  <c r="I3164" i="12"/>
  <c r="I3165" i="12"/>
  <c r="I3166" i="12"/>
  <c r="I3167" i="12"/>
  <c r="I3168" i="12"/>
  <c r="I3169" i="12"/>
  <c r="I3170" i="12"/>
  <c r="I3171" i="12"/>
  <c r="I3172" i="12"/>
  <c r="I3173" i="12"/>
  <c r="I3174" i="12"/>
  <c r="I3175" i="12"/>
  <c r="I3176" i="12"/>
  <c r="I3177" i="12"/>
  <c r="I3178" i="12"/>
  <c r="I3179" i="12"/>
  <c r="I3180" i="12"/>
  <c r="I3181" i="12"/>
  <c r="I3182" i="12"/>
  <c r="I3183" i="12"/>
  <c r="I3184" i="12"/>
  <c r="I3185" i="12"/>
  <c r="I3186" i="12"/>
  <c r="I3187" i="12"/>
  <c r="I3188" i="12"/>
  <c r="I3189" i="12"/>
  <c r="I3190" i="12"/>
  <c r="I3191" i="12"/>
  <c r="I3192" i="12"/>
  <c r="I3193" i="12"/>
  <c r="I3194" i="12"/>
  <c r="I3195" i="12"/>
  <c r="I3196" i="12"/>
  <c r="I3197" i="12"/>
  <c r="I3198" i="12"/>
  <c r="I3199" i="12"/>
  <c r="I3200" i="12"/>
  <c r="I3201" i="12"/>
  <c r="I3202" i="12"/>
  <c r="I3203" i="12"/>
  <c r="I3204" i="12"/>
  <c r="I3205" i="12"/>
  <c r="I3206" i="12"/>
  <c r="I3207" i="12"/>
  <c r="I3208" i="12"/>
  <c r="I3209" i="12"/>
  <c r="I3210" i="12"/>
  <c r="I3211" i="12"/>
  <c r="I3212" i="12"/>
  <c r="I3213" i="12"/>
  <c r="I3214" i="12"/>
  <c r="I3215" i="12"/>
  <c r="I3216" i="12"/>
  <c r="I3217" i="12"/>
  <c r="I3218" i="12"/>
  <c r="I3219" i="12"/>
  <c r="I3220" i="12"/>
  <c r="I3221" i="12"/>
  <c r="I3222" i="12"/>
  <c r="I3223" i="12"/>
  <c r="I2837" i="12"/>
  <c r="L2837" i="12" l="1"/>
  <c r="AQ66" i="1"/>
  <c r="AQ70" i="1"/>
  <c r="AR70" i="1"/>
  <c r="K11" i="1"/>
  <c r="H11" i="1"/>
  <c r="K764" i="12"/>
  <c r="L764" i="12" s="1"/>
  <c r="J764" i="12"/>
  <c r="I764" i="12"/>
  <c r="K2756" i="12"/>
  <c r="L2756" i="12" s="1"/>
  <c r="J2756" i="12"/>
  <c r="I2756" i="12"/>
  <c r="E2756" i="12"/>
  <c r="K2256" i="12"/>
  <c r="L2256" i="12" s="1"/>
  <c r="J2256" i="12"/>
  <c r="I2256" i="12"/>
  <c r="N41" i="1"/>
  <c r="I1231" i="12"/>
  <c r="J1231" i="12"/>
  <c r="K1231" i="12"/>
  <c r="L1231" i="12" s="1"/>
  <c r="E2545" i="12"/>
  <c r="E2800" i="12"/>
  <c r="H66" i="10"/>
  <c r="F66" i="10"/>
  <c r="D66" i="10"/>
  <c r="K2832" i="12"/>
  <c r="L2832" i="12" s="1"/>
  <c r="J2832" i="12"/>
  <c r="I2832" i="12"/>
  <c r="K2831" i="12"/>
  <c r="L2831" i="12" s="1"/>
  <c r="J2831" i="12"/>
  <c r="I2831" i="12"/>
  <c r="K2387" i="12"/>
  <c r="L2387" i="12" s="1"/>
  <c r="J2387" i="12"/>
  <c r="I2387" i="12"/>
  <c r="K2830" i="12"/>
  <c r="L2830" i="12" s="1"/>
  <c r="K2829" i="12"/>
  <c r="L2829" i="12" s="1"/>
  <c r="K2828" i="12"/>
  <c r="L2828" i="12" s="1"/>
  <c r="J2830" i="12"/>
  <c r="I2830" i="12"/>
  <c r="J2829" i="12"/>
  <c r="I2829" i="12"/>
  <c r="J2828" i="12"/>
  <c r="I2828" i="12"/>
  <c r="K2827" i="12"/>
  <c r="L2827" i="12" s="1"/>
  <c r="J2827" i="12"/>
  <c r="I2827" i="12"/>
  <c r="K2826" i="12"/>
  <c r="L2826" i="12" s="1"/>
  <c r="J2826" i="12"/>
  <c r="I2826" i="12"/>
  <c r="K2825" i="12"/>
  <c r="L2825" i="12" s="1"/>
  <c r="J2825" i="12"/>
  <c r="I2825" i="12"/>
  <c r="K2824" i="12"/>
  <c r="L2824" i="12" s="1"/>
  <c r="J2824" i="12"/>
  <c r="I2824" i="12"/>
  <c r="T10" i="14"/>
  <c r="T28" i="14"/>
  <c r="T39" i="14"/>
  <c r="T33" i="14"/>
  <c r="T32" i="14"/>
  <c r="T31" i="14"/>
  <c r="N38" i="14"/>
  <c r="N37" i="14"/>
  <c r="L38" i="14"/>
  <c r="L37" i="14"/>
  <c r="K2392" i="12"/>
  <c r="L2392" i="12" s="1"/>
  <c r="J2392" i="12"/>
  <c r="I2392" i="12"/>
  <c r="J2478" i="12"/>
  <c r="K2478" i="12"/>
  <c r="L2478" i="12" s="1"/>
  <c r="J2479" i="12"/>
  <c r="K2479" i="12"/>
  <c r="L2479" i="12" s="1"/>
  <c r="I2479" i="12"/>
  <c r="I2478" i="12"/>
  <c r="K2672" i="12"/>
  <c r="L2672" i="12" s="1"/>
  <c r="J2672" i="12"/>
  <c r="I2672" i="12"/>
  <c r="K2671" i="12"/>
  <c r="L2671" i="12" s="1"/>
  <c r="J2671" i="12"/>
  <c r="I2671" i="12"/>
  <c r="K2661" i="12"/>
  <c r="L2661" i="12" s="1"/>
  <c r="J2661" i="12"/>
  <c r="I2661" i="12"/>
  <c r="K2823" i="12"/>
  <c r="L2823" i="12" s="1"/>
  <c r="J2823" i="12"/>
  <c r="I2823" i="12"/>
  <c r="K2822" i="12"/>
  <c r="L2822" i="12" s="1"/>
  <c r="J2822" i="12"/>
  <c r="I2822" i="12"/>
  <c r="T11" i="10" l="1"/>
  <c r="S11" i="10"/>
  <c r="R11" i="10"/>
  <c r="Q11" i="10"/>
  <c r="P11" i="10"/>
  <c r="O11" i="10"/>
  <c r="N11" i="10"/>
  <c r="M11" i="10"/>
  <c r="K2819" i="12"/>
  <c r="L2819" i="12" s="1"/>
  <c r="J2819" i="12"/>
  <c r="I2819" i="12"/>
  <c r="G59" i="1"/>
  <c r="G60" i="1"/>
  <c r="AQ60" i="1" s="1"/>
  <c r="K42" i="1"/>
  <c r="K40" i="1"/>
  <c r="K16" i="1"/>
  <c r="K7" i="1"/>
  <c r="N8" i="14" s="1"/>
  <c r="K2821" i="12"/>
  <c r="L2821" i="12" s="1"/>
  <c r="J2821" i="12"/>
  <c r="I2821" i="12"/>
  <c r="K2519" i="12"/>
  <c r="L2519" i="12" s="1"/>
  <c r="J2519" i="12"/>
  <c r="I2519" i="12"/>
  <c r="K2345" i="12"/>
  <c r="L2345" i="12" s="1"/>
  <c r="J2345" i="12"/>
  <c r="I2345" i="12"/>
  <c r="K2460" i="12"/>
  <c r="L2460" i="12" s="1"/>
  <c r="J2460" i="12"/>
  <c r="I2460" i="12"/>
  <c r="H21" i="1"/>
  <c r="H22" i="1"/>
  <c r="H20" i="1"/>
  <c r="E2818" i="12"/>
  <c r="E2817" i="12"/>
  <c r="E2816" i="12"/>
  <c r="E2815" i="12"/>
  <c r="E2814" i="12"/>
  <c r="E2813" i="12"/>
  <c r="E2812" i="12"/>
  <c r="E2811" i="12"/>
  <c r="E2810" i="12"/>
  <c r="E2809" i="12"/>
  <c r="E2808" i="12"/>
  <c r="E2807" i="12"/>
  <c r="E2806" i="12"/>
  <c r="E2805" i="12"/>
  <c r="E2804" i="12"/>
  <c r="E2803" i="12"/>
  <c r="E2802" i="12"/>
  <c r="E2801" i="12"/>
  <c r="E2799" i="12"/>
  <c r="E2798" i="12"/>
  <c r="E2797" i="12"/>
  <c r="E2796" i="12"/>
  <c r="E2795" i="12"/>
  <c r="E2794" i="12"/>
  <c r="E2793" i="12"/>
  <c r="E2792" i="12"/>
  <c r="E2791" i="12"/>
  <c r="E2790" i="12"/>
  <c r="E2789" i="12"/>
  <c r="E2788" i="12"/>
  <c r="E2787" i="12"/>
  <c r="E2786" i="12"/>
  <c r="E2785" i="12"/>
  <c r="E2784" i="12"/>
  <c r="E2783" i="12"/>
  <c r="E2782" i="12"/>
  <c r="E2781" i="12"/>
  <c r="E2780" i="12"/>
  <c r="E2779" i="12"/>
  <c r="E2778" i="12"/>
  <c r="E2777" i="12"/>
  <c r="E2776" i="12"/>
  <c r="E2775" i="12"/>
  <c r="E2774" i="12"/>
  <c r="E2773" i="12"/>
  <c r="E2771" i="12"/>
  <c r="E2770" i="12"/>
  <c r="E2769" i="12"/>
  <c r="E2768" i="12"/>
  <c r="E2767" i="12"/>
  <c r="E2766" i="12"/>
  <c r="E2765" i="12"/>
  <c r="E2764" i="12"/>
  <c r="E2763" i="12"/>
  <c r="E2762" i="12"/>
  <c r="E2761" i="12"/>
  <c r="E2760" i="12"/>
  <c r="E2759" i="12"/>
  <c r="E2758" i="12"/>
  <c r="E2757" i="12"/>
  <c r="E2755" i="12"/>
  <c r="E2754" i="12"/>
  <c r="E2753" i="12"/>
  <c r="E2752" i="12"/>
  <c r="E2751" i="12"/>
  <c r="E2750" i="12"/>
  <c r="E2749" i="12"/>
  <c r="E2748" i="12"/>
  <c r="E2747" i="12"/>
  <c r="E2746" i="12"/>
  <c r="E2745" i="12"/>
  <c r="E2744" i="12"/>
  <c r="E2743" i="12"/>
  <c r="E2742" i="12"/>
  <c r="E2741" i="12"/>
  <c r="E2739" i="12"/>
  <c r="E2738" i="12"/>
  <c r="E2737" i="12"/>
  <c r="E2736" i="12"/>
  <c r="E2735" i="12"/>
  <c r="E2734" i="12"/>
  <c r="E2733" i="12"/>
  <c r="E2732" i="12"/>
  <c r="E2731" i="12"/>
  <c r="E2727" i="12"/>
  <c r="E2723" i="12"/>
  <c r="E2722" i="12"/>
  <c r="E2719" i="12"/>
  <c r="E2716" i="12"/>
  <c r="E2715" i="12"/>
  <c r="E2713" i="12"/>
  <c r="E2712" i="12"/>
  <c r="E2711" i="12"/>
  <c r="E2710" i="12"/>
  <c r="E2709" i="12"/>
  <c r="E2708" i="12"/>
  <c r="E2707" i="12"/>
  <c r="E2706" i="12"/>
  <c r="E2705" i="12"/>
  <c r="E2704" i="12"/>
  <c r="E2703" i="12"/>
  <c r="E2702" i="12"/>
  <c r="E2701" i="12"/>
  <c r="E2699" i="12"/>
  <c r="E2698" i="12"/>
  <c r="E2697" i="12"/>
  <c r="E2696" i="12"/>
  <c r="E2695" i="12"/>
  <c r="E2694" i="12"/>
  <c r="E2693" i="12"/>
  <c r="E2692" i="12"/>
  <c r="E2691" i="12"/>
  <c r="E2690" i="12"/>
  <c r="E2689" i="12"/>
  <c r="E2688" i="12"/>
  <c r="E2687" i="12"/>
  <c r="E2686" i="12"/>
  <c r="E2684" i="12"/>
  <c r="E2683" i="12"/>
  <c r="E2682" i="12"/>
  <c r="E2681" i="12"/>
  <c r="E2680" i="12"/>
  <c r="E2679" i="12"/>
  <c r="E2678" i="12"/>
  <c r="E2677" i="12"/>
  <c r="E2676" i="12"/>
  <c r="E2675" i="12"/>
  <c r="E2674" i="12"/>
  <c r="E2673" i="12"/>
  <c r="E2670" i="12"/>
  <c r="E2669" i="12"/>
  <c r="E2668" i="12"/>
  <c r="E2667" i="12"/>
  <c r="E2666" i="12"/>
  <c r="E2665" i="12"/>
  <c r="E2663" i="12"/>
  <c r="E2662" i="12"/>
  <c r="E2660" i="12"/>
  <c r="E2659" i="12"/>
  <c r="E2658" i="12"/>
  <c r="E2657" i="12"/>
  <c r="E2656" i="12"/>
  <c r="E2655" i="12"/>
  <c r="E2654" i="12"/>
  <c r="E2653" i="12"/>
  <c r="E2652" i="12"/>
  <c r="E2651" i="12"/>
  <c r="E2650" i="12"/>
  <c r="E2649" i="12"/>
  <c r="E2648" i="12"/>
  <c r="E2647" i="12"/>
  <c r="E2646" i="12"/>
  <c r="E2645" i="12"/>
  <c r="E2644" i="12"/>
  <c r="E2643" i="12"/>
  <c r="E2642" i="12"/>
  <c r="E2641" i="12"/>
  <c r="E2640" i="12"/>
  <c r="E2639" i="12"/>
  <c r="E2638" i="12"/>
  <c r="E2636" i="12"/>
  <c r="E2635" i="12"/>
  <c r="E2634" i="12"/>
  <c r="E2633" i="12"/>
  <c r="E2632" i="12"/>
  <c r="E2631" i="12"/>
  <c r="E2629" i="12"/>
  <c r="E2628" i="12"/>
  <c r="E2627" i="12"/>
  <c r="E2625" i="12"/>
  <c r="E2623" i="12"/>
  <c r="E2622" i="12"/>
  <c r="E2621" i="12"/>
  <c r="E2620" i="12"/>
  <c r="E2619" i="12"/>
  <c r="E2618" i="12"/>
  <c r="E2617" i="12"/>
  <c r="E2616" i="12"/>
  <c r="E2615" i="12"/>
  <c r="E2614" i="12"/>
  <c r="E2613" i="12"/>
  <c r="E2611" i="12"/>
  <c r="E2610" i="12"/>
  <c r="E2609" i="12"/>
  <c r="E2608" i="12"/>
  <c r="E2607" i="12"/>
  <c r="E2606" i="12"/>
  <c r="E2605" i="12"/>
  <c r="E2604" i="12"/>
  <c r="E2603" i="12"/>
  <c r="E2602" i="12"/>
  <c r="E2601" i="12"/>
  <c r="E2600" i="12"/>
  <c r="E2599" i="12"/>
  <c r="E2598" i="12"/>
  <c r="E2597" i="12"/>
  <c r="E2596" i="12"/>
  <c r="E2594" i="12"/>
  <c r="E2593" i="12"/>
  <c r="E2592" i="12"/>
  <c r="E2591" i="12"/>
  <c r="E2590" i="12"/>
  <c r="E2589" i="12"/>
  <c r="E2588" i="12"/>
  <c r="E2587" i="12"/>
  <c r="E2586" i="12"/>
  <c r="E2585" i="12"/>
  <c r="E2584" i="12"/>
  <c r="E2583" i="12"/>
  <c r="E2582" i="12"/>
  <c r="E2581" i="12"/>
  <c r="E2580" i="12"/>
  <c r="E2579" i="12"/>
  <c r="E2578" i="12"/>
  <c r="E2577" i="12"/>
  <c r="E2576" i="12"/>
  <c r="E2575" i="12"/>
  <c r="E2574" i="12"/>
  <c r="E2573" i="12"/>
  <c r="E2572" i="12"/>
  <c r="E2571" i="12"/>
  <c r="E2570" i="12"/>
  <c r="E2569" i="12"/>
  <c r="E2568" i="12"/>
  <c r="E2567" i="12"/>
  <c r="E2566" i="12"/>
  <c r="E2565" i="12"/>
  <c r="E2564" i="12"/>
  <c r="E2563" i="12"/>
  <c r="E2562" i="12"/>
  <c r="E2561" i="12"/>
  <c r="E2560" i="12"/>
  <c r="E2559" i="12"/>
  <c r="E2558" i="12"/>
  <c r="E2557" i="12"/>
  <c r="E2555" i="12"/>
  <c r="E2554" i="12"/>
  <c r="E2553" i="12"/>
  <c r="E2552" i="12"/>
  <c r="E2551" i="12"/>
  <c r="E2550" i="12"/>
  <c r="E2549" i="12"/>
  <c r="E2548" i="12"/>
  <c r="E2547" i="12"/>
  <c r="E2546" i="12"/>
  <c r="E2544" i="12"/>
  <c r="E2543" i="12"/>
  <c r="E2542" i="12"/>
  <c r="E2541" i="12"/>
  <c r="E2540" i="12"/>
  <c r="E2539" i="12"/>
  <c r="E2538" i="12"/>
  <c r="E2537" i="12"/>
  <c r="E2536" i="12"/>
  <c r="E2535" i="12"/>
  <c r="E2534" i="12"/>
  <c r="E2533" i="12"/>
  <c r="E2532" i="12"/>
  <c r="E2531" i="12"/>
  <c r="E2530" i="12"/>
  <c r="E2529" i="12"/>
  <c r="E2527" i="12"/>
  <c r="E2526" i="12"/>
  <c r="E2525" i="12"/>
  <c r="E2524" i="12"/>
  <c r="E2523" i="12"/>
  <c r="E2522" i="12"/>
  <c r="E2521" i="12"/>
  <c r="E2520" i="12"/>
  <c r="E2518" i="12"/>
  <c r="E2516" i="12"/>
  <c r="E2515" i="12"/>
  <c r="E2514" i="12"/>
  <c r="E2513" i="12"/>
  <c r="E2512" i="12"/>
  <c r="E2511" i="12"/>
  <c r="E2510" i="12"/>
  <c r="E2509" i="12"/>
  <c r="E2508" i="12"/>
  <c r="E2507" i="12"/>
  <c r="E2506" i="12"/>
  <c r="E2505" i="12"/>
  <c r="E2504" i="12"/>
  <c r="E2503" i="12"/>
  <c r="E2502" i="12"/>
  <c r="E2501" i="12"/>
  <c r="E2500" i="12"/>
  <c r="E2499" i="12"/>
  <c r="E2498" i="12"/>
  <c r="E2497" i="12"/>
  <c r="E2496" i="12"/>
  <c r="E2366" i="12"/>
  <c r="E2354" i="12"/>
  <c r="E2344" i="12"/>
  <c r="E2215" i="12"/>
  <c r="E2166" i="12"/>
  <c r="E2159" i="12"/>
  <c r="E2155" i="12"/>
  <c r="E2107" i="12"/>
  <c r="E2090" i="12"/>
  <c r="K2820" i="12"/>
  <c r="L2820" i="12" s="1"/>
  <c r="J2820" i="12"/>
  <c r="I2820" i="12"/>
  <c r="H19" i="1" l="1"/>
  <c r="K41" i="1"/>
  <c r="F14" i="13"/>
  <c r="G14" i="13" s="1"/>
  <c r="F15" i="13"/>
  <c r="G15" i="13" s="1"/>
  <c r="F16" i="13"/>
  <c r="G16" i="13" s="1"/>
  <c r="F17" i="13"/>
  <c r="G17" i="13" s="1"/>
  <c r="F18" i="13"/>
  <c r="G18" i="13" s="1"/>
  <c r="F19" i="13"/>
  <c r="G19" i="13" s="1"/>
  <c r="H15" i="13"/>
  <c r="H16" i="13"/>
  <c r="H17" i="13"/>
  <c r="H18" i="13"/>
  <c r="H19" i="13"/>
  <c r="H14" i="13"/>
  <c r="K2393" i="12"/>
  <c r="L2393" i="12" s="1"/>
  <c r="K2394" i="12"/>
  <c r="L2394" i="12" s="1"/>
  <c r="K2395" i="12"/>
  <c r="L2395" i="12" s="1"/>
  <c r="K2385" i="12"/>
  <c r="L2385" i="12" s="1"/>
  <c r="K2396" i="12"/>
  <c r="L2396" i="12" s="1"/>
  <c r="K2397" i="12"/>
  <c r="L2397" i="12" s="1"/>
  <c r="K2398" i="12"/>
  <c r="L2398" i="12" s="1"/>
  <c r="K2399" i="12"/>
  <c r="L2399" i="12" s="1"/>
  <c r="K2400" i="12"/>
  <c r="L2400" i="12" s="1"/>
  <c r="K2401" i="12"/>
  <c r="L2401" i="12" s="1"/>
  <c r="K2384" i="12"/>
  <c r="L2384" i="12" s="1"/>
  <c r="K2402" i="12"/>
  <c r="L2402" i="12" s="1"/>
  <c r="K2403" i="12"/>
  <c r="L2403" i="12" s="1"/>
  <c r="K2383" i="12"/>
  <c r="L2383" i="12" s="1"/>
  <c r="K2404" i="12"/>
  <c r="L2404" i="12" s="1"/>
  <c r="K2405" i="12"/>
  <c r="L2405" i="12" s="1"/>
  <c r="K2382" i="12"/>
  <c r="L2382" i="12" s="1"/>
  <c r="K2406" i="12"/>
  <c r="L2406" i="12" s="1"/>
  <c r="K2408" i="12"/>
  <c r="L2408" i="12" s="1"/>
  <c r="K2409" i="12"/>
  <c r="L2409" i="12" s="1"/>
  <c r="K2410" i="12"/>
  <c r="L2410" i="12" s="1"/>
  <c r="K2411" i="12"/>
  <c r="L2411" i="12" s="1"/>
  <c r="K2380" i="12"/>
  <c r="L2380" i="12" s="1"/>
  <c r="K2381" i="12"/>
  <c r="L2381" i="12" s="1"/>
  <c r="K2412" i="12"/>
  <c r="L2412" i="12" s="1"/>
  <c r="K2413" i="12"/>
  <c r="L2413" i="12" s="1"/>
  <c r="K2414" i="12"/>
  <c r="L2414" i="12" s="1"/>
  <c r="K2386" i="12"/>
  <c r="L2386" i="12" s="1"/>
  <c r="K2415" i="12"/>
  <c r="L2415" i="12" s="1"/>
  <c r="L2416" i="12"/>
  <c r="K2417" i="12"/>
  <c r="L2417" i="12" s="1"/>
  <c r="K2418" i="12"/>
  <c r="L2418" i="12" s="1"/>
  <c r="K2419" i="12"/>
  <c r="L2419" i="12" s="1"/>
  <c r="K2420" i="12"/>
  <c r="L2420" i="12" s="1"/>
  <c r="K2421" i="12"/>
  <c r="L2421" i="12" s="1"/>
  <c r="K2422" i="12"/>
  <c r="L2422" i="12" s="1"/>
  <c r="K2423" i="12"/>
  <c r="L2423" i="12" s="1"/>
  <c r="K2424" i="12"/>
  <c r="L2424" i="12" s="1"/>
  <c r="K2425" i="12"/>
  <c r="L2425" i="12" s="1"/>
  <c r="K2426" i="12"/>
  <c r="L2426" i="12" s="1"/>
  <c r="K2427" i="12"/>
  <c r="L2427" i="12" s="1"/>
  <c r="K2428" i="12"/>
  <c r="L2428" i="12" s="1"/>
  <c r="K2429" i="12"/>
  <c r="L2429" i="12" s="1"/>
  <c r="K2430" i="12"/>
  <c r="L2430" i="12" s="1"/>
  <c r="K2431" i="12"/>
  <c r="L2431" i="12" s="1"/>
  <c r="K2432" i="12"/>
  <c r="L2432" i="12" s="1"/>
  <c r="K2433" i="12"/>
  <c r="L2433" i="12" s="1"/>
  <c r="L2436" i="12"/>
  <c r="L2437" i="12"/>
  <c r="K2438" i="12"/>
  <c r="L2438" i="12" s="1"/>
  <c r="K2439" i="12"/>
  <c r="L2439" i="12" s="1"/>
  <c r="K2440" i="12"/>
  <c r="L2440" i="12" s="1"/>
  <c r="K2441" i="12"/>
  <c r="L2441" i="12" s="1"/>
  <c r="K2442" i="12"/>
  <c r="L2442" i="12" s="1"/>
  <c r="K2443" i="12"/>
  <c r="L2443" i="12" s="1"/>
  <c r="K2444" i="12"/>
  <c r="L2444" i="12" s="1"/>
  <c r="K2445" i="12"/>
  <c r="L2445" i="12" s="1"/>
  <c r="K2446" i="12"/>
  <c r="L2446" i="12" s="1"/>
  <c r="K2447" i="12"/>
  <c r="L2447" i="12" s="1"/>
  <c r="K2448" i="12"/>
  <c r="L2448" i="12" s="1"/>
  <c r="K2449" i="12"/>
  <c r="L2449" i="12" s="1"/>
  <c r="K2450" i="12"/>
  <c r="L2450" i="12" s="1"/>
  <c r="K2451" i="12"/>
  <c r="L2451" i="12" s="1"/>
  <c r="K2452" i="12"/>
  <c r="L2452" i="12" s="1"/>
  <c r="K2453" i="12"/>
  <c r="L2453" i="12" s="1"/>
  <c r="K2454" i="12"/>
  <c r="L2454" i="12" s="1"/>
  <c r="K2455" i="12"/>
  <c r="L2455" i="12" s="1"/>
  <c r="K2456" i="12"/>
  <c r="L2456" i="12" s="1"/>
  <c r="K2457" i="12"/>
  <c r="L2457" i="12" s="1"/>
  <c r="K2458" i="12"/>
  <c r="L2458" i="12" s="1"/>
  <c r="K2459" i="12"/>
  <c r="L2459" i="12" s="1"/>
  <c r="K2461" i="12"/>
  <c r="L2461" i="12" s="1"/>
  <c r="K2462" i="12"/>
  <c r="L2462" i="12" s="1"/>
  <c r="K2463" i="12"/>
  <c r="L2463" i="12" s="1"/>
  <c r="K2464" i="12"/>
  <c r="L2464" i="12" s="1"/>
  <c r="K2465" i="12"/>
  <c r="L2465" i="12" s="1"/>
  <c r="K2466" i="12"/>
  <c r="L2466" i="12" s="1"/>
  <c r="K2467" i="12"/>
  <c r="L2467" i="12" s="1"/>
  <c r="K2468" i="12"/>
  <c r="L2468" i="12" s="1"/>
  <c r="K2469" i="12"/>
  <c r="L2469" i="12" s="1"/>
  <c r="K2470" i="12"/>
  <c r="L2470" i="12" s="1"/>
  <c r="K2471" i="12"/>
  <c r="L2471" i="12" s="1"/>
  <c r="K2472" i="12"/>
  <c r="L2472" i="12" s="1"/>
  <c r="K2473" i="12"/>
  <c r="L2473" i="12" s="1"/>
  <c r="K2474" i="12"/>
  <c r="L2474" i="12" s="1"/>
  <c r="K3227" i="12"/>
  <c r="K2475" i="12"/>
  <c r="L2475" i="12" s="1"/>
  <c r="K2476" i="12"/>
  <c r="L2476" i="12" s="1"/>
  <c r="K2477" i="12"/>
  <c r="L2477" i="12" s="1"/>
  <c r="K2480" i="12"/>
  <c r="L2480" i="12" s="1"/>
  <c r="K2481" i="12"/>
  <c r="L2481" i="12" s="1"/>
  <c r="K2482" i="12"/>
  <c r="L2482" i="12" s="1"/>
  <c r="K2483" i="12"/>
  <c r="L2483" i="12" s="1"/>
  <c r="K2484" i="12"/>
  <c r="L2484" i="12" s="1"/>
  <c r="K2485" i="12"/>
  <c r="L2485" i="12" s="1"/>
  <c r="K2486" i="12"/>
  <c r="L2486" i="12" s="1"/>
  <c r="K2487" i="12"/>
  <c r="L2487" i="12" s="1"/>
  <c r="K2488" i="12"/>
  <c r="L2488" i="12" s="1"/>
  <c r="K2489" i="12"/>
  <c r="L2489" i="12" s="1"/>
  <c r="K2490" i="12"/>
  <c r="L2490" i="12" s="1"/>
  <c r="K2491" i="12"/>
  <c r="L2491" i="12" s="1"/>
  <c r="K2492" i="12"/>
  <c r="L2492" i="12" s="1"/>
  <c r="K2493" i="12"/>
  <c r="L2493" i="12" s="1"/>
  <c r="K2494" i="12"/>
  <c r="L2494" i="12" s="1"/>
  <c r="K2495" i="12"/>
  <c r="L2495" i="12" s="1"/>
  <c r="K2496" i="12"/>
  <c r="L2496" i="12" s="1"/>
  <c r="K2497" i="12"/>
  <c r="L2497" i="12" s="1"/>
  <c r="K2498" i="12"/>
  <c r="L2498" i="12" s="1"/>
  <c r="K2499" i="12"/>
  <c r="L2499" i="12" s="1"/>
  <c r="K2500" i="12"/>
  <c r="L2500" i="12" s="1"/>
  <c r="K2501" i="12"/>
  <c r="L2501" i="12" s="1"/>
  <c r="K2502" i="12"/>
  <c r="L2502" i="12" s="1"/>
  <c r="K2503" i="12"/>
  <c r="L2503" i="12" s="1"/>
  <c r="K2504" i="12"/>
  <c r="L2504" i="12" s="1"/>
  <c r="K2505" i="12"/>
  <c r="L2505" i="12" s="1"/>
  <c r="K2506" i="12"/>
  <c r="L2506" i="12" s="1"/>
  <c r="K2507" i="12"/>
  <c r="L2507" i="12" s="1"/>
  <c r="K2508" i="12"/>
  <c r="L2508" i="12" s="1"/>
  <c r="K2509" i="12"/>
  <c r="L2509" i="12" s="1"/>
  <c r="K2510" i="12"/>
  <c r="L2510" i="12" s="1"/>
  <c r="K2511" i="12"/>
  <c r="L2511" i="12" s="1"/>
  <c r="K2512" i="12"/>
  <c r="L2512" i="12" s="1"/>
  <c r="K2513" i="12"/>
  <c r="L2513" i="12" s="1"/>
  <c r="K2514" i="12"/>
  <c r="L2514" i="12" s="1"/>
  <c r="K2515" i="12"/>
  <c r="L2515" i="12" s="1"/>
  <c r="K2516" i="12"/>
  <c r="L2516" i="12" s="1"/>
  <c r="K2517" i="12"/>
  <c r="L2517" i="12" s="1"/>
  <c r="K2518" i="12"/>
  <c r="L2518" i="12" s="1"/>
  <c r="K2520" i="12"/>
  <c r="L2520" i="12" s="1"/>
  <c r="K2521" i="12"/>
  <c r="L2521" i="12" s="1"/>
  <c r="K2522" i="12"/>
  <c r="L2522" i="12" s="1"/>
  <c r="K2523" i="12"/>
  <c r="L2523" i="12" s="1"/>
  <c r="K2524" i="12"/>
  <c r="L2524" i="12" s="1"/>
  <c r="K2525" i="12"/>
  <c r="L2525" i="12" s="1"/>
  <c r="K2526" i="12"/>
  <c r="L2526" i="12" s="1"/>
  <c r="K2527" i="12"/>
  <c r="L2527" i="12" s="1"/>
  <c r="L2528" i="12"/>
  <c r="K2529" i="12"/>
  <c r="L2529" i="12" s="1"/>
  <c r="K2530" i="12"/>
  <c r="L2530" i="12" s="1"/>
  <c r="K2531" i="12"/>
  <c r="L2531" i="12" s="1"/>
  <c r="K2532" i="12"/>
  <c r="L2532" i="12" s="1"/>
  <c r="K2533" i="12"/>
  <c r="L2533" i="12" s="1"/>
  <c r="K2534" i="12"/>
  <c r="L2534" i="12" s="1"/>
  <c r="K2535" i="12"/>
  <c r="L2535" i="12" s="1"/>
  <c r="K2536" i="12"/>
  <c r="L2536" i="12" s="1"/>
  <c r="K2537" i="12"/>
  <c r="L2537" i="12" s="1"/>
  <c r="K2538" i="12"/>
  <c r="L2538" i="12" s="1"/>
  <c r="K2539" i="12"/>
  <c r="L2539" i="12" s="1"/>
  <c r="K2540" i="12"/>
  <c r="L2540" i="12" s="1"/>
  <c r="K2541" i="12"/>
  <c r="L2541" i="12" s="1"/>
  <c r="K2542" i="12"/>
  <c r="L2542" i="12" s="1"/>
  <c r="K2543" i="12"/>
  <c r="L2543" i="12" s="1"/>
  <c r="K2544" i="12"/>
  <c r="L2544" i="12" s="1"/>
  <c r="K2545" i="12"/>
  <c r="L2545" i="12" s="1"/>
  <c r="K2546" i="12"/>
  <c r="L2546" i="12" s="1"/>
  <c r="K2547" i="12"/>
  <c r="L2547" i="12" s="1"/>
  <c r="K2548" i="12"/>
  <c r="L2548" i="12" s="1"/>
  <c r="K2549" i="12"/>
  <c r="L2549" i="12" s="1"/>
  <c r="K2550" i="12"/>
  <c r="L2550" i="12" s="1"/>
  <c r="K2551" i="12"/>
  <c r="L2551" i="12" s="1"/>
  <c r="K2552" i="12"/>
  <c r="L2552" i="12" s="1"/>
  <c r="K2553" i="12"/>
  <c r="L2553" i="12" s="1"/>
  <c r="K2554" i="12"/>
  <c r="L2554" i="12" s="1"/>
  <c r="K2555" i="12"/>
  <c r="L2555" i="12" s="1"/>
  <c r="K2556" i="12"/>
  <c r="L2556" i="12" s="1"/>
  <c r="K2557" i="12"/>
  <c r="L2557" i="12" s="1"/>
  <c r="K2558" i="12"/>
  <c r="L2558" i="12" s="1"/>
  <c r="K2559" i="12"/>
  <c r="L2559" i="12" s="1"/>
  <c r="K2560" i="12"/>
  <c r="L2560" i="12" s="1"/>
  <c r="K2561" i="12"/>
  <c r="L2561" i="12" s="1"/>
  <c r="K2562" i="12"/>
  <c r="L2562" i="12" s="1"/>
  <c r="K2563" i="12"/>
  <c r="L2563" i="12" s="1"/>
  <c r="K2564" i="12"/>
  <c r="L2564" i="12" s="1"/>
  <c r="K2565" i="12"/>
  <c r="L2565" i="12" s="1"/>
  <c r="K2566" i="12"/>
  <c r="L2566" i="12" s="1"/>
  <c r="K2567" i="12"/>
  <c r="L2567" i="12" s="1"/>
  <c r="K2568" i="12"/>
  <c r="L2568" i="12" s="1"/>
  <c r="K2569" i="12"/>
  <c r="L2569" i="12" s="1"/>
  <c r="K2570" i="12"/>
  <c r="L2570" i="12" s="1"/>
  <c r="K2571" i="12"/>
  <c r="L2571" i="12" s="1"/>
  <c r="K2572" i="12"/>
  <c r="L2572" i="12" s="1"/>
  <c r="K2573" i="12"/>
  <c r="L2573" i="12" s="1"/>
  <c r="K2574" i="12"/>
  <c r="L2574" i="12" s="1"/>
  <c r="K2575" i="12"/>
  <c r="L2575" i="12" s="1"/>
  <c r="K2576" i="12"/>
  <c r="L2576" i="12" s="1"/>
  <c r="K2577" i="12"/>
  <c r="L2577" i="12" s="1"/>
  <c r="K2578" i="12"/>
  <c r="L2578" i="12" s="1"/>
  <c r="K2579" i="12"/>
  <c r="L2579" i="12" s="1"/>
  <c r="K2580" i="12"/>
  <c r="L2580" i="12" s="1"/>
  <c r="K2581" i="12"/>
  <c r="L2581" i="12" s="1"/>
  <c r="K2582" i="12"/>
  <c r="L2582" i="12" s="1"/>
  <c r="K2583" i="12"/>
  <c r="L2583" i="12" s="1"/>
  <c r="K2584" i="12"/>
  <c r="L2584" i="12" s="1"/>
  <c r="K2585" i="12"/>
  <c r="L2585" i="12" s="1"/>
  <c r="K2586" i="12"/>
  <c r="L2586" i="12" s="1"/>
  <c r="K2587" i="12"/>
  <c r="L2587" i="12" s="1"/>
  <c r="K2588" i="12"/>
  <c r="L2588" i="12" s="1"/>
  <c r="K2589" i="12"/>
  <c r="L2589" i="12" s="1"/>
  <c r="K2590" i="12"/>
  <c r="L2590" i="12" s="1"/>
  <c r="K2591" i="12"/>
  <c r="L2591" i="12" s="1"/>
  <c r="K2592" i="12"/>
  <c r="L2592" i="12" s="1"/>
  <c r="K2593" i="12"/>
  <c r="L2593" i="12" s="1"/>
  <c r="K2594" i="12"/>
  <c r="L2594" i="12" s="1"/>
  <c r="K2595" i="12"/>
  <c r="L2595" i="12" s="1"/>
  <c r="K2596" i="12"/>
  <c r="L2596" i="12" s="1"/>
  <c r="K2597" i="12"/>
  <c r="L2597" i="12" s="1"/>
  <c r="K2598" i="12"/>
  <c r="L2598" i="12" s="1"/>
  <c r="K2599" i="12"/>
  <c r="L2599" i="12" s="1"/>
  <c r="K2600" i="12"/>
  <c r="L2600" i="12" s="1"/>
  <c r="K2601" i="12"/>
  <c r="L2601" i="12" s="1"/>
  <c r="K2602" i="12"/>
  <c r="L2602" i="12" s="1"/>
  <c r="K2603" i="12"/>
  <c r="L2603" i="12" s="1"/>
  <c r="K2604" i="12"/>
  <c r="L2604" i="12" s="1"/>
  <c r="K2605" i="12"/>
  <c r="L2605" i="12" s="1"/>
  <c r="K2606" i="12"/>
  <c r="L2606" i="12" s="1"/>
  <c r="K2607" i="12"/>
  <c r="L2607" i="12" s="1"/>
  <c r="K2608" i="12"/>
  <c r="L2608" i="12" s="1"/>
  <c r="K2609" i="12"/>
  <c r="L2609" i="12" s="1"/>
  <c r="K2610" i="12"/>
  <c r="L2610" i="12" s="1"/>
  <c r="K2611" i="12"/>
  <c r="L2611" i="12" s="1"/>
  <c r="L2612" i="12"/>
  <c r="K2613" i="12"/>
  <c r="L2613" i="12" s="1"/>
  <c r="K2614" i="12"/>
  <c r="L2614" i="12" s="1"/>
  <c r="K2615" i="12"/>
  <c r="L2615" i="12" s="1"/>
  <c r="K2616" i="12"/>
  <c r="L2616" i="12" s="1"/>
  <c r="K2617" i="12"/>
  <c r="L2617" i="12" s="1"/>
  <c r="K2618" i="12"/>
  <c r="L2618" i="12" s="1"/>
  <c r="K2619" i="12"/>
  <c r="L2619" i="12" s="1"/>
  <c r="K2620" i="12"/>
  <c r="L2620" i="12" s="1"/>
  <c r="K2621" i="12"/>
  <c r="L2621" i="12" s="1"/>
  <c r="K2622" i="12"/>
  <c r="L2622" i="12" s="1"/>
  <c r="K2623" i="12"/>
  <c r="L2623" i="12" s="1"/>
  <c r="L2624" i="12"/>
  <c r="K2625" i="12"/>
  <c r="L2625" i="12" s="1"/>
  <c r="K2626" i="12"/>
  <c r="L2626" i="12" s="1"/>
  <c r="K2627" i="12"/>
  <c r="L2627" i="12" s="1"/>
  <c r="K2628" i="12"/>
  <c r="L2628" i="12" s="1"/>
  <c r="K2629" i="12"/>
  <c r="L2629" i="12" s="1"/>
  <c r="K2630" i="12"/>
  <c r="L2630" i="12" s="1"/>
  <c r="K2631" i="12"/>
  <c r="L2631" i="12" s="1"/>
  <c r="K2632" i="12"/>
  <c r="L2632" i="12" s="1"/>
  <c r="K2633" i="12"/>
  <c r="L2633" i="12" s="1"/>
  <c r="K2634" i="12"/>
  <c r="L2634" i="12" s="1"/>
  <c r="K2635" i="12"/>
  <c r="L2635" i="12" s="1"/>
  <c r="K2636" i="12"/>
  <c r="L2636" i="12" s="1"/>
  <c r="K2637" i="12"/>
  <c r="L2637" i="12" s="1"/>
  <c r="K2638" i="12"/>
  <c r="L2638" i="12" s="1"/>
  <c r="K2639" i="12"/>
  <c r="L2639" i="12" s="1"/>
  <c r="K2640" i="12"/>
  <c r="L2640" i="12" s="1"/>
  <c r="K2641" i="12"/>
  <c r="L2641" i="12" s="1"/>
  <c r="K2642" i="12"/>
  <c r="L2642" i="12" s="1"/>
  <c r="K2643" i="12"/>
  <c r="L2643" i="12" s="1"/>
  <c r="K2644" i="12"/>
  <c r="L2644" i="12" s="1"/>
  <c r="K2645" i="12"/>
  <c r="L2645" i="12" s="1"/>
  <c r="K2646" i="12"/>
  <c r="L2646" i="12" s="1"/>
  <c r="K2647" i="12"/>
  <c r="L2647" i="12" s="1"/>
  <c r="K2648" i="12"/>
  <c r="L2648" i="12" s="1"/>
  <c r="K2649" i="12"/>
  <c r="L2649" i="12" s="1"/>
  <c r="K2650" i="12"/>
  <c r="L2650" i="12" s="1"/>
  <c r="K2651" i="12"/>
  <c r="L2651" i="12" s="1"/>
  <c r="K2652" i="12"/>
  <c r="L2652" i="12" s="1"/>
  <c r="K2653" i="12"/>
  <c r="L2653" i="12" s="1"/>
  <c r="K2654" i="12"/>
  <c r="L2654" i="12" s="1"/>
  <c r="K2655" i="12"/>
  <c r="L2655" i="12" s="1"/>
  <c r="K2656" i="12"/>
  <c r="L2656" i="12" s="1"/>
  <c r="K2657" i="12"/>
  <c r="L2657" i="12" s="1"/>
  <c r="K2658" i="12"/>
  <c r="L2658" i="12" s="1"/>
  <c r="K2659" i="12"/>
  <c r="L2659" i="12" s="1"/>
  <c r="K2660" i="12"/>
  <c r="L2660" i="12" s="1"/>
  <c r="K2662" i="12"/>
  <c r="L2662" i="12" s="1"/>
  <c r="K2663" i="12"/>
  <c r="L2663" i="12" s="1"/>
  <c r="K2665" i="12"/>
  <c r="L2665" i="12" s="1"/>
  <c r="K2666" i="12"/>
  <c r="L2666" i="12" s="1"/>
  <c r="K2667" i="12"/>
  <c r="L2667" i="12" s="1"/>
  <c r="K2668" i="12"/>
  <c r="L2668" i="12" s="1"/>
  <c r="K2669" i="12"/>
  <c r="L2669" i="12" s="1"/>
  <c r="K2670" i="12"/>
  <c r="L2670" i="12" s="1"/>
  <c r="K2673" i="12"/>
  <c r="L2673" i="12" s="1"/>
  <c r="K2674" i="12"/>
  <c r="L2674" i="12" s="1"/>
  <c r="K2675" i="12"/>
  <c r="L2675" i="12" s="1"/>
  <c r="K2676" i="12"/>
  <c r="L2676" i="12" s="1"/>
  <c r="K2677" i="12"/>
  <c r="L2677" i="12" s="1"/>
  <c r="K2678" i="12"/>
  <c r="L2678" i="12" s="1"/>
  <c r="K2679" i="12"/>
  <c r="L2679" i="12" s="1"/>
  <c r="K2680" i="12"/>
  <c r="L2680" i="12" s="1"/>
  <c r="K2681" i="12"/>
  <c r="L2681" i="12" s="1"/>
  <c r="K2682" i="12"/>
  <c r="L2682" i="12" s="1"/>
  <c r="K2683" i="12"/>
  <c r="L2683" i="12" s="1"/>
  <c r="K2684" i="12"/>
  <c r="L2684" i="12" s="1"/>
  <c r="K2685" i="12"/>
  <c r="L2685" i="12" s="1"/>
  <c r="K2686" i="12"/>
  <c r="L2686" i="12" s="1"/>
  <c r="K2687" i="12"/>
  <c r="L2687" i="12" s="1"/>
  <c r="K2688" i="12"/>
  <c r="L2688" i="12" s="1"/>
  <c r="K2689" i="12"/>
  <c r="L2689" i="12" s="1"/>
  <c r="K2690" i="12"/>
  <c r="L2690" i="12" s="1"/>
  <c r="K2691" i="12"/>
  <c r="L2691" i="12" s="1"/>
  <c r="K2692" i="12"/>
  <c r="L2692" i="12" s="1"/>
  <c r="K2693" i="12"/>
  <c r="L2693" i="12" s="1"/>
  <c r="K2694" i="12"/>
  <c r="L2694" i="12" s="1"/>
  <c r="K2695" i="12"/>
  <c r="L2695" i="12" s="1"/>
  <c r="K2696" i="12"/>
  <c r="L2696" i="12" s="1"/>
  <c r="K2697" i="12"/>
  <c r="L2697" i="12" s="1"/>
  <c r="K2698" i="12"/>
  <c r="L2698" i="12" s="1"/>
  <c r="K2699" i="12"/>
  <c r="L2699" i="12" s="1"/>
  <c r="L2700" i="12"/>
  <c r="K2701" i="12"/>
  <c r="L2701" i="12" s="1"/>
  <c r="K2702" i="12"/>
  <c r="L2702" i="12" s="1"/>
  <c r="K2703" i="12"/>
  <c r="L2703" i="12" s="1"/>
  <c r="K2704" i="12"/>
  <c r="L2704" i="12" s="1"/>
  <c r="K2705" i="12"/>
  <c r="L2705" i="12" s="1"/>
  <c r="K2706" i="12"/>
  <c r="L2706" i="12" s="1"/>
  <c r="K2707" i="12"/>
  <c r="L2707" i="12" s="1"/>
  <c r="K2708" i="12"/>
  <c r="L2708" i="12" s="1"/>
  <c r="K2709" i="12"/>
  <c r="L2709" i="12" s="1"/>
  <c r="K2710" i="12"/>
  <c r="L2710" i="12" s="1"/>
  <c r="K2711" i="12"/>
  <c r="L2711" i="12" s="1"/>
  <c r="K2712" i="12"/>
  <c r="L2712" i="12" s="1"/>
  <c r="K2713" i="12"/>
  <c r="L2713" i="12" s="1"/>
  <c r="K2714" i="12"/>
  <c r="L2714" i="12" s="1"/>
  <c r="K2715" i="12"/>
  <c r="L2715" i="12" s="1"/>
  <c r="K2716" i="12"/>
  <c r="L2716" i="12" s="1"/>
  <c r="K2717" i="12"/>
  <c r="L2717" i="12" s="1"/>
  <c r="K2718" i="12"/>
  <c r="L2718" i="12" s="1"/>
  <c r="K2719" i="12"/>
  <c r="L2719" i="12" s="1"/>
  <c r="K2720" i="12"/>
  <c r="L2720" i="12" s="1"/>
  <c r="K2721" i="12"/>
  <c r="L2721" i="12" s="1"/>
  <c r="K2722" i="12"/>
  <c r="L2722" i="12" s="1"/>
  <c r="K2723" i="12"/>
  <c r="L2723" i="12" s="1"/>
  <c r="K2724" i="12"/>
  <c r="L2724" i="12" s="1"/>
  <c r="K2725" i="12"/>
  <c r="L2725" i="12" s="1"/>
  <c r="K2726" i="12"/>
  <c r="L2726" i="12" s="1"/>
  <c r="K2727" i="12"/>
  <c r="L2727" i="12" s="1"/>
  <c r="K2728" i="12"/>
  <c r="L2728" i="12" s="1"/>
  <c r="K2729" i="12"/>
  <c r="L2729" i="12" s="1"/>
  <c r="K2730" i="12"/>
  <c r="L2730" i="12" s="1"/>
  <c r="K2731" i="12"/>
  <c r="L2731" i="12" s="1"/>
  <c r="K2732" i="12"/>
  <c r="L2732" i="12" s="1"/>
  <c r="K2733" i="12"/>
  <c r="L2733" i="12" s="1"/>
  <c r="K2734" i="12"/>
  <c r="L2734" i="12" s="1"/>
  <c r="K2735" i="12"/>
  <c r="L2735" i="12" s="1"/>
  <c r="K2736" i="12"/>
  <c r="L2736" i="12" s="1"/>
  <c r="K2737" i="12"/>
  <c r="L2737" i="12" s="1"/>
  <c r="K2738" i="12"/>
  <c r="L2738" i="12" s="1"/>
  <c r="K2739" i="12"/>
  <c r="L2739" i="12" s="1"/>
  <c r="K2740" i="12"/>
  <c r="L2740" i="12" s="1"/>
  <c r="K2741" i="12"/>
  <c r="L2741" i="12" s="1"/>
  <c r="K2742" i="12"/>
  <c r="L2742" i="12" s="1"/>
  <c r="K2743" i="12"/>
  <c r="L2743" i="12" s="1"/>
  <c r="K2744" i="12"/>
  <c r="L2744" i="12" s="1"/>
  <c r="K2745" i="12"/>
  <c r="L2745" i="12" s="1"/>
  <c r="K2746" i="12"/>
  <c r="L2746" i="12" s="1"/>
  <c r="K2747" i="12"/>
  <c r="L2747" i="12" s="1"/>
  <c r="K2748" i="12"/>
  <c r="L2748" i="12" s="1"/>
  <c r="K2749" i="12"/>
  <c r="L2749" i="12" s="1"/>
  <c r="K2750" i="12"/>
  <c r="L2750" i="12" s="1"/>
  <c r="K2751" i="12"/>
  <c r="L2751" i="12" s="1"/>
  <c r="K2752" i="12"/>
  <c r="L2752" i="12" s="1"/>
  <c r="K2753" i="12"/>
  <c r="L2753" i="12" s="1"/>
  <c r="K2754" i="12"/>
  <c r="L2754" i="12" s="1"/>
  <c r="K2755" i="12"/>
  <c r="L2755" i="12" s="1"/>
  <c r="K2757" i="12"/>
  <c r="L2757" i="12" s="1"/>
  <c r="K2758" i="12"/>
  <c r="L2758" i="12" s="1"/>
  <c r="K2759" i="12"/>
  <c r="L2759" i="12" s="1"/>
  <c r="K2760" i="12"/>
  <c r="L2760" i="12" s="1"/>
  <c r="K2761" i="12"/>
  <c r="L2761" i="12" s="1"/>
  <c r="K2762" i="12"/>
  <c r="L2762" i="12" s="1"/>
  <c r="K2763" i="12"/>
  <c r="L2763" i="12" s="1"/>
  <c r="K2764" i="12"/>
  <c r="L2764" i="12" s="1"/>
  <c r="K2765" i="12"/>
  <c r="L2765" i="12" s="1"/>
  <c r="K2766" i="12"/>
  <c r="L2766" i="12" s="1"/>
  <c r="K2767" i="12"/>
  <c r="L2767" i="12" s="1"/>
  <c r="K2768" i="12"/>
  <c r="L2768" i="12" s="1"/>
  <c r="K2769" i="12"/>
  <c r="L2769" i="12" s="1"/>
  <c r="K2770" i="12"/>
  <c r="L2770" i="12" s="1"/>
  <c r="K2771" i="12"/>
  <c r="L2771" i="12" s="1"/>
  <c r="K2772" i="12"/>
  <c r="L2772" i="12" s="1"/>
  <c r="K2773" i="12"/>
  <c r="L2773" i="12" s="1"/>
  <c r="K2774" i="12"/>
  <c r="L2774" i="12" s="1"/>
  <c r="K2775" i="12"/>
  <c r="L2775" i="12" s="1"/>
  <c r="K2776" i="12"/>
  <c r="L2776" i="12" s="1"/>
  <c r="K2777" i="12"/>
  <c r="L2777" i="12" s="1"/>
  <c r="K2778" i="12"/>
  <c r="L2778" i="12" s="1"/>
  <c r="K2779" i="12"/>
  <c r="L2779" i="12" s="1"/>
  <c r="K2780" i="12"/>
  <c r="L2780" i="12" s="1"/>
  <c r="K2781" i="12"/>
  <c r="L2781" i="12" s="1"/>
  <c r="K2782" i="12"/>
  <c r="L2782" i="12" s="1"/>
  <c r="K2783" i="12"/>
  <c r="L2783" i="12" s="1"/>
  <c r="K2784" i="12"/>
  <c r="L2784" i="12" s="1"/>
  <c r="K2785" i="12"/>
  <c r="L2785" i="12" s="1"/>
  <c r="K2786" i="12"/>
  <c r="L2786" i="12" s="1"/>
  <c r="K2787" i="12"/>
  <c r="L2787" i="12" s="1"/>
  <c r="K2788" i="12"/>
  <c r="L2788" i="12" s="1"/>
  <c r="K2789" i="12"/>
  <c r="L2789" i="12" s="1"/>
  <c r="K2790" i="12"/>
  <c r="L2790" i="12" s="1"/>
  <c r="K2791" i="12"/>
  <c r="L2791" i="12" s="1"/>
  <c r="K2792" i="12"/>
  <c r="L2792" i="12" s="1"/>
  <c r="K2793" i="12"/>
  <c r="L2793" i="12" s="1"/>
  <c r="K2794" i="12"/>
  <c r="L2794" i="12" s="1"/>
  <c r="K2795" i="12"/>
  <c r="L2795" i="12" s="1"/>
  <c r="K2796" i="12"/>
  <c r="L2796" i="12" s="1"/>
  <c r="K2797" i="12"/>
  <c r="L2797" i="12" s="1"/>
  <c r="K2798" i="12"/>
  <c r="L2798" i="12" s="1"/>
  <c r="K2799" i="12"/>
  <c r="L2799" i="12" s="1"/>
  <c r="K2800" i="12"/>
  <c r="L2800" i="12" s="1"/>
  <c r="K2801" i="12"/>
  <c r="L2801" i="12" s="1"/>
  <c r="K2802" i="12"/>
  <c r="L2802" i="12" s="1"/>
  <c r="K2803" i="12"/>
  <c r="L2803" i="12" s="1"/>
  <c r="K2804" i="12"/>
  <c r="L2804" i="12" s="1"/>
  <c r="K2805" i="12"/>
  <c r="L2805" i="12" s="1"/>
  <c r="K2806" i="12"/>
  <c r="L2806" i="12" s="1"/>
  <c r="K2807" i="12"/>
  <c r="L2807" i="12" s="1"/>
  <c r="K2808" i="12"/>
  <c r="L2808" i="12" s="1"/>
  <c r="K2809" i="12"/>
  <c r="L2809" i="12" s="1"/>
  <c r="K2810" i="12"/>
  <c r="L2810" i="12" s="1"/>
  <c r="K2811" i="12"/>
  <c r="L2811" i="12" s="1"/>
  <c r="K2812" i="12"/>
  <c r="L2812" i="12" s="1"/>
  <c r="K2813" i="12"/>
  <c r="L2813" i="12" s="1"/>
  <c r="K2814" i="12"/>
  <c r="L2814" i="12" s="1"/>
  <c r="K2815" i="12"/>
  <c r="L2815" i="12" s="1"/>
  <c r="K2816" i="12"/>
  <c r="L2816" i="12" s="1"/>
  <c r="K2817" i="12"/>
  <c r="L2817" i="12" s="1"/>
  <c r="K2818" i="12"/>
  <c r="L2818" i="12" s="1"/>
  <c r="J2391" i="12"/>
  <c r="J2393" i="12"/>
  <c r="J2394" i="12"/>
  <c r="J2395" i="12"/>
  <c r="J2385" i="12"/>
  <c r="J2396" i="12"/>
  <c r="J2397" i="12"/>
  <c r="J2398" i="12"/>
  <c r="J2399" i="12"/>
  <c r="J2400" i="12"/>
  <c r="J2401" i="12"/>
  <c r="J2384" i="12"/>
  <c r="J2402" i="12"/>
  <c r="J2403" i="12"/>
  <c r="J2383" i="12"/>
  <c r="J2404" i="12"/>
  <c r="J2405" i="12"/>
  <c r="J2382" i="12"/>
  <c r="J2406" i="12"/>
  <c r="J2408" i="12"/>
  <c r="J2409" i="12"/>
  <c r="J2410" i="12"/>
  <c r="J2411" i="12"/>
  <c r="J2380" i="12"/>
  <c r="J2381" i="12"/>
  <c r="J2412" i="12"/>
  <c r="J2413" i="12"/>
  <c r="J2414" i="12"/>
  <c r="J2386" i="12"/>
  <c r="J2415" i="12"/>
  <c r="J2416" i="12"/>
  <c r="J2417" i="12"/>
  <c r="J2418" i="12"/>
  <c r="J2419" i="12"/>
  <c r="J2420" i="12"/>
  <c r="J2421" i="12"/>
  <c r="J2422" i="12"/>
  <c r="J2423" i="12"/>
  <c r="J2424" i="12"/>
  <c r="J2425" i="12"/>
  <c r="J2426" i="12"/>
  <c r="J2427" i="12"/>
  <c r="J2428" i="12"/>
  <c r="J2429" i="12"/>
  <c r="J2430" i="12"/>
  <c r="J2431" i="12"/>
  <c r="J2432" i="12"/>
  <c r="J2433" i="12"/>
  <c r="J2436" i="12"/>
  <c r="J2437" i="12"/>
  <c r="J2438" i="12"/>
  <c r="J2439" i="12"/>
  <c r="J2440" i="12"/>
  <c r="J2441" i="12"/>
  <c r="J2442" i="12"/>
  <c r="J2443" i="12"/>
  <c r="J2444" i="12"/>
  <c r="J2445" i="12"/>
  <c r="J2446" i="12"/>
  <c r="J2447" i="12"/>
  <c r="J2448" i="12"/>
  <c r="J2449" i="12"/>
  <c r="J2450" i="12"/>
  <c r="J2451" i="12"/>
  <c r="J2452" i="12"/>
  <c r="J2453" i="12"/>
  <c r="J2454" i="12"/>
  <c r="J2455" i="12"/>
  <c r="J2456" i="12"/>
  <c r="J2457" i="12"/>
  <c r="J2458" i="12"/>
  <c r="J2459" i="12"/>
  <c r="J2461" i="12"/>
  <c r="J2462" i="12"/>
  <c r="J2463" i="12"/>
  <c r="J2464" i="12"/>
  <c r="J2465" i="12"/>
  <c r="J2466" i="12"/>
  <c r="J2467" i="12"/>
  <c r="J2468" i="12"/>
  <c r="J2469" i="12"/>
  <c r="J2470" i="12"/>
  <c r="J2471" i="12"/>
  <c r="J2472" i="12"/>
  <c r="J2473" i="12"/>
  <c r="J2474" i="12"/>
  <c r="J3227" i="12"/>
  <c r="J2475" i="12"/>
  <c r="J2476" i="12"/>
  <c r="J2477" i="12"/>
  <c r="J2480" i="12"/>
  <c r="J2481" i="12"/>
  <c r="J2482" i="12"/>
  <c r="J2483" i="12"/>
  <c r="J2484" i="12"/>
  <c r="J2485" i="12"/>
  <c r="J2486" i="12"/>
  <c r="J2487" i="12"/>
  <c r="J2488" i="12"/>
  <c r="J2489" i="12"/>
  <c r="J2490" i="12"/>
  <c r="J2491" i="12"/>
  <c r="J2492" i="12"/>
  <c r="J2493" i="12"/>
  <c r="J2494" i="12"/>
  <c r="J2495" i="12"/>
  <c r="J2496" i="12"/>
  <c r="J2497" i="12"/>
  <c r="J2498" i="12"/>
  <c r="J2499" i="12"/>
  <c r="J2500" i="12"/>
  <c r="J2501" i="12"/>
  <c r="J2502" i="12"/>
  <c r="J2503" i="12"/>
  <c r="J2504" i="12"/>
  <c r="J2505" i="12"/>
  <c r="J2506" i="12"/>
  <c r="J2507" i="12"/>
  <c r="J2508" i="12"/>
  <c r="J2509" i="12"/>
  <c r="J2510" i="12"/>
  <c r="J2511" i="12"/>
  <c r="J2512" i="12"/>
  <c r="J2513" i="12"/>
  <c r="J2514" i="12"/>
  <c r="J2515" i="12"/>
  <c r="J2516" i="12"/>
  <c r="J2517" i="12"/>
  <c r="J2518" i="12"/>
  <c r="J2520" i="12"/>
  <c r="J2521" i="12"/>
  <c r="J2522" i="12"/>
  <c r="J2523" i="12"/>
  <c r="J2524" i="12"/>
  <c r="J2525" i="12"/>
  <c r="J2526" i="12"/>
  <c r="J2527" i="12"/>
  <c r="J2528" i="12"/>
  <c r="J2529" i="12"/>
  <c r="J2530" i="12"/>
  <c r="J2531" i="12"/>
  <c r="J2532" i="12"/>
  <c r="J2533" i="12"/>
  <c r="J2534" i="12"/>
  <c r="J2535" i="12"/>
  <c r="J2536" i="12"/>
  <c r="J2537" i="12"/>
  <c r="J2538" i="12"/>
  <c r="J2539" i="12"/>
  <c r="J2540" i="12"/>
  <c r="J2541" i="12"/>
  <c r="J2542" i="12"/>
  <c r="J2543" i="12"/>
  <c r="J2544" i="12"/>
  <c r="J2545" i="12"/>
  <c r="J2546" i="12"/>
  <c r="J2547" i="12"/>
  <c r="J2548" i="12"/>
  <c r="J2549" i="12"/>
  <c r="J2550" i="12"/>
  <c r="J2551" i="12"/>
  <c r="J2552" i="12"/>
  <c r="J2553" i="12"/>
  <c r="J2554" i="12"/>
  <c r="J2555" i="12"/>
  <c r="J2556" i="12"/>
  <c r="J2557" i="12"/>
  <c r="J2558" i="12"/>
  <c r="J2559" i="12"/>
  <c r="J2560" i="12"/>
  <c r="J2561" i="12"/>
  <c r="J2562" i="12"/>
  <c r="J2563" i="12"/>
  <c r="J2564" i="12"/>
  <c r="J2565" i="12"/>
  <c r="J2566" i="12"/>
  <c r="J2567" i="12"/>
  <c r="J2568" i="12"/>
  <c r="J2569" i="12"/>
  <c r="J2570" i="12"/>
  <c r="J2571" i="12"/>
  <c r="J2572" i="12"/>
  <c r="J2573" i="12"/>
  <c r="J2574" i="12"/>
  <c r="J2575" i="12"/>
  <c r="J2576" i="12"/>
  <c r="J2577" i="12"/>
  <c r="J2578" i="12"/>
  <c r="J2579" i="12"/>
  <c r="J2580" i="12"/>
  <c r="J2581" i="12"/>
  <c r="J2582" i="12"/>
  <c r="J2583" i="12"/>
  <c r="J2584" i="12"/>
  <c r="J2585" i="12"/>
  <c r="J2586" i="12"/>
  <c r="J2587" i="12"/>
  <c r="J2588" i="12"/>
  <c r="J2589" i="12"/>
  <c r="J2590" i="12"/>
  <c r="J2591" i="12"/>
  <c r="J2592" i="12"/>
  <c r="J2593" i="12"/>
  <c r="J2594" i="12"/>
  <c r="J2595" i="12"/>
  <c r="J2596" i="12"/>
  <c r="J2597" i="12"/>
  <c r="J2598" i="12"/>
  <c r="J2599" i="12"/>
  <c r="J2600" i="12"/>
  <c r="J2601" i="12"/>
  <c r="J2602" i="12"/>
  <c r="J2603" i="12"/>
  <c r="J2604" i="12"/>
  <c r="J2605" i="12"/>
  <c r="J2606" i="12"/>
  <c r="J2607" i="12"/>
  <c r="J2608" i="12"/>
  <c r="J2609" i="12"/>
  <c r="J2610" i="12"/>
  <c r="J2611" i="12"/>
  <c r="J2612" i="12"/>
  <c r="J2613" i="12"/>
  <c r="J2614" i="12"/>
  <c r="J2615" i="12"/>
  <c r="J2616" i="12"/>
  <c r="J2617" i="12"/>
  <c r="J2618" i="12"/>
  <c r="J2619" i="12"/>
  <c r="J2620" i="12"/>
  <c r="J2621" i="12"/>
  <c r="J2622" i="12"/>
  <c r="J2623" i="12"/>
  <c r="J2624" i="12"/>
  <c r="J2625" i="12"/>
  <c r="J2626" i="12"/>
  <c r="J2627" i="12"/>
  <c r="J2628" i="12"/>
  <c r="J2629" i="12"/>
  <c r="J2630" i="12"/>
  <c r="J2631" i="12"/>
  <c r="J2632" i="12"/>
  <c r="J2633" i="12"/>
  <c r="J2634" i="12"/>
  <c r="J2635" i="12"/>
  <c r="J2636" i="12"/>
  <c r="J2637" i="12"/>
  <c r="J2638" i="12"/>
  <c r="J2639" i="12"/>
  <c r="J2640" i="12"/>
  <c r="J2641" i="12"/>
  <c r="J2642" i="12"/>
  <c r="J2643" i="12"/>
  <c r="J2644" i="12"/>
  <c r="J2645" i="12"/>
  <c r="J2646" i="12"/>
  <c r="J2647" i="12"/>
  <c r="J2648" i="12"/>
  <c r="J2649" i="12"/>
  <c r="J2650" i="12"/>
  <c r="J2651" i="12"/>
  <c r="J2652" i="12"/>
  <c r="J2653" i="12"/>
  <c r="J2654" i="12"/>
  <c r="J2655" i="12"/>
  <c r="J2656" i="12"/>
  <c r="J2657" i="12"/>
  <c r="J2658" i="12"/>
  <c r="J2659" i="12"/>
  <c r="J2660" i="12"/>
  <c r="J2662" i="12"/>
  <c r="J2663" i="12"/>
  <c r="J2665" i="12"/>
  <c r="J2666" i="12"/>
  <c r="J2667" i="12"/>
  <c r="J2668" i="12"/>
  <c r="J2669" i="12"/>
  <c r="J2670" i="12"/>
  <c r="J2673" i="12"/>
  <c r="J2674" i="12"/>
  <c r="J2675" i="12"/>
  <c r="J2676" i="12"/>
  <c r="J2677" i="12"/>
  <c r="J2678" i="12"/>
  <c r="J2679" i="12"/>
  <c r="J2680" i="12"/>
  <c r="J2681" i="12"/>
  <c r="J2682" i="12"/>
  <c r="J2683" i="12"/>
  <c r="J2684" i="12"/>
  <c r="J2685" i="12"/>
  <c r="J2686" i="12"/>
  <c r="J2687" i="12"/>
  <c r="J2688" i="12"/>
  <c r="J2689" i="12"/>
  <c r="J2690" i="12"/>
  <c r="J2691" i="12"/>
  <c r="J2692" i="12"/>
  <c r="J2693" i="12"/>
  <c r="J2694" i="12"/>
  <c r="J2695" i="12"/>
  <c r="J2696" i="12"/>
  <c r="J2697" i="12"/>
  <c r="J2698" i="12"/>
  <c r="J2699" i="12"/>
  <c r="J2700" i="12"/>
  <c r="J2701" i="12"/>
  <c r="J2702" i="12"/>
  <c r="J2703" i="12"/>
  <c r="J2704" i="12"/>
  <c r="J2705" i="12"/>
  <c r="J2706" i="12"/>
  <c r="J2707" i="12"/>
  <c r="J2708" i="12"/>
  <c r="J2709" i="12"/>
  <c r="J2710" i="12"/>
  <c r="J2711" i="12"/>
  <c r="J2712" i="12"/>
  <c r="J2713" i="12"/>
  <c r="J2714" i="12"/>
  <c r="J2715" i="12"/>
  <c r="J2716" i="12"/>
  <c r="J2717" i="12"/>
  <c r="J2718" i="12"/>
  <c r="J2719" i="12"/>
  <c r="J2720" i="12"/>
  <c r="J2721" i="12"/>
  <c r="J2722" i="12"/>
  <c r="J2723" i="12"/>
  <c r="J2724" i="12"/>
  <c r="J2725" i="12"/>
  <c r="J2726" i="12"/>
  <c r="J2727" i="12"/>
  <c r="J2728" i="12"/>
  <c r="J2729" i="12"/>
  <c r="J2730" i="12"/>
  <c r="J2731" i="12"/>
  <c r="J2732" i="12"/>
  <c r="J2733" i="12"/>
  <c r="J2734" i="12"/>
  <c r="J2735" i="12"/>
  <c r="J2736" i="12"/>
  <c r="J2737" i="12"/>
  <c r="J2738" i="12"/>
  <c r="J2739" i="12"/>
  <c r="J2740" i="12"/>
  <c r="J2741" i="12"/>
  <c r="J2742" i="12"/>
  <c r="J2743" i="12"/>
  <c r="J2744" i="12"/>
  <c r="J2745" i="12"/>
  <c r="J2746" i="12"/>
  <c r="J2747" i="12"/>
  <c r="J2748" i="12"/>
  <c r="J2749" i="12"/>
  <c r="J2750" i="12"/>
  <c r="J2751" i="12"/>
  <c r="J2752" i="12"/>
  <c r="J2753" i="12"/>
  <c r="J2754" i="12"/>
  <c r="J2755" i="12"/>
  <c r="J2757" i="12"/>
  <c r="J2758" i="12"/>
  <c r="J2759" i="12"/>
  <c r="J2760" i="12"/>
  <c r="J2761" i="12"/>
  <c r="J2762" i="12"/>
  <c r="J2763" i="12"/>
  <c r="J2764" i="12"/>
  <c r="J2765" i="12"/>
  <c r="J2766" i="12"/>
  <c r="J2767" i="12"/>
  <c r="J2768" i="12"/>
  <c r="J2769" i="12"/>
  <c r="J2770" i="12"/>
  <c r="J2771" i="12"/>
  <c r="J2772" i="12"/>
  <c r="J2773" i="12"/>
  <c r="J2774" i="12"/>
  <c r="J2775" i="12"/>
  <c r="J2776" i="12"/>
  <c r="J2777" i="12"/>
  <c r="J2778" i="12"/>
  <c r="J2779" i="12"/>
  <c r="J2780" i="12"/>
  <c r="J2781" i="12"/>
  <c r="J2782" i="12"/>
  <c r="J2783" i="12"/>
  <c r="J2784" i="12"/>
  <c r="J2785" i="12"/>
  <c r="J2786" i="12"/>
  <c r="J2787" i="12"/>
  <c r="J2788" i="12"/>
  <c r="J2789" i="12"/>
  <c r="J2790" i="12"/>
  <c r="J2791" i="12"/>
  <c r="J2792" i="12"/>
  <c r="J2793" i="12"/>
  <c r="J2794" i="12"/>
  <c r="J2795" i="12"/>
  <c r="J2796" i="12"/>
  <c r="J2797" i="12"/>
  <c r="J2798" i="12"/>
  <c r="J2799" i="12"/>
  <c r="J2800" i="12"/>
  <c r="J2801" i="12"/>
  <c r="J2802" i="12"/>
  <c r="J2803" i="12"/>
  <c r="J2804" i="12"/>
  <c r="J2805" i="12"/>
  <c r="J2806" i="12"/>
  <c r="J2807" i="12"/>
  <c r="J2808" i="12"/>
  <c r="J2809" i="12"/>
  <c r="J2810" i="12"/>
  <c r="J2811" i="12"/>
  <c r="J2812" i="12"/>
  <c r="J2813" i="12"/>
  <c r="J2814" i="12"/>
  <c r="J2815" i="12"/>
  <c r="J2816" i="12"/>
  <c r="J2817" i="12"/>
  <c r="J2818" i="12"/>
  <c r="I2393" i="12"/>
  <c r="I2394" i="12"/>
  <c r="I2395" i="12"/>
  <c r="I2385" i="12"/>
  <c r="I2396" i="12"/>
  <c r="I2397" i="12"/>
  <c r="I2398" i="12"/>
  <c r="I2399" i="12"/>
  <c r="I2400" i="12"/>
  <c r="I2401" i="12"/>
  <c r="I2384" i="12"/>
  <c r="I2402" i="12"/>
  <c r="I2403" i="12"/>
  <c r="I2383" i="12"/>
  <c r="I2404" i="12"/>
  <c r="I2405" i="12"/>
  <c r="I2382" i="12"/>
  <c r="I2406" i="12"/>
  <c r="I2408" i="12"/>
  <c r="I2409" i="12"/>
  <c r="I2410" i="12"/>
  <c r="I2411" i="12"/>
  <c r="I2380" i="12"/>
  <c r="I2381" i="12"/>
  <c r="I2412" i="12"/>
  <c r="I2413" i="12"/>
  <c r="I2414" i="12"/>
  <c r="I2386" i="12"/>
  <c r="I2415" i="12"/>
  <c r="I2416" i="12"/>
  <c r="I2417" i="12"/>
  <c r="I2418" i="12"/>
  <c r="I2419" i="12"/>
  <c r="I2420" i="12"/>
  <c r="I2421" i="12"/>
  <c r="I2422" i="12"/>
  <c r="I2423" i="12"/>
  <c r="I2424" i="12"/>
  <c r="I2425" i="12"/>
  <c r="I2426" i="12"/>
  <c r="I2427" i="12"/>
  <c r="I2428" i="12"/>
  <c r="I2429" i="12"/>
  <c r="I2430" i="12"/>
  <c r="I2431" i="12"/>
  <c r="I2432" i="12"/>
  <c r="I2433" i="12"/>
  <c r="I2436" i="12"/>
  <c r="I2437" i="12"/>
  <c r="I2438" i="12"/>
  <c r="I2439" i="12"/>
  <c r="I2440" i="12"/>
  <c r="I2441" i="12"/>
  <c r="I2442" i="12"/>
  <c r="I2443" i="12"/>
  <c r="I2444" i="12"/>
  <c r="I2445" i="12"/>
  <c r="I2446" i="12"/>
  <c r="I2447" i="12"/>
  <c r="I2448" i="12"/>
  <c r="I2449" i="12"/>
  <c r="I2450" i="12"/>
  <c r="I2451" i="12"/>
  <c r="I2452" i="12"/>
  <c r="I2453" i="12"/>
  <c r="I2454" i="12"/>
  <c r="I2455" i="12"/>
  <c r="I2456" i="12"/>
  <c r="I2457" i="12"/>
  <c r="I2458" i="12"/>
  <c r="I2459" i="12"/>
  <c r="I2461" i="12"/>
  <c r="I2462" i="12"/>
  <c r="I2463" i="12"/>
  <c r="I2464" i="12"/>
  <c r="I2465" i="12"/>
  <c r="I2466" i="12"/>
  <c r="I2467" i="12"/>
  <c r="I2468" i="12"/>
  <c r="I2469" i="12"/>
  <c r="I2470" i="12"/>
  <c r="I2471" i="12"/>
  <c r="I2472" i="12"/>
  <c r="I2473" i="12"/>
  <c r="I2474" i="12"/>
  <c r="I3227" i="12"/>
  <c r="I2475" i="12"/>
  <c r="I2476" i="12"/>
  <c r="I2477" i="12"/>
  <c r="I2480" i="12"/>
  <c r="I2481" i="12"/>
  <c r="I2482" i="12"/>
  <c r="I2483" i="12"/>
  <c r="I2484" i="12"/>
  <c r="I2485" i="12"/>
  <c r="I2486" i="12"/>
  <c r="I2487" i="12"/>
  <c r="I2488" i="12"/>
  <c r="I2489" i="12"/>
  <c r="I2490" i="12"/>
  <c r="I2491" i="12"/>
  <c r="I2492" i="12"/>
  <c r="I2493" i="12"/>
  <c r="I2494" i="12"/>
  <c r="I2495" i="12"/>
  <c r="I2496" i="12"/>
  <c r="I2497" i="12"/>
  <c r="I2498" i="12"/>
  <c r="I2499" i="12"/>
  <c r="I2500" i="12"/>
  <c r="I2501" i="12"/>
  <c r="I2502" i="12"/>
  <c r="I2503" i="12"/>
  <c r="I2504" i="12"/>
  <c r="I2505" i="12"/>
  <c r="I2506" i="12"/>
  <c r="I2507" i="12"/>
  <c r="I2508" i="12"/>
  <c r="I2509" i="12"/>
  <c r="I2510" i="12"/>
  <c r="I2511" i="12"/>
  <c r="I2512" i="12"/>
  <c r="I2513" i="12"/>
  <c r="I2514" i="12"/>
  <c r="I2515" i="12"/>
  <c r="I2516" i="12"/>
  <c r="I2517" i="12"/>
  <c r="I2518" i="12"/>
  <c r="I2520" i="12"/>
  <c r="I2521" i="12"/>
  <c r="I2522" i="12"/>
  <c r="I2523" i="12"/>
  <c r="I2524" i="12"/>
  <c r="I2525" i="12"/>
  <c r="I2526" i="12"/>
  <c r="I2527" i="12"/>
  <c r="I2528" i="12"/>
  <c r="I2529" i="12"/>
  <c r="I2530" i="12"/>
  <c r="I2531" i="12"/>
  <c r="I2532" i="12"/>
  <c r="I2533" i="12"/>
  <c r="I2534" i="12"/>
  <c r="I2535" i="12"/>
  <c r="I2536" i="12"/>
  <c r="I2537" i="12"/>
  <c r="I2538" i="12"/>
  <c r="I2539" i="12"/>
  <c r="I2540" i="12"/>
  <c r="I2541" i="12"/>
  <c r="I2542" i="12"/>
  <c r="I2543" i="12"/>
  <c r="I2544" i="12"/>
  <c r="I2545" i="12"/>
  <c r="I2546" i="12"/>
  <c r="I2547" i="12"/>
  <c r="I2548" i="12"/>
  <c r="I2549" i="12"/>
  <c r="I2550" i="12"/>
  <c r="I2551" i="12"/>
  <c r="I2552" i="12"/>
  <c r="I2553" i="12"/>
  <c r="I2554" i="12"/>
  <c r="I2555" i="12"/>
  <c r="I2556" i="12"/>
  <c r="I2557" i="12"/>
  <c r="I2558" i="12"/>
  <c r="I2559" i="12"/>
  <c r="I2560" i="12"/>
  <c r="I2561" i="12"/>
  <c r="I2562" i="12"/>
  <c r="I2563" i="12"/>
  <c r="I2564" i="12"/>
  <c r="I2565" i="12"/>
  <c r="I2566" i="12"/>
  <c r="I2567" i="12"/>
  <c r="I2568" i="12"/>
  <c r="I2569" i="12"/>
  <c r="I2570" i="12"/>
  <c r="I2571" i="12"/>
  <c r="I2572" i="12"/>
  <c r="I2573" i="12"/>
  <c r="I2574" i="12"/>
  <c r="I2575" i="12"/>
  <c r="I2576" i="12"/>
  <c r="I2577" i="12"/>
  <c r="I2578" i="12"/>
  <c r="I2579" i="12"/>
  <c r="I2580" i="12"/>
  <c r="I2581" i="12"/>
  <c r="I2582" i="12"/>
  <c r="I2583" i="12"/>
  <c r="I2584" i="12"/>
  <c r="I2585" i="12"/>
  <c r="I2586" i="12"/>
  <c r="I2587" i="12"/>
  <c r="I2588" i="12"/>
  <c r="I2589" i="12"/>
  <c r="I2590" i="12"/>
  <c r="I2591" i="12"/>
  <c r="I2592" i="12"/>
  <c r="I2593" i="12"/>
  <c r="I2594" i="12"/>
  <c r="I2595" i="12"/>
  <c r="I2596" i="12"/>
  <c r="I2597" i="12"/>
  <c r="I2598" i="12"/>
  <c r="I2599" i="12"/>
  <c r="I2600" i="12"/>
  <c r="I2601" i="12"/>
  <c r="I2602" i="12"/>
  <c r="I2603" i="12"/>
  <c r="I2604" i="12"/>
  <c r="I2605" i="12"/>
  <c r="I2606" i="12"/>
  <c r="I2607" i="12"/>
  <c r="I2608" i="12"/>
  <c r="I2609" i="12"/>
  <c r="I2610" i="12"/>
  <c r="I2611" i="12"/>
  <c r="I2612" i="12"/>
  <c r="I2613" i="12"/>
  <c r="I2614" i="12"/>
  <c r="I2615" i="12"/>
  <c r="I2616" i="12"/>
  <c r="I2617" i="12"/>
  <c r="I2618" i="12"/>
  <c r="I2619" i="12"/>
  <c r="I2620" i="12"/>
  <c r="I2621" i="12"/>
  <c r="I2622" i="12"/>
  <c r="I2623" i="12"/>
  <c r="I2624" i="12"/>
  <c r="I2625" i="12"/>
  <c r="I2626" i="12"/>
  <c r="I2627" i="12"/>
  <c r="I2628" i="12"/>
  <c r="I2629" i="12"/>
  <c r="I2630" i="12"/>
  <c r="I2631" i="12"/>
  <c r="I2632" i="12"/>
  <c r="I2633" i="12"/>
  <c r="I2634" i="12"/>
  <c r="I2635" i="12"/>
  <c r="I2636" i="12"/>
  <c r="I2637" i="12"/>
  <c r="I2638" i="12"/>
  <c r="I2639" i="12"/>
  <c r="I2640" i="12"/>
  <c r="I2641" i="12"/>
  <c r="I2642" i="12"/>
  <c r="I2643" i="12"/>
  <c r="I2644" i="12"/>
  <c r="I2645" i="12"/>
  <c r="I2646" i="12"/>
  <c r="I2647" i="12"/>
  <c r="I2648" i="12"/>
  <c r="I2649" i="12"/>
  <c r="I2650" i="12"/>
  <c r="I2651" i="12"/>
  <c r="I2652" i="12"/>
  <c r="I2653" i="12"/>
  <c r="I2654" i="12"/>
  <c r="I2655" i="12"/>
  <c r="I2656" i="12"/>
  <c r="I2657" i="12"/>
  <c r="I2658" i="12"/>
  <c r="I2659" i="12"/>
  <c r="I2660" i="12"/>
  <c r="I2662" i="12"/>
  <c r="I2663" i="12"/>
  <c r="I2665" i="12"/>
  <c r="I2666" i="12"/>
  <c r="I2667" i="12"/>
  <c r="I2668" i="12"/>
  <c r="I2669" i="12"/>
  <c r="I2670" i="12"/>
  <c r="I2673" i="12"/>
  <c r="I2674" i="12"/>
  <c r="I2675" i="12"/>
  <c r="I2676" i="12"/>
  <c r="I2677" i="12"/>
  <c r="I2678" i="12"/>
  <c r="I2679" i="12"/>
  <c r="I2680" i="12"/>
  <c r="I2681" i="12"/>
  <c r="I2682" i="12"/>
  <c r="I2683" i="12"/>
  <c r="I2684" i="12"/>
  <c r="I2685" i="12"/>
  <c r="I2686" i="12"/>
  <c r="I2687" i="12"/>
  <c r="I2688" i="12"/>
  <c r="I2689" i="12"/>
  <c r="I2690" i="12"/>
  <c r="I2691" i="12"/>
  <c r="I2692" i="12"/>
  <c r="I2693" i="12"/>
  <c r="I2694" i="12"/>
  <c r="I2695" i="12"/>
  <c r="I2696" i="12"/>
  <c r="I2697" i="12"/>
  <c r="I2698" i="12"/>
  <c r="I2699" i="12"/>
  <c r="I2700" i="12"/>
  <c r="I2701" i="12"/>
  <c r="I2702" i="12"/>
  <c r="I2703" i="12"/>
  <c r="I2704" i="12"/>
  <c r="I2705" i="12"/>
  <c r="I2706" i="12"/>
  <c r="I2707" i="12"/>
  <c r="I2708" i="12"/>
  <c r="I2709" i="12"/>
  <c r="I2710" i="12"/>
  <c r="I2711" i="12"/>
  <c r="I2712" i="12"/>
  <c r="I2713" i="12"/>
  <c r="I2714" i="12"/>
  <c r="I2715" i="12"/>
  <c r="I2716" i="12"/>
  <c r="I2717" i="12"/>
  <c r="I2718" i="12"/>
  <c r="I2719" i="12"/>
  <c r="I2720" i="12"/>
  <c r="I2721" i="12"/>
  <c r="I2722" i="12"/>
  <c r="I2723" i="12"/>
  <c r="I2724" i="12"/>
  <c r="I2725" i="12"/>
  <c r="I2726" i="12"/>
  <c r="I2727" i="12"/>
  <c r="I2728" i="12"/>
  <c r="I2729" i="12"/>
  <c r="I2730" i="12"/>
  <c r="I2731" i="12"/>
  <c r="I2732" i="12"/>
  <c r="I2733" i="12"/>
  <c r="I2734" i="12"/>
  <c r="I2735" i="12"/>
  <c r="I2736" i="12"/>
  <c r="I2737" i="12"/>
  <c r="I2738" i="12"/>
  <c r="I2739" i="12"/>
  <c r="I2740" i="12"/>
  <c r="I2741" i="12"/>
  <c r="I2742" i="12"/>
  <c r="I2743" i="12"/>
  <c r="I2744" i="12"/>
  <c r="I2745" i="12"/>
  <c r="I2746" i="12"/>
  <c r="I2747" i="12"/>
  <c r="I2748" i="12"/>
  <c r="I2749" i="12"/>
  <c r="I2750" i="12"/>
  <c r="I2751" i="12"/>
  <c r="I2752" i="12"/>
  <c r="I2753" i="12"/>
  <c r="I2754" i="12"/>
  <c r="I2755" i="12"/>
  <c r="I2757" i="12"/>
  <c r="I2758" i="12"/>
  <c r="I2759" i="12"/>
  <c r="I2760" i="12"/>
  <c r="I2761" i="12"/>
  <c r="I2762" i="12"/>
  <c r="I2763" i="12"/>
  <c r="I2764" i="12"/>
  <c r="I2765" i="12"/>
  <c r="I2766" i="12"/>
  <c r="I2767" i="12"/>
  <c r="I2768" i="12"/>
  <c r="I2769" i="12"/>
  <c r="I2770" i="12"/>
  <c r="I2771" i="12"/>
  <c r="I2772" i="12"/>
  <c r="I2773" i="12"/>
  <c r="I2774" i="12"/>
  <c r="I2775" i="12"/>
  <c r="I2776" i="12"/>
  <c r="I2777" i="12"/>
  <c r="I2778" i="12"/>
  <c r="I2779" i="12"/>
  <c r="I2780" i="12"/>
  <c r="I2781" i="12"/>
  <c r="I2782" i="12"/>
  <c r="I2783" i="12"/>
  <c r="I2784" i="12"/>
  <c r="I2785" i="12"/>
  <c r="I2786" i="12"/>
  <c r="I2787" i="12"/>
  <c r="I2788" i="12"/>
  <c r="I2789" i="12"/>
  <c r="I2790" i="12"/>
  <c r="I2791" i="12"/>
  <c r="I2792" i="12"/>
  <c r="I2793" i="12"/>
  <c r="I2794" i="12"/>
  <c r="I2795" i="12"/>
  <c r="I2796" i="12"/>
  <c r="I2797" i="12"/>
  <c r="I2798" i="12"/>
  <c r="I2799" i="12"/>
  <c r="I2800" i="12"/>
  <c r="I2801" i="12"/>
  <c r="I2802" i="12"/>
  <c r="I2803" i="12"/>
  <c r="I2804" i="12"/>
  <c r="I2805" i="12"/>
  <c r="I2806" i="12"/>
  <c r="I2807" i="12"/>
  <c r="I2808" i="12"/>
  <c r="I2809" i="12"/>
  <c r="I2810" i="12"/>
  <c r="I2811" i="12"/>
  <c r="I2812" i="12"/>
  <c r="I2813" i="12"/>
  <c r="I2814" i="12"/>
  <c r="I2815" i="12"/>
  <c r="I2816" i="12"/>
  <c r="I2817" i="12"/>
  <c r="I2818" i="12"/>
  <c r="I2391" i="12"/>
  <c r="H37" i="14"/>
  <c r="T37" i="14" s="1"/>
  <c r="H38" i="14"/>
  <c r="T38" i="14" s="1"/>
  <c r="I41" i="17"/>
  <c r="F41" i="17"/>
  <c r="I5" i="17"/>
  <c r="F5" i="17"/>
  <c r="L3227" i="12" l="1"/>
  <c r="L2391" i="12"/>
  <c r="R10" i="14"/>
  <c r="R12" i="14"/>
  <c r="R14" i="14"/>
  <c r="R16" i="14"/>
  <c r="R28" i="14"/>
  <c r="R31" i="14"/>
  <c r="R32" i="14"/>
  <c r="R33" i="14"/>
  <c r="R38" i="14"/>
  <c r="R39" i="14"/>
  <c r="H27" i="14"/>
  <c r="J13" i="14"/>
  <c r="J37" i="14"/>
  <c r="R37" i="14" s="1"/>
  <c r="K2135" i="12"/>
  <c r="K2379" i="12"/>
  <c r="L2379" i="12" s="1"/>
  <c r="J2379" i="12"/>
  <c r="I2379" i="12"/>
  <c r="K2082" i="12"/>
  <c r="L2082" i="12" s="1"/>
  <c r="J2082" i="12"/>
  <c r="I2082" i="12"/>
  <c r="K2081" i="12"/>
  <c r="L2081" i="12" s="1"/>
  <c r="J2081" i="12"/>
  <c r="I2081" i="12"/>
  <c r="K2083" i="12"/>
  <c r="K2259" i="12"/>
  <c r="L2259" i="12" s="1"/>
  <c r="J2259" i="12"/>
  <c r="I2259" i="12"/>
  <c r="K2258" i="12"/>
  <c r="L2258" i="12" s="1"/>
  <c r="J2258" i="12"/>
  <c r="I2258" i="12"/>
  <c r="G47" i="1"/>
  <c r="G46" i="1"/>
  <c r="G45" i="1"/>
  <c r="K1971" i="12"/>
  <c r="L1971" i="12" s="1"/>
  <c r="J1971" i="12"/>
  <c r="I1971" i="12"/>
  <c r="I2269" i="12"/>
  <c r="I2270" i="12"/>
  <c r="K2270" i="12"/>
  <c r="L2270" i="12" s="1"/>
  <c r="J2270" i="12"/>
  <c r="K2269" i="12"/>
  <c r="L2269" i="12" s="1"/>
  <c r="J2269" i="12"/>
  <c r="G44" i="1" l="1"/>
  <c r="H7" i="1"/>
  <c r="J8" i="14" s="1"/>
  <c r="H40" i="1"/>
  <c r="H42" i="1"/>
  <c r="AR42" i="1" s="1"/>
  <c r="H9" i="13"/>
  <c r="H10" i="13"/>
  <c r="H11" i="13"/>
  <c r="H12" i="13"/>
  <c r="H13" i="13"/>
  <c r="F8" i="13"/>
  <c r="G8" i="13" s="1"/>
  <c r="F9" i="13"/>
  <c r="G9" i="13" s="1"/>
  <c r="F10" i="13"/>
  <c r="G10" i="13" s="1"/>
  <c r="F11" i="13"/>
  <c r="G11" i="13" s="1"/>
  <c r="F12" i="13"/>
  <c r="G12" i="13" s="1"/>
  <c r="F13" i="13"/>
  <c r="G13" i="13" s="1"/>
  <c r="H8" i="13"/>
  <c r="H19" i="14" l="1"/>
  <c r="K1947" i="12"/>
  <c r="L1947" i="12" s="1"/>
  <c r="J1947" i="12"/>
  <c r="I1947" i="12"/>
  <c r="C23" i="1"/>
  <c r="C25" i="1"/>
  <c r="C27" i="1"/>
  <c r="C43" i="1"/>
  <c r="C48" i="1"/>
  <c r="C60" i="1"/>
  <c r="C61" i="1"/>
  <c r="C64" i="1"/>
  <c r="C66" i="1"/>
  <c r="C70" i="1"/>
  <c r="AK50" i="1"/>
  <c r="AH50" i="1"/>
  <c r="AE50" i="1"/>
  <c r="AB50" i="1"/>
  <c r="Y50" i="1"/>
  <c r="V50" i="1"/>
  <c r="S50" i="1"/>
  <c r="P50" i="1"/>
  <c r="M50" i="1"/>
  <c r="J50" i="1"/>
  <c r="G50" i="1"/>
  <c r="AG6" i="14"/>
  <c r="D59" i="1"/>
  <c r="E95" i="2"/>
  <c r="F95" i="2"/>
  <c r="G95" i="2"/>
  <c r="H95" i="2"/>
  <c r="I95" i="2"/>
  <c r="J95" i="2"/>
  <c r="K95" i="2"/>
  <c r="L95" i="2"/>
  <c r="M95" i="2"/>
  <c r="N95" i="2"/>
  <c r="O95" i="2"/>
  <c r="P95" i="2"/>
  <c r="F13" i="2"/>
  <c r="G13" i="2"/>
  <c r="H13" i="2"/>
  <c r="I13" i="2"/>
  <c r="P11" i="1" s="1"/>
  <c r="J13" i="2"/>
  <c r="K13" i="2"/>
  <c r="L13" i="2"/>
  <c r="M13" i="2"/>
  <c r="N13" i="2"/>
  <c r="O13" i="2"/>
  <c r="P13" i="2"/>
  <c r="E13" i="2"/>
  <c r="E11" i="1"/>
  <c r="V11" i="1"/>
  <c r="S11" i="1"/>
  <c r="M11" i="1"/>
  <c r="J11" i="1"/>
  <c r="G11" i="1"/>
  <c r="D11" i="1"/>
  <c r="E110" i="2"/>
  <c r="E103" i="2"/>
  <c r="P103" i="2"/>
  <c r="O103" i="2"/>
  <c r="N103" i="2"/>
  <c r="M103" i="2"/>
  <c r="L103" i="2"/>
  <c r="K103" i="2"/>
  <c r="J103" i="2"/>
  <c r="I103" i="2"/>
  <c r="H103" i="2"/>
  <c r="G103" i="2"/>
  <c r="F103" i="2"/>
  <c r="R101" i="2"/>
  <c r="AK52" i="1"/>
  <c r="AH52" i="1"/>
  <c r="AE52" i="1"/>
  <c r="AB52" i="1"/>
  <c r="Y52" i="1"/>
  <c r="V52" i="1"/>
  <c r="S52" i="1"/>
  <c r="P52" i="1"/>
  <c r="M52" i="1"/>
  <c r="J52" i="1"/>
  <c r="G52" i="1"/>
  <c r="D52" i="1"/>
  <c r="D23" i="14" s="1"/>
  <c r="P84" i="2"/>
  <c r="O84" i="2"/>
  <c r="N84" i="2"/>
  <c r="M84" i="2"/>
  <c r="L84" i="2"/>
  <c r="K84" i="2"/>
  <c r="J84" i="2"/>
  <c r="I84" i="2"/>
  <c r="H84" i="2"/>
  <c r="G84" i="2"/>
  <c r="F84" i="2"/>
  <c r="E84" i="2"/>
  <c r="R85" i="2"/>
  <c r="R84" i="2" s="1"/>
  <c r="P80" i="2"/>
  <c r="O80" i="2"/>
  <c r="N80" i="2"/>
  <c r="M80" i="2"/>
  <c r="L80" i="2"/>
  <c r="K80" i="2"/>
  <c r="J80" i="2"/>
  <c r="I80" i="2"/>
  <c r="H80" i="2"/>
  <c r="G80" i="2"/>
  <c r="F80" i="2"/>
  <c r="E80" i="2"/>
  <c r="D50" i="1" s="1"/>
  <c r="D21" i="14" s="1"/>
  <c r="R83" i="2"/>
  <c r="R82" i="2"/>
  <c r="H23" i="14" l="1"/>
  <c r="AQ52" i="1"/>
  <c r="H21" i="14"/>
  <c r="AQ50" i="1"/>
  <c r="C50" i="1"/>
  <c r="L23" i="14"/>
  <c r="L21" i="14"/>
  <c r="AN50" i="1"/>
  <c r="C52" i="1"/>
  <c r="R95" i="2"/>
  <c r="Y11" i="1"/>
  <c r="AB11" i="1"/>
  <c r="AE11" i="1"/>
  <c r="AH11" i="1"/>
  <c r="AK11" i="1"/>
  <c r="R13" i="2"/>
  <c r="P76" i="2"/>
  <c r="O76" i="2"/>
  <c r="N76" i="2"/>
  <c r="M76" i="2"/>
  <c r="L76" i="2"/>
  <c r="K76" i="2"/>
  <c r="J76" i="2"/>
  <c r="I76" i="2"/>
  <c r="H76" i="2"/>
  <c r="G76" i="2"/>
  <c r="F76" i="2"/>
  <c r="E76" i="2"/>
  <c r="F53" i="2"/>
  <c r="K245" i="12"/>
  <c r="K24" i="12"/>
  <c r="L24" i="12" s="1"/>
  <c r="J24" i="12"/>
  <c r="I24" i="12"/>
  <c r="K1256" i="12"/>
  <c r="L1256" i="12" s="1"/>
  <c r="J1256" i="12"/>
  <c r="I1256" i="12"/>
  <c r="E48" i="1"/>
  <c r="AR48" i="1" s="1"/>
  <c r="K1997" i="12"/>
  <c r="L1997" i="12" s="1"/>
  <c r="J1997" i="12"/>
  <c r="I1997" i="12"/>
  <c r="K1981" i="12"/>
  <c r="L1981" i="12" s="1"/>
  <c r="J1981" i="12"/>
  <c r="I1981" i="12"/>
  <c r="I1983" i="12"/>
  <c r="J1983" i="12"/>
  <c r="K1983" i="12"/>
  <c r="L1983" i="12" s="1"/>
  <c r="K1980" i="12"/>
  <c r="L1980" i="12" s="1"/>
  <c r="J1980" i="12"/>
  <c r="I1980" i="12"/>
  <c r="K1996" i="12"/>
  <c r="L1996" i="12" s="1"/>
  <c r="J1996" i="12"/>
  <c r="I1996" i="12"/>
  <c r="K1995" i="12"/>
  <c r="L1995" i="12" s="1"/>
  <c r="J1995" i="12"/>
  <c r="I1995" i="12"/>
  <c r="K1994" i="12"/>
  <c r="L1994" i="12" s="1"/>
  <c r="J1994" i="12"/>
  <c r="I1994" i="12"/>
  <c r="K1993" i="12"/>
  <c r="L1993" i="12" s="1"/>
  <c r="J1993" i="12"/>
  <c r="I1993" i="12"/>
  <c r="K1992" i="12"/>
  <c r="L1992" i="12" s="1"/>
  <c r="J1992" i="12"/>
  <c r="I1992" i="12"/>
  <c r="K1991" i="12"/>
  <c r="L1991" i="12" s="1"/>
  <c r="J1991" i="12"/>
  <c r="I1991" i="12"/>
  <c r="K1990" i="12"/>
  <c r="L1990" i="12" s="1"/>
  <c r="J1990" i="12"/>
  <c r="I1990" i="12"/>
  <c r="K1989" i="12"/>
  <c r="L1989" i="12" s="1"/>
  <c r="J1989" i="12"/>
  <c r="I1989" i="12"/>
  <c r="K1988" i="12"/>
  <c r="L1988" i="12" s="1"/>
  <c r="J1988" i="12"/>
  <c r="I1988" i="12"/>
  <c r="K1987" i="12"/>
  <c r="L1987" i="12" s="1"/>
  <c r="J1987" i="12"/>
  <c r="I1987" i="12"/>
  <c r="K1986" i="12"/>
  <c r="L1986" i="12" s="1"/>
  <c r="J1986" i="12"/>
  <c r="I1986" i="12"/>
  <c r="K1985" i="12"/>
  <c r="L1985" i="12" s="1"/>
  <c r="J1985" i="12"/>
  <c r="I1985" i="12"/>
  <c r="K1984" i="12"/>
  <c r="L1984" i="12" s="1"/>
  <c r="J1984" i="12"/>
  <c r="I1984" i="12"/>
  <c r="K1982" i="12"/>
  <c r="L1982" i="12" s="1"/>
  <c r="J1982" i="12"/>
  <c r="I1982" i="12"/>
  <c r="K2002" i="12"/>
  <c r="K2003" i="12"/>
  <c r="L2003" i="12" s="1"/>
  <c r="K2004" i="12"/>
  <c r="L2004" i="12" s="1"/>
  <c r="K2005" i="12"/>
  <c r="L2005" i="12" s="1"/>
  <c r="K2006" i="12"/>
  <c r="L2006" i="12" s="1"/>
  <c r="K2007" i="12"/>
  <c r="L2007" i="12" s="1"/>
  <c r="L2008" i="12"/>
  <c r="K2009" i="12"/>
  <c r="L2009" i="12" s="1"/>
  <c r="K2010" i="12"/>
  <c r="L2010" i="12" s="1"/>
  <c r="K2011" i="12"/>
  <c r="L2011" i="12" s="1"/>
  <c r="K2012" i="12"/>
  <c r="L2012" i="12" s="1"/>
  <c r="K2013" i="12"/>
  <c r="L2013" i="12" s="1"/>
  <c r="K2014" i="12"/>
  <c r="L2014" i="12" s="1"/>
  <c r="K2015" i="12"/>
  <c r="L2015" i="12" s="1"/>
  <c r="K2016" i="12"/>
  <c r="L2016" i="12" s="1"/>
  <c r="K2017" i="12"/>
  <c r="L2017" i="12" s="1"/>
  <c r="K2018" i="12"/>
  <c r="L2018" i="12" s="1"/>
  <c r="K2019" i="12"/>
  <c r="L2019" i="12" s="1"/>
  <c r="K2020" i="12"/>
  <c r="L2020" i="12" s="1"/>
  <c r="K2021" i="12"/>
  <c r="L2021" i="12" s="1"/>
  <c r="K2022" i="12"/>
  <c r="L2022" i="12" s="1"/>
  <c r="K2023" i="12"/>
  <c r="L2023" i="12" s="1"/>
  <c r="K2024" i="12"/>
  <c r="L2024" i="12" s="1"/>
  <c r="K2025" i="12"/>
  <c r="L2025" i="12" s="1"/>
  <c r="K2026" i="12"/>
  <c r="L2026" i="12" s="1"/>
  <c r="K2027" i="12"/>
  <c r="L2027" i="12" s="1"/>
  <c r="K2028" i="12"/>
  <c r="L2028" i="12" s="1"/>
  <c r="K2029" i="12"/>
  <c r="L2029" i="12" s="1"/>
  <c r="K2030" i="12"/>
  <c r="L2030" i="12" s="1"/>
  <c r="K2031" i="12"/>
  <c r="L2031" i="12" s="1"/>
  <c r="K2032" i="12"/>
  <c r="L2032" i="12" s="1"/>
  <c r="K2033" i="12"/>
  <c r="L2033" i="12" s="1"/>
  <c r="K2034" i="12"/>
  <c r="L2034" i="12" s="1"/>
  <c r="K2035" i="12"/>
  <c r="L2035" i="12" s="1"/>
  <c r="K2036" i="12"/>
  <c r="L2036" i="12" s="1"/>
  <c r="K2037" i="12"/>
  <c r="L2037" i="12" s="1"/>
  <c r="K2038" i="12"/>
  <c r="L2038" i="12" s="1"/>
  <c r="K2039" i="12"/>
  <c r="L2039" i="12" s="1"/>
  <c r="K2040" i="12"/>
  <c r="L2040" i="12" s="1"/>
  <c r="K2041" i="12"/>
  <c r="L2041" i="12" s="1"/>
  <c r="K2042" i="12"/>
  <c r="L2042" i="12" s="1"/>
  <c r="K2043" i="12"/>
  <c r="L2043" i="12" s="1"/>
  <c r="K2044" i="12"/>
  <c r="L2044" i="12" s="1"/>
  <c r="K2045" i="12"/>
  <c r="L2045" i="12" s="1"/>
  <c r="K2046" i="12"/>
  <c r="L2046" i="12" s="1"/>
  <c r="K2047" i="12"/>
  <c r="L2047" i="12" s="1"/>
  <c r="K2048" i="12"/>
  <c r="L2048" i="12" s="1"/>
  <c r="K2049" i="12"/>
  <c r="L2049" i="12" s="1"/>
  <c r="K2050" i="12"/>
  <c r="L2050" i="12" s="1"/>
  <c r="K2051" i="12"/>
  <c r="L2051" i="12" s="1"/>
  <c r="K2052" i="12"/>
  <c r="L2052" i="12" s="1"/>
  <c r="K2053" i="12"/>
  <c r="L2053" i="12" s="1"/>
  <c r="K2054" i="12"/>
  <c r="L2054" i="12" s="1"/>
  <c r="K2055" i="12"/>
  <c r="L2055" i="12" s="1"/>
  <c r="K2056" i="12"/>
  <c r="L2056" i="12" s="1"/>
  <c r="K2057" i="12"/>
  <c r="L2057" i="12" s="1"/>
  <c r="K2058" i="12"/>
  <c r="L2058" i="12" s="1"/>
  <c r="K2059" i="12"/>
  <c r="L2059" i="12" s="1"/>
  <c r="K2060" i="12"/>
  <c r="L2060" i="12" s="1"/>
  <c r="K2061" i="12"/>
  <c r="L2061" i="12" s="1"/>
  <c r="K2062" i="12"/>
  <c r="L2062" i="12" s="1"/>
  <c r="K2063" i="12"/>
  <c r="L2063" i="12" s="1"/>
  <c r="K2064" i="12"/>
  <c r="L2064" i="12" s="1"/>
  <c r="L2065" i="12"/>
  <c r="K2066" i="12"/>
  <c r="L2066" i="12" s="1"/>
  <c r="K2067" i="12"/>
  <c r="L2067" i="12" s="1"/>
  <c r="K2068" i="12"/>
  <c r="L2068" i="12" s="1"/>
  <c r="K2069" i="12"/>
  <c r="L2069" i="12" s="1"/>
  <c r="K2070" i="12"/>
  <c r="L2070" i="12" s="1"/>
  <c r="K2071" i="12"/>
  <c r="L2071" i="12" s="1"/>
  <c r="K2072" i="12"/>
  <c r="L2072" i="12" s="1"/>
  <c r="K2073" i="12"/>
  <c r="L2073" i="12" s="1"/>
  <c r="K2074" i="12"/>
  <c r="L2074" i="12" s="1"/>
  <c r="K2075" i="12"/>
  <c r="L2075" i="12" s="1"/>
  <c r="K2076" i="12"/>
  <c r="L2076" i="12" s="1"/>
  <c r="K2077" i="12"/>
  <c r="L2077" i="12" s="1"/>
  <c r="K2078" i="12"/>
  <c r="L2078" i="12" s="1"/>
  <c r="K2079" i="12"/>
  <c r="L2079" i="12" s="1"/>
  <c r="K2080" i="12"/>
  <c r="L2080" i="12" s="1"/>
  <c r="L2083" i="12"/>
  <c r="K2084" i="12"/>
  <c r="L2084" i="12" s="1"/>
  <c r="K2085" i="12"/>
  <c r="L2085" i="12" s="1"/>
  <c r="K2086" i="12"/>
  <c r="L2086" i="12" s="1"/>
  <c r="L2087" i="12"/>
  <c r="K2088" i="12"/>
  <c r="L2088" i="12" s="1"/>
  <c r="K2089" i="12"/>
  <c r="L2089" i="12" s="1"/>
  <c r="K2090" i="12"/>
  <c r="L2090" i="12" s="1"/>
  <c r="K2091" i="12"/>
  <c r="L2091" i="12" s="1"/>
  <c r="K2092" i="12"/>
  <c r="L2092" i="12" s="1"/>
  <c r="K2093" i="12"/>
  <c r="L2093" i="12" s="1"/>
  <c r="K2094" i="12"/>
  <c r="L2094" i="12" s="1"/>
  <c r="K2095" i="12"/>
  <c r="L2095" i="12" s="1"/>
  <c r="K2096" i="12"/>
  <c r="L2096" i="12" s="1"/>
  <c r="K2097" i="12"/>
  <c r="L2097" i="12" s="1"/>
  <c r="K2098" i="12"/>
  <c r="L2098" i="12" s="1"/>
  <c r="L2099" i="12"/>
  <c r="K2100" i="12"/>
  <c r="L2100" i="12" s="1"/>
  <c r="K2101" i="12"/>
  <c r="L2101" i="12" s="1"/>
  <c r="K2102" i="12"/>
  <c r="L2102" i="12" s="1"/>
  <c r="K2103" i="12"/>
  <c r="L2103" i="12" s="1"/>
  <c r="K2104" i="12"/>
  <c r="L2104" i="12" s="1"/>
  <c r="K2105" i="12"/>
  <c r="L2105" i="12" s="1"/>
  <c r="K2106" i="12"/>
  <c r="L2106" i="12" s="1"/>
  <c r="K2107" i="12"/>
  <c r="L2107" i="12" s="1"/>
  <c r="K2108" i="12"/>
  <c r="L2108" i="12" s="1"/>
  <c r="K2109" i="12"/>
  <c r="L2109" i="12" s="1"/>
  <c r="K2110" i="12"/>
  <c r="L2110" i="12" s="1"/>
  <c r="K2111" i="12"/>
  <c r="L2111" i="12" s="1"/>
  <c r="K2112" i="12"/>
  <c r="L2112" i="12" s="1"/>
  <c r="K2113" i="12"/>
  <c r="L2113" i="12" s="1"/>
  <c r="K2114" i="12"/>
  <c r="L2114" i="12" s="1"/>
  <c r="K2115" i="12"/>
  <c r="L2115" i="12" s="1"/>
  <c r="K2116" i="12"/>
  <c r="L2116" i="12" s="1"/>
  <c r="K2117" i="12"/>
  <c r="L2117" i="12" s="1"/>
  <c r="K2118" i="12"/>
  <c r="L2118" i="12" s="1"/>
  <c r="K2119" i="12"/>
  <c r="L2119" i="12" s="1"/>
  <c r="K2120" i="12"/>
  <c r="L2120" i="12" s="1"/>
  <c r="K2121" i="12"/>
  <c r="L2121" i="12" s="1"/>
  <c r="K2122" i="12"/>
  <c r="L2122" i="12" s="1"/>
  <c r="K2123" i="12"/>
  <c r="L2123" i="12" s="1"/>
  <c r="K2124" i="12"/>
  <c r="L2124" i="12" s="1"/>
  <c r="K2125" i="12"/>
  <c r="L2125" i="12" s="1"/>
  <c r="K2126" i="12"/>
  <c r="L2126" i="12" s="1"/>
  <c r="K2127" i="12"/>
  <c r="L2127" i="12" s="1"/>
  <c r="K2128" i="12"/>
  <c r="L2128" i="12" s="1"/>
  <c r="K2129" i="12"/>
  <c r="L2129" i="12" s="1"/>
  <c r="K2130" i="12"/>
  <c r="L2130" i="12" s="1"/>
  <c r="K2131" i="12"/>
  <c r="L2131" i="12" s="1"/>
  <c r="K2132" i="12"/>
  <c r="L2132" i="12" s="1"/>
  <c r="K2133" i="12"/>
  <c r="L2133" i="12" s="1"/>
  <c r="K2134" i="12"/>
  <c r="L2134" i="12" s="1"/>
  <c r="L2135" i="12"/>
  <c r="K2136" i="12"/>
  <c r="L2136" i="12" s="1"/>
  <c r="K2137" i="12"/>
  <c r="L2137" i="12" s="1"/>
  <c r="K2138" i="12"/>
  <c r="L2138" i="12" s="1"/>
  <c r="K2139" i="12"/>
  <c r="L2139" i="12" s="1"/>
  <c r="K2140" i="12"/>
  <c r="L2140" i="12" s="1"/>
  <c r="K2141" i="12"/>
  <c r="L2141" i="12" s="1"/>
  <c r="K2142" i="12"/>
  <c r="L2142" i="12" s="1"/>
  <c r="K2143" i="12"/>
  <c r="L2143" i="12" s="1"/>
  <c r="K2144" i="12"/>
  <c r="L2144" i="12" s="1"/>
  <c r="K2145" i="12"/>
  <c r="L2145" i="12" s="1"/>
  <c r="K2146" i="12"/>
  <c r="L2146" i="12" s="1"/>
  <c r="K2147" i="12"/>
  <c r="L2147" i="12" s="1"/>
  <c r="K2148" i="12"/>
  <c r="L2148" i="12" s="1"/>
  <c r="K2149" i="12"/>
  <c r="L2149" i="12" s="1"/>
  <c r="K2150" i="12"/>
  <c r="L2150" i="12" s="1"/>
  <c r="L2151" i="12"/>
  <c r="K2152" i="12"/>
  <c r="L2152" i="12" s="1"/>
  <c r="K2153" i="12"/>
  <c r="L2153" i="12" s="1"/>
  <c r="K2154" i="12"/>
  <c r="L2154" i="12" s="1"/>
  <c r="K2155" i="12"/>
  <c r="L2155" i="12" s="1"/>
  <c r="K2156" i="12"/>
  <c r="L2156" i="12" s="1"/>
  <c r="K2157" i="12"/>
  <c r="L2157" i="12" s="1"/>
  <c r="K2158" i="12"/>
  <c r="L2158" i="12" s="1"/>
  <c r="K2159" i="12"/>
  <c r="L2159" i="12" s="1"/>
  <c r="K2160" i="12"/>
  <c r="L2160" i="12" s="1"/>
  <c r="K2161" i="12"/>
  <c r="L2161" i="12" s="1"/>
  <c r="K2162" i="12"/>
  <c r="L2162" i="12" s="1"/>
  <c r="K2163" i="12"/>
  <c r="L2163" i="12" s="1"/>
  <c r="K2164" i="12"/>
  <c r="L2164" i="12" s="1"/>
  <c r="K2165" i="12"/>
  <c r="L2165" i="12" s="1"/>
  <c r="K2166" i="12"/>
  <c r="L2166" i="12" s="1"/>
  <c r="K2167" i="12"/>
  <c r="L2167" i="12" s="1"/>
  <c r="K2168" i="12"/>
  <c r="L2168" i="12" s="1"/>
  <c r="K2169" i="12"/>
  <c r="L2169" i="12" s="1"/>
  <c r="K2170" i="12"/>
  <c r="L2170" i="12" s="1"/>
  <c r="K2171" i="12"/>
  <c r="L2171" i="12" s="1"/>
  <c r="K2172" i="12"/>
  <c r="L2172" i="12" s="1"/>
  <c r="K2173" i="12"/>
  <c r="L2173" i="12" s="1"/>
  <c r="K2174" i="12"/>
  <c r="L2174" i="12" s="1"/>
  <c r="K2175" i="12"/>
  <c r="L2175" i="12" s="1"/>
  <c r="K2176" i="12"/>
  <c r="L2176" i="12" s="1"/>
  <c r="K2177" i="12"/>
  <c r="L2177" i="12" s="1"/>
  <c r="K2178" i="12"/>
  <c r="L2178" i="12" s="1"/>
  <c r="K2179" i="12"/>
  <c r="L2179" i="12" s="1"/>
  <c r="K2180" i="12"/>
  <c r="L2180" i="12" s="1"/>
  <c r="K2181" i="12"/>
  <c r="L2181" i="12" s="1"/>
  <c r="K2182" i="12"/>
  <c r="L2182" i="12" s="1"/>
  <c r="K2183" i="12"/>
  <c r="L2183" i="12" s="1"/>
  <c r="K2184" i="12"/>
  <c r="L2184" i="12" s="1"/>
  <c r="K2185" i="12"/>
  <c r="L2185" i="12" s="1"/>
  <c r="K2186" i="12"/>
  <c r="L2186" i="12" s="1"/>
  <c r="K2187" i="12"/>
  <c r="L2187" i="12" s="1"/>
  <c r="K2188" i="12"/>
  <c r="L2188" i="12" s="1"/>
  <c r="K2189" i="12"/>
  <c r="L2189" i="12" s="1"/>
  <c r="K2190" i="12"/>
  <c r="L2190" i="12" s="1"/>
  <c r="K2191" i="12"/>
  <c r="L2191" i="12" s="1"/>
  <c r="K2192" i="12"/>
  <c r="L2192" i="12" s="1"/>
  <c r="K2193" i="12"/>
  <c r="L2193" i="12" s="1"/>
  <c r="K2194" i="12"/>
  <c r="L2194" i="12" s="1"/>
  <c r="K2195" i="12"/>
  <c r="L2195" i="12" s="1"/>
  <c r="K2196" i="12"/>
  <c r="L2196" i="12" s="1"/>
  <c r="K2197" i="12"/>
  <c r="L2197" i="12" s="1"/>
  <c r="K2198" i="12"/>
  <c r="L2198" i="12" s="1"/>
  <c r="K2199" i="12"/>
  <c r="L2199" i="12" s="1"/>
  <c r="K2200" i="12"/>
  <c r="L2200" i="12" s="1"/>
  <c r="K2201" i="12"/>
  <c r="L2201" i="12" s="1"/>
  <c r="K2202" i="12"/>
  <c r="L2202" i="12" s="1"/>
  <c r="K2203" i="12"/>
  <c r="L2203" i="12" s="1"/>
  <c r="K2204" i="12"/>
  <c r="L2204" i="12" s="1"/>
  <c r="K2205" i="12"/>
  <c r="L2205" i="12" s="1"/>
  <c r="K2206" i="12"/>
  <c r="L2206" i="12" s="1"/>
  <c r="K2207" i="12"/>
  <c r="L2207" i="12" s="1"/>
  <c r="K2208" i="12"/>
  <c r="L2208" i="12" s="1"/>
  <c r="K2209" i="12"/>
  <c r="L2209" i="12" s="1"/>
  <c r="K2210" i="12"/>
  <c r="L2210" i="12" s="1"/>
  <c r="K2211" i="12"/>
  <c r="L2211" i="12" s="1"/>
  <c r="K2212" i="12"/>
  <c r="L2212" i="12" s="1"/>
  <c r="K2213" i="12"/>
  <c r="L2213" i="12" s="1"/>
  <c r="K2214" i="12"/>
  <c r="L2214" i="12" s="1"/>
  <c r="K2215" i="12"/>
  <c r="L2215" i="12" s="1"/>
  <c r="K2216" i="12"/>
  <c r="L2216" i="12" s="1"/>
  <c r="K2217" i="12"/>
  <c r="L2217" i="12" s="1"/>
  <c r="K2218" i="12"/>
  <c r="L2218" i="12" s="1"/>
  <c r="K2219" i="12"/>
  <c r="L2219" i="12" s="1"/>
  <c r="K2220" i="12"/>
  <c r="L2220" i="12" s="1"/>
  <c r="K2221" i="12"/>
  <c r="L2221" i="12" s="1"/>
  <c r="K2222" i="12"/>
  <c r="L2222" i="12" s="1"/>
  <c r="K2223" i="12"/>
  <c r="L2223" i="12" s="1"/>
  <c r="K2224" i="12"/>
  <c r="L2224" i="12" s="1"/>
  <c r="K2225" i="12"/>
  <c r="L2225" i="12" s="1"/>
  <c r="K2226" i="12"/>
  <c r="L2226" i="12" s="1"/>
  <c r="K2227" i="12"/>
  <c r="L2227" i="12" s="1"/>
  <c r="K2228" i="12"/>
  <c r="L2228" i="12" s="1"/>
  <c r="K2230" i="12"/>
  <c r="L2230" i="12" s="1"/>
  <c r="K2231" i="12"/>
  <c r="L2231" i="12" s="1"/>
  <c r="K2232" i="12"/>
  <c r="L2232" i="12" s="1"/>
  <c r="K2233" i="12"/>
  <c r="L2233" i="12" s="1"/>
  <c r="K2234" i="12"/>
  <c r="L2234" i="12" s="1"/>
  <c r="K2235" i="12"/>
  <c r="L2235" i="12" s="1"/>
  <c r="K2236" i="12"/>
  <c r="L2236" i="12" s="1"/>
  <c r="K2237" i="12"/>
  <c r="L2237" i="12" s="1"/>
  <c r="K2238" i="12"/>
  <c r="L2238" i="12" s="1"/>
  <c r="K2239" i="12"/>
  <c r="L2239" i="12" s="1"/>
  <c r="K2240" i="12"/>
  <c r="L2240" i="12" s="1"/>
  <c r="K2241" i="12"/>
  <c r="L2241" i="12" s="1"/>
  <c r="K2242" i="12"/>
  <c r="L2242" i="12" s="1"/>
  <c r="K2243" i="12"/>
  <c r="L2243" i="12" s="1"/>
  <c r="K2244" i="12"/>
  <c r="L2244" i="12" s="1"/>
  <c r="K2245" i="12"/>
  <c r="L2245" i="12" s="1"/>
  <c r="K2246" i="12"/>
  <c r="L2246" i="12" s="1"/>
  <c r="K2247" i="12"/>
  <c r="L2247" i="12" s="1"/>
  <c r="K2248" i="12"/>
  <c r="L2248" i="12" s="1"/>
  <c r="K2249" i="12"/>
  <c r="L2249" i="12" s="1"/>
  <c r="K2250" i="12"/>
  <c r="L2250" i="12" s="1"/>
  <c r="K2251" i="12"/>
  <c r="L2251" i="12" s="1"/>
  <c r="K2252" i="12"/>
  <c r="L2252" i="12" s="1"/>
  <c r="K2253" i="12"/>
  <c r="L2253" i="12" s="1"/>
  <c r="K2254" i="12"/>
  <c r="L2254" i="12" s="1"/>
  <c r="K2255" i="12"/>
  <c r="L2255" i="12" s="1"/>
  <c r="K2257" i="12"/>
  <c r="L2257" i="12" s="1"/>
  <c r="K2260" i="12"/>
  <c r="L2260" i="12" s="1"/>
  <c r="K2261" i="12"/>
  <c r="L2261" i="12" s="1"/>
  <c r="K2262" i="12"/>
  <c r="L2262" i="12" s="1"/>
  <c r="K2263" i="12"/>
  <c r="L2263" i="12" s="1"/>
  <c r="K2264" i="12"/>
  <c r="L2264" i="12" s="1"/>
  <c r="K2265" i="12"/>
  <c r="L2265" i="12" s="1"/>
  <c r="K2266" i="12"/>
  <c r="L2266" i="12" s="1"/>
  <c r="K2267" i="12"/>
  <c r="L2267" i="12" s="1"/>
  <c r="K2268" i="12"/>
  <c r="L2268" i="12" s="1"/>
  <c r="K2271" i="12"/>
  <c r="L2271" i="12" s="1"/>
  <c r="K2272" i="12"/>
  <c r="L2272" i="12" s="1"/>
  <c r="K2273" i="12"/>
  <c r="L2273" i="12" s="1"/>
  <c r="K2274" i="12"/>
  <c r="L2274" i="12" s="1"/>
  <c r="K2275" i="12"/>
  <c r="L2275" i="12" s="1"/>
  <c r="K2276" i="12"/>
  <c r="L2276" i="12" s="1"/>
  <c r="K2277" i="12"/>
  <c r="L2277" i="12" s="1"/>
  <c r="K2278" i="12"/>
  <c r="L2278" i="12" s="1"/>
  <c r="K2279" i="12"/>
  <c r="L2279" i="12" s="1"/>
  <c r="K2280" i="12"/>
  <c r="L2280" i="12" s="1"/>
  <c r="K2281" i="12"/>
  <c r="L2281" i="12" s="1"/>
  <c r="K2282" i="12"/>
  <c r="L2282" i="12" s="1"/>
  <c r="K2283" i="12"/>
  <c r="L2283" i="12" s="1"/>
  <c r="K2284" i="12"/>
  <c r="L2284" i="12" s="1"/>
  <c r="K2285" i="12"/>
  <c r="L2285" i="12" s="1"/>
  <c r="K2286" i="12"/>
  <c r="L2286" i="12" s="1"/>
  <c r="K2287" i="12"/>
  <c r="L2287" i="12" s="1"/>
  <c r="K2288" i="12"/>
  <c r="L2288" i="12" s="1"/>
  <c r="K2289" i="12"/>
  <c r="L2289" i="12" s="1"/>
  <c r="K2290" i="12"/>
  <c r="L2290" i="12" s="1"/>
  <c r="K2291" i="12"/>
  <c r="L2291" i="12" s="1"/>
  <c r="K2292" i="12"/>
  <c r="L2292" i="12" s="1"/>
  <c r="K2293" i="12"/>
  <c r="L2293" i="12" s="1"/>
  <c r="K2294" i="12"/>
  <c r="L2294" i="12" s="1"/>
  <c r="K2295" i="12"/>
  <c r="L2295" i="12" s="1"/>
  <c r="K2296" i="12"/>
  <c r="L2296" i="12" s="1"/>
  <c r="K2297" i="12"/>
  <c r="L2297" i="12" s="1"/>
  <c r="K2298" i="12"/>
  <c r="L2298" i="12" s="1"/>
  <c r="K2299" i="12"/>
  <c r="L2299" i="12" s="1"/>
  <c r="K2300" i="12"/>
  <c r="L2300" i="12" s="1"/>
  <c r="K2301" i="12"/>
  <c r="L2301" i="12" s="1"/>
  <c r="K2302" i="12"/>
  <c r="L2302" i="12" s="1"/>
  <c r="K2303" i="12"/>
  <c r="L2303" i="12" s="1"/>
  <c r="K2304" i="12"/>
  <c r="L2304" i="12" s="1"/>
  <c r="K2305" i="12"/>
  <c r="L2305" i="12" s="1"/>
  <c r="K2306" i="12"/>
  <c r="L2306" i="12" s="1"/>
  <c r="K2307" i="12"/>
  <c r="L2307" i="12" s="1"/>
  <c r="K2308" i="12"/>
  <c r="L2308" i="12" s="1"/>
  <c r="K2309" i="12"/>
  <c r="L2309" i="12" s="1"/>
  <c r="K2310" i="12"/>
  <c r="L2310" i="12" s="1"/>
  <c r="K2311" i="12"/>
  <c r="L2311" i="12" s="1"/>
  <c r="K2312" i="12"/>
  <c r="L2312" i="12" s="1"/>
  <c r="K2313" i="12"/>
  <c r="L2313" i="12" s="1"/>
  <c r="K2314" i="12"/>
  <c r="L2314" i="12" s="1"/>
  <c r="L2315" i="12"/>
  <c r="K2316" i="12"/>
  <c r="L2316" i="12" s="1"/>
  <c r="K2317" i="12"/>
  <c r="L2317" i="12" s="1"/>
  <c r="K2318" i="12"/>
  <c r="L2318" i="12" s="1"/>
  <c r="K2319" i="12"/>
  <c r="L2319" i="12" s="1"/>
  <c r="K2320" i="12"/>
  <c r="L2320" i="12" s="1"/>
  <c r="K2321" i="12"/>
  <c r="L2321" i="12" s="1"/>
  <c r="K2322" i="12"/>
  <c r="L2322" i="12" s="1"/>
  <c r="K2323" i="12"/>
  <c r="L2323" i="12" s="1"/>
  <c r="K2324" i="12"/>
  <c r="L2324" i="12" s="1"/>
  <c r="K2325" i="12"/>
  <c r="L2325" i="12" s="1"/>
  <c r="K2326" i="12"/>
  <c r="L2326" i="12" s="1"/>
  <c r="K2327" i="12"/>
  <c r="L2327" i="12" s="1"/>
  <c r="K2328" i="12"/>
  <c r="L2328" i="12" s="1"/>
  <c r="K2329" i="12"/>
  <c r="L2329" i="12" s="1"/>
  <c r="K2330" i="12"/>
  <c r="L2330" i="12" s="1"/>
  <c r="K2331" i="12"/>
  <c r="L2331" i="12" s="1"/>
  <c r="K2332" i="12"/>
  <c r="L2332" i="12" s="1"/>
  <c r="K2333" i="12"/>
  <c r="L2333" i="12" s="1"/>
  <c r="K2334" i="12"/>
  <c r="L2334" i="12" s="1"/>
  <c r="K2335" i="12"/>
  <c r="L2335" i="12" s="1"/>
  <c r="K2336" i="12"/>
  <c r="L2336" i="12" s="1"/>
  <c r="K2337" i="12"/>
  <c r="L2337" i="12" s="1"/>
  <c r="K2338" i="12"/>
  <c r="L2338" i="12" s="1"/>
  <c r="K2339" i="12"/>
  <c r="L2339" i="12" s="1"/>
  <c r="K2340" i="12"/>
  <c r="L2340" i="12" s="1"/>
  <c r="K2341" i="12"/>
  <c r="L2341" i="12" s="1"/>
  <c r="K2342" i="12"/>
  <c r="L2342" i="12" s="1"/>
  <c r="K2343" i="12"/>
  <c r="L2343" i="12" s="1"/>
  <c r="K2344" i="12"/>
  <c r="L2344" i="12" s="1"/>
  <c r="K2346" i="12"/>
  <c r="L2346" i="12" s="1"/>
  <c r="K2347" i="12"/>
  <c r="L2347" i="12" s="1"/>
  <c r="K2348" i="12"/>
  <c r="L2348" i="12" s="1"/>
  <c r="K2349" i="12"/>
  <c r="L2349" i="12" s="1"/>
  <c r="K2350" i="12"/>
  <c r="L2350" i="12" s="1"/>
  <c r="K2351" i="12"/>
  <c r="L2351" i="12" s="1"/>
  <c r="K2352" i="12"/>
  <c r="L2352" i="12" s="1"/>
  <c r="K2353" i="12"/>
  <c r="L2353" i="12" s="1"/>
  <c r="K2354" i="12"/>
  <c r="L2354" i="12" s="1"/>
  <c r="K2355" i="12"/>
  <c r="L2355" i="12" s="1"/>
  <c r="K2356" i="12"/>
  <c r="L2356" i="12" s="1"/>
  <c r="K2357" i="12"/>
  <c r="L2357" i="12" s="1"/>
  <c r="K2358" i="12"/>
  <c r="L2358" i="12" s="1"/>
  <c r="K2359" i="12"/>
  <c r="L2359" i="12" s="1"/>
  <c r="K2360" i="12"/>
  <c r="L2360" i="12" s="1"/>
  <c r="K2361" i="12"/>
  <c r="L2361" i="12" s="1"/>
  <c r="K2362" i="12"/>
  <c r="L2362" i="12" s="1"/>
  <c r="K2363" i="12"/>
  <c r="L2363" i="12" s="1"/>
  <c r="K2364" i="12"/>
  <c r="L2364" i="12" s="1"/>
  <c r="K2365" i="12"/>
  <c r="L2365" i="12" s="1"/>
  <c r="K2366" i="12"/>
  <c r="L2366" i="12" s="1"/>
  <c r="K2367" i="12"/>
  <c r="L2367" i="12" s="1"/>
  <c r="K2368" i="12"/>
  <c r="L2368" i="12" s="1"/>
  <c r="K2369" i="12"/>
  <c r="L2369" i="12" s="1"/>
  <c r="K2370" i="12"/>
  <c r="L2370" i="12" s="1"/>
  <c r="K2371" i="12"/>
  <c r="L2371" i="12" s="1"/>
  <c r="K2372" i="12"/>
  <c r="L2372" i="12" s="1"/>
  <c r="K2373" i="12"/>
  <c r="L2373" i="12" s="1"/>
  <c r="K2374" i="12"/>
  <c r="L2374" i="12" s="1"/>
  <c r="K2375" i="12"/>
  <c r="L2375" i="12" s="1"/>
  <c r="K2376" i="12"/>
  <c r="L2376" i="12" s="1"/>
  <c r="K2377" i="12"/>
  <c r="L2377" i="12" s="1"/>
  <c r="K2378" i="12"/>
  <c r="L2378" i="12" s="1"/>
  <c r="I2002" i="12"/>
  <c r="J2002" i="12"/>
  <c r="I2003" i="12"/>
  <c r="J2003" i="12"/>
  <c r="I2004" i="12"/>
  <c r="J2004" i="12"/>
  <c r="I2005" i="12"/>
  <c r="J2005" i="12"/>
  <c r="I2006" i="12"/>
  <c r="J2006" i="12"/>
  <c r="I2007" i="12"/>
  <c r="J2007" i="12"/>
  <c r="I2008" i="12"/>
  <c r="J2008" i="12"/>
  <c r="I2009" i="12"/>
  <c r="J2009" i="12"/>
  <c r="I2010" i="12"/>
  <c r="J2010" i="12"/>
  <c r="I2011" i="12"/>
  <c r="J2011" i="12"/>
  <c r="I2012" i="12"/>
  <c r="J2012" i="12"/>
  <c r="I2013" i="12"/>
  <c r="J2013" i="12"/>
  <c r="I2014" i="12"/>
  <c r="J2014" i="12"/>
  <c r="I2015" i="12"/>
  <c r="J2015" i="12"/>
  <c r="I2016" i="12"/>
  <c r="J2016" i="12"/>
  <c r="I2017" i="12"/>
  <c r="J2017" i="12"/>
  <c r="I2018" i="12"/>
  <c r="J2018" i="12"/>
  <c r="I2019" i="12"/>
  <c r="J2019" i="12"/>
  <c r="I2020" i="12"/>
  <c r="J2020" i="12"/>
  <c r="I2021" i="12"/>
  <c r="J2021" i="12"/>
  <c r="I2022" i="12"/>
  <c r="J2022" i="12"/>
  <c r="I2023" i="12"/>
  <c r="J2023" i="12"/>
  <c r="I2024" i="12"/>
  <c r="J2024" i="12"/>
  <c r="I2025" i="12"/>
  <c r="J2025" i="12"/>
  <c r="I2026" i="12"/>
  <c r="J2026" i="12"/>
  <c r="I2027" i="12"/>
  <c r="J2027" i="12"/>
  <c r="I2028" i="12"/>
  <c r="J2028" i="12"/>
  <c r="I2029" i="12"/>
  <c r="J2029" i="12"/>
  <c r="I2030" i="12"/>
  <c r="J2030" i="12"/>
  <c r="I2031" i="12"/>
  <c r="J2031" i="12"/>
  <c r="I2032" i="12"/>
  <c r="J2032" i="12"/>
  <c r="I2033" i="12"/>
  <c r="J2033" i="12"/>
  <c r="I2034" i="12"/>
  <c r="J2034" i="12"/>
  <c r="I2035" i="12"/>
  <c r="J2035" i="12"/>
  <c r="I2036" i="12"/>
  <c r="J2036" i="12"/>
  <c r="I2037" i="12"/>
  <c r="J2037" i="12"/>
  <c r="I2038" i="12"/>
  <c r="J2038" i="12"/>
  <c r="I2039" i="12"/>
  <c r="J2039" i="12"/>
  <c r="I2040" i="12"/>
  <c r="J2040" i="12"/>
  <c r="I2041" i="12"/>
  <c r="J2041" i="12"/>
  <c r="I2042" i="12"/>
  <c r="J2042" i="12"/>
  <c r="I2043" i="12"/>
  <c r="J2043" i="12"/>
  <c r="I2044" i="12"/>
  <c r="J2044" i="12"/>
  <c r="I2045" i="12"/>
  <c r="J2045" i="12"/>
  <c r="I2046" i="12"/>
  <c r="J2046" i="12"/>
  <c r="I2047" i="12"/>
  <c r="J2047" i="12"/>
  <c r="I2048" i="12"/>
  <c r="J2048" i="12"/>
  <c r="I2049" i="12"/>
  <c r="J2049" i="12"/>
  <c r="I2050" i="12"/>
  <c r="J2050" i="12"/>
  <c r="I2051" i="12"/>
  <c r="J2051" i="12"/>
  <c r="I2052" i="12"/>
  <c r="J2052" i="12"/>
  <c r="I2053" i="12"/>
  <c r="J2053" i="12"/>
  <c r="I2054" i="12"/>
  <c r="J2054" i="12"/>
  <c r="I2055" i="12"/>
  <c r="J2055" i="12"/>
  <c r="I2056" i="12"/>
  <c r="J2056" i="12"/>
  <c r="I2057" i="12"/>
  <c r="J2057" i="12"/>
  <c r="I2058" i="12"/>
  <c r="J2058" i="12"/>
  <c r="I2059" i="12"/>
  <c r="J2059" i="12"/>
  <c r="I2060" i="12"/>
  <c r="J2060" i="12"/>
  <c r="I2061" i="12"/>
  <c r="J2061" i="12"/>
  <c r="I2062" i="12"/>
  <c r="J2062" i="12"/>
  <c r="I2063" i="12"/>
  <c r="J2063" i="12"/>
  <c r="I2064" i="12"/>
  <c r="J2064" i="12"/>
  <c r="I2065" i="12"/>
  <c r="J2065" i="12"/>
  <c r="I2066" i="12"/>
  <c r="J2066" i="12"/>
  <c r="I2067" i="12"/>
  <c r="J2067" i="12"/>
  <c r="I2068" i="12"/>
  <c r="J2068" i="12"/>
  <c r="I2069" i="12"/>
  <c r="J2069" i="12"/>
  <c r="I2070" i="12"/>
  <c r="J2070" i="12"/>
  <c r="I2071" i="12"/>
  <c r="J2071" i="12"/>
  <c r="I2072" i="12"/>
  <c r="J2072" i="12"/>
  <c r="I2073" i="12"/>
  <c r="J2073" i="12"/>
  <c r="I2074" i="12"/>
  <c r="J2074" i="12"/>
  <c r="I2075" i="12"/>
  <c r="J2075" i="12"/>
  <c r="I2076" i="12"/>
  <c r="J2076" i="12"/>
  <c r="I2077" i="12"/>
  <c r="J2077" i="12"/>
  <c r="I2078" i="12"/>
  <c r="J2078" i="12"/>
  <c r="I2079" i="12"/>
  <c r="J2079" i="12"/>
  <c r="I2080" i="12"/>
  <c r="J2080" i="12"/>
  <c r="I2083" i="12"/>
  <c r="J2083" i="12"/>
  <c r="I2084" i="12"/>
  <c r="J2084" i="12"/>
  <c r="I2085" i="12"/>
  <c r="J2085" i="12"/>
  <c r="I2086" i="12"/>
  <c r="J2086" i="12"/>
  <c r="I2087" i="12"/>
  <c r="J2087" i="12"/>
  <c r="I2088" i="12"/>
  <c r="J2088" i="12"/>
  <c r="I2089" i="12"/>
  <c r="J2089" i="12"/>
  <c r="I2090" i="12"/>
  <c r="J2090" i="12"/>
  <c r="I2091" i="12"/>
  <c r="J2091" i="12"/>
  <c r="I2092" i="12"/>
  <c r="J2092" i="12"/>
  <c r="I2093" i="12"/>
  <c r="J2093" i="12"/>
  <c r="I2094" i="12"/>
  <c r="J2094" i="12"/>
  <c r="I2095" i="12"/>
  <c r="J2095" i="12"/>
  <c r="I2096" i="12"/>
  <c r="J2096" i="12"/>
  <c r="I2097" i="12"/>
  <c r="J2097" i="12"/>
  <c r="I2098" i="12"/>
  <c r="J2098" i="12"/>
  <c r="I2099" i="12"/>
  <c r="J2099" i="12"/>
  <c r="I2100" i="12"/>
  <c r="J2100" i="12"/>
  <c r="I2101" i="12"/>
  <c r="J2101" i="12"/>
  <c r="I2102" i="12"/>
  <c r="J2102" i="12"/>
  <c r="I2103" i="12"/>
  <c r="J2103" i="12"/>
  <c r="I2104" i="12"/>
  <c r="J2104" i="12"/>
  <c r="I2105" i="12"/>
  <c r="J2105" i="12"/>
  <c r="I2106" i="12"/>
  <c r="J2106" i="12"/>
  <c r="I2107" i="12"/>
  <c r="J2107" i="12"/>
  <c r="I2108" i="12"/>
  <c r="J2108" i="12"/>
  <c r="I2109" i="12"/>
  <c r="J2109" i="12"/>
  <c r="I2110" i="12"/>
  <c r="J2110" i="12"/>
  <c r="I2111" i="12"/>
  <c r="J2111" i="12"/>
  <c r="I2112" i="12"/>
  <c r="J2112" i="12"/>
  <c r="I2113" i="12"/>
  <c r="J2113" i="12"/>
  <c r="I2114" i="12"/>
  <c r="J2114" i="12"/>
  <c r="I2115" i="12"/>
  <c r="J2115" i="12"/>
  <c r="I2116" i="12"/>
  <c r="J2116" i="12"/>
  <c r="I2117" i="12"/>
  <c r="J2117" i="12"/>
  <c r="I2118" i="12"/>
  <c r="J2118" i="12"/>
  <c r="I2119" i="12"/>
  <c r="J2119" i="12"/>
  <c r="I2120" i="12"/>
  <c r="J2120" i="12"/>
  <c r="I2121" i="12"/>
  <c r="J2121" i="12"/>
  <c r="I2122" i="12"/>
  <c r="J2122" i="12"/>
  <c r="I2123" i="12"/>
  <c r="J2123" i="12"/>
  <c r="I2124" i="12"/>
  <c r="J2124" i="12"/>
  <c r="I2125" i="12"/>
  <c r="J2125" i="12"/>
  <c r="I2126" i="12"/>
  <c r="J2126" i="12"/>
  <c r="I2127" i="12"/>
  <c r="J2127" i="12"/>
  <c r="I2128" i="12"/>
  <c r="J2128" i="12"/>
  <c r="I2129" i="12"/>
  <c r="J2129" i="12"/>
  <c r="I2130" i="12"/>
  <c r="J2130" i="12"/>
  <c r="I2131" i="12"/>
  <c r="J2131" i="12"/>
  <c r="I2132" i="12"/>
  <c r="J2132" i="12"/>
  <c r="I2133" i="12"/>
  <c r="J2133" i="12"/>
  <c r="I2134" i="12"/>
  <c r="J2134" i="12"/>
  <c r="I2135" i="12"/>
  <c r="J2135" i="12"/>
  <c r="I2136" i="12"/>
  <c r="J2136" i="12"/>
  <c r="I2137" i="12"/>
  <c r="J2137" i="12"/>
  <c r="I2138" i="12"/>
  <c r="J2138" i="12"/>
  <c r="I2139" i="12"/>
  <c r="J2139" i="12"/>
  <c r="I2140" i="12"/>
  <c r="J2140" i="12"/>
  <c r="I2141" i="12"/>
  <c r="J2141" i="12"/>
  <c r="I2142" i="12"/>
  <c r="J2142" i="12"/>
  <c r="I2143" i="12"/>
  <c r="J2143" i="12"/>
  <c r="I2144" i="12"/>
  <c r="J2144" i="12"/>
  <c r="I2145" i="12"/>
  <c r="J2145" i="12"/>
  <c r="I2146" i="12"/>
  <c r="J2146" i="12"/>
  <c r="I2147" i="12"/>
  <c r="J2147" i="12"/>
  <c r="I2148" i="12"/>
  <c r="J2148" i="12"/>
  <c r="I2149" i="12"/>
  <c r="J2149" i="12"/>
  <c r="I2150" i="12"/>
  <c r="J2150" i="12"/>
  <c r="I2151" i="12"/>
  <c r="J2151" i="12"/>
  <c r="I2152" i="12"/>
  <c r="J2152" i="12"/>
  <c r="I2153" i="12"/>
  <c r="J2153" i="12"/>
  <c r="I2154" i="12"/>
  <c r="J2154" i="12"/>
  <c r="I2155" i="12"/>
  <c r="J2155" i="12"/>
  <c r="I2156" i="12"/>
  <c r="J2156" i="12"/>
  <c r="I2157" i="12"/>
  <c r="J2157" i="12"/>
  <c r="I2158" i="12"/>
  <c r="J2158" i="12"/>
  <c r="I2159" i="12"/>
  <c r="J2159" i="12"/>
  <c r="I2160" i="12"/>
  <c r="J2160" i="12"/>
  <c r="I2161" i="12"/>
  <c r="J2161" i="12"/>
  <c r="I2162" i="12"/>
  <c r="J2162" i="12"/>
  <c r="I2163" i="12"/>
  <c r="J2163" i="12"/>
  <c r="I2164" i="12"/>
  <c r="J2164" i="12"/>
  <c r="I2165" i="12"/>
  <c r="J2165" i="12"/>
  <c r="I2166" i="12"/>
  <c r="J2166" i="12"/>
  <c r="I2167" i="12"/>
  <c r="J2167" i="12"/>
  <c r="I2168" i="12"/>
  <c r="J2168" i="12"/>
  <c r="I2169" i="12"/>
  <c r="J2169" i="12"/>
  <c r="I2170" i="12"/>
  <c r="J2170" i="12"/>
  <c r="I2171" i="12"/>
  <c r="J2171" i="12"/>
  <c r="I2172" i="12"/>
  <c r="J2172" i="12"/>
  <c r="I2173" i="12"/>
  <c r="J2173" i="12"/>
  <c r="I2174" i="12"/>
  <c r="J2174" i="12"/>
  <c r="I2175" i="12"/>
  <c r="J2175" i="12"/>
  <c r="I2176" i="12"/>
  <c r="J2176" i="12"/>
  <c r="I2177" i="12"/>
  <c r="J2177" i="12"/>
  <c r="I2178" i="12"/>
  <c r="J2178" i="12"/>
  <c r="I2179" i="12"/>
  <c r="J2179" i="12"/>
  <c r="I2180" i="12"/>
  <c r="J2180" i="12"/>
  <c r="I2181" i="12"/>
  <c r="J2181" i="12"/>
  <c r="I2182" i="12"/>
  <c r="J2182" i="12"/>
  <c r="I2183" i="12"/>
  <c r="J2183" i="12"/>
  <c r="I2184" i="12"/>
  <c r="J2184" i="12"/>
  <c r="I2185" i="12"/>
  <c r="J2185" i="12"/>
  <c r="I2186" i="12"/>
  <c r="J2186" i="12"/>
  <c r="I2187" i="12"/>
  <c r="J2187" i="12"/>
  <c r="I2188" i="12"/>
  <c r="J2188" i="12"/>
  <c r="I2189" i="12"/>
  <c r="J2189" i="12"/>
  <c r="I2190" i="12"/>
  <c r="J2190" i="12"/>
  <c r="I2191" i="12"/>
  <c r="J2191" i="12"/>
  <c r="I2192" i="12"/>
  <c r="J2192" i="12"/>
  <c r="I2193" i="12"/>
  <c r="J2193" i="12"/>
  <c r="I2194" i="12"/>
  <c r="J2194" i="12"/>
  <c r="I2195" i="12"/>
  <c r="J2195" i="12"/>
  <c r="I2196" i="12"/>
  <c r="J2196" i="12"/>
  <c r="I2197" i="12"/>
  <c r="J2197" i="12"/>
  <c r="I2198" i="12"/>
  <c r="J2198" i="12"/>
  <c r="I2199" i="12"/>
  <c r="J2199" i="12"/>
  <c r="I2200" i="12"/>
  <c r="J2200" i="12"/>
  <c r="I2201" i="12"/>
  <c r="J2201" i="12"/>
  <c r="I2202" i="12"/>
  <c r="J2202" i="12"/>
  <c r="I2203" i="12"/>
  <c r="J2203" i="12"/>
  <c r="I2204" i="12"/>
  <c r="J2204" i="12"/>
  <c r="I2205" i="12"/>
  <c r="J2205" i="12"/>
  <c r="I2206" i="12"/>
  <c r="J2206" i="12"/>
  <c r="I2207" i="12"/>
  <c r="J2207" i="12"/>
  <c r="I2208" i="12"/>
  <c r="J2208" i="12"/>
  <c r="I2209" i="12"/>
  <c r="J2209" i="12"/>
  <c r="I2210" i="12"/>
  <c r="J2210" i="12"/>
  <c r="I2211" i="12"/>
  <c r="J2211" i="12"/>
  <c r="I2212" i="12"/>
  <c r="J2212" i="12"/>
  <c r="I2213" i="12"/>
  <c r="J2213" i="12"/>
  <c r="I2214" i="12"/>
  <c r="J2214" i="12"/>
  <c r="I2215" i="12"/>
  <c r="J2215" i="12"/>
  <c r="I2216" i="12"/>
  <c r="J2216" i="12"/>
  <c r="I2217" i="12"/>
  <c r="J2217" i="12"/>
  <c r="I2218" i="12"/>
  <c r="J2218" i="12"/>
  <c r="I2219" i="12"/>
  <c r="J2219" i="12"/>
  <c r="I2220" i="12"/>
  <c r="J2220" i="12"/>
  <c r="I2221" i="12"/>
  <c r="J2221" i="12"/>
  <c r="I2222" i="12"/>
  <c r="J2222" i="12"/>
  <c r="I2223" i="12"/>
  <c r="J2223" i="12"/>
  <c r="I2224" i="12"/>
  <c r="J2224" i="12"/>
  <c r="I2225" i="12"/>
  <c r="J2225" i="12"/>
  <c r="I2226" i="12"/>
  <c r="J2226" i="12"/>
  <c r="I2227" i="12"/>
  <c r="J2227" i="12"/>
  <c r="I2228" i="12"/>
  <c r="J2228" i="12"/>
  <c r="I2230" i="12"/>
  <c r="J2230" i="12"/>
  <c r="I2231" i="12"/>
  <c r="J2231" i="12"/>
  <c r="I2232" i="12"/>
  <c r="J2232" i="12"/>
  <c r="I2233" i="12"/>
  <c r="J2233" i="12"/>
  <c r="I2234" i="12"/>
  <c r="J2234" i="12"/>
  <c r="I2235" i="12"/>
  <c r="J2235" i="12"/>
  <c r="I2236" i="12"/>
  <c r="J2236" i="12"/>
  <c r="I2237" i="12"/>
  <c r="J2237" i="12"/>
  <c r="I2238" i="12"/>
  <c r="J2238" i="12"/>
  <c r="I2239" i="12"/>
  <c r="J2239" i="12"/>
  <c r="I2240" i="12"/>
  <c r="J2240" i="12"/>
  <c r="I2241" i="12"/>
  <c r="J2241" i="12"/>
  <c r="I2242" i="12"/>
  <c r="J2242" i="12"/>
  <c r="I2243" i="12"/>
  <c r="J2243" i="12"/>
  <c r="I2244" i="12"/>
  <c r="J2244" i="12"/>
  <c r="I2245" i="12"/>
  <c r="J2245" i="12"/>
  <c r="I2246" i="12"/>
  <c r="J2246" i="12"/>
  <c r="I2247" i="12"/>
  <c r="J2247" i="12"/>
  <c r="I2248" i="12"/>
  <c r="J2248" i="12"/>
  <c r="I2249" i="12"/>
  <c r="J2249" i="12"/>
  <c r="I2250" i="12"/>
  <c r="J2250" i="12"/>
  <c r="I2251" i="12"/>
  <c r="J2251" i="12"/>
  <c r="I2252" i="12"/>
  <c r="J2252" i="12"/>
  <c r="I2253" i="12"/>
  <c r="J2253" i="12"/>
  <c r="I2254" i="12"/>
  <c r="J2254" i="12"/>
  <c r="I2255" i="12"/>
  <c r="J2255" i="12"/>
  <c r="I2257" i="12"/>
  <c r="J2257" i="12"/>
  <c r="I2260" i="12"/>
  <c r="J2260" i="12"/>
  <c r="I2261" i="12"/>
  <c r="J2261" i="12"/>
  <c r="I2262" i="12"/>
  <c r="J2262" i="12"/>
  <c r="I2263" i="12"/>
  <c r="J2263" i="12"/>
  <c r="I2264" i="12"/>
  <c r="J2264" i="12"/>
  <c r="I2265" i="12"/>
  <c r="J2265" i="12"/>
  <c r="I2266" i="12"/>
  <c r="J2266" i="12"/>
  <c r="I2267" i="12"/>
  <c r="J2267" i="12"/>
  <c r="I2268" i="12"/>
  <c r="J2268" i="12"/>
  <c r="I2271" i="12"/>
  <c r="J2271" i="12"/>
  <c r="I2272" i="12"/>
  <c r="J2272" i="12"/>
  <c r="I2273" i="12"/>
  <c r="J2273" i="12"/>
  <c r="I2274" i="12"/>
  <c r="J2274" i="12"/>
  <c r="I2275" i="12"/>
  <c r="J2275" i="12"/>
  <c r="I2276" i="12"/>
  <c r="J2276" i="12"/>
  <c r="I2277" i="12"/>
  <c r="J2277" i="12"/>
  <c r="I2278" i="12"/>
  <c r="J2278" i="12"/>
  <c r="I2279" i="12"/>
  <c r="J2279" i="12"/>
  <c r="I2280" i="12"/>
  <c r="J2280" i="12"/>
  <c r="I2281" i="12"/>
  <c r="J2281" i="12"/>
  <c r="I2282" i="12"/>
  <c r="J2282" i="12"/>
  <c r="I2283" i="12"/>
  <c r="J2283" i="12"/>
  <c r="I2284" i="12"/>
  <c r="J2284" i="12"/>
  <c r="I2285" i="12"/>
  <c r="J2285" i="12"/>
  <c r="I2286" i="12"/>
  <c r="J2286" i="12"/>
  <c r="I2287" i="12"/>
  <c r="J2287" i="12"/>
  <c r="I2288" i="12"/>
  <c r="J2288" i="12"/>
  <c r="I2289" i="12"/>
  <c r="J2289" i="12"/>
  <c r="I2290" i="12"/>
  <c r="J2290" i="12"/>
  <c r="I2291" i="12"/>
  <c r="J2291" i="12"/>
  <c r="I2292" i="12"/>
  <c r="J2292" i="12"/>
  <c r="I2293" i="12"/>
  <c r="J2293" i="12"/>
  <c r="I2294" i="12"/>
  <c r="J2294" i="12"/>
  <c r="I2295" i="12"/>
  <c r="J2295" i="12"/>
  <c r="I2296" i="12"/>
  <c r="J2296" i="12"/>
  <c r="I2297" i="12"/>
  <c r="J2297" i="12"/>
  <c r="I2298" i="12"/>
  <c r="J2298" i="12"/>
  <c r="I2299" i="12"/>
  <c r="J2299" i="12"/>
  <c r="I2300" i="12"/>
  <c r="J2300" i="12"/>
  <c r="I2301" i="12"/>
  <c r="J2301" i="12"/>
  <c r="I2302" i="12"/>
  <c r="J2302" i="12"/>
  <c r="I2303" i="12"/>
  <c r="J2303" i="12"/>
  <c r="I2304" i="12"/>
  <c r="J2304" i="12"/>
  <c r="I2305" i="12"/>
  <c r="J2305" i="12"/>
  <c r="I2306" i="12"/>
  <c r="J2306" i="12"/>
  <c r="I2307" i="12"/>
  <c r="J2307" i="12"/>
  <c r="I2308" i="12"/>
  <c r="J2308" i="12"/>
  <c r="I2309" i="12"/>
  <c r="J2309" i="12"/>
  <c r="I2310" i="12"/>
  <c r="J2310" i="12"/>
  <c r="I2311" i="12"/>
  <c r="J2311" i="12"/>
  <c r="I2312" i="12"/>
  <c r="J2312" i="12"/>
  <c r="I2313" i="12"/>
  <c r="J2313" i="12"/>
  <c r="I2314" i="12"/>
  <c r="J2314" i="12"/>
  <c r="I2315" i="12"/>
  <c r="J2315" i="12"/>
  <c r="I2316" i="12"/>
  <c r="J2316" i="12"/>
  <c r="I2317" i="12"/>
  <c r="J2317" i="12"/>
  <c r="I2318" i="12"/>
  <c r="J2318" i="12"/>
  <c r="I2319" i="12"/>
  <c r="J2319" i="12"/>
  <c r="I2320" i="12"/>
  <c r="J2320" i="12"/>
  <c r="I2321" i="12"/>
  <c r="J2321" i="12"/>
  <c r="I2322" i="12"/>
  <c r="J2322" i="12"/>
  <c r="I2323" i="12"/>
  <c r="J2323" i="12"/>
  <c r="I2324" i="12"/>
  <c r="J2324" i="12"/>
  <c r="I2325" i="12"/>
  <c r="J2325" i="12"/>
  <c r="I2326" i="12"/>
  <c r="J2326" i="12"/>
  <c r="I2327" i="12"/>
  <c r="J2327" i="12"/>
  <c r="I2328" i="12"/>
  <c r="J2328" i="12"/>
  <c r="I2329" i="12"/>
  <c r="J2329" i="12"/>
  <c r="I2330" i="12"/>
  <c r="J2330" i="12"/>
  <c r="I2331" i="12"/>
  <c r="J2331" i="12"/>
  <c r="I2332" i="12"/>
  <c r="J2332" i="12"/>
  <c r="I2333" i="12"/>
  <c r="J2333" i="12"/>
  <c r="I2334" i="12"/>
  <c r="J2334" i="12"/>
  <c r="I2335" i="12"/>
  <c r="J2335" i="12"/>
  <c r="I2336" i="12"/>
  <c r="J2336" i="12"/>
  <c r="I2337" i="12"/>
  <c r="J2337" i="12"/>
  <c r="I2338" i="12"/>
  <c r="J2338" i="12"/>
  <c r="I2339" i="12"/>
  <c r="J2339" i="12"/>
  <c r="I2340" i="12"/>
  <c r="J2340" i="12"/>
  <c r="I2341" i="12"/>
  <c r="J2341" i="12"/>
  <c r="I2342" i="12"/>
  <c r="J2342" i="12"/>
  <c r="I2343" i="12"/>
  <c r="J2343" i="12"/>
  <c r="I2344" i="12"/>
  <c r="J2344" i="12"/>
  <c r="I2346" i="12"/>
  <c r="J2346" i="12"/>
  <c r="I2347" i="12"/>
  <c r="J2347" i="12"/>
  <c r="I2348" i="12"/>
  <c r="J2348" i="12"/>
  <c r="I2349" i="12"/>
  <c r="J2349" i="12"/>
  <c r="I2350" i="12"/>
  <c r="J2350" i="12"/>
  <c r="I2351" i="12"/>
  <c r="J2351" i="12"/>
  <c r="I2352" i="12"/>
  <c r="J2352" i="12"/>
  <c r="I2353" i="12"/>
  <c r="J2353" i="12"/>
  <c r="I2354" i="12"/>
  <c r="J2354" i="12"/>
  <c r="I2355" i="12"/>
  <c r="J2355" i="12"/>
  <c r="I2356" i="12"/>
  <c r="J2356" i="12"/>
  <c r="I2357" i="12"/>
  <c r="J2357" i="12"/>
  <c r="I2358" i="12"/>
  <c r="J2358" i="12"/>
  <c r="I2359" i="12"/>
  <c r="J2359" i="12"/>
  <c r="I2360" i="12"/>
  <c r="J2360" i="12"/>
  <c r="I2361" i="12"/>
  <c r="J2361" i="12"/>
  <c r="I2362" i="12"/>
  <c r="J2362" i="12"/>
  <c r="I2363" i="12"/>
  <c r="J2363" i="12"/>
  <c r="I2364" i="12"/>
  <c r="J2364" i="12"/>
  <c r="I2365" i="12"/>
  <c r="J2365" i="12"/>
  <c r="I2366" i="12"/>
  <c r="J2366" i="12"/>
  <c r="I2367" i="12"/>
  <c r="J2367" i="12"/>
  <c r="I2368" i="12"/>
  <c r="J2368" i="12"/>
  <c r="I2369" i="12"/>
  <c r="J2369" i="12"/>
  <c r="I2370" i="12"/>
  <c r="J2370" i="12"/>
  <c r="I2371" i="12"/>
  <c r="J2371" i="12"/>
  <c r="I2372" i="12"/>
  <c r="J2372" i="12"/>
  <c r="I2373" i="12"/>
  <c r="J2373" i="12"/>
  <c r="I2374" i="12"/>
  <c r="J2374" i="12"/>
  <c r="I2375" i="12"/>
  <c r="J2375" i="12"/>
  <c r="I2376" i="12"/>
  <c r="J2376" i="12"/>
  <c r="I2377" i="12"/>
  <c r="J2377" i="12"/>
  <c r="I2378" i="12"/>
  <c r="J2378" i="12"/>
  <c r="K1979" i="12"/>
  <c r="L1979" i="12" s="1"/>
  <c r="J1979" i="12"/>
  <c r="I1979" i="12"/>
  <c r="C11" i="1" l="1"/>
  <c r="L2002" i="12"/>
  <c r="K1233" i="12"/>
  <c r="L1233" i="12" s="1"/>
  <c r="J1233" i="12"/>
  <c r="I1233" i="12"/>
  <c r="K1942" i="12"/>
  <c r="L1942" i="12" s="1"/>
  <c r="J1942" i="12"/>
  <c r="I1942" i="12"/>
  <c r="K1941" i="12"/>
  <c r="L1941" i="12" s="1"/>
  <c r="J1941" i="12"/>
  <c r="I1941" i="12"/>
  <c r="AO71" i="1"/>
  <c r="AO43" i="1"/>
  <c r="K1978" i="12"/>
  <c r="L1978" i="12" s="1"/>
  <c r="J1978" i="12"/>
  <c r="I1978" i="12"/>
  <c r="K1977" i="12"/>
  <c r="L1977" i="12" s="1"/>
  <c r="J1977" i="12"/>
  <c r="I1977" i="12"/>
  <c r="K1974" i="12"/>
  <c r="L1974" i="12" s="1"/>
  <c r="J1974" i="12"/>
  <c r="I1974" i="12"/>
  <c r="T8" i="15"/>
  <c r="P38" i="14"/>
  <c r="P32" i="14"/>
  <c r="B41" i="14"/>
  <c r="B24" i="14"/>
  <c r="B17" i="14"/>
  <c r="P37" i="14" l="1"/>
  <c r="K1943" i="12" l="1"/>
  <c r="I1940" i="12"/>
  <c r="J1940" i="12"/>
  <c r="K1940" i="12"/>
  <c r="L1940" i="12" s="1"/>
  <c r="L1943" i="12"/>
  <c r="I1943" i="12"/>
  <c r="J1943" i="12"/>
  <c r="E7" i="1"/>
  <c r="F6" i="13"/>
  <c r="G6" i="13" s="1"/>
  <c r="F8" i="14" l="1"/>
  <c r="AO7" i="1"/>
  <c r="E41" i="1"/>
  <c r="F3" i="13"/>
  <c r="G3" i="13" s="1"/>
  <c r="F4" i="13"/>
  <c r="G4" i="13" s="1"/>
  <c r="H3" i="13"/>
  <c r="H4" i="13"/>
  <c r="H5" i="13"/>
  <c r="H6" i="13"/>
  <c r="H7" i="13"/>
  <c r="H2" i="13"/>
  <c r="F5" i="13"/>
  <c r="G5" i="13" s="1"/>
  <c r="F7" i="13"/>
  <c r="F2" i="13"/>
  <c r="K3" i="12"/>
  <c r="L3" i="12" s="1"/>
  <c r="K4" i="12"/>
  <c r="L4" i="12" s="1"/>
  <c r="K5" i="12"/>
  <c r="L5" i="12" s="1"/>
  <c r="K6" i="12"/>
  <c r="L6" i="12" s="1"/>
  <c r="K7" i="12"/>
  <c r="L7" i="12" s="1"/>
  <c r="K8" i="12"/>
  <c r="L8" i="12" s="1"/>
  <c r="K9" i="12"/>
  <c r="L9" i="12" s="1"/>
  <c r="K10" i="12"/>
  <c r="L10" i="12" s="1"/>
  <c r="K11" i="12"/>
  <c r="L11" i="12" s="1"/>
  <c r="K12" i="12"/>
  <c r="L12" i="12" s="1"/>
  <c r="K13" i="12"/>
  <c r="L13" i="12" s="1"/>
  <c r="K14" i="12"/>
  <c r="L14" i="12" s="1"/>
  <c r="K15" i="12"/>
  <c r="L15" i="12" s="1"/>
  <c r="K16" i="12"/>
  <c r="L16" i="12" s="1"/>
  <c r="K17" i="12"/>
  <c r="K18" i="12"/>
  <c r="L18" i="12" s="1"/>
  <c r="K19" i="12"/>
  <c r="L19" i="12" s="1"/>
  <c r="K20" i="12"/>
  <c r="L20" i="12" s="1"/>
  <c r="K21" i="12"/>
  <c r="L21" i="12" s="1"/>
  <c r="K22" i="12"/>
  <c r="L22" i="12" s="1"/>
  <c r="K25" i="12"/>
  <c r="L25" i="12" s="1"/>
  <c r="K26" i="12"/>
  <c r="L26" i="12" s="1"/>
  <c r="K27" i="12"/>
  <c r="L27" i="12" s="1"/>
  <c r="K28" i="12"/>
  <c r="L28" i="12" s="1"/>
  <c r="K29" i="12"/>
  <c r="L29" i="12" s="1"/>
  <c r="K30" i="12"/>
  <c r="L30" i="12" s="1"/>
  <c r="K31" i="12"/>
  <c r="L31" i="12" s="1"/>
  <c r="K32" i="12"/>
  <c r="L32" i="12" s="1"/>
  <c r="K33" i="12"/>
  <c r="L33" i="12" s="1"/>
  <c r="K34" i="12"/>
  <c r="L34" i="12" s="1"/>
  <c r="K35" i="12"/>
  <c r="L35" i="12" s="1"/>
  <c r="K36" i="12"/>
  <c r="L36" i="12" s="1"/>
  <c r="K37" i="12"/>
  <c r="L37" i="12" s="1"/>
  <c r="K38" i="12"/>
  <c r="L38" i="12" s="1"/>
  <c r="K39" i="12"/>
  <c r="L39" i="12" s="1"/>
  <c r="K40" i="12"/>
  <c r="L40" i="12" s="1"/>
  <c r="K41" i="12"/>
  <c r="L41" i="12" s="1"/>
  <c r="K42" i="12"/>
  <c r="L42" i="12" s="1"/>
  <c r="K43" i="12"/>
  <c r="L43" i="12" s="1"/>
  <c r="K44" i="12"/>
  <c r="L44" i="12" s="1"/>
  <c r="K45" i="12"/>
  <c r="L45" i="12" s="1"/>
  <c r="K46" i="12"/>
  <c r="L46" i="12" s="1"/>
  <c r="K47" i="12"/>
  <c r="L47" i="12" s="1"/>
  <c r="K48" i="12"/>
  <c r="L48" i="12" s="1"/>
  <c r="K49" i="12"/>
  <c r="L49" i="12" s="1"/>
  <c r="K50" i="12"/>
  <c r="L50" i="12" s="1"/>
  <c r="K51" i="12"/>
  <c r="L51" i="12" s="1"/>
  <c r="K52" i="12"/>
  <c r="L52" i="12" s="1"/>
  <c r="K53" i="12"/>
  <c r="L53" i="12" s="1"/>
  <c r="K54" i="12"/>
  <c r="L54" i="12" s="1"/>
  <c r="K55" i="12"/>
  <c r="L55" i="12" s="1"/>
  <c r="K56" i="12"/>
  <c r="L56" i="12" s="1"/>
  <c r="K57" i="12"/>
  <c r="L57" i="12" s="1"/>
  <c r="K58" i="12"/>
  <c r="K59" i="12"/>
  <c r="L59" i="12" s="1"/>
  <c r="K60" i="12"/>
  <c r="L60" i="12" s="1"/>
  <c r="K61" i="12"/>
  <c r="L61" i="12" s="1"/>
  <c r="K62" i="12"/>
  <c r="L62" i="12" s="1"/>
  <c r="K63" i="12"/>
  <c r="L63" i="12" s="1"/>
  <c r="K64" i="12"/>
  <c r="L64" i="12" s="1"/>
  <c r="K65" i="12"/>
  <c r="L65" i="12" s="1"/>
  <c r="K66" i="12"/>
  <c r="L66" i="12" s="1"/>
  <c r="K67" i="12"/>
  <c r="L67" i="12" s="1"/>
  <c r="K68" i="12"/>
  <c r="L68" i="12" s="1"/>
  <c r="K69" i="12"/>
  <c r="L69" i="12" s="1"/>
  <c r="K70" i="12"/>
  <c r="L70" i="12" s="1"/>
  <c r="K71" i="12"/>
  <c r="L71" i="12" s="1"/>
  <c r="K72" i="12"/>
  <c r="L72" i="12" s="1"/>
  <c r="K73" i="12"/>
  <c r="L73" i="12" s="1"/>
  <c r="K74" i="12"/>
  <c r="L74" i="12" s="1"/>
  <c r="K75" i="12"/>
  <c r="L75" i="12" s="1"/>
  <c r="K76" i="12"/>
  <c r="L76" i="12" s="1"/>
  <c r="K77" i="12"/>
  <c r="L77" i="12" s="1"/>
  <c r="K78" i="12"/>
  <c r="L78" i="12" s="1"/>
  <c r="K79" i="12"/>
  <c r="L79" i="12" s="1"/>
  <c r="K80" i="12"/>
  <c r="L80" i="12" s="1"/>
  <c r="K81" i="12"/>
  <c r="L81" i="12" s="1"/>
  <c r="K82" i="12"/>
  <c r="L82" i="12" s="1"/>
  <c r="K83" i="12"/>
  <c r="L83" i="12" s="1"/>
  <c r="K84" i="12"/>
  <c r="L84" i="12" s="1"/>
  <c r="K85" i="12"/>
  <c r="L85" i="12" s="1"/>
  <c r="K86" i="12"/>
  <c r="L86" i="12" s="1"/>
  <c r="K87" i="12"/>
  <c r="L87" i="12" s="1"/>
  <c r="K88" i="12"/>
  <c r="L88" i="12" s="1"/>
  <c r="K89" i="12"/>
  <c r="L89" i="12" s="1"/>
  <c r="K90" i="12"/>
  <c r="L90" i="12" s="1"/>
  <c r="K91" i="12"/>
  <c r="L91" i="12" s="1"/>
  <c r="K92" i="12"/>
  <c r="L92" i="12" s="1"/>
  <c r="K93" i="12"/>
  <c r="L93" i="12" s="1"/>
  <c r="K94" i="12"/>
  <c r="L94" i="12" s="1"/>
  <c r="K95" i="12"/>
  <c r="L95" i="12" s="1"/>
  <c r="K96" i="12"/>
  <c r="L96" i="12" s="1"/>
  <c r="K97" i="12"/>
  <c r="L97" i="12" s="1"/>
  <c r="K98" i="12"/>
  <c r="L98" i="12" s="1"/>
  <c r="K99" i="12"/>
  <c r="L99" i="12" s="1"/>
  <c r="K100" i="12"/>
  <c r="L100" i="12" s="1"/>
  <c r="K101" i="12"/>
  <c r="L101" i="12" s="1"/>
  <c r="K102" i="12"/>
  <c r="L102" i="12" s="1"/>
  <c r="K103" i="12"/>
  <c r="L103" i="12" s="1"/>
  <c r="K104" i="12"/>
  <c r="L104" i="12" s="1"/>
  <c r="K105" i="12"/>
  <c r="L105" i="12" s="1"/>
  <c r="K106" i="12"/>
  <c r="L106" i="12" s="1"/>
  <c r="K107" i="12"/>
  <c r="L107" i="12" s="1"/>
  <c r="K108" i="12"/>
  <c r="L108" i="12" s="1"/>
  <c r="K109" i="12"/>
  <c r="L109" i="12" s="1"/>
  <c r="K110" i="12"/>
  <c r="L110" i="12" s="1"/>
  <c r="K111" i="12"/>
  <c r="L111" i="12" s="1"/>
  <c r="K112" i="12"/>
  <c r="L112" i="12" s="1"/>
  <c r="K113" i="12"/>
  <c r="L113" i="12" s="1"/>
  <c r="K114" i="12"/>
  <c r="L114" i="12" s="1"/>
  <c r="K115" i="12"/>
  <c r="L115" i="12" s="1"/>
  <c r="K116" i="12"/>
  <c r="L116" i="12" s="1"/>
  <c r="K117" i="12"/>
  <c r="L117" i="12" s="1"/>
  <c r="K118" i="12"/>
  <c r="L118" i="12" s="1"/>
  <c r="K119" i="12"/>
  <c r="L119" i="12" s="1"/>
  <c r="K120" i="12"/>
  <c r="L120" i="12" s="1"/>
  <c r="K121" i="12"/>
  <c r="L121" i="12" s="1"/>
  <c r="K122" i="12"/>
  <c r="L122" i="12" s="1"/>
  <c r="K123" i="12"/>
  <c r="L123" i="12" s="1"/>
  <c r="K124" i="12"/>
  <c r="L124" i="12" s="1"/>
  <c r="K125" i="12"/>
  <c r="L125" i="12" s="1"/>
  <c r="K126" i="12"/>
  <c r="L126" i="12" s="1"/>
  <c r="K127" i="12"/>
  <c r="L127" i="12" s="1"/>
  <c r="K128" i="12"/>
  <c r="L128" i="12" s="1"/>
  <c r="K129" i="12"/>
  <c r="L129" i="12" s="1"/>
  <c r="K130" i="12"/>
  <c r="L130" i="12" s="1"/>
  <c r="K131" i="12"/>
  <c r="L131" i="12" s="1"/>
  <c r="K132" i="12"/>
  <c r="L132" i="12" s="1"/>
  <c r="K133" i="12"/>
  <c r="L133" i="12" s="1"/>
  <c r="K134" i="12"/>
  <c r="L134" i="12" s="1"/>
  <c r="K135" i="12"/>
  <c r="L135" i="12" s="1"/>
  <c r="K136" i="12"/>
  <c r="L136" i="12" s="1"/>
  <c r="K137" i="12"/>
  <c r="L137" i="12" s="1"/>
  <c r="K138" i="12"/>
  <c r="L138" i="12" s="1"/>
  <c r="K139" i="12"/>
  <c r="L139" i="12" s="1"/>
  <c r="K140" i="12"/>
  <c r="L140" i="12" s="1"/>
  <c r="K141" i="12"/>
  <c r="L141" i="12" s="1"/>
  <c r="K142" i="12"/>
  <c r="L142" i="12" s="1"/>
  <c r="K143" i="12"/>
  <c r="L143" i="12" s="1"/>
  <c r="K144" i="12"/>
  <c r="L144" i="12" s="1"/>
  <c r="K145" i="12"/>
  <c r="L145" i="12" s="1"/>
  <c r="K146" i="12"/>
  <c r="L146" i="12" s="1"/>
  <c r="K147" i="12"/>
  <c r="L147" i="12" s="1"/>
  <c r="K148" i="12"/>
  <c r="L148" i="12" s="1"/>
  <c r="K149" i="12"/>
  <c r="L149" i="12" s="1"/>
  <c r="K150" i="12"/>
  <c r="L150" i="12" s="1"/>
  <c r="K151" i="12"/>
  <c r="L151" i="12" s="1"/>
  <c r="K152" i="12"/>
  <c r="L152" i="12" s="1"/>
  <c r="K153" i="12"/>
  <c r="L153" i="12" s="1"/>
  <c r="K154" i="12"/>
  <c r="L154" i="12" s="1"/>
  <c r="K155" i="12"/>
  <c r="L155" i="12" s="1"/>
  <c r="K156" i="12"/>
  <c r="L156" i="12" s="1"/>
  <c r="K157" i="12"/>
  <c r="L157" i="12" s="1"/>
  <c r="K158" i="12"/>
  <c r="L158" i="12" s="1"/>
  <c r="K159" i="12"/>
  <c r="L159" i="12" s="1"/>
  <c r="K160" i="12"/>
  <c r="L160" i="12" s="1"/>
  <c r="K161" i="12"/>
  <c r="L161" i="12" s="1"/>
  <c r="K162" i="12"/>
  <c r="L162" i="12" s="1"/>
  <c r="K163" i="12"/>
  <c r="L163" i="12" s="1"/>
  <c r="K164" i="12"/>
  <c r="L164" i="12" s="1"/>
  <c r="K165" i="12"/>
  <c r="L165" i="12" s="1"/>
  <c r="K166" i="12"/>
  <c r="L166" i="12" s="1"/>
  <c r="K167" i="12"/>
  <c r="L167" i="12" s="1"/>
  <c r="K168" i="12"/>
  <c r="L168" i="12" s="1"/>
  <c r="K169" i="12"/>
  <c r="L169" i="12" s="1"/>
  <c r="K170" i="12"/>
  <c r="L170" i="12" s="1"/>
  <c r="K171" i="12"/>
  <c r="L171" i="12" s="1"/>
  <c r="K172" i="12"/>
  <c r="L172" i="12" s="1"/>
  <c r="K173" i="12"/>
  <c r="L173" i="12" s="1"/>
  <c r="K174" i="12"/>
  <c r="L174" i="12" s="1"/>
  <c r="K175" i="12"/>
  <c r="L175" i="12" s="1"/>
  <c r="K176" i="12"/>
  <c r="L176" i="12" s="1"/>
  <c r="K177" i="12"/>
  <c r="L177" i="12" s="1"/>
  <c r="K178" i="12"/>
  <c r="L178" i="12" s="1"/>
  <c r="K179" i="12"/>
  <c r="L179" i="12" s="1"/>
  <c r="K180" i="12"/>
  <c r="L180" i="12" s="1"/>
  <c r="K181" i="12"/>
  <c r="L181" i="12" s="1"/>
  <c r="K182" i="12"/>
  <c r="L182" i="12" s="1"/>
  <c r="K183" i="12"/>
  <c r="L183" i="12" s="1"/>
  <c r="K184" i="12"/>
  <c r="L184" i="12" s="1"/>
  <c r="K185" i="12"/>
  <c r="L185" i="12" s="1"/>
  <c r="K186" i="12"/>
  <c r="L186" i="12" s="1"/>
  <c r="K187" i="12"/>
  <c r="L187" i="12" s="1"/>
  <c r="K188" i="12"/>
  <c r="L188" i="12" s="1"/>
  <c r="K189" i="12"/>
  <c r="L189" i="12" s="1"/>
  <c r="K190" i="12"/>
  <c r="L190" i="12" s="1"/>
  <c r="K191" i="12"/>
  <c r="L191" i="12" s="1"/>
  <c r="K192" i="12"/>
  <c r="L192" i="12" s="1"/>
  <c r="K193" i="12"/>
  <c r="L193" i="12" s="1"/>
  <c r="K194" i="12"/>
  <c r="L194" i="12" s="1"/>
  <c r="K195" i="12"/>
  <c r="L195" i="12" s="1"/>
  <c r="K196" i="12"/>
  <c r="L196" i="12" s="1"/>
  <c r="K197" i="12"/>
  <c r="L197" i="12" s="1"/>
  <c r="K198" i="12"/>
  <c r="L198" i="12" s="1"/>
  <c r="K199" i="12"/>
  <c r="L199" i="12" s="1"/>
  <c r="K200" i="12"/>
  <c r="L200" i="12" s="1"/>
  <c r="K201" i="12"/>
  <c r="L201" i="12" s="1"/>
  <c r="K202" i="12"/>
  <c r="L202" i="12" s="1"/>
  <c r="K203" i="12"/>
  <c r="L203" i="12" s="1"/>
  <c r="K204" i="12"/>
  <c r="L204" i="12" s="1"/>
  <c r="K205" i="12"/>
  <c r="L205" i="12" s="1"/>
  <c r="K206" i="12"/>
  <c r="L206" i="12" s="1"/>
  <c r="K207" i="12"/>
  <c r="L207" i="12" s="1"/>
  <c r="K208" i="12"/>
  <c r="L208" i="12" s="1"/>
  <c r="K209" i="12"/>
  <c r="L209" i="12" s="1"/>
  <c r="K210" i="12"/>
  <c r="L210" i="12" s="1"/>
  <c r="K211" i="12"/>
  <c r="L211" i="12" s="1"/>
  <c r="K212" i="12"/>
  <c r="L212" i="12" s="1"/>
  <c r="K213" i="12"/>
  <c r="L213" i="12" s="1"/>
  <c r="K214" i="12"/>
  <c r="L214" i="12" s="1"/>
  <c r="K215" i="12"/>
  <c r="L215" i="12" s="1"/>
  <c r="K216" i="12"/>
  <c r="L216" i="12" s="1"/>
  <c r="K217" i="12"/>
  <c r="L217" i="12" s="1"/>
  <c r="K218" i="12"/>
  <c r="L218" i="12" s="1"/>
  <c r="K219" i="12"/>
  <c r="L219" i="12" s="1"/>
  <c r="K220" i="12"/>
  <c r="L220" i="12" s="1"/>
  <c r="K221" i="12"/>
  <c r="L221" i="12" s="1"/>
  <c r="K222" i="12"/>
  <c r="L222" i="12" s="1"/>
  <c r="K223" i="12"/>
  <c r="L223" i="12" s="1"/>
  <c r="K224" i="12"/>
  <c r="L224" i="12" s="1"/>
  <c r="K225" i="12"/>
  <c r="L225" i="12" s="1"/>
  <c r="K226" i="12"/>
  <c r="L226" i="12" s="1"/>
  <c r="K227" i="12"/>
  <c r="L227" i="12" s="1"/>
  <c r="K228" i="12"/>
  <c r="L228" i="12" s="1"/>
  <c r="K229" i="12"/>
  <c r="L229" i="12" s="1"/>
  <c r="K230" i="12"/>
  <c r="L230" i="12" s="1"/>
  <c r="K231" i="12"/>
  <c r="L231" i="12" s="1"/>
  <c r="K232" i="12"/>
  <c r="L232" i="12" s="1"/>
  <c r="K233" i="12"/>
  <c r="L233" i="12" s="1"/>
  <c r="K234" i="12"/>
  <c r="L234" i="12" s="1"/>
  <c r="K235" i="12"/>
  <c r="L235" i="12" s="1"/>
  <c r="K236" i="12"/>
  <c r="L236" i="12" s="1"/>
  <c r="K237" i="12"/>
  <c r="L237" i="12" s="1"/>
  <c r="K238" i="12"/>
  <c r="L238" i="12" s="1"/>
  <c r="K239" i="12"/>
  <c r="L239" i="12" s="1"/>
  <c r="K240" i="12"/>
  <c r="L240" i="12" s="1"/>
  <c r="K241" i="12"/>
  <c r="L241" i="12" s="1"/>
  <c r="K242" i="12"/>
  <c r="L242" i="12" s="1"/>
  <c r="K243" i="12"/>
  <c r="L243" i="12" s="1"/>
  <c r="K244" i="12"/>
  <c r="L244" i="12" s="1"/>
  <c r="L245" i="12"/>
  <c r="K246" i="12"/>
  <c r="L246" i="12" s="1"/>
  <c r="K247" i="12"/>
  <c r="L247" i="12" s="1"/>
  <c r="K248" i="12"/>
  <c r="L248" i="12" s="1"/>
  <c r="K249" i="12"/>
  <c r="L249" i="12" s="1"/>
  <c r="K250" i="12"/>
  <c r="L250" i="12" s="1"/>
  <c r="K251" i="12"/>
  <c r="L251" i="12" s="1"/>
  <c r="K252" i="12"/>
  <c r="L252" i="12" s="1"/>
  <c r="K253" i="12"/>
  <c r="L253" i="12" s="1"/>
  <c r="K254" i="12"/>
  <c r="L254" i="12" s="1"/>
  <c r="K255" i="12"/>
  <c r="L255" i="12" s="1"/>
  <c r="K256" i="12"/>
  <c r="L256" i="12" s="1"/>
  <c r="K257" i="12"/>
  <c r="L257" i="12" s="1"/>
  <c r="K258" i="12"/>
  <c r="L258" i="12" s="1"/>
  <c r="K259" i="12"/>
  <c r="L259" i="12" s="1"/>
  <c r="K260" i="12"/>
  <c r="L260" i="12" s="1"/>
  <c r="K261" i="12"/>
  <c r="L261" i="12" s="1"/>
  <c r="K262" i="12"/>
  <c r="L262" i="12" s="1"/>
  <c r="K263" i="12"/>
  <c r="L263" i="12" s="1"/>
  <c r="K264" i="12"/>
  <c r="L264" i="12" s="1"/>
  <c r="K265" i="12"/>
  <c r="L265" i="12" s="1"/>
  <c r="K266" i="12"/>
  <c r="L266" i="12" s="1"/>
  <c r="K267" i="12"/>
  <c r="L267" i="12" s="1"/>
  <c r="K268" i="12"/>
  <c r="L268" i="12" s="1"/>
  <c r="K269" i="12"/>
  <c r="L269" i="12" s="1"/>
  <c r="K270" i="12"/>
  <c r="L270" i="12" s="1"/>
  <c r="K271" i="12"/>
  <c r="L271" i="12" s="1"/>
  <c r="K272" i="12"/>
  <c r="L272" i="12" s="1"/>
  <c r="K273" i="12"/>
  <c r="L273" i="12" s="1"/>
  <c r="K274" i="12"/>
  <c r="L274" i="12" s="1"/>
  <c r="K275" i="12"/>
  <c r="L275" i="12" s="1"/>
  <c r="K276" i="12"/>
  <c r="L276" i="12" s="1"/>
  <c r="K277" i="12"/>
  <c r="L277" i="12" s="1"/>
  <c r="K278" i="12"/>
  <c r="L278" i="12" s="1"/>
  <c r="K279" i="12"/>
  <c r="L279" i="12" s="1"/>
  <c r="K280" i="12"/>
  <c r="L280" i="12" s="1"/>
  <c r="K281" i="12"/>
  <c r="L281" i="12" s="1"/>
  <c r="K282" i="12"/>
  <c r="L282" i="12" s="1"/>
  <c r="K283" i="12"/>
  <c r="L283" i="12" s="1"/>
  <c r="K284" i="12"/>
  <c r="L284" i="12" s="1"/>
  <c r="K285" i="12"/>
  <c r="L285" i="12" s="1"/>
  <c r="K286" i="12"/>
  <c r="L286" i="12" s="1"/>
  <c r="K287" i="12"/>
  <c r="L287" i="12" s="1"/>
  <c r="K288" i="12"/>
  <c r="L288" i="12" s="1"/>
  <c r="K289" i="12"/>
  <c r="L289" i="12" s="1"/>
  <c r="K290" i="12"/>
  <c r="L290" i="12" s="1"/>
  <c r="K291" i="12"/>
  <c r="L291" i="12" s="1"/>
  <c r="K292" i="12"/>
  <c r="L292" i="12" s="1"/>
  <c r="K293" i="12"/>
  <c r="L293" i="12" s="1"/>
  <c r="K294" i="12"/>
  <c r="L294" i="12" s="1"/>
  <c r="K295" i="12"/>
  <c r="L295" i="12" s="1"/>
  <c r="K296" i="12"/>
  <c r="L296" i="12" s="1"/>
  <c r="K297" i="12"/>
  <c r="L297" i="12" s="1"/>
  <c r="K298" i="12"/>
  <c r="L298" i="12" s="1"/>
  <c r="K299" i="12"/>
  <c r="L299" i="12" s="1"/>
  <c r="K300" i="12"/>
  <c r="L300" i="12" s="1"/>
  <c r="K301" i="12"/>
  <c r="L301" i="12" s="1"/>
  <c r="K302" i="12"/>
  <c r="L302" i="12" s="1"/>
  <c r="K303" i="12"/>
  <c r="L303" i="12" s="1"/>
  <c r="K304" i="12"/>
  <c r="L304" i="12" s="1"/>
  <c r="K305" i="12"/>
  <c r="L305" i="12" s="1"/>
  <c r="K306" i="12"/>
  <c r="L306" i="12" s="1"/>
  <c r="K307" i="12"/>
  <c r="L307" i="12" s="1"/>
  <c r="K308" i="12"/>
  <c r="L308" i="12" s="1"/>
  <c r="K309" i="12"/>
  <c r="L309" i="12" s="1"/>
  <c r="K310" i="12"/>
  <c r="L310" i="12" s="1"/>
  <c r="K311" i="12"/>
  <c r="L311" i="12" s="1"/>
  <c r="K312" i="12"/>
  <c r="L312" i="12" s="1"/>
  <c r="K313" i="12"/>
  <c r="L313" i="12" s="1"/>
  <c r="K314" i="12"/>
  <c r="L314" i="12" s="1"/>
  <c r="K315" i="12"/>
  <c r="L315" i="12" s="1"/>
  <c r="K316" i="12"/>
  <c r="L316" i="12" s="1"/>
  <c r="K317" i="12"/>
  <c r="L317" i="12" s="1"/>
  <c r="K318" i="12"/>
  <c r="L318" i="12" s="1"/>
  <c r="K319" i="12"/>
  <c r="L319" i="12" s="1"/>
  <c r="K320" i="12"/>
  <c r="L320" i="12" s="1"/>
  <c r="K321" i="12"/>
  <c r="L321" i="12" s="1"/>
  <c r="K322" i="12"/>
  <c r="L322" i="12" s="1"/>
  <c r="K323" i="12"/>
  <c r="L323" i="12" s="1"/>
  <c r="K324" i="12"/>
  <c r="L324" i="12" s="1"/>
  <c r="K325" i="12"/>
  <c r="L325" i="12" s="1"/>
  <c r="K326" i="12"/>
  <c r="L326" i="12" s="1"/>
  <c r="K327" i="12"/>
  <c r="L327" i="12" s="1"/>
  <c r="K328" i="12"/>
  <c r="L328" i="12" s="1"/>
  <c r="K329" i="12"/>
  <c r="L329" i="12" s="1"/>
  <c r="K330" i="12"/>
  <c r="L330" i="12" s="1"/>
  <c r="K331" i="12"/>
  <c r="L331" i="12" s="1"/>
  <c r="K332" i="12"/>
  <c r="L332" i="12" s="1"/>
  <c r="K333" i="12"/>
  <c r="L333" i="12" s="1"/>
  <c r="K334" i="12"/>
  <c r="L334" i="12" s="1"/>
  <c r="K335" i="12"/>
  <c r="L335" i="12" s="1"/>
  <c r="K336" i="12"/>
  <c r="L336" i="12" s="1"/>
  <c r="K337" i="12"/>
  <c r="L337" i="12" s="1"/>
  <c r="K338" i="12"/>
  <c r="L338" i="12" s="1"/>
  <c r="K339" i="12"/>
  <c r="L339" i="12" s="1"/>
  <c r="K340" i="12"/>
  <c r="L340" i="12" s="1"/>
  <c r="K341" i="12"/>
  <c r="L341" i="12" s="1"/>
  <c r="K342" i="12"/>
  <c r="L342" i="12" s="1"/>
  <c r="K343" i="12"/>
  <c r="L343" i="12" s="1"/>
  <c r="K344" i="12"/>
  <c r="L344" i="12" s="1"/>
  <c r="K345" i="12"/>
  <c r="L345" i="12" s="1"/>
  <c r="K346" i="12"/>
  <c r="L346" i="12" s="1"/>
  <c r="K347" i="12"/>
  <c r="L347" i="12" s="1"/>
  <c r="K348" i="12"/>
  <c r="L348" i="12" s="1"/>
  <c r="K349" i="12"/>
  <c r="L349" i="12" s="1"/>
  <c r="K350" i="12"/>
  <c r="L350" i="12" s="1"/>
  <c r="K351" i="12"/>
  <c r="L351" i="12" s="1"/>
  <c r="K352" i="12"/>
  <c r="L352" i="12" s="1"/>
  <c r="K353" i="12"/>
  <c r="L353" i="12" s="1"/>
  <c r="K354" i="12"/>
  <c r="L354" i="12" s="1"/>
  <c r="K355" i="12"/>
  <c r="L355" i="12" s="1"/>
  <c r="K356" i="12"/>
  <c r="L356" i="12" s="1"/>
  <c r="K357" i="12"/>
  <c r="L357" i="12" s="1"/>
  <c r="K358" i="12"/>
  <c r="L358" i="12" s="1"/>
  <c r="K359" i="12"/>
  <c r="L359" i="12" s="1"/>
  <c r="K360" i="12"/>
  <c r="L360" i="12" s="1"/>
  <c r="K361" i="12"/>
  <c r="L361" i="12" s="1"/>
  <c r="K362" i="12"/>
  <c r="L362" i="12" s="1"/>
  <c r="K363" i="12"/>
  <c r="L363" i="12" s="1"/>
  <c r="K364" i="12"/>
  <c r="L364" i="12" s="1"/>
  <c r="K365" i="12"/>
  <c r="L365" i="12" s="1"/>
  <c r="K366" i="12"/>
  <c r="L366" i="12" s="1"/>
  <c r="K367" i="12"/>
  <c r="L367" i="12" s="1"/>
  <c r="K368" i="12"/>
  <c r="L368" i="12" s="1"/>
  <c r="K369" i="12"/>
  <c r="L369" i="12" s="1"/>
  <c r="K370" i="12"/>
  <c r="L370" i="12" s="1"/>
  <c r="K371" i="12"/>
  <c r="L371" i="12" s="1"/>
  <c r="K372" i="12"/>
  <c r="L372" i="12" s="1"/>
  <c r="K373" i="12"/>
  <c r="L373" i="12" s="1"/>
  <c r="K374" i="12"/>
  <c r="L374" i="12" s="1"/>
  <c r="K375" i="12"/>
  <c r="L375" i="12" s="1"/>
  <c r="K376" i="12"/>
  <c r="L376" i="12" s="1"/>
  <c r="K377" i="12"/>
  <c r="L377" i="12" s="1"/>
  <c r="K378" i="12"/>
  <c r="L378" i="12" s="1"/>
  <c r="K379" i="12"/>
  <c r="L379" i="12" s="1"/>
  <c r="K380" i="12"/>
  <c r="L380" i="12" s="1"/>
  <c r="K381" i="12"/>
  <c r="L381" i="12" s="1"/>
  <c r="K382" i="12"/>
  <c r="L382" i="12" s="1"/>
  <c r="K383" i="12"/>
  <c r="L383" i="12" s="1"/>
  <c r="K384" i="12"/>
  <c r="L384" i="12" s="1"/>
  <c r="K385" i="12"/>
  <c r="L385" i="12" s="1"/>
  <c r="K386" i="12"/>
  <c r="L386" i="12" s="1"/>
  <c r="K387" i="12"/>
  <c r="L387" i="12" s="1"/>
  <c r="K388" i="12"/>
  <c r="L388" i="12" s="1"/>
  <c r="K389" i="12"/>
  <c r="L389" i="12" s="1"/>
  <c r="K390" i="12"/>
  <c r="L390" i="12" s="1"/>
  <c r="K391" i="12"/>
  <c r="L391" i="12" s="1"/>
  <c r="K392" i="12"/>
  <c r="L392" i="12" s="1"/>
  <c r="K393" i="12"/>
  <c r="L393" i="12" s="1"/>
  <c r="K394" i="12"/>
  <c r="L394" i="12" s="1"/>
  <c r="K395" i="12"/>
  <c r="L395" i="12" s="1"/>
  <c r="K396" i="12"/>
  <c r="L396" i="12" s="1"/>
  <c r="K397" i="12"/>
  <c r="L397" i="12" s="1"/>
  <c r="K398" i="12"/>
  <c r="L398" i="12" s="1"/>
  <c r="K399" i="12"/>
  <c r="L399" i="12" s="1"/>
  <c r="K400" i="12"/>
  <c r="L400" i="12" s="1"/>
  <c r="K401" i="12"/>
  <c r="L401" i="12" s="1"/>
  <c r="K402" i="12"/>
  <c r="L402" i="12" s="1"/>
  <c r="K403" i="12"/>
  <c r="L403" i="12" s="1"/>
  <c r="K404" i="12"/>
  <c r="L404" i="12" s="1"/>
  <c r="K405" i="12"/>
  <c r="L405" i="12" s="1"/>
  <c r="K406" i="12"/>
  <c r="L406" i="12" s="1"/>
  <c r="K407" i="12"/>
  <c r="L407" i="12" s="1"/>
  <c r="K408" i="12"/>
  <c r="L408" i="12" s="1"/>
  <c r="K409" i="12"/>
  <c r="L409" i="12" s="1"/>
  <c r="K410" i="12"/>
  <c r="L410" i="12" s="1"/>
  <c r="K411" i="12"/>
  <c r="L411" i="12" s="1"/>
  <c r="K412" i="12"/>
  <c r="L412" i="12" s="1"/>
  <c r="K413" i="12"/>
  <c r="L413" i="12" s="1"/>
  <c r="K414" i="12"/>
  <c r="L414" i="12" s="1"/>
  <c r="K415" i="12"/>
  <c r="L415" i="12" s="1"/>
  <c r="K416" i="12"/>
  <c r="L416" i="12" s="1"/>
  <c r="K417" i="12"/>
  <c r="L417" i="12" s="1"/>
  <c r="K418" i="12"/>
  <c r="L418" i="12" s="1"/>
  <c r="K419" i="12"/>
  <c r="L419" i="12" s="1"/>
  <c r="K420" i="12"/>
  <c r="L420" i="12" s="1"/>
  <c r="K421" i="12"/>
  <c r="L421" i="12" s="1"/>
  <c r="K422" i="12"/>
  <c r="L422" i="12" s="1"/>
  <c r="K423" i="12"/>
  <c r="L423" i="12" s="1"/>
  <c r="K424" i="12"/>
  <c r="L424" i="12" s="1"/>
  <c r="K425" i="12"/>
  <c r="L425" i="12" s="1"/>
  <c r="K426" i="12"/>
  <c r="L426" i="12" s="1"/>
  <c r="K427" i="12"/>
  <c r="L427" i="12" s="1"/>
  <c r="K428" i="12"/>
  <c r="L428" i="12" s="1"/>
  <c r="K429" i="12"/>
  <c r="L429" i="12" s="1"/>
  <c r="K430" i="12"/>
  <c r="L430" i="12" s="1"/>
  <c r="K431" i="12"/>
  <c r="L431" i="12" s="1"/>
  <c r="K432" i="12"/>
  <c r="L432" i="12" s="1"/>
  <c r="K433" i="12"/>
  <c r="L433" i="12" s="1"/>
  <c r="K434" i="12"/>
  <c r="L434" i="12" s="1"/>
  <c r="K435" i="12"/>
  <c r="L435" i="12" s="1"/>
  <c r="K436" i="12"/>
  <c r="L436" i="12" s="1"/>
  <c r="K437" i="12"/>
  <c r="L437" i="12" s="1"/>
  <c r="K438" i="12"/>
  <c r="L438" i="12" s="1"/>
  <c r="K439" i="12"/>
  <c r="L439" i="12" s="1"/>
  <c r="K440" i="12"/>
  <c r="L440" i="12" s="1"/>
  <c r="K441" i="12"/>
  <c r="L441" i="12" s="1"/>
  <c r="K442" i="12"/>
  <c r="L442" i="12" s="1"/>
  <c r="K443" i="12"/>
  <c r="L443" i="12" s="1"/>
  <c r="K444" i="12"/>
  <c r="L444" i="12" s="1"/>
  <c r="K445" i="12"/>
  <c r="L445" i="12" s="1"/>
  <c r="K446" i="12"/>
  <c r="L446" i="12" s="1"/>
  <c r="K447" i="12"/>
  <c r="L447" i="12" s="1"/>
  <c r="K448" i="12"/>
  <c r="L448" i="12" s="1"/>
  <c r="K449" i="12"/>
  <c r="L449" i="12" s="1"/>
  <c r="K450" i="12"/>
  <c r="L450" i="12" s="1"/>
  <c r="K451" i="12"/>
  <c r="L451" i="12" s="1"/>
  <c r="K452" i="12"/>
  <c r="L452" i="12" s="1"/>
  <c r="K453" i="12"/>
  <c r="L453" i="12" s="1"/>
  <c r="K454" i="12"/>
  <c r="L454" i="12" s="1"/>
  <c r="K455" i="12"/>
  <c r="L455" i="12" s="1"/>
  <c r="K456" i="12"/>
  <c r="L456" i="12" s="1"/>
  <c r="K457" i="12"/>
  <c r="L457" i="12" s="1"/>
  <c r="K458" i="12"/>
  <c r="L458" i="12" s="1"/>
  <c r="K459" i="12"/>
  <c r="L459" i="12" s="1"/>
  <c r="K460" i="12"/>
  <c r="L460" i="12" s="1"/>
  <c r="K461" i="12"/>
  <c r="L461" i="12" s="1"/>
  <c r="K462" i="12"/>
  <c r="L462" i="12" s="1"/>
  <c r="K463" i="12"/>
  <c r="L463" i="12" s="1"/>
  <c r="K464" i="12"/>
  <c r="L464" i="12" s="1"/>
  <c r="K465" i="12"/>
  <c r="L465" i="12" s="1"/>
  <c r="K466" i="12"/>
  <c r="L466" i="12" s="1"/>
  <c r="K467" i="12"/>
  <c r="L467" i="12" s="1"/>
  <c r="K468" i="12"/>
  <c r="L468" i="12" s="1"/>
  <c r="K469" i="12"/>
  <c r="L469" i="12" s="1"/>
  <c r="K470" i="12"/>
  <c r="L470" i="12" s="1"/>
  <c r="K471" i="12"/>
  <c r="L471" i="12" s="1"/>
  <c r="K472" i="12"/>
  <c r="L472" i="12" s="1"/>
  <c r="K473" i="12"/>
  <c r="L473" i="12" s="1"/>
  <c r="K474" i="12"/>
  <c r="L474" i="12" s="1"/>
  <c r="K475" i="12"/>
  <c r="L475" i="12" s="1"/>
  <c r="K476" i="12"/>
  <c r="L476" i="12" s="1"/>
  <c r="K477" i="12"/>
  <c r="L477" i="12" s="1"/>
  <c r="K478" i="12"/>
  <c r="L478" i="12" s="1"/>
  <c r="K479" i="12"/>
  <c r="L479" i="12" s="1"/>
  <c r="K480" i="12"/>
  <c r="L480" i="12" s="1"/>
  <c r="K481" i="12"/>
  <c r="L481" i="12" s="1"/>
  <c r="K482" i="12"/>
  <c r="L482" i="12" s="1"/>
  <c r="K483" i="12"/>
  <c r="L483" i="12" s="1"/>
  <c r="K484" i="12"/>
  <c r="L484" i="12" s="1"/>
  <c r="K485" i="12"/>
  <c r="L485" i="12" s="1"/>
  <c r="K486" i="12"/>
  <c r="L486" i="12" s="1"/>
  <c r="K487" i="12"/>
  <c r="L487" i="12" s="1"/>
  <c r="K488" i="12"/>
  <c r="L488" i="12" s="1"/>
  <c r="K489" i="12"/>
  <c r="L489" i="12" s="1"/>
  <c r="K490" i="12"/>
  <c r="L490" i="12" s="1"/>
  <c r="K491" i="12"/>
  <c r="L491" i="12" s="1"/>
  <c r="K492" i="12"/>
  <c r="L492" i="12" s="1"/>
  <c r="K493" i="12"/>
  <c r="L493" i="12" s="1"/>
  <c r="K494" i="12"/>
  <c r="L494" i="12" s="1"/>
  <c r="K495" i="12"/>
  <c r="L495" i="12" s="1"/>
  <c r="K496" i="12"/>
  <c r="L496" i="12" s="1"/>
  <c r="K497" i="12"/>
  <c r="L497" i="12" s="1"/>
  <c r="K498" i="12"/>
  <c r="L498" i="12" s="1"/>
  <c r="K499" i="12"/>
  <c r="L499" i="12" s="1"/>
  <c r="K500" i="12"/>
  <c r="L500" i="12" s="1"/>
  <c r="K501" i="12"/>
  <c r="L501" i="12" s="1"/>
  <c r="K502" i="12"/>
  <c r="L502" i="12" s="1"/>
  <c r="K503" i="12"/>
  <c r="L503" i="12" s="1"/>
  <c r="K504" i="12"/>
  <c r="L504" i="12" s="1"/>
  <c r="K505" i="12"/>
  <c r="L505" i="12" s="1"/>
  <c r="K506" i="12"/>
  <c r="L506" i="12" s="1"/>
  <c r="K507" i="12"/>
  <c r="L507" i="12" s="1"/>
  <c r="K508" i="12"/>
  <c r="L508" i="12" s="1"/>
  <c r="K509" i="12"/>
  <c r="L509" i="12" s="1"/>
  <c r="K510" i="12"/>
  <c r="L510" i="12" s="1"/>
  <c r="K511" i="12"/>
  <c r="L511" i="12" s="1"/>
  <c r="K512" i="12"/>
  <c r="L512" i="12" s="1"/>
  <c r="K513" i="12"/>
  <c r="L513" i="12" s="1"/>
  <c r="K514" i="12"/>
  <c r="L514" i="12" s="1"/>
  <c r="K515" i="12"/>
  <c r="L515" i="12" s="1"/>
  <c r="K516" i="12"/>
  <c r="L516" i="12" s="1"/>
  <c r="K517" i="12"/>
  <c r="L517" i="12" s="1"/>
  <c r="K518" i="12"/>
  <c r="L518" i="12" s="1"/>
  <c r="K519" i="12"/>
  <c r="L519" i="12" s="1"/>
  <c r="K520" i="12"/>
  <c r="L520" i="12" s="1"/>
  <c r="K521" i="12"/>
  <c r="L521" i="12" s="1"/>
  <c r="K522" i="12"/>
  <c r="L522" i="12" s="1"/>
  <c r="K523" i="12"/>
  <c r="L523" i="12" s="1"/>
  <c r="K524" i="12"/>
  <c r="L524" i="12" s="1"/>
  <c r="K525" i="12"/>
  <c r="L525" i="12" s="1"/>
  <c r="K526" i="12"/>
  <c r="L526" i="12" s="1"/>
  <c r="K527" i="12"/>
  <c r="L527" i="12" s="1"/>
  <c r="K528" i="12"/>
  <c r="L528" i="12" s="1"/>
  <c r="K529" i="12"/>
  <c r="L529" i="12" s="1"/>
  <c r="K530" i="12"/>
  <c r="L530" i="12" s="1"/>
  <c r="K531" i="12"/>
  <c r="L531" i="12" s="1"/>
  <c r="K532" i="12"/>
  <c r="L532" i="12" s="1"/>
  <c r="K533" i="12"/>
  <c r="L533" i="12" s="1"/>
  <c r="K534" i="12"/>
  <c r="L534" i="12" s="1"/>
  <c r="K535" i="12"/>
  <c r="L535" i="12" s="1"/>
  <c r="K536" i="12"/>
  <c r="L536" i="12" s="1"/>
  <c r="K537" i="12"/>
  <c r="L537" i="12" s="1"/>
  <c r="K538" i="12"/>
  <c r="L538" i="12" s="1"/>
  <c r="K539" i="12"/>
  <c r="L539" i="12" s="1"/>
  <c r="K540" i="12"/>
  <c r="L540" i="12" s="1"/>
  <c r="K541" i="12"/>
  <c r="L541" i="12" s="1"/>
  <c r="K542" i="12"/>
  <c r="L542" i="12" s="1"/>
  <c r="K543" i="12"/>
  <c r="L543" i="12" s="1"/>
  <c r="K544" i="12"/>
  <c r="L544" i="12" s="1"/>
  <c r="K545" i="12"/>
  <c r="L545" i="12" s="1"/>
  <c r="K546" i="12"/>
  <c r="L546" i="12" s="1"/>
  <c r="K547" i="12"/>
  <c r="L547" i="12" s="1"/>
  <c r="K548" i="12"/>
  <c r="L548" i="12" s="1"/>
  <c r="K549" i="12"/>
  <c r="L549" i="12" s="1"/>
  <c r="K550" i="12"/>
  <c r="L550" i="12" s="1"/>
  <c r="K551" i="12"/>
  <c r="L551" i="12" s="1"/>
  <c r="K552" i="12"/>
  <c r="L552" i="12" s="1"/>
  <c r="K553" i="12"/>
  <c r="L553" i="12" s="1"/>
  <c r="K554" i="12"/>
  <c r="L554" i="12" s="1"/>
  <c r="K555" i="12"/>
  <c r="L555" i="12" s="1"/>
  <c r="K556" i="12"/>
  <c r="L556" i="12" s="1"/>
  <c r="K557" i="12"/>
  <c r="L557" i="12" s="1"/>
  <c r="K558" i="12"/>
  <c r="L558" i="12" s="1"/>
  <c r="K559" i="12"/>
  <c r="L559" i="12" s="1"/>
  <c r="K560" i="12"/>
  <c r="L560" i="12" s="1"/>
  <c r="K561" i="12"/>
  <c r="L561" i="12" s="1"/>
  <c r="K562" i="12"/>
  <c r="L562" i="12" s="1"/>
  <c r="K563" i="12"/>
  <c r="L563" i="12" s="1"/>
  <c r="K564" i="12"/>
  <c r="L564" i="12" s="1"/>
  <c r="K565" i="12"/>
  <c r="L565" i="12" s="1"/>
  <c r="K566" i="12"/>
  <c r="L566" i="12" s="1"/>
  <c r="K567" i="12"/>
  <c r="L567" i="12" s="1"/>
  <c r="K568" i="12"/>
  <c r="L568" i="12" s="1"/>
  <c r="K569" i="12"/>
  <c r="L569" i="12" s="1"/>
  <c r="K570" i="12"/>
  <c r="L570" i="12" s="1"/>
  <c r="K571" i="12"/>
  <c r="L571" i="12" s="1"/>
  <c r="K572" i="12"/>
  <c r="L572" i="12" s="1"/>
  <c r="K573" i="12"/>
  <c r="L573" i="12" s="1"/>
  <c r="K574" i="12"/>
  <c r="L574" i="12" s="1"/>
  <c r="K575" i="12"/>
  <c r="L575" i="12" s="1"/>
  <c r="K576" i="12"/>
  <c r="L576" i="12" s="1"/>
  <c r="K577" i="12"/>
  <c r="L577" i="12" s="1"/>
  <c r="K578" i="12"/>
  <c r="L578" i="12" s="1"/>
  <c r="K579" i="12"/>
  <c r="L579" i="12" s="1"/>
  <c r="K580" i="12"/>
  <c r="L580" i="12" s="1"/>
  <c r="K581" i="12"/>
  <c r="L581" i="12" s="1"/>
  <c r="K582" i="12"/>
  <c r="L582" i="12" s="1"/>
  <c r="K583" i="12"/>
  <c r="L583" i="12" s="1"/>
  <c r="K584" i="12"/>
  <c r="L584" i="12" s="1"/>
  <c r="K585" i="12"/>
  <c r="L585" i="12" s="1"/>
  <c r="K586" i="12"/>
  <c r="L586" i="12" s="1"/>
  <c r="K587" i="12"/>
  <c r="L587" i="12" s="1"/>
  <c r="K588" i="12"/>
  <c r="L588" i="12" s="1"/>
  <c r="K589" i="12"/>
  <c r="L589" i="12" s="1"/>
  <c r="K590" i="12"/>
  <c r="L590" i="12" s="1"/>
  <c r="K591" i="12"/>
  <c r="L591" i="12" s="1"/>
  <c r="K592" i="12"/>
  <c r="L592" i="12" s="1"/>
  <c r="K593" i="12"/>
  <c r="L593" i="12" s="1"/>
  <c r="K594" i="12"/>
  <c r="L594" i="12" s="1"/>
  <c r="K595" i="12"/>
  <c r="L595" i="12" s="1"/>
  <c r="K596" i="12"/>
  <c r="L596" i="12" s="1"/>
  <c r="K597" i="12"/>
  <c r="L597" i="12" s="1"/>
  <c r="K598" i="12"/>
  <c r="L598" i="12" s="1"/>
  <c r="K599" i="12"/>
  <c r="L599" i="12" s="1"/>
  <c r="K600" i="12"/>
  <c r="L600" i="12" s="1"/>
  <c r="K601" i="12"/>
  <c r="L601" i="12" s="1"/>
  <c r="K602" i="12"/>
  <c r="L602" i="12" s="1"/>
  <c r="K603" i="12"/>
  <c r="L603" i="12" s="1"/>
  <c r="K604" i="12"/>
  <c r="L604" i="12" s="1"/>
  <c r="K605" i="12"/>
  <c r="L605" i="12" s="1"/>
  <c r="K606" i="12"/>
  <c r="L606" i="12" s="1"/>
  <c r="K607" i="12"/>
  <c r="L607" i="12" s="1"/>
  <c r="K608" i="12"/>
  <c r="L608" i="12" s="1"/>
  <c r="K609" i="12"/>
  <c r="L609" i="12" s="1"/>
  <c r="K610" i="12"/>
  <c r="L610" i="12" s="1"/>
  <c r="K611" i="12"/>
  <c r="L611" i="12" s="1"/>
  <c r="K612" i="12"/>
  <c r="L612" i="12" s="1"/>
  <c r="K613" i="12"/>
  <c r="L613" i="12" s="1"/>
  <c r="K614" i="12"/>
  <c r="L614" i="12" s="1"/>
  <c r="K615" i="12"/>
  <c r="L615" i="12" s="1"/>
  <c r="K616" i="12"/>
  <c r="L616" i="12" s="1"/>
  <c r="K617" i="12"/>
  <c r="L617" i="12" s="1"/>
  <c r="K618" i="12"/>
  <c r="L618" i="12" s="1"/>
  <c r="K619" i="12"/>
  <c r="L619" i="12" s="1"/>
  <c r="K620" i="12"/>
  <c r="L620" i="12" s="1"/>
  <c r="K621" i="12"/>
  <c r="L621" i="12" s="1"/>
  <c r="K622" i="12"/>
  <c r="L622" i="12" s="1"/>
  <c r="K623" i="12"/>
  <c r="L623" i="12" s="1"/>
  <c r="K624" i="12"/>
  <c r="L624" i="12" s="1"/>
  <c r="K625" i="12"/>
  <c r="L625" i="12" s="1"/>
  <c r="K626" i="12"/>
  <c r="L626" i="12" s="1"/>
  <c r="K627" i="12"/>
  <c r="L627" i="12" s="1"/>
  <c r="K628" i="12"/>
  <c r="L628" i="12" s="1"/>
  <c r="K629" i="12"/>
  <c r="L629" i="12" s="1"/>
  <c r="K630" i="12"/>
  <c r="L630" i="12" s="1"/>
  <c r="K631" i="12"/>
  <c r="L631" i="12" s="1"/>
  <c r="K632" i="12"/>
  <c r="L632" i="12" s="1"/>
  <c r="K633" i="12"/>
  <c r="L633" i="12" s="1"/>
  <c r="K634" i="12"/>
  <c r="L634" i="12" s="1"/>
  <c r="K635" i="12"/>
  <c r="L635" i="12" s="1"/>
  <c r="K636" i="12"/>
  <c r="L636" i="12" s="1"/>
  <c r="K637" i="12"/>
  <c r="L637" i="12" s="1"/>
  <c r="K638" i="12"/>
  <c r="L638" i="12" s="1"/>
  <c r="K639" i="12"/>
  <c r="L639" i="12" s="1"/>
  <c r="K640" i="12"/>
  <c r="L640" i="12" s="1"/>
  <c r="K641" i="12"/>
  <c r="L641" i="12" s="1"/>
  <c r="K642" i="12"/>
  <c r="L642" i="12" s="1"/>
  <c r="K643" i="12"/>
  <c r="L643" i="12" s="1"/>
  <c r="K644" i="12"/>
  <c r="L644" i="12" s="1"/>
  <c r="K645" i="12"/>
  <c r="L645" i="12" s="1"/>
  <c r="K646" i="12"/>
  <c r="L646" i="12" s="1"/>
  <c r="K647" i="12"/>
  <c r="L647" i="12" s="1"/>
  <c r="K648" i="12"/>
  <c r="L648" i="12" s="1"/>
  <c r="K649" i="12"/>
  <c r="L649" i="12" s="1"/>
  <c r="K650" i="12"/>
  <c r="L650" i="12" s="1"/>
  <c r="K651" i="12"/>
  <c r="L651" i="12" s="1"/>
  <c r="K652" i="12"/>
  <c r="L652" i="12" s="1"/>
  <c r="K653" i="12"/>
  <c r="L653" i="12" s="1"/>
  <c r="K654" i="12"/>
  <c r="L654" i="12" s="1"/>
  <c r="K655" i="12"/>
  <c r="L655" i="12" s="1"/>
  <c r="K656" i="12"/>
  <c r="L656" i="12" s="1"/>
  <c r="K657" i="12"/>
  <c r="L657" i="12" s="1"/>
  <c r="K658" i="12"/>
  <c r="L658" i="12" s="1"/>
  <c r="K659" i="12"/>
  <c r="L659" i="12" s="1"/>
  <c r="K660" i="12"/>
  <c r="L660" i="12" s="1"/>
  <c r="K661" i="12"/>
  <c r="L661" i="12" s="1"/>
  <c r="K662" i="12"/>
  <c r="L662" i="12" s="1"/>
  <c r="K663" i="12"/>
  <c r="L663" i="12" s="1"/>
  <c r="K664" i="12"/>
  <c r="L664" i="12" s="1"/>
  <c r="K665" i="12"/>
  <c r="L665" i="12" s="1"/>
  <c r="K666" i="12"/>
  <c r="L666" i="12" s="1"/>
  <c r="K667" i="12"/>
  <c r="L667" i="12" s="1"/>
  <c r="K668" i="12"/>
  <c r="L668" i="12" s="1"/>
  <c r="K669" i="12"/>
  <c r="L669" i="12" s="1"/>
  <c r="K670" i="12"/>
  <c r="L670" i="12" s="1"/>
  <c r="K671" i="12"/>
  <c r="L671" i="12" s="1"/>
  <c r="K672" i="12"/>
  <c r="L672" i="12" s="1"/>
  <c r="K673" i="12"/>
  <c r="L673" i="12" s="1"/>
  <c r="K674" i="12"/>
  <c r="L674" i="12" s="1"/>
  <c r="K675" i="12"/>
  <c r="L675" i="12" s="1"/>
  <c r="K676" i="12"/>
  <c r="L676" i="12" s="1"/>
  <c r="K677" i="12"/>
  <c r="L677" i="12" s="1"/>
  <c r="K678" i="12"/>
  <c r="L678" i="12" s="1"/>
  <c r="K679" i="12"/>
  <c r="L679" i="12" s="1"/>
  <c r="K680" i="12"/>
  <c r="L680" i="12" s="1"/>
  <c r="K681" i="12"/>
  <c r="L681" i="12" s="1"/>
  <c r="K682" i="12"/>
  <c r="L682" i="12" s="1"/>
  <c r="K683" i="12"/>
  <c r="L683" i="12" s="1"/>
  <c r="K684" i="12"/>
  <c r="L684" i="12" s="1"/>
  <c r="K685" i="12"/>
  <c r="L685" i="12" s="1"/>
  <c r="K686" i="12"/>
  <c r="L686" i="12" s="1"/>
  <c r="K687" i="12"/>
  <c r="L687" i="12" s="1"/>
  <c r="K688" i="12"/>
  <c r="L688" i="12" s="1"/>
  <c r="K689" i="12"/>
  <c r="L689" i="12" s="1"/>
  <c r="K690" i="12"/>
  <c r="L690" i="12" s="1"/>
  <c r="K691" i="12"/>
  <c r="L691" i="12" s="1"/>
  <c r="K692" i="12"/>
  <c r="L692" i="12" s="1"/>
  <c r="K693" i="12"/>
  <c r="L693" i="12" s="1"/>
  <c r="K694" i="12"/>
  <c r="L694" i="12" s="1"/>
  <c r="K695" i="12"/>
  <c r="L695" i="12" s="1"/>
  <c r="K696" i="12"/>
  <c r="L696" i="12" s="1"/>
  <c r="K697" i="12"/>
  <c r="L697" i="12" s="1"/>
  <c r="K698" i="12"/>
  <c r="L698" i="12" s="1"/>
  <c r="K699" i="12"/>
  <c r="L699" i="12" s="1"/>
  <c r="K700" i="12"/>
  <c r="L700" i="12" s="1"/>
  <c r="K701" i="12"/>
  <c r="L701" i="12" s="1"/>
  <c r="K702" i="12"/>
  <c r="L702" i="12" s="1"/>
  <c r="K703" i="12"/>
  <c r="L703" i="12" s="1"/>
  <c r="K704" i="12"/>
  <c r="L704" i="12" s="1"/>
  <c r="K705" i="12"/>
  <c r="L705" i="12" s="1"/>
  <c r="K706" i="12"/>
  <c r="L706" i="12" s="1"/>
  <c r="K707" i="12"/>
  <c r="L707" i="12" s="1"/>
  <c r="K708" i="12"/>
  <c r="L708" i="12" s="1"/>
  <c r="K709" i="12"/>
  <c r="L709" i="12" s="1"/>
  <c r="K710" i="12"/>
  <c r="L710" i="12" s="1"/>
  <c r="K711" i="12"/>
  <c r="L711" i="12" s="1"/>
  <c r="K712" i="12"/>
  <c r="L712" i="12" s="1"/>
  <c r="K713" i="12"/>
  <c r="L713" i="12" s="1"/>
  <c r="K714" i="12"/>
  <c r="L714" i="12" s="1"/>
  <c r="K715" i="12"/>
  <c r="L715" i="12" s="1"/>
  <c r="K716" i="12"/>
  <c r="L716" i="12" s="1"/>
  <c r="K717" i="12"/>
  <c r="L717" i="12" s="1"/>
  <c r="K718" i="12"/>
  <c r="L718" i="12" s="1"/>
  <c r="K719" i="12"/>
  <c r="L719" i="12" s="1"/>
  <c r="K720" i="12"/>
  <c r="L720" i="12" s="1"/>
  <c r="K721" i="12"/>
  <c r="L721" i="12" s="1"/>
  <c r="K722" i="12"/>
  <c r="L722" i="12" s="1"/>
  <c r="K723" i="12"/>
  <c r="L723" i="12" s="1"/>
  <c r="K724" i="12"/>
  <c r="L724" i="12" s="1"/>
  <c r="K725" i="12"/>
  <c r="L725" i="12" s="1"/>
  <c r="K726" i="12"/>
  <c r="L726" i="12" s="1"/>
  <c r="K727" i="12"/>
  <c r="L727" i="12" s="1"/>
  <c r="K728" i="12"/>
  <c r="L728" i="12" s="1"/>
  <c r="K729" i="12"/>
  <c r="L729" i="12" s="1"/>
  <c r="K730" i="12"/>
  <c r="L730" i="12" s="1"/>
  <c r="K731" i="12"/>
  <c r="L731" i="12" s="1"/>
  <c r="K732" i="12"/>
  <c r="L732" i="12" s="1"/>
  <c r="K733" i="12"/>
  <c r="L733" i="12" s="1"/>
  <c r="K734" i="12"/>
  <c r="L734" i="12" s="1"/>
  <c r="K735" i="12"/>
  <c r="L735" i="12" s="1"/>
  <c r="K736" i="12"/>
  <c r="L736" i="12" s="1"/>
  <c r="K737" i="12"/>
  <c r="L737" i="12" s="1"/>
  <c r="K738" i="12"/>
  <c r="L738" i="12" s="1"/>
  <c r="K739" i="12"/>
  <c r="L739" i="12" s="1"/>
  <c r="K740" i="12"/>
  <c r="L740" i="12" s="1"/>
  <c r="K741" i="12"/>
  <c r="L741" i="12" s="1"/>
  <c r="K742" i="12"/>
  <c r="L742" i="12" s="1"/>
  <c r="K743" i="12"/>
  <c r="L743" i="12" s="1"/>
  <c r="K744" i="12"/>
  <c r="L744" i="12" s="1"/>
  <c r="K745" i="12"/>
  <c r="L745" i="12" s="1"/>
  <c r="K746" i="12"/>
  <c r="L746" i="12" s="1"/>
  <c r="K747" i="12"/>
  <c r="L747" i="12" s="1"/>
  <c r="K748" i="12"/>
  <c r="L748" i="12" s="1"/>
  <c r="K749" i="12"/>
  <c r="L749" i="12" s="1"/>
  <c r="K750" i="12"/>
  <c r="L750" i="12" s="1"/>
  <c r="K751" i="12"/>
  <c r="L751" i="12" s="1"/>
  <c r="K752" i="12"/>
  <c r="L752" i="12" s="1"/>
  <c r="K753" i="12"/>
  <c r="L753" i="12" s="1"/>
  <c r="K754" i="12"/>
  <c r="L754" i="12" s="1"/>
  <c r="K755" i="12"/>
  <c r="L755" i="12" s="1"/>
  <c r="K756" i="12"/>
  <c r="L756" i="12" s="1"/>
  <c r="K757" i="12"/>
  <c r="L757" i="12" s="1"/>
  <c r="K758" i="12"/>
  <c r="L758" i="12" s="1"/>
  <c r="K759" i="12"/>
  <c r="L759" i="12" s="1"/>
  <c r="K760" i="12"/>
  <c r="L760" i="12" s="1"/>
  <c r="K761" i="12"/>
  <c r="L761" i="12" s="1"/>
  <c r="K762" i="12"/>
  <c r="L762" i="12" s="1"/>
  <c r="K763" i="12"/>
  <c r="L763" i="12" s="1"/>
  <c r="K765" i="12"/>
  <c r="L765" i="12" s="1"/>
  <c r="K766" i="12"/>
  <c r="L766" i="12" s="1"/>
  <c r="K767" i="12"/>
  <c r="L767" i="12" s="1"/>
  <c r="K768" i="12"/>
  <c r="L768" i="12" s="1"/>
  <c r="K769" i="12"/>
  <c r="L769" i="12" s="1"/>
  <c r="K770" i="12"/>
  <c r="L770" i="12" s="1"/>
  <c r="K771" i="12"/>
  <c r="L771" i="12" s="1"/>
  <c r="K772" i="12"/>
  <c r="L772" i="12" s="1"/>
  <c r="K773" i="12"/>
  <c r="L773" i="12" s="1"/>
  <c r="K774" i="12"/>
  <c r="L774" i="12" s="1"/>
  <c r="K775" i="12"/>
  <c r="L775" i="12" s="1"/>
  <c r="K776" i="12"/>
  <c r="L776" i="12" s="1"/>
  <c r="K777" i="12"/>
  <c r="L777" i="12" s="1"/>
  <c r="K778" i="12"/>
  <c r="L778" i="12" s="1"/>
  <c r="K779" i="12"/>
  <c r="L779" i="12" s="1"/>
  <c r="K780" i="12"/>
  <c r="L780" i="12" s="1"/>
  <c r="K781" i="12"/>
  <c r="L781" i="12" s="1"/>
  <c r="K782" i="12"/>
  <c r="L782" i="12" s="1"/>
  <c r="K783" i="12"/>
  <c r="L783" i="12" s="1"/>
  <c r="K784" i="12"/>
  <c r="L784" i="12" s="1"/>
  <c r="K785" i="12"/>
  <c r="L785" i="12" s="1"/>
  <c r="K786" i="12"/>
  <c r="L786" i="12" s="1"/>
  <c r="K787" i="12"/>
  <c r="L787" i="12" s="1"/>
  <c r="K788" i="12"/>
  <c r="L788" i="12" s="1"/>
  <c r="K789" i="12"/>
  <c r="L789" i="12" s="1"/>
  <c r="K790" i="12"/>
  <c r="L790" i="12" s="1"/>
  <c r="K791" i="12"/>
  <c r="L791" i="12" s="1"/>
  <c r="K792" i="12"/>
  <c r="L792" i="12" s="1"/>
  <c r="K793" i="12"/>
  <c r="L793" i="12" s="1"/>
  <c r="K794" i="12"/>
  <c r="L794" i="12" s="1"/>
  <c r="K795" i="12"/>
  <c r="L795" i="12" s="1"/>
  <c r="K796" i="12"/>
  <c r="L796" i="12" s="1"/>
  <c r="K797" i="12"/>
  <c r="L797" i="12" s="1"/>
  <c r="K798" i="12"/>
  <c r="L798" i="12" s="1"/>
  <c r="K799" i="12"/>
  <c r="L799" i="12" s="1"/>
  <c r="K800" i="12"/>
  <c r="L800" i="12" s="1"/>
  <c r="K801" i="12"/>
  <c r="L801" i="12" s="1"/>
  <c r="K802" i="12"/>
  <c r="L802" i="12" s="1"/>
  <c r="K803" i="12"/>
  <c r="L803" i="12" s="1"/>
  <c r="K804" i="12"/>
  <c r="L804" i="12" s="1"/>
  <c r="K805" i="12"/>
  <c r="L805" i="12" s="1"/>
  <c r="K806" i="12"/>
  <c r="L806" i="12" s="1"/>
  <c r="K807" i="12"/>
  <c r="L807" i="12" s="1"/>
  <c r="K808" i="12"/>
  <c r="L808" i="12" s="1"/>
  <c r="K809" i="12"/>
  <c r="L809" i="12" s="1"/>
  <c r="K810" i="12"/>
  <c r="L810" i="12" s="1"/>
  <c r="K811" i="12"/>
  <c r="L811" i="12" s="1"/>
  <c r="K812" i="12"/>
  <c r="L812" i="12" s="1"/>
  <c r="K813" i="12"/>
  <c r="L813" i="12" s="1"/>
  <c r="K814" i="12"/>
  <c r="L814" i="12" s="1"/>
  <c r="K815" i="12"/>
  <c r="L815" i="12" s="1"/>
  <c r="K816" i="12"/>
  <c r="L816" i="12" s="1"/>
  <c r="K817" i="12"/>
  <c r="L817" i="12" s="1"/>
  <c r="K818" i="12"/>
  <c r="L818" i="12" s="1"/>
  <c r="K819" i="12"/>
  <c r="L819" i="12" s="1"/>
  <c r="K820" i="12"/>
  <c r="L820" i="12" s="1"/>
  <c r="K821" i="12"/>
  <c r="L821" i="12" s="1"/>
  <c r="K822" i="12"/>
  <c r="L822" i="12" s="1"/>
  <c r="K823" i="12"/>
  <c r="L823" i="12" s="1"/>
  <c r="K824" i="12"/>
  <c r="L824" i="12" s="1"/>
  <c r="K825" i="12"/>
  <c r="L825" i="12" s="1"/>
  <c r="K826" i="12"/>
  <c r="L826" i="12" s="1"/>
  <c r="K827" i="12"/>
  <c r="L827" i="12" s="1"/>
  <c r="K828" i="12"/>
  <c r="L828" i="12" s="1"/>
  <c r="K829" i="12"/>
  <c r="L829" i="12" s="1"/>
  <c r="K830" i="12"/>
  <c r="L830" i="12" s="1"/>
  <c r="K831" i="12"/>
  <c r="L831" i="12" s="1"/>
  <c r="K832" i="12"/>
  <c r="L832" i="12" s="1"/>
  <c r="K833" i="12"/>
  <c r="L833" i="12" s="1"/>
  <c r="K834" i="12"/>
  <c r="L834" i="12" s="1"/>
  <c r="K835" i="12"/>
  <c r="L835" i="12" s="1"/>
  <c r="K836" i="12"/>
  <c r="L836" i="12" s="1"/>
  <c r="K837" i="12"/>
  <c r="L837" i="12" s="1"/>
  <c r="K838" i="12"/>
  <c r="L838" i="12" s="1"/>
  <c r="K839" i="12"/>
  <c r="L839" i="12" s="1"/>
  <c r="K840" i="12"/>
  <c r="L840" i="12" s="1"/>
  <c r="K841" i="12"/>
  <c r="L841" i="12" s="1"/>
  <c r="K842" i="12"/>
  <c r="L842" i="12" s="1"/>
  <c r="K843" i="12"/>
  <c r="L843" i="12" s="1"/>
  <c r="K844" i="12"/>
  <c r="L844" i="12" s="1"/>
  <c r="K845" i="12"/>
  <c r="L845" i="12" s="1"/>
  <c r="K846" i="12"/>
  <c r="L846" i="12" s="1"/>
  <c r="K847" i="12"/>
  <c r="L847" i="12" s="1"/>
  <c r="K848" i="12"/>
  <c r="L848" i="12" s="1"/>
  <c r="K849" i="12"/>
  <c r="L849" i="12" s="1"/>
  <c r="K850" i="12"/>
  <c r="L850" i="12" s="1"/>
  <c r="K851" i="12"/>
  <c r="L851" i="12" s="1"/>
  <c r="K852" i="12"/>
  <c r="L852" i="12" s="1"/>
  <c r="K853" i="12"/>
  <c r="L853" i="12" s="1"/>
  <c r="K854" i="12"/>
  <c r="L854" i="12" s="1"/>
  <c r="K855" i="12"/>
  <c r="L855" i="12" s="1"/>
  <c r="K856" i="12"/>
  <c r="L856" i="12" s="1"/>
  <c r="K857" i="12"/>
  <c r="L857" i="12" s="1"/>
  <c r="K858" i="12"/>
  <c r="L858" i="12" s="1"/>
  <c r="K859" i="12"/>
  <c r="L859" i="12" s="1"/>
  <c r="K860" i="12"/>
  <c r="L860" i="12" s="1"/>
  <c r="K861" i="12"/>
  <c r="L861" i="12" s="1"/>
  <c r="K862" i="12"/>
  <c r="L862" i="12" s="1"/>
  <c r="K863" i="12"/>
  <c r="L863" i="12" s="1"/>
  <c r="K864" i="12"/>
  <c r="L864" i="12" s="1"/>
  <c r="K865" i="12"/>
  <c r="L865" i="12" s="1"/>
  <c r="K866" i="12"/>
  <c r="L866" i="12" s="1"/>
  <c r="K867" i="12"/>
  <c r="L867" i="12" s="1"/>
  <c r="K868" i="12"/>
  <c r="L868" i="12" s="1"/>
  <c r="K869" i="12"/>
  <c r="L869" i="12" s="1"/>
  <c r="K870" i="12"/>
  <c r="L870" i="12" s="1"/>
  <c r="K871" i="12"/>
  <c r="L871" i="12" s="1"/>
  <c r="K872" i="12"/>
  <c r="L872" i="12" s="1"/>
  <c r="K873" i="12"/>
  <c r="L873" i="12" s="1"/>
  <c r="K874" i="12"/>
  <c r="L874" i="12" s="1"/>
  <c r="K875" i="12"/>
  <c r="L875" i="12" s="1"/>
  <c r="K876" i="12"/>
  <c r="L876" i="12" s="1"/>
  <c r="K877" i="12"/>
  <c r="L877" i="12" s="1"/>
  <c r="K878" i="12"/>
  <c r="L878" i="12" s="1"/>
  <c r="K879" i="12"/>
  <c r="L879" i="12" s="1"/>
  <c r="K880" i="12"/>
  <c r="L880" i="12" s="1"/>
  <c r="K881" i="12"/>
  <c r="L881" i="12" s="1"/>
  <c r="K882" i="12"/>
  <c r="L882" i="12" s="1"/>
  <c r="K883" i="12"/>
  <c r="L883" i="12" s="1"/>
  <c r="K884" i="12"/>
  <c r="L884" i="12" s="1"/>
  <c r="K885" i="12"/>
  <c r="L885" i="12" s="1"/>
  <c r="K886" i="12"/>
  <c r="L886" i="12" s="1"/>
  <c r="K887" i="12"/>
  <c r="L887" i="12" s="1"/>
  <c r="K888" i="12"/>
  <c r="L888" i="12" s="1"/>
  <c r="K889" i="12"/>
  <c r="L889" i="12" s="1"/>
  <c r="K890" i="12"/>
  <c r="L890" i="12" s="1"/>
  <c r="K891" i="12"/>
  <c r="L891" i="12" s="1"/>
  <c r="K892" i="12"/>
  <c r="L892" i="12" s="1"/>
  <c r="K893" i="12"/>
  <c r="L893" i="12" s="1"/>
  <c r="K894" i="12"/>
  <c r="L894" i="12" s="1"/>
  <c r="K895" i="12"/>
  <c r="L895" i="12" s="1"/>
  <c r="K896" i="12"/>
  <c r="L896" i="12" s="1"/>
  <c r="K897" i="12"/>
  <c r="L897" i="12" s="1"/>
  <c r="K898" i="12"/>
  <c r="L898" i="12" s="1"/>
  <c r="K899" i="12"/>
  <c r="L899" i="12" s="1"/>
  <c r="K900" i="12"/>
  <c r="L900" i="12" s="1"/>
  <c r="K901" i="12"/>
  <c r="L901" i="12" s="1"/>
  <c r="K902" i="12"/>
  <c r="L902" i="12" s="1"/>
  <c r="K903" i="12"/>
  <c r="L903" i="12" s="1"/>
  <c r="K904" i="12"/>
  <c r="L904" i="12" s="1"/>
  <c r="K905" i="12"/>
  <c r="L905" i="12" s="1"/>
  <c r="K906" i="12"/>
  <c r="L906" i="12" s="1"/>
  <c r="K907" i="12"/>
  <c r="L907" i="12" s="1"/>
  <c r="K908" i="12"/>
  <c r="L908" i="12" s="1"/>
  <c r="K909" i="12"/>
  <c r="L909" i="12" s="1"/>
  <c r="K910" i="12"/>
  <c r="L910" i="12" s="1"/>
  <c r="K911" i="12"/>
  <c r="L911" i="12" s="1"/>
  <c r="K912" i="12"/>
  <c r="L912" i="12" s="1"/>
  <c r="K913" i="12"/>
  <c r="L913" i="12" s="1"/>
  <c r="K914" i="12"/>
  <c r="L914" i="12" s="1"/>
  <c r="K915" i="12"/>
  <c r="L915" i="12" s="1"/>
  <c r="K916" i="12"/>
  <c r="L916" i="12" s="1"/>
  <c r="K917" i="12"/>
  <c r="L917" i="12" s="1"/>
  <c r="K918" i="12"/>
  <c r="L918" i="12" s="1"/>
  <c r="K919" i="12"/>
  <c r="L919" i="12" s="1"/>
  <c r="K920" i="12"/>
  <c r="L920" i="12" s="1"/>
  <c r="K921" i="12"/>
  <c r="L921" i="12" s="1"/>
  <c r="K922" i="12"/>
  <c r="L922" i="12" s="1"/>
  <c r="K923" i="12"/>
  <c r="L923" i="12" s="1"/>
  <c r="K924" i="12"/>
  <c r="L924" i="12" s="1"/>
  <c r="K925" i="12"/>
  <c r="L925" i="12" s="1"/>
  <c r="K926" i="12"/>
  <c r="L926" i="12" s="1"/>
  <c r="K927" i="12"/>
  <c r="L927" i="12" s="1"/>
  <c r="K928" i="12"/>
  <c r="L928" i="12" s="1"/>
  <c r="K929" i="12"/>
  <c r="L929" i="12" s="1"/>
  <c r="K930" i="12"/>
  <c r="L930" i="12" s="1"/>
  <c r="K931" i="12"/>
  <c r="L931" i="12" s="1"/>
  <c r="K932" i="12"/>
  <c r="L932" i="12" s="1"/>
  <c r="K933" i="12"/>
  <c r="L933" i="12" s="1"/>
  <c r="K934" i="12"/>
  <c r="L934" i="12" s="1"/>
  <c r="K935" i="12"/>
  <c r="L935" i="12" s="1"/>
  <c r="K936" i="12"/>
  <c r="L936" i="12" s="1"/>
  <c r="K937" i="12"/>
  <c r="L937" i="12" s="1"/>
  <c r="K938" i="12"/>
  <c r="L938" i="12" s="1"/>
  <c r="K939" i="12"/>
  <c r="L939" i="12" s="1"/>
  <c r="K940" i="12"/>
  <c r="L940" i="12" s="1"/>
  <c r="K941" i="12"/>
  <c r="L941" i="12" s="1"/>
  <c r="K942" i="12"/>
  <c r="L942" i="12" s="1"/>
  <c r="K943" i="12"/>
  <c r="L943" i="12" s="1"/>
  <c r="K944" i="12"/>
  <c r="L944" i="12" s="1"/>
  <c r="K945" i="12"/>
  <c r="L945" i="12" s="1"/>
  <c r="K946" i="12"/>
  <c r="L946" i="12" s="1"/>
  <c r="K947" i="12"/>
  <c r="L947" i="12" s="1"/>
  <c r="K948" i="12"/>
  <c r="L948" i="12" s="1"/>
  <c r="K949" i="12"/>
  <c r="L949" i="12" s="1"/>
  <c r="K950" i="12"/>
  <c r="L950" i="12" s="1"/>
  <c r="K951" i="12"/>
  <c r="L951" i="12" s="1"/>
  <c r="K952" i="12"/>
  <c r="L952" i="12" s="1"/>
  <c r="K953" i="12"/>
  <c r="L953" i="12" s="1"/>
  <c r="K954" i="12"/>
  <c r="L954" i="12" s="1"/>
  <c r="K955" i="12"/>
  <c r="L955" i="12" s="1"/>
  <c r="K956" i="12"/>
  <c r="L956" i="12" s="1"/>
  <c r="K957" i="12"/>
  <c r="L957" i="12" s="1"/>
  <c r="K958" i="12"/>
  <c r="L958" i="12" s="1"/>
  <c r="K959" i="12"/>
  <c r="L959" i="12" s="1"/>
  <c r="K960" i="12"/>
  <c r="L960" i="12" s="1"/>
  <c r="K961" i="12"/>
  <c r="L961" i="12" s="1"/>
  <c r="K962" i="12"/>
  <c r="L962" i="12" s="1"/>
  <c r="K963" i="12"/>
  <c r="L963" i="12" s="1"/>
  <c r="K964" i="12"/>
  <c r="L964" i="12" s="1"/>
  <c r="K965" i="12"/>
  <c r="L965" i="12" s="1"/>
  <c r="K966" i="12"/>
  <c r="L966" i="12" s="1"/>
  <c r="K967" i="12"/>
  <c r="L967" i="12" s="1"/>
  <c r="K968" i="12"/>
  <c r="L968" i="12" s="1"/>
  <c r="K969" i="12"/>
  <c r="L969" i="12" s="1"/>
  <c r="K970" i="12"/>
  <c r="L970" i="12" s="1"/>
  <c r="K971" i="12"/>
  <c r="L971" i="12" s="1"/>
  <c r="K972" i="12"/>
  <c r="L972" i="12" s="1"/>
  <c r="K973" i="12"/>
  <c r="L973" i="12" s="1"/>
  <c r="K974" i="12"/>
  <c r="L974" i="12" s="1"/>
  <c r="K975" i="12"/>
  <c r="L975" i="12" s="1"/>
  <c r="K976" i="12"/>
  <c r="L976" i="12" s="1"/>
  <c r="K977" i="12"/>
  <c r="L977" i="12" s="1"/>
  <c r="K978" i="12"/>
  <c r="L978" i="12" s="1"/>
  <c r="K979" i="12"/>
  <c r="L979" i="12" s="1"/>
  <c r="K980" i="12"/>
  <c r="L980" i="12" s="1"/>
  <c r="K981" i="12"/>
  <c r="L981" i="12" s="1"/>
  <c r="K982" i="12"/>
  <c r="L982" i="12" s="1"/>
  <c r="K983" i="12"/>
  <c r="L983" i="12" s="1"/>
  <c r="K984" i="12"/>
  <c r="L984" i="12" s="1"/>
  <c r="K985" i="12"/>
  <c r="L985" i="12" s="1"/>
  <c r="K986" i="12"/>
  <c r="L986" i="12" s="1"/>
  <c r="K987" i="12"/>
  <c r="L987" i="12" s="1"/>
  <c r="K988" i="12"/>
  <c r="L988" i="12" s="1"/>
  <c r="K989" i="12"/>
  <c r="L989" i="12" s="1"/>
  <c r="K990" i="12"/>
  <c r="L990" i="12" s="1"/>
  <c r="K991" i="12"/>
  <c r="L991" i="12" s="1"/>
  <c r="K992" i="12"/>
  <c r="L992" i="12" s="1"/>
  <c r="K993" i="12"/>
  <c r="L993" i="12" s="1"/>
  <c r="K994" i="12"/>
  <c r="L994" i="12" s="1"/>
  <c r="K995" i="12"/>
  <c r="L995" i="12" s="1"/>
  <c r="K996" i="12"/>
  <c r="L996" i="12" s="1"/>
  <c r="K997" i="12"/>
  <c r="L997" i="12" s="1"/>
  <c r="K998" i="12"/>
  <c r="L998" i="12" s="1"/>
  <c r="K999" i="12"/>
  <c r="L999" i="12" s="1"/>
  <c r="K1000" i="12"/>
  <c r="L1000" i="12" s="1"/>
  <c r="K1001" i="12"/>
  <c r="L1001" i="12" s="1"/>
  <c r="K1002" i="12"/>
  <c r="L1002" i="12" s="1"/>
  <c r="K1003" i="12"/>
  <c r="L1003" i="12" s="1"/>
  <c r="K1004" i="12"/>
  <c r="L1004" i="12" s="1"/>
  <c r="K1005" i="12"/>
  <c r="L1005" i="12" s="1"/>
  <c r="K1006" i="12"/>
  <c r="L1006" i="12" s="1"/>
  <c r="K1007" i="12"/>
  <c r="L1007" i="12" s="1"/>
  <c r="K1008" i="12"/>
  <c r="L1008" i="12" s="1"/>
  <c r="K1009" i="12"/>
  <c r="L1009" i="12" s="1"/>
  <c r="K1010" i="12"/>
  <c r="L1010" i="12" s="1"/>
  <c r="K1011" i="12"/>
  <c r="L1011" i="12" s="1"/>
  <c r="K1012" i="12"/>
  <c r="L1012" i="12" s="1"/>
  <c r="K1013" i="12"/>
  <c r="L1013" i="12" s="1"/>
  <c r="K1014" i="12"/>
  <c r="L1014" i="12" s="1"/>
  <c r="K1015" i="12"/>
  <c r="L1015" i="12" s="1"/>
  <c r="K1016" i="12"/>
  <c r="L1016" i="12" s="1"/>
  <c r="K1017" i="12"/>
  <c r="L1017" i="12" s="1"/>
  <c r="K1018" i="12"/>
  <c r="L1018" i="12" s="1"/>
  <c r="K1019" i="12"/>
  <c r="L1019" i="12" s="1"/>
  <c r="K1020" i="12"/>
  <c r="L1020" i="12" s="1"/>
  <c r="K1021" i="12"/>
  <c r="L1021" i="12" s="1"/>
  <c r="K1022" i="12"/>
  <c r="L1022" i="12" s="1"/>
  <c r="K1023" i="12"/>
  <c r="L1023" i="12" s="1"/>
  <c r="K1024" i="12"/>
  <c r="L1024" i="12" s="1"/>
  <c r="K1025" i="12"/>
  <c r="L1025" i="12" s="1"/>
  <c r="K1026" i="12"/>
  <c r="L1026" i="12" s="1"/>
  <c r="K1027" i="12"/>
  <c r="L1027" i="12" s="1"/>
  <c r="K1028" i="12"/>
  <c r="L1028" i="12" s="1"/>
  <c r="K1029" i="12"/>
  <c r="L1029" i="12" s="1"/>
  <c r="K1030" i="12"/>
  <c r="L1030" i="12" s="1"/>
  <c r="K1031" i="12"/>
  <c r="L1031" i="12" s="1"/>
  <c r="K1032" i="12"/>
  <c r="L1032" i="12" s="1"/>
  <c r="K1033" i="12"/>
  <c r="L1033" i="12" s="1"/>
  <c r="K1034" i="12"/>
  <c r="L1034" i="12" s="1"/>
  <c r="K1035" i="12"/>
  <c r="L1035" i="12" s="1"/>
  <c r="K1036" i="12"/>
  <c r="L1036" i="12" s="1"/>
  <c r="K1037" i="12"/>
  <c r="L1037" i="12" s="1"/>
  <c r="K1038" i="12"/>
  <c r="L1038" i="12" s="1"/>
  <c r="K1039" i="12"/>
  <c r="L1039" i="12" s="1"/>
  <c r="K1040" i="12"/>
  <c r="L1040" i="12" s="1"/>
  <c r="K1041" i="12"/>
  <c r="L1041" i="12" s="1"/>
  <c r="K1042" i="12"/>
  <c r="L1042" i="12" s="1"/>
  <c r="K1043" i="12"/>
  <c r="L1043" i="12" s="1"/>
  <c r="K1044" i="12"/>
  <c r="L1044" i="12" s="1"/>
  <c r="K1045" i="12"/>
  <c r="L1045" i="12" s="1"/>
  <c r="K1046" i="12"/>
  <c r="L1046" i="12" s="1"/>
  <c r="K1047" i="12"/>
  <c r="L1047" i="12" s="1"/>
  <c r="K1048" i="12"/>
  <c r="L1048" i="12" s="1"/>
  <c r="K1049" i="12"/>
  <c r="L1049" i="12" s="1"/>
  <c r="K1050" i="12"/>
  <c r="L1050" i="12" s="1"/>
  <c r="K1051" i="12"/>
  <c r="L1051" i="12" s="1"/>
  <c r="K1052" i="12"/>
  <c r="L1052" i="12" s="1"/>
  <c r="K1053" i="12"/>
  <c r="L1053" i="12" s="1"/>
  <c r="K1054" i="12"/>
  <c r="L1054" i="12" s="1"/>
  <c r="K1055" i="12"/>
  <c r="L1055" i="12" s="1"/>
  <c r="K1056" i="12"/>
  <c r="L1056" i="12" s="1"/>
  <c r="K1057" i="12"/>
  <c r="L1057" i="12" s="1"/>
  <c r="K1058" i="12"/>
  <c r="L1058" i="12" s="1"/>
  <c r="K1059" i="12"/>
  <c r="L1059" i="12" s="1"/>
  <c r="K1060" i="12"/>
  <c r="L1060" i="12" s="1"/>
  <c r="K1061" i="12"/>
  <c r="L1061" i="12" s="1"/>
  <c r="K1062" i="12"/>
  <c r="L1062" i="12" s="1"/>
  <c r="K1063" i="12"/>
  <c r="L1063" i="12" s="1"/>
  <c r="K1064" i="12"/>
  <c r="L1064" i="12" s="1"/>
  <c r="K1065" i="12"/>
  <c r="L1065" i="12" s="1"/>
  <c r="K1066" i="12"/>
  <c r="L1066" i="12" s="1"/>
  <c r="K1067" i="12"/>
  <c r="L1067" i="12" s="1"/>
  <c r="K1068" i="12"/>
  <c r="L1068" i="12" s="1"/>
  <c r="K1069" i="12"/>
  <c r="L1069" i="12" s="1"/>
  <c r="K1070" i="12"/>
  <c r="L1070" i="12" s="1"/>
  <c r="K1071" i="12"/>
  <c r="L1071" i="12" s="1"/>
  <c r="K1072" i="12"/>
  <c r="L1072" i="12" s="1"/>
  <c r="K1073" i="12"/>
  <c r="L1073" i="12" s="1"/>
  <c r="K1074" i="12"/>
  <c r="L1074" i="12" s="1"/>
  <c r="K1075" i="12"/>
  <c r="L1075" i="12" s="1"/>
  <c r="K1076" i="12"/>
  <c r="L1076" i="12" s="1"/>
  <c r="K1077" i="12"/>
  <c r="L1077" i="12" s="1"/>
  <c r="K1078" i="12"/>
  <c r="L1078" i="12" s="1"/>
  <c r="K1079" i="12"/>
  <c r="L1079" i="12" s="1"/>
  <c r="K1080" i="12"/>
  <c r="L1080" i="12" s="1"/>
  <c r="K1081" i="12"/>
  <c r="L1081" i="12" s="1"/>
  <c r="K1082" i="12"/>
  <c r="L1082" i="12" s="1"/>
  <c r="K1083" i="12"/>
  <c r="L1083" i="12" s="1"/>
  <c r="K1084" i="12"/>
  <c r="L1084" i="12" s="1"/>
  <c r="K1085" i="12"/>
  <c r="L1085" i="12" s="1"/>
  <c r="K1086" i="12"/>
  <c r="L1086" i="12" s="1"/>
  <c r="K1087" i="12"/>
  <c r="L1087" i="12" s="1"/>
  <c r="K1088" i="12"/>
  <c r="L1088" i="12" s="1"/>
  <c r="K1089" i="12"/>
  <c r="L1089" i="12" s="1"/>
  <c r="K1090" i="12"/>
  <c r="L1090" i="12" s="1"/>
  <c r="K1091" i="12"/>
  <c r="L1091" i="12" s="1"/>
  <c r="K1092" i="12"/>
  <c r="L1092" i="12" s="1"/>
  <c r="K1093" i="12"/>
  <c r="L1093" i="12" s="1"/>
  <c r="K1094" i="12"/>
  <c r="L1094" i="12" s="1"/>
  <c r="K1095" i="12"/>
  <c r="L1095" i="12" s="1"/>
  <c r="K1096" i="12"/>
  <c r="L1096" i="12" s="1"/>
  <c r="K1097" i="12"/>
  <c r="L1097" i="12" s="1"/>
  <c r="K1098" i="12"/>
  <c r="L1098" i="12" s="1"/>
  <c r="K1099" i="12"/>
  <c r="L1099" i="12" s="1"/>
  <c r="K1100" i="12"/>
  <c r="L1100" i="12" s="1"/>
  <c r="K1101" i="12"/>
  <c r="L1101" i="12" s="1"/>
  <c r="K1102" i="12"/>
  <c r="L1102" i="12" s="1"/>
  <c r="K1103" i="12"/>
  <c r="L1103" i="12" s="1"/>
  <c r="K1104" i="12"/>
  <c r="L1104" i="12" s="1"/>
  <c r="K1105" i="12"/>
  <c r="L1105" i="12" s="1"/>
  <c r="K1106" i="12"/>
  <c r="L1106" i="12" s="1"/>
  <c r="K1107" i="12"/>
  <c r="L1107" i="12" s="1"/>
  <c r="K1108" i="12"/>
  <c r="L1108" i="12" s="1"/>
  <c r="K1109" i="12"/>
  <c r="L1109" i="12" s="1"/>
  <c r="K1110" i="12"/>
  <c r="L1110" i="12" s="1"/>
  <c r="K1111" i="12"/>
  <c r="L1111" i="12" s="1"/>
  <c r="K1112" i="12"/>
  <c r="L1112" i="12" s="1"/>
  <c r="K1113" i="12"/>
  <c r="L1113" i="12" s="1"/>
  <c r="K1114" i="12"/>
  <c r="L1114" i="12" s="1"/>
  <c r="K1115" i="12"/>
  <c r="L1115" i="12" s="1"/>
  <c r="K1116" i="12"/>
  <c r="L1116" i="12" s="1"/>
  <c r="K1117" i="12"/>
  <c r="L1117" i="12" s="1"/>
  <c r="K1118" i="12"/>
  <c r="L1118" i="12" s="1"/>
  <c r="K1119" i="12"/>
  <c r="L1119" i="12" s="1"/>
  <c r="K1120" i="12"/>
  <c r="L1120" i="12" s="1"/>
  <c r="K1121" i="12"/>
  <c r="L1121" i="12" s="1"/>
  <c r="K1122" i="12"/>
  <c r="L1122" i="12" s="1"/>
  <c r="K1123" i="12"/>
  <c r="L1123" i="12" s="1"/>
  <c r="K1124" i="12"/>
  <c r="L1124" i="12" s="1"/>
  <c r="K1125" i="12"/>
  <c r="L1125" i="12" s="1"/>
  <c r="K1126" i="12"/>
  <c r="L1126" i="12" s="1"/>
  <c r="K1127" i="12"/>
  <c r="L1127" i="12" s="1"/>
  <c r="K1128" i="12"/>
  <c r="L1128" i="12" s="1"/>
  <c r="K1129" i="12"/>
  <c r="L1129" i="12" s="1"/>
  <c r="K1130" i="12"/>
  <c r="L1130" i="12" s="1"/>
  <c r="K1131" i="12"/>
  <c r="L1131" i="12" s="1"/>
  <c r="K1132" i="12"/>
  <c r="L1132" i="12" s="1"/>
  <c r="K1133" i="12"/>
  <c r="L1133" i="12" s="1"/>
  <c r="K1134" i="12"/>
  <c r="L1134" i="12" s="1"/>
  <c r="K1135" i="12"/>
  <c r="L1135" i="12" s="1"/>
  <c r="K1136" i="12"/>
  <c r="L1136" i="12" s="1"/>
  <c r="K1137" i="12"/>
  <c r="L1137" i="12" s="1"/>
  <c r="K1138" i="12"/>
  <c r="L1138" i="12" s="1"/>
  <c r="K1139" i="12"/>
  <c r="L1139" i="12" s="1"/>
  <c r="K1140" i="12"/>
  <c r="L1140" i="12" s="1"/>
  <c r="K1141" i="12"/>
  <c r="L1141" i="12" s="1"/>
  <c r="K1142" i="12"/>
  <c r="L1142" i="12" s="1"/>
  <c r="K1143" i="12"/>
  <c r="L1143" i="12" s="1"/>
  <c r="K1144" i="12"/>
  <c r="L1144" i="12" s="1"/>
  <c r="K1145" i="12"/>
  <c r="L1145" i="12" s="1"/>
  <c r="K1146" i="12"/>
  <c r="L1146" i="12" s="1"/>
  <c r="K1147" i="12"/>
  <c r="L1147" i="12" s="1"/>
  <c r="K1148" i="12"/>
  <c r="L1148" i="12" s="1"/>
  <c r="K1149" i="12"/>
  <c r="L1149" i="12" s="1"/>
  <c r="K1150" i="12"/>
  <c r="L1150" i="12" s="1"/>
  <c r="K1151" i="12"/>
  <c r="L1151" i="12" s="1"/>
  <c r="K1152" i="12"/>
  <c r="L1152" i="12" s="1"/>
  <c r="K1153" i="12"/>
  <c r="L1153" i="12" s="1"/>
  <c r="K1154" i="12"/>
  <c r="L1154" i="12" s="1"/>
  <c r="K1155" i="12"/>
  <c r="L1155" i="12" s="1"/>
  <c r="K1156" i="12"/>
  <c r="L1156" i="12" s="1"/>
  <c r="K1157" i="12"/>
  <c r="L1157" i="12" s="1"/>
  <c r="K1158" i="12"/>
  <c r="L1158" i="12" s="1"/>
  <c r="K1159" i="12"/>
  <c r="L1159" i="12" s="1"/>
  <c r="K1160" i="12"/>
  <c r="L1160" i="12" s="1"/>
  <c r="K1161" i="12"/>
  <c r="L1161" i="12" s="1"/>
  <c r="K1162" i="12"/>
  <c r="L1162" i="12" s="1"/>
  <c r="K1163" i="12"/>
  <c r="L1163" i="12" s="1"/>
  <c r="K1164" i="12"/>
  <c r="L1164" i="12" s="1"/>
  <c r="K1165" i="12"/>
  <c r="L1165" i="12" s="1"/>
  <c r="K1166" i="12"/>
  <c r="L1166" i="12" s="1"/>
  <c r="K1167" i="12"/>
  <c r="L1167" i="12" s="1"/>
  <c r="K1168" i="12"/>
  <c r="L1168" i="12" s="1"/>
  <c r="K1169" i="12"/>
  <c r="L1169" i="12" s="1"/>
  <c r="K1170" i="12"/>
  <c r="L1170" i="12" s="1"/>
  <c r="K1171" i="12"/>
  <c r="L1171" i="12" s="1"/>
  <c r="K1172" i="12"/>
  <c r="L1172" i="12" s="1"/>
  <c r="K1173" i="12"/>
  <c r="L1173" i="12" s="1"/>
  <c r="K1174" i="12"/>
  <c r="L1174" i="12" s="1"/>
  <c r="K1175" i="12"/>
  <c r="L1175" i="12" s="1"/>
  <c r="K1176" i="12"/>
  <c r="L1176" i="12" s="1"/>
  <c r="K1177" i="12"/>
  <c r="L1177" i="12" s="1"/>
  <c r="K1178" i="12"/>
  <c r="L1178" i="12" s="1"/>
  <c r="K1179" i="12"/>
  <c r="L1179" i="12" s="1"/>
  <c r="K1180" i="12"/>
  <c r="L1180" i="12" s="1"/>
  <c r="K1181" i="12"/>
  <c r="L1181" i="12" s="1"/>
  <c r="K1182" i="12"/>
  <c r="L1182" i="12" s="1"/>
  <c r="K1183" i="12"/>
  <c r="L1183" i="12" s="1"/>
  <c r="K1184" i="12"/>
  <c r="L1184" i="12" s="1"/>
  <c r="K1185" i="12"/>
  <c r="L1185" i="12" s="1"/>
  <c r="K1186" i="12"/>
  <c r="L1186" i="12" s="1"/>
  <c r="K1187" i="12"/>
  <c r="L1187" i="12" s="1"/>
  <c r="K1188" i="12"/>
  <c r="L1188" i="12" s="1"/>
  <c r="K1189" i="12"/>
  <c r="L1189" i="12" s="1"/>
  <c r="K1190" i="12"/>
  <c r="L1190" i="12" s="1"/>
  <c r="K1191" i="12"/>
  <c r="L1191" i="12" s="1"/>
  <c r="K1192" i="12"/>
  <c r="L1192" i="12" s="1"/>
  <c r="K1193" i="12"/>
  <c r="L1193" i="12" s="1"/>
  <c r="K1194" i="12"/>
  <c r="L1194" i="12" s="1"/>
  <c r="K1195" i="12"/>
  <c r="L1195" i="12" s="1"/>
  <c r="K1196" i="12"/>
  <c r="L1196" i="12" s="1"/>
  <c r="K1197" i="12"/>
  <c r="L1197" i="12" s="1"/>
  <c r="K1198" i="12"/>
  <c r="L1198" i="12" s="1"/>
  <c r="K1199" i="12"/>
  <c r="L1199" i="12" s="1"/>
  <c r="K1200" i="12"/>
  <c r="L1200" i="12" s="1"/>
  <c r="K1201" i="12"/>
  <c r="L1201" i="12" s="1"/>
  <c r="K1202" i="12"/>
  <c r="L1202" i="12" s="1"/>
  <c r="K1203" i="12"/>
  <c r="L1203" i="12" s="1"/>
  <c r="K2229" i="12"/>
  <c r="L2229" i="12" s="1"/>
  <c r="K1204" i="12"/>
  <c r="L1204" i="12" s="1"/>
  <c r="K1205" i="12"/>
  <c r="L1205" i="12" s="1"/>
  <c r="K1206" i="12"/>
  <c r="L1206" i="12" s="1"/>
  <c r="K1207" i="12"/>
  <c r="L1207" i="12" s="1"/>
  <c r="K1208" i="12"/>
  <c r="L1208" i="12" s="1"/>
  <c r="K1209" i="12"/>
  <c r="L1209" i="12" s="1"/>
  <c r="K1210" i="12"/>
  <c r="L1210" i="12" s="1"/>
  <c r="K1211" i="12"/>
  <c r="L1211" i="12" s="1"/>
  <c r="K1212" i="12"/>
  <c r="L1212" i="12" s="1"/>
  <c r="K1213" i="12"/>
  <c r="L1213" i="12" s="1"/>
  <c r="K1214" i="12"/>
  <c r="L1214" i="12" s="1"/>
  <c r="K1215" i="12"/>
  <c r="L1215" i="12" s="1"/>
  <c r="K1216" i="12"/>
  <c r="L1216" i="12" s="1"/>
  <c r="K1217" i="12"/>
  <c r="L1217" i="12" s="1"/>
  <c r="K1218" i="12"/>
  <c r="L1218" i="12" s="1"/>
  <c r="K1219" i="12"/>
  <c r="L1219" i="12" s="1"/>
  <c r="K1220" i="12"/>
  <c r="L1220" i="12" s="1"/>
  <c r="K1221" i="12"/>
  <c r="L1221" i="12" s="1"/>
  <c r="K1222" i="12"/>
  <c r="L1222" i="12" s="1"/>
  <c r="K1223" i="12"/>
  <c r="L1223" i="12" s="1"/>
  <c r="K1224" i="12"/>
  <c r="L1224" i="12" s="1"/>
  <c r="K1225" i="12"/>
  <c r="L1225" i="12" s="1"/>
  <c r="K1226" i="12"/>
  <c r="L1226" i="12" s="1"/>
  <c r="K1227" i="12"/>
  <c r="L1227" i="12" s="1"/>
  <c r="K1228" i="12"/>
  <c r="L1228" i="12" s="1"/>
  <c r="K1229" i="12"/>
  <c r="L1229" i="12" s="1"/>
  <c r="K1230" i="12"/>
  <c r="L1230" i="12" s="1"/>
  <c r="K1232" i="12"/>
  <c r="L1232" i="12" s="1"/>
  <c r="K1234" i="12"/>
  <c r="L1234" i="12" s="1"/>
  <c r="K1235" i="12"/>
  <c r="L1235" i="12" s="1"/>
  <c r="K1236" i="12"/>
  <c r="L1236" i="12" s="1"/>
  <c r="K1237" i="12"/>
  <c r="L1237" i="12" s="1"/>
  <c r="K1238" i="12"/>
  <c r="L1238" i="12" s="1"/>
  <c r="K1239" i="12"/>
  <c r="L1239" i="12" s="1"/>
  <c r="K1240" i="12"/>
  <c r="L1240" i="12" s="1"/>
  <c r="K1241" i="12"/>
  <c r="L1241" i="12" s="1"/>
  <c r="K1242" i="12"/>
  <c r="L1242" i="12" s="1"/>
  <c r="K1243" i="12"/>
  <c r="L1243" i="12" s="1"/>
  <c r="K1244" i="12"/>
  <c r="L1244" i="12" s="1"/>
  <c r="K1245" i="12"/>
  <c r="L1245" i="12" s="1"/>
  <c r="K1246" i="12"/>
  <c r="L1246" i="12" s="1"/>
  <c r="K1247" i="12"/>
  <c r="L1247" i="12" s="1"/>
  <c r="K1248" i="12"/>
  <c r="L1248" i="12" s="1"/>
  <c r="K1249" i="12"/>
  <c r="L1249" i="12" s="1"/>
  <c r="K1250" i="12"/>
  <c r="L1250" i="12" s="1"/>
  <c r="K1251" i="12"/>
  <c r="L1251" i="12" s="1"/>
  <c r="K1252" i="12"/>
  <c r="L1252" i="12" s="1"/>
  <c r="K1253" i="12"/>
  <c r="L1253" i="12" s="1"/>
  <c r="K1254" i="12"/>
  <c r="L1254" i="12" s="1"/>
  <c r="K1255" i="12"/>
  <c r="L1255" i="12" s="1"/>
  <c r="K1257" i="12"/>
  <c r="L1257" i="12" s="1"/>
  <c r="K1258" i="12"/>
  <c r="L1258" i="12" s="1"/>
  <c r="K1259" i="12"/>
  <c r="L1259" i="12" s="1"/>
  <c r="K1260" i="12"/>
  <c r="L1260" i="12" s="1"/>
  <c r="K1261" i="12"/>
  <c r="L1261" i="12" s="1"/>
  <c r="K1262" i="12"/>
  <c r="L1262" i="12" s="1"/>
  <c r="K1263" i="12"/>
  <c r="L1263" i="12" s="1"/>
  <c r="K1264" i="12"/>
  <c r="L1264" i="12" s="1"/>
  <c r="K1265" i="12"/>
  <c r="L1265" i="12" s="1"/>
  <c r="K1266" i="12"/>
  <c r="L1266" i="12" s="1"/>
  <c r="K1267" i="12"/>
  <c r="L1267" i="12" s="1"/>
  <c r="K1268" i="12"/>
  <c r="L1268" i="12" s="1"/>
  <c r="K1269" i="12"/>
  <c r="L1269" i="12" s="1"/>
  <c r="K1270" i="12"/>
  <c r="L1270" i="12" s="1"/>
  <c r="K1271" i="12"/>
  <c r="L1271" i="12" s="1"/>
  <c r="K1272" i="12"/>
  <c r="L1272" i="12" s="1"/>
  <c r="K1273" i="12"/>
  <c r="L1273" i="12" s="1"/>
  <c r="K1274" i="12"/>
  <c r="L1274" i="12" s="1"/>
  <c r="K1275" i="12"/>
  <c r="L1275" i="12" s="1"/>
  <c r="K1276" i="12"/>
  <c r="L1276" i="12" s="1"/>
  <c r="K1277" i="12"/>
  <c r="L1277" i="12" s="1"/>
  <c r="K1278" i="12"/>
  <c r="L1278" i="12" s="1"/>
  <c r="K1279" i="12"/>
  <c r="L1279" i="12" s="1"/>
  <c r="K1280" i="12"/>
  <c r="L1280" i="12" s="1"/>
  <c r="K1281" i="12"/>
  <c r="L1281" i="12" s="1"/>
  <c r="K1282" i="12"/>
  <c r="L1282" i="12" s="1"/>
  <c r="K1283" i="12"/>
  <c r="L1283" i="12" s="1"/>
  <c r="K1284" i="12"/>
  <c r="L1284" i="12" s="1"/>
  <c r="K1285" i="12"/>
  <c r="L1285" i="12" s="1"/>
  <c r="K1286" i="12"/>
  <c r="L1286" i="12" s="1"/>
  <c r="K1287" i="12"/>
  <c r="L1287" i="12" s="1"/>
  <c r="K1288" i="12"/>
  <c r="L1288" i="12" s="1"/>
  <c r="K1289" i="12"/>
  <c r="L1289" i="12" s="1"/>
  <c r="K1290" i="12"/>
  <c r="L1290" i="12" s="1"/>
  <c r="K1291" i="12"/>
  <c r="L1291" i="12" s="1"/>
  <c r="K1292" i="12"/>
  <c r="L1292" i="12" s="1"/>
  <c r="K1293" i="12"/>
  <c r="L1293" i="12" s="1"/>
  <c r="K1294" i="12"/>
  <c r="L1294" i="12" s="1"/>
  <c r="K1295" i="12"/>
  <c r="L1295" i="12" s="1"/>
  <c r="K1296" i="12"/>
  <c r="L1296" i="12" s="1"/>
  <c r="K1297" i="12"/>
  <c r="L1297" i="12" s="1"/>
  <c r="K1298" i="12"/>
  <c r="L1298" i="12" s="1"/>
  <c r="K1299" i="12"/>
  <c r="L1299" i="12" s="1"/>
  <c r="K1300" i="12"/>
  <c r="L1300" i="12" s="1"/>
  <c r="K1301" i="12"/>
  <c r="L1301" i="12" s="1"/>
  <c r="K1302" i="12"/>
  <c r="L1302" i="12" s="1"/>
  <c r="K1303" i="12"/>
  <c r="L1303" i="12" s="1"/>
  <c r="K1304" i="12"/>
  <c r="L1304" i="12" s="1"/>
  <c r="K1305" i="12"/>
  <c r="L1305" i="12" s="1"/>
  <c r="K1306" i="12"/>
  <c r="L1306" i="12" s="1"/>
  <c r="K1307" i="12"/>
  <c r="L1307" i="12" s="1"/>
  <c r="K1308" i="12"/>
  <c r="L1308" i="12" s="1"/>
  <c r="K1309" i="12"/>
  <c r="L1309" i="12" s="1"/>
  <c r="K1310" i="12"/>
  <c r="L1310" i="12" s="1"/>
  <c r="K1311" i="12"/>
  <c r="L1311" i="12" s="1"/>
  <c r="K1312" i="12"/>
  <c r="L1312" i="12" s="1"/>
  <c r="K1313" i="12"/>
  <c r="L1313" i="12" s="1"/>
  <c r="K1314" i="12"/>
  <c r="L1314" i="12" s="1"/>
  <c r="K1315" i="12"/>
  <c r="L1315" i="12" s="1"/>
  <c r="K1316" i="12"/>
  <c r="L1316" i="12" s="1"/>
  <c r="K1317" i="12"/>
  <c r="L1317" i="12" s="1"/>
  <c r="K1318" i="12"/>
  <c r="L1318" i="12" s="1"/>
  <c r="K1319" i="12"/>
  <c r="L1319" i="12" s="1"/>
  <c r="K1320" i="12"/>
  <c r="L1320" i="12" s="1"/>
  <c r="K1321" i="12"/>
  <c r="L1321" i="12" s="1"/>
  <c r="K1322" i="12"/>
  <c r="L1322" i="12" s="1"/>
  <c r="K1323" i="12"/>
  <c r="L1323" i="12" s="1"/>
  <c r="K1324" i="12"/>
  <c r="L1324" i="12" s="1"/>
  <c r="K1325" i="12"/>
  <c r="L1325" i="12" s="1"/>
  <c r="K1326" i="12"/>
  <c r="L1326" i="12" s="1"/>
  <c r="K1327" i="12"/>
  <c r="L1327" i="12" s="1"/>
  <c r="K1328" i="12"/>
  <c r="L1328" i="12" s="1"/>
  <c r="K1329" i="12"/>
  <c r="L1329" i="12" s="1"/>
  <c r="K1330" i="12"/>
  <c r="L1330" i="12" s="1"/>
  <c r="K1331" i="12"/>
  <c r="L1331" i="12" s="1"/>
  <c r="K1332" i="12"/>
  <c r="L1332" i="12" s="1"/>
  <c r="K1333" i="12"/>
  <c r="L1333" i="12" s="1"/>
  <c r="K1334" i="12"/>
  <c r="L1334" i="12" s="1"/>
  <c r="K1335" i="12"/>
  <c r="L1335" i="12" s="1"/>
  <c r="K1336" i="12"/>
  <c r="L1336" i="12" s="1"/>
  <c r="K1337" i="12"/>
  <c r="L1337" i="12" s="1"/>
  <c r="K1338" i="12"/>
  <c r="L1338" i="12" s="1"/>
  <c r="K1339" i="12"/>
  <c r="L1339" i="12" s="1"/>
  <c r="K1340" i="12"/>
  <c r="L1340" i="12" s="1"/>
  <c r="K1341" i="12"/>
  <c r="L1341" i="12" s="1"/>
  <c r="K1342" i="12"/>
  <c r="L1342" i="12" s="1"/>
  <c r="K1343" i="12"/>
  <c r="L1343" i="12" s="1"/>
  <c r="K1344" i="12"/>
  <c r="L1344" i="12" s="1"/>
  <c r="K1345" i="12"/>
  <c r="L1345" i="12" s="1"/>
  <c r="K1346" i="12"/>
  <c r="L1346" i="12" s="1"/>
  <c r="K1347" i="12"/>
  <c r="L1347" i="12" s="1"/>
  <c r="K1348" i="12"/>
  <c r="L1348" i="12" s="1"/>
  <c r="K1349" i="12"/>
  <c r="L1349" i="12" s="1"/>
  <c r="K1350" i="12"/>
  <c r="L1350" i="12" s="1"/>
  <c r="K1351" i="12"/>
  <c r="L1351" i="12" s="1"/>
  <c r="K1352" i="12"/>
  <c r="L1352" i="12" s="1"/>
  <c r="K1353" i="12"/>
  <c r="L1353" i="12" s="1"/>
  <c r="K1354" i="12"/>
  <c r="L1354" i="12" s="1"/>
  <c r="K1355" i="12"/>
  <c r="L1355" i="12" s="1"/>
  <c r="K1356" i="12"/>
  <c r="L1356" i="12" s="1"/>
  <c r="K1357" i="12"/>
  <c r="L1357" i="12" s="1"/>
  <c r="K1358" i="12"/>
  <c r="L1358" i="12" s="1"/>
  <c r="K1359" i="12"/>
  <c r="L1359" i="12" s="1"/>
  <c r="K1360" i="12"/>
  <c r="L1360" i="12" s="1"/>
  <c r="K1361" i="12"/>
  <c r="L1361" i="12" s="1"/>
  <c r="K1362" i="12"/>
  <c r="L1362" i="12" s="1"/>
  <c r="K1363" i="12"/>
  <c r="L1363" i="12" s="1"/>
  <c r="K1364" i="12"/>
  <c r="L1364" i="12" s="1"/>
  <c r="K1365" i="12"/>
  <c r="L1365" i="12" s="1"/>
  <c r="K1366" i="12"/>
  <c r="L1366" i="12" s="1"/>
  <c r="K1367" i="12"/>
  <c r="L1367" i="12" s="1"/>
  <c r="K1368" i="12"/>
  <c r="L1368" i="12" s="1"/>
  <c r="K1369" i="12"/>
  <c r="L1369" i="12" s="1"/>
  <c r="K1370" i="12"/>
  <c r="L1370" i="12" s="1"/>
  <c r="K1371" i="12"/>
  <c r="L1371" i="12" s="1"/>
  <c r="K1372" i="12"/>
  <c r="L1372" i="12" s="1"/>
  <c r="K1373" i="12"/>
  <c r="L1373" i="12" s="1"/>
  <c r="K1374" i="12"/>
  <c r="L1374" i="12" s="1"/>
  <c r="K1375" i="12"/>
  <c r="L1375" i="12" s="1"/>
  <c r="K1376" i="12"/>
  <c r="L1376" i="12" s="1"/>
  <c r="K1377" i="12"/>
  <c r="L1377" i="12" s="1"/>
  <c r="K1378" i="12"/>
  <c r="L1378" i="12" s="1"/>
  <c r="K1379" i="12"/>
  <c r="L1379" i="12" s="1"/>
  <c r="K1380" i="12"/>
  <c r="L1380" i="12" s="1"/>
  <c r="K1381" i="12"/>
  <c r="L1381" i="12" s="1"/>
  <c r="K1382" i="12"/>
  <c r="L1382" i="12" s="1"/>
  <c r="K1383" i="12"/>
  <c r="L1383" i="12" s="1"/>
  <c r="K1384" i="12"/>
  <c r="L1384" i="12" s="1"/>
  <c r="K1385" i="12"/>
  <c r="L1385" i="12" s="1"/>
  <c r="K1386" i="12"/>
  <c r="L1386" i="12" s="1"/>
  <c r="K1387" i="12"/>
  <c r="L1387" i="12" s="1"/>
  <c r="K1388" i="12"/>
  <c r="L1388" i="12" s="1"/>
  <c r="K1389" i="12"/>
  <c r="L1389" i="12" s="1"/>
  <c r="K1390" i="12"/>
  <c r="L1390" i="12" s="1"/>
  <c r="K1391" i="12"/>
  <c r="L1391" i="12" s="1"/>
  <c r="K1392" i="12"/>
  <c r="L1392" i="12" s="1"/>
  <c r="K1393" i="12"/>
  <c r="L1393" i="12" s="1"/>
  <c r="K1394" i="12"/>
  <c r="L1394" i="12" s="1"/>
  <c r="K1395" i="12"/>
  <c r="L1395" i="12" s="1"/>
  <c r="K1396" i="12"/>
  <c r="L1396" i="12" s="1"/>
  <c r="K1397" i="12"/>
  <c r="L1397" i="12" s="1"/>
  <c r="K1398" i="12"/>
  <c r="L1398" i="12" s="1"/>
  <c r="K1399" i="12"/>
  <c r="L1399" i="12" s="1"/>
  <c r="K1400" i="12"/>
  <c r="L1400" i="12" s="1"/>
  <c r="K1401" i="12"/>
  <c r="L1401" i="12" s="1"/>
  <c r="K1402" i="12"/>
  <c r="L1402" i="12" s="1"/>
  <c r="K1403" i="12"/>
  <c r="L1403" i="12" s="1"/>
  <c r="K1404" i="12"/>
  <c r="L1404" i="12" s="1"/>
  <c r="K1405" i="12"/>
  <c r="L1405" i="12" s="1"/>
  <c r="K1406" i="12"/>
  <c r="L1406" i="12" s="1"/>
  <c r="K1407" i="12"/>
  <c r="L1407" i="12" s="1"/>
  <c r="K1408" i="12"/>
  <c r="L1408" i="12" s="1"/>
  <c r="K1409" i="12"/>
  <c r="L1409" i="12" s="1"/>
  <c r="K1410" i="12"/>
  <c r="L1410" i="12" s="1"/>
  <c r="K1411" i="12"/>
  <c r="L1411" i="12" s="1"/>
  <c r="K1412" i="12"/>
  <c r="L1412" i="12" s="1"/>
  <c r="K1413" i="12"/>
  <c r="L1413" i="12" s="1"/>
  <c r="K1414" i="12"/>
  <c r="L1414" i="12" s="1"/>
  <c r="K1415" i="12"/>
  <c r="L1415" i="12" s="1"/>
  <c r="K1416" i="12"/>
  <c r="L1416" i="12" s="1"/>
  <c r="K1417" i="12"/>
  <c r="L1417" i="12" s="1"/>
  <c r="K1418" i="12"/>
  <c r="L1418" i="12" s="1"/>
  <c r="K1419" i="12"/>
  <c r="L1419" i="12" s="1"/>
  <c r="K1420" i="12"/>
  <c r="L1420" i="12" s="1"/>
  <c r="K1421" i="12"/>
  <c r="L1421" i="12" s="1"/>
  <c r="K1422" i="12"/>
  <c r="L1422" i="12" s="1"/>
  <c r="K1423" i="12"/>
  <c r="L1423" i="12" s="1"/>
  <c r="K1424" i="12"/>
  <c r="L1424" i="12" s="1"/>
  <c r="K1425" i="12"/>
  <c r="L1425" i="12" s="1"/>
  <c r="K1426" i="12"/>
  <c r="L1426" i="12" s="1"/>
  <c r="K1427" i="12"/>
  <c r="L1427" i="12" s="1"/>
  <c r="K1428" i="12"/>
  <c r="L1428" i="12" s="1"/>
  <c r="K1429" i="12"/>
  <c r="L1429" i="12" s="1"/>
  <c r="K1430" i="12"/>
  <c r="L1430" i="12" s="1"/>
  <c r="K1431" i="12"/>
  <c r="L1431" i="12" s="1"/>
  <c r="K1432" i="12"/>
  <c r="L1432" i="12" s="1"/>
  <c r="K1433" i="12"/>
  <c r="L1433" i="12" s="1"/>
  <c r="K1434" i="12"/>
  <c r="L1434" i="12" s="1"/>
  <c r="K1435" i="12"/>
  <c r="L1435" i="12" s="1"/>
  <c r="K1436" i="12"/>
  <c r="L1436" i="12" s="1"/>
  <c r="K1437" i="12"/>
  <c r="L1437" i="12" s="1"/>
  <c r="K1438" i="12"/>
  <c r="L1438" i="12" s="1"/>
  <c r="K1439" i="12"/>
  <c r="L1439" i="12" s="1"/>
  <c r="K1440" i="12"/>
  <c r="L1440" i="12" s="1"/>
  <c r="K1441" i="12"/>
  <c r="L1441" i="12" s="1"/>
  <c r="K1442" i="12"/>
  <c r="L1442" i="12" s="1"/>
  <c r="K1443" i="12"/>
  <c r="L1443" i="12" s="1"/>
  <c r="K1444" i="12"/>
  <c r="L1444" i="12" s="1"/>
  <c r="K1445" i="12"/>
  <c r="L1445" i="12" s="1"/>
  <c r="K1446" i="12"/>
  <c r="L1446" i="12" s="1"/>
  <c r="K1447" i="12"/>
  <c r="L1447" i="12" s="1"/>
  <c r="K1448" i="12"/>
  <c r="L1448" i="12" s="1"/>
  <c r="K1449" i="12"/>
  <c r="L1449" i="12" s="1"/>
  <c r="K1450" i="12"/>
  <c r="L1450" i="12" s="1"/>
  <c r="K1451" i="12"/>
  <c r="L1451" i="12" s="1"/>
  <c r="K1452" i="12"/>
  <c r="L1452" i="12" s="1"/>
  <c r="K1453" i="12"/>
  <c r="L1453" i="12" s="1"/>
  <c r="K1454" i="12"/>
  <c r="L1454" i="12" s="1"/>
  <c r="K1455" i="12"/>
  <c r="L1455" i="12" s="1"/>
  <c r="K23" i="12"/>
  <c r="L23" i="12" s="1"/>
  <c r="K1456" i="12"/>
  <c r="L1456" i="12" s="1"/>
  <c r="K1457" i="12"/>
  <c r="L1457" i="12" s="1"/>
  <c r="K1458" i="12"/>
  <c r="L1458" i="12" s="1"/>
  <c r="K1459" i="12"/>
  <c r="L1459" i="12" s="1"/>
  <c r="K1460" i="12"/>
  <c r="L1460" i="12" s="1"/>
  <c r="K1461" i="12"/>
  <c r="L1461" i="12" s="1"/>
  <c r="K1462" i="12"/>
  <c r="L1462" i="12" s="1"/>
  <c r="K1463" i="12"/>
  <c r="L1463" i="12" s="1"/>
  <c r="K1464" i="12"/>
  <c r="L1464" i="12" s="1"/>
  <c r="K1465" i="12"/>
  <c r="L1465" i="12" s="1"/>
  <c r="K1466" i="12"/>
  <c r="L1466" i="12" s="1"/>
  <c r="K1467" i="12"/>
  <c r="L1467" i="12" s="1"/>
  <c r="K1468" i="12"/>
  <c r="L1468" i="12" s="1"/>
  <c r="K1469" i="12"/>
  <c r="L1469" i="12" s="1"/>
  <c r="K1470" i="12"/>
  <c r="L1470" i="12" s="1"/>
  <c r="K1471" i="12"/>
  <c r="L1471" i="12" s="1"/>
  <c r="K1472" i="12"/>
  <c r="L1472" i="12" s="1"/>
  <c r="K1473" i="12"/>
  <c r="L1473" i="12" s="1"/>
  <c r="K1474" i="12"/>
  <c r="L1474" i="12" s="1"/>
  <c r="K1475" i="12"/>
  <c r="L1475" i="12" s="1"/>
  <c r="K1476" i="12"/>
  <c r="L1476" i="12" s="1"/>
  <c r="K1477" i="12"/>
  <c r="L1477" i="12" s="1"/>
  <c r="K1478" i="12"/>
  <c r="L1478" i="12" s="1"/>
  <c r="K1479" i="12"/>
  <c r="L1479" i="12" s="1"/>
  <c r="K1480" i="12"/>
  <c r="L1480" i="12" s="1"/>
  <c r="K1481" i="12"/>
  <c r="L1481" i="12" s="1"/>
  <c r="K1482" i="12"/>
  <c r="L1482" i="12" s="1"/>
  <c r="K1483" i="12"/>
  <c r="L1483" i="12" s="1"/>
  <c r="K1484" i="12"/>
  <c r="L1484" i="12" s="1"/>
  <c r="K1485" i="12"/>
  <c r="L1485" i="12" s="1"/>
  <c r="K1486" i="12"/>
  <c r="L1486" i="12" s="1"/>
  <c r="K1487" i="12"/>
  <c r="L1487" i="12" s="1"/>
  <c r="K1488" i="12"/>
  <c r="L1488" i="12" s="1"/>
  <c r="K1489" i="12"/>
  <c r="L1489" i="12" s="1"/>
  <c r="K1490" i="12"/>
  <c r="L1490" i="12" s="1"/>
  <c r="K1491" i="12"/>
  <c r="L1491" i="12" s="1"/>
  <c r="K1492" i="12"/>
  <c r="L1492" i="12" s="1"/>
  <c r="K1493" i="12"/>
  <c r="L1493" i="12" s="1"/>
  <c r="K1494" i="12"/>
  <c r="L1494" i="12" s="1"/>
  <c r="K1495" i="12"/>
  <c r="L1495" i="12" s="1"/>
  <c r="K1496" i="12"/>
  <c r="L1496" i="12" s="1"/>
  <c r="K1497" i="12"/>
  <c r="L1497" i="12" s="1"/>
  <c r="K1498" i="12"/>
  <c r="L1498" i="12" s="1"/>
  <c r="K1499" i="12"/>
  <c r="L1499" i="12" s="1"/>
  <c r="K1500" i="12"/>
  <c r="L1500" i="12" s="1"/>
  <c r="K1501" i="12"/>
  <c r="L1501" i="12" s="1"/>
  <c r="K1502" i="12"/>
  <c r="L1502" i="12" s="1"/>
  <c r="K1503" i="12"/>
  <c r="L1503" i="12" s="1"/>
  <c r="K1504" i="12"/>
  <c r="L1504" i="12" s="1"/>
  <c r="K1505" i="12"/>
  <c r="L1505" i="12" s="1"/>
  <c r="K1506" i="12"/>
  <c r="L1506" i="12" s="1"/>
  <c r="K1507" i="12"/>
  <c r="L1507" i="12" s="1"/>
  <c r="K1508" i="12"/>
  <c r="L1508" i="12" s="1"/>
  <c r="K1509" i="12"/>
  <c r="L1509" i="12" s="1"/>
  <c r="K1510" i="12"/>
  <c r="L1510" i="12" s="1"/>
  <c r="K1511" i="12"/>
  <c r="L1511" i="12" s="1"/>
  <c r="K1512" i="12"/>
  <c r="L1512" i="12" s="1"/>
  <c r="K1513" i="12"/>
  <c r="L1513" i="12" s="1"/>
  <c r="K1514" i="12"/>
  <c r="L1514" i="12" s="1"/>
  <c r="K1515" i="12"/>
  <c r="L1515" i="12" s="1"/>
  <c r="K1516" i="12"/>
  <c r="L1516" i="12" s="1"/>
  <c r="K1517" i="12"/>
  <c r="L1517" i="12" s="1"/>
  <c r="K1518" i="12"/>
  <c r="L1518" i="12" s="1"/>
  <c r="K1519" i="12"/>
  <c r="L1519" i="12" s="1"/>
  <c r="K1520" i="12"/>
  <c r="L1520" i="12" s="1"/>
  <c r="K1521" i="12"/>
  <c r="L1521" i="12" s="1"/>
  <c r="K1522" i="12"/>
  <c r="L1522" i="12" s="1"/>
  <c r="K1523" i="12"/>
  <c r="L1523" i="12" s="1"/>
  <c r="K1524" i="12"/>
  <c r="L1524" i="12" s="1"/>
  <c r="K1525" i="12"/>
  <c r="L1525" i="12" s="1"/>
  <c r="K1526" i="12"/>
  <c r="L1526" i="12" s="1"/>
  <c r="K1527" i="12"/>
  <c r="L1527" i="12" s="1"/>
  <c r="K1528" i="12"/>
  <c r="L1528" i="12" s="1"/>
  <c r="K1529" i="12"/>
  <c r="L1529" i="12" s="1"/>
  <c r="K1530" i="12"/>
  <c r="L1530" i="12" s="1"/>
  <c r="K1531" i="12"/>
  <c r="L1531" i="12" s="1"/>
  <c r="K1532" i="12"/>
  <c r="L1532" i="12" s="1"/>
  <c r="K1533" i="12"/>
  <c r="L1533" i="12" s="1"/>
  <c r="K1534" i="12"/>
  <c r="L1534" i="12" s="1"/>
  <c r="K1535" i="12"/>
  <c r="L1535" i="12" s="1"/>
  <c r="K1536" i="12"/>
  <c r="L1536" i="12" s="1"/>
  <c r="K1537" i="12"/>
  <c r="L1537" i="12" s="1"/>
  <c r="K1538" i="12"/>
  <c r="L1538" i="12" s="1"/>
  <c r="K1539" i="12"/>
  <c r="L1539" i="12" s="1"/>
  <c r="K1540" i="12"/>
  <c r="L1540" i="12" s="1"/>
  <c r="K1541" i="12"/>
  <c r="L1541" i="12" s="1"/>
  <c r="K1542" i="12"/>
  <c r="L1542" i="12" s="1"/>
  <c r="K1543" i="12"/>
  <c r="L1543" i="12" s="1"/>
  <c r="K1544" i="12"/>
  <c r="L1544" i="12" s="1"/>
  <c r="K1545" i="12"/>
  <c r="L1545" i="12" s="1"/>
  <c r="K1546" i="12"/>
  <c r="L1546" i="12" s="1"/>
  <c r="K1547" i="12"/>
  <c r="L1547" i="12" s="1"/>
  <c r="K1548" i="12"/>
  <c r="L1548" i="12" s="1"/>
  <c r="K1549" i="12"/>
  <c r="L1549" i="12" s="1"/>
  <c r="K1550" i="12"/>
  <c r="L1550" i="12" s="1"/>
  <c r="K1551" i="12"/>
  <c r="L1551" i="12" s="1"/>
  <c r="K1552" i="12"/>
  <c r="L1552" i="12" s="1"/>
  <c r="K1553" i="12"/>
  <c r="L1553" i="12" s="1"/>
  <c r="K1554" i="12"/>
  <c r="L1554" i="12" s="1"/>
  <c r="K1555" i="12"/>
  <c r="L1555" i="12" s="1"/>
  <c r="K1556" i="12"/>
  <c r="L1556" i="12" s="1"/>
  <c r="K1557" i="12"/>
  <c r="L1557" i="12" s="1"/>
  <c r="K1558" i="12"/>
  <c r="L1558" i="12" s="1"/>
  <c r="K1559" i="12"/>
  <c r="L1559" i="12" s="1"/>
  <c r="K1560" i="12"/>
  <c r="L1560" i="12" s="1"/>
  <c r="K1561" i="12"/>
  <c r="L1561" i="12" s="1"/>
  <c r="K1562" i="12"/>
  <c r="L1562" i="12" s="1"/>
  <c r="K1563" i="12"/>
  <c r="L1563" i="12" s="1"/>
  <c r="K1564" i="12"/>
  <c r="L1564" i="12" s="1"/>
  <c r="K1565" i="12"/>
  <c r="L1565" i="12" s="1"/>
  <c r="K1566" i="12"/>
  <c r="L1566" i="12" s="1"/>
  <c r="K1567" i="12"/>
  <c r="L1567" i="12" s="1"/>
  <c r="K1568" i="12"/>
  <c r="L1568" i="12" s="1"/>
  <c r="K1569" i="12"/>
  <c r="L1569" i="12" s="1"/>
  <c r="K1570" i="12"/>
  <c r="L1570" i="12" s="1"/>
  <c r="K1571" i="12"/>
  <c r="L1571" i="12" s="1"/>
  <c r="K1572" i="12"/>
  <c r="L1572" i="12" s="1"/>
  <c r="K1573" i="12"/>
  <c r="L1573" i="12" s="1"/>
  <c r="K1574" i="12"/>
  <c r="L1574" i="12" s="1"/>
  <c r="K1575" i="12"/>
  <c r="L1575" i="12" s="1"/>
  <c r="K1576" i="12"/>
  <c r="L1576" i="12" s="1"/>
  <c r="K1577" i="12"/>
  <c r="L1577" i="12" s="1"/>
  <c r="K1578" i="12"/>
  <c r="L1578" i="12" s="1"/>
  <c r="K1579" i="12"/>
  <c r="L1579" i="12" s="1"/>
  <c r="K1580" i="12"/>
  <c r="L1580" i="12" s="1"/>
  <c r="K1581" i="12"/>
  <c r="L1581" i="12" s="1"/>
  <c r="K1582" i="12"/>
  <c r="L1582" i="12" s="1"/>
  <c r="K1583" i="12"/>
  <c r="L1583" i="12" s="1"/>
  <c r="K1584" i="12"/>
  <c r="L1584" i="12" s="1"/>
  <c r="K1585" i="12"/>
  <c r="L1585" i="12" s="1"/>
  <c r="K1586" i="12"/>
  <c r="L1586" i="12" s="1"/>
  <c r="K1587" i="12"/>
  <c r="L1587" i="12" s="1"/>
  <c r="K1588" i="12"/>
  <c r="L1588" i="12" s="1"/>
  <c r="K1589" i="12"/>
  <c r="L1589" i="12" s="1"/>
  <c r="K1590" i="12"/>
  <c r="L1590" i="12" s="1"/>
  <c r="K1591" i="12"/>
  <c r="L1591" i="12" s="1"/>
  <c r="K1592" i="12"/>
  <c r="L1592" i="12" s="1"/>
  <c r="K1593" i="12"/>
  <c r="L1593" i="12" s="1"/>
  <c r="K1594" i="12"/>
  <c r="L1594" i="12" s="1"/>
  <c r="K1595" i="12"/>
  <c r="L1595" i="12" s="1"/>
  <c r="K1596" i="12"/>
  <c r="L1596" i="12" s="1"/>
  <c r="K1597" i="12"/>
  <c r="L1597" i="12" s="1"/>
  <c r="K1598" i="12"/>
  <c r="L1598" i="12" s="1"/>
  <c r="K1599" i="12"/>
  <c r="L1599" i="12" s="1"/>
  <c r="K1600" i="12"/>
  <c r="L1600" i="12" s="1"/>
  <c r="K1601" i="12"/>
  <c r="L1601" i="12" s="1"/>
  <c r="K1602" i="12"/>
  <c r="L1602" i="12" s="1"/>
  <c r="K1603" i="12"/>
  <c r="L1603" i="12" s="1"/>
  <c r="K1604" i="12"/>
  <c r="L1604" i="12" s="1"/>
  <c r="K1605" i="12"/>
  <c r="L1605" i="12" s="1"/>
  <c r="K1606" i="12"/>
  <c r="L1606" i="12" s="1"/>
  <c r="K1607" i="12"/>
  <c r="L1607" i="12" s="1"/>
  <c r="K1608" i="12"/>
  <c r="L1608" i="12" s="1"/>
  <c r="K1609" i="12"/>
  <c r="L1609" i="12" s="1"/>
  <c r="K1610" i="12"/>
  <c r="L1610" i="12" s="1"/>
  <c r="K1611" i="12"/>
  <c r="L1611" i="12" s="1"/>
  <c r="K1612" i="12"/>
  <c r="L1612" i="12" s="1"/>
  <c r="K1613" i="12"/>
  <c r="L1613" i="12" s="1"/>
  <c r="K1614" i="12"/>
  <c r="L1614" i="12" s="1"/>
  <c r="K1615" i="12"/>
  <c r="L1615" i="12" s="1"/>
  <c r="K1616" i="12"/>
  <c r="L1616" i="12" s="1"/>
  <c r="K1617" i="12"/>
  <c r="L1617" i="12" s="1"/>
  <c r="K1618" i="12"/>
  <c r="L1618" i="12" s="1"/>
  <c r="K1619" i="12"/>
  <c r="L1619" i="12" s="1"/>
  <c r="K1620" i="12"/>
  <c r="L1620" i="12" s="1"/>
  <c r="K1621" i="12"/>
  <c r="L1621" i="12" s="1"/>
  <c r="K1622" i="12"/>
  <c r="L1622" i="12" s="1"/>
  <c r="K1623" i="12"/>
  <c r="L1623" i="12" s="1"/>
  <c r="K1624" i="12"/>
  <c r="L1624" i="12" s="1"/>
  <c r="K1625" i="12"/>
  <c r="L1625" i="12" s="1"/>
  <c r="K1626" i="12"/>
  <c r="L1626" i="12" s="1"/>
  <c r="K1627" i="12"/>
  <c r="L1627" i="12" s="1"/>
  <c r="K1628" i="12"/>
  <c r="L1628" i="12" s="1"/>
  <c r="K1629" i="12"/>
  <c r="L1629" i="12" s="1"/>
  <c r="K1630" i="12"/>
  <c r="L1630" i="12" s="1"/>
  <c r="K1631" i="12"/>
  <c r="L1631" i="12" s="1"/>
  <c r="K1632" i="12"/>
  <c r="L1632" i="12" s="1"/>
  <c r="K1633" i="12"/>
  <c r="L1633" i="12" s="1"/>
  <c r="K1634" i="12"/>
  <c r="L1634" i="12" s="1"/>
  <c r="K1635" i="12"/>
  <c r="L1635" i="12" s="1"/>
  <c r="K1636" i="12"/>
  <c r="L1636" i="12" s="1"/>
  <c r="K1637" i="12"/>
  <c r="L1637" i="12" s="1"/>
  <c r="K1638" i="12"/>
  <c r="L1638" i="12" s="1"/>
  <c r="K1639" i="12"/>
  <c r="L1639" i="12" s="1"/>
  <c r="K1640" i="12"/>
  <c r="L1640" i="12" s="1"/>
  <c r="K1641" i="12"/>
  <c r="L1641" i="12" s="1"/>
  <c r="K1642" i="12"/>
  <c r="L1642" i="12" s="1"/>
  <c r="K1643" i="12"/>
  <c r="L1643" i="12" s="1"/>
  <c r="K1644" i="12"/>
  <c r="L1644" i="12" s="1"/>
  <c r="K1645" i="12"/>
  <c r="L1645" i="12" s="1"/>
  <c r="K1646" i="12"/>
  <c r="L1646" i="12" s="1"/>
  <c r="K1647" i="12"/>
  <c r="L1647" i="12" s="1"/>
  <c r="K1648" i="12"/>
  <c r="L1648" i="12" s="1"/>
  <c r="K1649" i="12"/>
  <c r="L1649" i="12" s="1"/>
  <c r="K1650" i="12"/>
  <c r="L1650" i="12" s="1"/>
  <c r="K1651" i="12"/>
  <c r="L1651" i="12" s="1"/>
  <c r="K1652" i="12"/>
  <c r="L1652" i="12" s="1"/>
  <c r="K1653" i="12"/>
  <c r="L1653" i="12" s="1"/>
  <c r="K1654" i="12"/>
  <c r="L1654" i="12" s="1"/>
  <c r="K1655" i="12"/>
  <c r="L1655" i="12" s="1"/>
  <c r="K1656" i="12"/>
  <c r="L1656" i="12" s="1"/>
  <c r="K1657" i="12"/>
  <c r="L1657" i="12" s="1"/>
  <c r="K1658" i="12"/>
  <c r="L1658" i="12" s="1"/>
  <c r="K1659" i="12"/>
  <c r="L1659" i="12" s="1"/>
  <c r="K1660" i="12"/>
  <c r="L1660" i="12" s="1"/>
  <c r="K1661" i="12"/>
  <c r="L1661" i="12" s="1"/>
  <c r="K1662" i="12"/>
  <c r="L1662" i="12" s="1"/>
  <c r="K1663" i="12"/>
  <c r="L1663" i="12" s="1"/>
  <c r="K1664" i="12"/>
  <c r="L1664" i="12" s="1"/>
  <c r="K1665" i="12"/>
  <c r="L1665" i="12" s="1"/>
  <c r="K1666" i="12"/>
  <c r="L1666" i="12" s="1"/>
  <c r="K1667" i="12"/>
  <c r="L1667" i="12" s="1"/>
  <c r="K1668" i="12"/>
  <c r="L1668" i="12" s="1"/>
  <c r="K1669" i="12"/>
  <c r="L1669" i="12" s="1"/>
  <c r="K1670" i="12"/>
  <c r="L1670" i="12" s="1"/>
  <c r="K1671" i="12"/>
  <c r="L1671" i="12" s="1"/>
  <c r="K1672" i="12"/>
  <c r="L1672" i="12" s="1"/>
  <c r="K1673" i="12"/>
  <c r="L1673" i="12" s="1"/>
  <c r="K1674" i="12"/>
  <c r="L1674" i="12" s="1"/>
  <c r="K1675" i="12"/>
  <c r="L1675" i="12" s="1"/>
  <c r="K1676" i="12"/>
  <c r="L1676" i="12" s="1"/>
  <c r="K1677" i="12"/>
  <c r="L1677" i="12" s="1"/>
  <c r="K1678" i="12"/>
  <c r="L1678" i="12" s="1"/>
  <c r="K1679" i="12"/>
  <c r="L1679" i="12" s="1"/>
  <c r="K1680" i="12"/>
  <c r="L1680" i="12" s="1"/>
  <c r="K1681" i="12"/>
  <c r="L1681" i="12" s="1"/>
  <c r="K1682" i="12"/>
  <c r="L1682" i="12" s="1"/>
  <c r="K1683" i="12"/>
  <c r="L1683" i="12" s="1"/>
  <c r="K1684" i="12"/>
  <c r="L1684" i="12" s="1"/>
  <c r="K1685" i="12"/>
  <c r="L1685" i="12" s="1"/>
  <c r="K1686" i="12"/>
  <c r="L1686" i="12" s="1"/>
  <c r="K1687" i="12"/>
  <c r="L1687" i="12" s="1"/>
  <c r="K1688" i="12"/>
  <c r="L1688" i="12" s="1"/>
  <c r="K1689" i="12"/>
  <c r="L1689" i="12" s="1"/>
  <c r="K1690" i="12"/>
  <c r="L1690" i="12" s="1"/>
  <c r="K1691" i="12"/>
  <c r="L1691" i="12" s="1"/>
  <c r="K1692" i="12"/>
  <c r="L1692" i="12" s="1"/>
  <c r="K1693" i="12"/>
  <c r="L1693" i="12" s="1"/>
  <c r="K1694" i="12"/>
  <c r="L1694" i="12" s="1"/>
  <c r="K1695" i="12"/>
  <c r="L1695" i="12" s="1"/>
  <c r="K1696" i="12"/>
  <c r="L1696" i="12" s="1"/>
  <c r="K1697" i="12"/>
  <c r="L1697" i="12" s="1"/>
  <c r="K1698" i="12"/>
  <c r="L1698" i="12" s="1"/>
  <c r="K1699" i="12"/>
  <c r="L1699" i="12" s="1"/>
  <c r="K1700" i="12"/>
  <c r="L1700" i="12" s="1"/>
  <c r="K1701" i="12"/>
  <c r="L1701" i="12" s="1"/>
  <c r="K1702" i="12"/>
  <c r="L1702" i="12" s="1"/>
  <c r="K1703" i="12"/>
  <c r="L1703" i="12" s="1"/>
  <c r="K1704" i="12"/>
  <c r="L1704" i="12" s="1"/>
  <c r="K1705" i="12"/>
  <c r="L1705" i="12" s="1"/>
  <c r="K1706" i="12"/>
  <c r="L1706" i="12" s="1"/>
  <c r="K1707" i="12"/>
  <c r="L1707" i="12" s="1"/>
  <c r="K1708" i="12"/>
  <c r="L1708" i="12" s="1"/>
  <c r="K1709" i="12"/>
  <c r="L1709" i="12" s="1"/>
  <c r="K1710" i="12"/>
  <c r="L1710" i="12" s="1"/>
  <c r="K1711" i="12"/>
  <c r="L1711" i="12" s="1"/>
  <c r="K1712" i="12"/>
  <c r="L1712" i="12" s="1"/>
  <c r="K1713" i="12"/>
  <c r="L1713" i="12" s="1"/>
  <c r="K1714" i="12"/>
  <c r="L1714" i="12" s="1"/>
  <c r="K1715" i="12"/>
  <c r="L1715" i="12" s="1"/>
  <c r="K1716" i="12"/>
  <c r="L1716" i="12" s="1"/>
  <c r="K1717" i="12"/>
  <c r="L1717" i="12" s="1"/>
  <c r="K1718" i="12"/>
  <c r="L1718" i="12" s="1"/>
  <c r="K1719" i="12"/>
  <c r="L1719" i="12" s="1"/>
  <c r="K1720" i="12"/>
  <c r="L1720" i="12" s="1"/>
  <c r="K1721" i="12"/>
  <c r="L1721" i="12" s="1"/>
  <c r="K1722" i="12"/>
  <c r="L1722" i="12" s="1"/>
  <c r="K1723" i="12"/>
  <c r="L1723" i="12" s="1"/>
  <c r="K1724" i="12"/>
  <c r="L1724" i="12" s="1"/>
  <c r="K1725" i="12"/>
  <c r="L1725" i="12" s="1"/>
  <c r="K1726" i="12"/>
  <c r="L1726" i="12" s="1"/>
  <c r="K1727" i="12"/>
  <c r="L1727" i="12" s="1"/>
  <c r="K1728" i="12"/>
  <c r="L1728" i="12" s="1"/>
  <c r="K1729" i="12"/>
  <c r="L1729" i="12" s="1"/>
  <c r="K1730" i="12"/>
  <c r="L1730" i="12" s="1"/>
  <c r="K1731" i="12"/>
  <c r="L1731" i="12" s="1"/>
  <c r="K1732" i="12"/>
  <c r="L1732" i="12" s="1"/>
  <c r="K1733" i="12"/>
  <c r="L1733" i="12" s="1"/>
  <c r="K1734" i="12"/>
  <c r="L1734" i="12" s="1"/>
  <c r="K1735" i="12"/>
  <c r="L1735" i="12" s="1"/>
  <c r="K1736" i="12"/>
  <c r="L1736" i="12" s="1"/>
  <c r="K1737" i="12"/>
  <c r="L1737" i="12" s="1"/>
  <c r="K1738" i="12"/>
  <c r="L1738" i="12" s="1"/>
  <c r="K1739" i="12"/>
  <c r="L1739" i="12" s="1"/>
  <c r="K1740" i="12"/>
  <c r="L1740" i="12" s="1"/>
  <c r="K1741" i="12"/>
  <c r="L1741" i="12" s="1"/>
  <c r="K1742" i="12"/>
  <c r="L1742" i="12" s="1"/>
  <c r="K1743" i="12"/>
  <c r="L1743" i="12" s="1"/>
  <c r="K1744" i="12"/>
  <c r="L1744" i="12" s="1"/>
  <c r="K1745" i="12"/>
  <c r="L1745" i="12" s="1"/>
  <c r="K1746" i="12"/>
  <c r="L1746" i="12" s="1"/>
  <c r="K1747" i="12"/>
  <c r="L1747" i="12" s="1"/>
  <c r="K1748" i="12"/>
  <c r="L1748" i="12" s="1"/>
  <c r="K1749" i="12"/>
  <c r="L1749" i="12" s="1"/>
  <c r="K1750" i="12"/>
  <c r="L1750" i="12" s="1"/>
  <c r="K1751" i="12"/>
  <c r="L1751" i="12" s="1"/>
  <c r="K1752" i="12"/>
  <c r="L1752" i="12" s="1"/>
  <c r="K1753" i="12"/>
  <c r="L1753" i="12" s="1"/>
  <c r="K1754" i="12"/>
  <c r="L1754" i="12" s="1"/>
  <c r="K1755" i="12"/>
  <c r="L1755" i="12" s="1"/>
  <c r="K1756" i="12"/>
  <c r="L1756" i="12" s="1"/>
  <c r="K1757" i="12"/>
  <c r="L1757" i="12" s="1"/>
  <c r="K1758" i="12"/>
  <c r="L1758" i="12" s="1"/>
  <c r="K1759" i="12"/>
  <c r="L1759" i="12" s="1"/>
  <c r="K1760" i="12"/>
  <c r="L1760" i="12" s="1"/>
  <c r="K1761" i="12"/>
  <c r="L1761" i="12" s="1"/>
  <c r="K1762" i="12"/>
  <c r="L1762" i="12" s="1"/>
  <c r="K1763" i="12"/>
  <c r="L1763" i="12" s="1"/>
  <c r="K1764" i="12"/>
  <c r="L1764" i="12" s="1"/>
  <c r="K1765" i="12"/>
  <c r="L1765" i="12" s="1"/>
  <c r="K1766" i="12"/>
  <c r="L1766" i="12" s="1"/>
  <c r="K1767" i="12"/>
  <c r="L1767" i="12" s="1"/>
  <c r="K1768" i="12"/>
  <c r="L1768" i="12" s="1"/>
  <c r="K1769" i="12"/>
  <c r="L1769" i="12" s="1"/>
  <c r="K1770" i="12"/>
  <c r="L1770" i="12" s="1"/>
  <c r="K1771" i="12"/>
  <c r="L1771" i="12" s="1"/>
  <c r="K1772" i="12"/>
  <c r="L1772" i="12" s="1"/>
  <c r="K1773" i="12"/>
  <c r="L1773" i="12" s="1"/>
  <c r="K1774" i="12"/>
  <c r="L1774" i="12" s="1"/>
  <c r="K1775" i="12"/>
  <c r="L1775" i="12" s="1"/>
  <c r="K1776" i="12"/>
  <c r="L1776" i="12" s="1"/>
  <c r="K1777" i="12"/>
  <c r="L1777" i="12" s="1"/>
  <c r="K1778" i="12"/>
  <c r="L1778" i="12" s="1"/>
  <c r="K1779" i="12"/>
  <c r="L1779" i="12" s="1"/>
  <c r="K1780" i="12"/>
  <c r="L1780" i="12" s="1"/>
  <c r="K1781" i="12"/>
  <c r="L1781" i="12" s="1"/>
  <c r="K1782" i="12"/>
  <c r="L1782" i="12" s="1"/>
  <c r="K1783" i="12"/>
  <c r="L1783" i="12" s="1"/>
  <c r="K1784" i="12"/>
  <c r="L1784" i="12" s="1"/>
  <c r="K1785" i="12"/>
  <c r="L1785" i="12" s="1"/>
  <c r="K1786" i="12"/>
  <c r="L1786" i="12" s="1"/>
  <c r="K1787" i="12"/>
  <c r="L1787" i="12" s="1"/>
  <c r="K1788" i="12"/>
  <c r="L1788" i="12" s="1"/>
  <c r="K1789" i="12"/>
  <c r="L1789" i="12" s="1"/>
  <c r="K1790" i="12"/>
  <c r="L1790" i="12" s="1"/>
  <c r="K1791" i="12"/>
  <c r="L1791" i="12" s="1"/>
  <c r="K1792" i="12"/>
  <c r="L1792" i="12" s="1"/>
  <c r="K1793" i="12"/>
  <c r="L1793" i="12" s="1"/>
  <c r="K1794" i="12"/>
  <c r="L1794" i="12" s="1"/>
  <c r="K1795" i="12"/>
  <c r="L1795" i="12" s="1"/>
  <c r="K1796" i="12"/>
  <c r="L1796" i="12" s="1"/>
  <c r="K1797" i="12"/>
  <c r="L1797" i="12" s="1"/>
  <c r="K1798" i="12"/>
  <c r="L1798" i="12" s="1"/>
  <c r="K1799" i="12"/>
  <c r="L1799" i="12" s="1"/>
  <c r="K1800" i="12"/>
  <c r="L1800" i="12" s="1"/>
  <c r="K1801" i="12"/>
  <c r="L1801" i="12" s="1"/>
  <c r="K1802" i="12"/>
  <c r="L1802" i="12" s="1"/>
  <c r="K1803" i="12"/>
  <c r="L1803" i="12" s="1"/>
  <c r="K1804" i="12"/>
  <c r="L1804" i="12" s="1"/>
  <c r="K1805" i="12"/>
  <c r="L1805" i="12" s="1"/>
  <c r="K1806" i="12"/>
  <c r="L1806" i="12" s="1"/>
  <c r="K1807" i="12"/>
  <c r="L1807" i="12" s="1"/>
  <c r="K1808" i="12"/>
  <c r="L1808" i="12" s="1"/>
  <c r="K1809" i="12"/>
  <c r="L1809" i="12" s="1"/>
  <c r="K1810" i="12"/>
  <c r="L1810" i="12" s="1"/>
  <c r="K1811" i="12"/>
  <c r="L1811" i="12" s="1"/>
  <c r="K1812" i="12"/>
  <c r="L1812" i="12" s="1"/>
  <c r="K1813" i="12"/>
  <c r="L1813" i="12" s="1"/>
  <c r="K1814" i="12"/>
  <c r="L1814" i="12" s="1"/>
  <c r="K1815" i="12"/>
  <c r="L1815" i="12" s="1"/>
  <c r="K1816" i="12"/>
  <c r="L1816" i="12" s="1"/>
  <c r="K1817" i="12"/>
  <c r="L1817" i="12" s="1"/>
  <c r="K1818" i="12"/>
  <c r="L1818" i="12" s="1"/>
  <c r="K1819" i="12"/>
  <c r="L1819" i="12" s="1"/>
  <c r="K1820" i="12"/>
  <c r="L1820" i="12" s="1"/>
  <c r="K1821" i="12"/>
  <c r="L1821" i="12" s="1"/>
  <c r="K1822" i="12"/>
  <c r="L1822" i="12" s="1"/>
  <c r="K1823" i="12"/>
  <c r="L1823" i="12" s="1"/>
  <c r="K1824" i="12"/>
  <c r="L1824" i="12" s="1"/>
  <c r="K1825" i="12"/>
  <c r="L1825" i="12" s="1"/>
  <c r="K1826" i="12"/>
  <c r="L1826" i="12" s="1"/>
  <c r="K1827" i="12"/>
  <c r="L1827" i="12" s="1"/>
  <c r="K1828" i="12"/>
  <c r="L1828" i="12" s="1"/>
  <c r="K1829" i="12"/>
  <c r="L1829" i="12" s="1"/>
  <c r="K1830" i="12"/>
  <c r="L1830" i="12" s="1"/>
  <c r="K1831" i="12"/>
  <c r="L1831" i="12" s="1"/>
  <c r="K1832" i="12"/>
  <c r="L1832" i="12" s="1"/>
  <c r="K1833" i="12"/>
  <c r="L1833" i="12" s="1"/>
  <c r="K1834" i="12"/>
  <c r="L1834" i="12" s="1"/>
  <c r="K1835" i="12"/>
  <c r="L1835" i="12" s="1"/>
  <c r="K1836" i="12"/>
  <c r="L1836" i="12" s="1"/>
  <c r="K1837" i="12"/>
  <c r="L1837" i="12" s="1"/>
  <c r="K1838" i="12"/>
  <c r="L1838" i="12" s="1"/>
  <c r="K1839" i="12"/>
  <c r="L1839" i="12" s="1"/>
  <c r="K1840" i="12"/>
  <c r="L1840" i="12" s="1"/>
  <c r="K1841" i="12"/>
  <c r="L1841" i="12" s="1"/>
  <c r="K1842" i="12"/>
  <c r="L1842" i="12" s="1"/>
  <c r="K1843" i="12"/>
  <c r="L1843" i="12" s="1"/>
  <c r="K1844" i="12"/>
  <c r="L1844" i="12" s="1"/>
  <c r="K1845" i="12"/>
  <c r="L1845" i="12" s="1"/>
  <c r="K1846" i="12"/>
  <c r="L1846" i="12" s="1"/>
  <c r="K1847" i="12"/>
  <c r="L1847" i="12" s="1"/>
  <c r="K1848" i="12"/>
  <c r="L1848" i="12" s="1"/>
  <c r="K1849" i="12"/>
  <c r="L1849" i="12" s="1"/>
  <c r="K1850" i="12"/>
  <c r="L1850" i="12" s="1"/>
  <c r="K1851" i="12"/>
  <c r="L1851" i="12" s="1"/>
  <c r="K1852" i="12"/>
  <c r="L1852" i="12" s="1"/>
  <c r="K1853" i="12"/>
  <c r="L1853" i="12" s="1"/>
  <c r="K1854" i="12"/>
  <c r="L1854" i="12" s="1"/>
  <c r="K1855" i="12"/>
  <c r="L1855" i="12" s="1"/>
  <c r="K1856" i="12"/>
  <c r="L1856" i="12" s="1"/>
  <c r="K1857" i="12"/>
  <c r="L1857" i="12" s="1"/>
  <c r="K1858" i="12"/>
  <c r="L1858" i="12" s="1"/>
  <c r="K1859" i="12"/>
  <c r="L1859" i="12" s="1"/>
  <c r="K1860" i="12"/>
  <c r="L1860" i="12" s="1"/>
  <c r="K1861" i="12"/>
  <c r="L1861" i="12" s="1"/>
  <c r="K1862" i="12"/>
  <c r="L1862" i="12" s="1"/>
  <c r="K1863" i="12"/>
  <c r="L1863" i="12" s="1"/>
  <c r="K1864" i="12"/>
  <c r="L1864" i="12" s="1"/>
  <c r="K1865" i="12"/>
  <c r="L1865" i="12" s="1"/>
  <c r="K1866" i="12"/>
  <c r="L1866" i="12" s="1"/>
  <c r="K1867" i="12"/>
  <c r="L1867" i="12" s="1"/>
  <c r="K1868" i="12"/>
  <c r="L1868" i="12" s="1"/>
  <c r="K1869" i="12"/>
  <c r="L1869" i="12" s="1"/>
  <c r="K1870" i="12"/>
  <c r="L1870" i="12" s="1"/>
  <c r="K1871" i="12"/>
  <c r="L1871" i="12" s="1"/>
  <c r="K1872" i="12"/>
  <c r="L1872" i="12" s="1"/>
  <c r="K1873" i="12"/>
  <c r="L1873" i="12" s="1"/>
  <c r="K1874" i="12"/>
  <c r="L1874" i="12" s="1"/>
  <c r="K1875" i="12"/>
  <c r="L1875" i="12" s="1"/>
  <c r="K1876" i="12"/>
  <c r="L1876" i="12" s="1"/>
  <c r="K1877" i="12"/>
  <c r="L1877" i="12" s="1"/>
  <c r="K1878" i="12"/>
  <c r="L1878" i="12" s="1"/>
  <c r="K1879" i="12"/>
  <c r="L1879" i="12" s="1"/>
  <c r="K1880" i="12"/>
  <c r="L1880" i="12" s="1"/>
  <c r="K1881" i="12"/>
  <c r="L1881" i="12" s="1"/>
  <c r="K1882" i="12"/>
  <c r="L1882" i="12" s="1"/>
  <c r="K1883" i="12"/>
  <c r="L1883" i="12" s="1"/>
  <c r="K1884" i="12"/>
  <c r="L1884" i="12" s="1"/>
  <c r="K1885" i="12"/>
  <c r="L1885" i="12" s="1"/>
  <c r="K1886" i="12"/>
  <c r="L1886" i="12" s="1"/>
  <c r="K1887" i="12"/>
  <c r="L1887" i="12" s="1"/>
  <c r="K1888" i="12"/>
  <c r="L1888" i="12" s="1"/>
  <c r="K1889" i="12"/>
  <c r="L1889" i="12" s="1"/>
  <c r="K1890" i="12"/>
  <c r="L1890" i="12" s="1"/>
  <c r="K1891" i="12"/>
  <c r="L1891" i="12" s="1"/>
  <c r="K1892" i="12"/>
  <c r="L1892" i="12" s="1"/>
  <c r="K1893" i="12"/>
  <c r="L1893" i="12" s="1"/>
  <c r="K1894" i="12"/>
  <c r="L1894" i="12" s="1"/>
  <c r="K1895" i="12"/>
  <c r="L1895" i="12" s="1"/>
  <c r="K1896" i="12"/>
  <c r="L1896" i="12" s="1"/>
  <c r="K1897" i="12"/>
  <c r="L1897" i="12" s="1"/>
  <c r="K1898" i="12"/>
  <c r="L1898" i="12" s="1"/>
  <c r="K1899" i="12"/>
  <c r="L1899" i="12" s="1"/>
  <c r="K1900" i="12"/>
  <c r="L1900" i="12" s="1"/>
  <c r="K1901" i="12"/>
  <c r="L1901" i="12" s="1"/>
  <c r="K1902" i="12"/>
  <c r="L1902" i="12" s="1"/>
  <c r="K1903" i="12"/>
  <c r="L1903" i="12" s="1"/>
  <c r="K1904" i="12"/>
  <c r="L1904" i="12" s="1"/>
  <c r="K1905" i="12"/>
  <c r="L1905" i="12" s="1"/>
  <c r="K1906" i="12"/>
  <c r="L1906" i="12" s="1"/>
  <c r="K1907" i="12"/>
  <c r="L1907" i="12" s="1"/>
  <c r="K1908" i="12"/>
  <c r="L1908" i="12" s="1"/>
  <c r="K1909" i="12"/>
  <c r="L1909" i="12" s="1"/>
  <c r="K1910" i="12"/>
  <c r="L1910" i="12" s="1"/>
  <c r="K1911" i="12"/>
  <c r="L1911" i="12" s="1"/>
  <c r="K1912" i="12"/>
  <c r="L1912" i="12" s="1"/>
  <c r="K1913" i="12"/>
  <c r="L1913" i="12" s="1"/>
  <c r="K1914" i="12"/>
  <c r="L1914" i="12" s="1"/>
  <c r="K1915" i="12"/>
  <c r="L1915" i="12" s="1"/>
  <c r="K1916" i="12"/>
  <c r="L1916" i="12" s="1"/>
  <c r="K1917" i="12"/>
  <c r="L1917" i="12" s="1"/>
  <c r="K1918" i="12"/>
  <c r="L1918" i="12" s="1"/>
  <c r="K1919" i="12"/>
  <c r="L1919" i="12" s="1"/>
  <c r="K1920" i="12"/>
  <c r="L1920" i="12" s="1"/>
  <c r="K1921" i="12"/>
  <c r="L1921" i="12" s="1"/>
  <c r="K1922" i="12"/>
  <c r="L1922" i="12" s="1"/>
  <c r="K1923" i="12"/>
  <c r="L1923" i="12" s="1"/>
  <c r="K1924" i="12"/>
  <c r="L1924" i="12" s="1"/>
  <c r="K1925" i="12"/>
  <c r="L1925" i="12" s="1"/>
  <c r="K1926" i="12"/>
  <c r="L1926" i="12" s="1"/>
  <c r="K1927" i="12"/>
  <c r="L1927" i="12" s="1"/>
  <c r="K1928" i="12"/>
  <c r="L1928" i="12" s="1"/>
  <c r="K1929" i="12"/>
  <c r="L1929" i="12" s="1"/>
  <c r="K1930" i="12"/>
  <c r="L1930" i="12" s="1"/>
  <c r="K1931" i="12"/>
  <c r="L1931" i="12" s="1"/>
  <c r="K1932" i="12"/>
  <c r="L1932" i="12" s="1"/>
  <c r="K1933" i="12"/>
  <c r="L1933" i="12" s="1"/>
  <c r="K1934" i="12"/>
  <c r="L1934" i="12" s="1"/>
  <c r="K1935" i="12"/>
  <c r="L1935" i="12" s="1"/>
  <c r="K1936" i="12"/>
  <c r="L1936" i="12" s="1"/>
  <c r="K1937" i="12"/>
  <c r="L1937" i="12" s="1"/>
  <c r="K1938" i="12"/>
  <c r="L1938" i="12" s="1"/>
  <c r="K1939" i="12"/>
  <c r="L1939" i="12" s="1"/>
  <c r="K1944" i="12"/>
  <c r="L1944" i="12" s="1"/>
  <c r="K1945" i="12"/>
  <c r="L1945" i="12" s="1"/>
  <c r="K1946" i="12"/>
  <c r="L1946" i="12" s="1"/>
  <c r="K1948" i="12"/>
  <c r="L1948" i="12" s="1"/>
  <c r="K1949" i="12"/>
  <c r="L1949" i="12" s="1"/>
  <c r="K1950" i="12"/>
  <c r="L1950" i="12" s="1"/>
  <c r="K1951" i="12"/>
  <c r="L1951" i="12" s="1"/>
  <c r="K1952" i="12"/>
  <c r="L1952" i="12" s="1"/>
  <c r="K1953" i="12"/>
  <c r="L1953" i="12" s="1"/>
  <c r="K1954" i="12"/>
  <c r="L1954" i="12" s="1"/>
  <c r="K1955" i="12"/>
  <c r="L1955" i="12" s="1"/>
  <c r="K1956" i="12"/>
  <c r="L1956" i="12" s="1"/>
  <c r="K1957" i="12"/>
  <c r="L1957" i="12" s="1"/>
  <c r="K1958" i="12"/>
  <c r="L1958" i="12" s="1"/>
  <c r="K1959" i="12"/>
  <c r="L1959" i="12" s="1"/>
  <c r="K1960" i="12"/>
  <c r="L1960" i="12" s="1"/>
  <c r="K1961" i="12"/>
  <c r="L1961" i="12" s="1"/>
  <c r="K1962" i="12"/>
  <c r="L1962" i="12" s="1"/>
  <c r="K1963" i="12"/>
  <c r="L1963" i="12" s="1"/>
  <c r="K1964" i="12"/>
  <c r="L1964" i="12" s="1"/>
  <c r="K1965" i="12"/>
  <c r="L1965" i="12" s="1"/>
  <c r="K1966" i="12"/>
  <c r="L1966" i="12" s="1"/>
  <c r="K1967" i="12"/>
  <c r="L1967" i="12" s="1"/>
  <c r="K1968" i="12"/>
  <c r="L1968" i="12" s="1"/>
  <c r="K1969" i="12"/>
  <c r="L1969" i="12" s="1"/>
  <c r="K1970" i="12"/>
  <c r="L1970" i="12" s="1"/>
  <c r="K1972" i="12"/>
  <c r="L1972" i="12" s="1"/>
  <c r="K1973" i="12"/>
  <c r="L1973" i="12" s="1"/>
  <c r="K1975" i="12"/>
  <c r="L1975" i="12" s="1"/>
  <c r="K1976" i="12"/>
  <c r="L1976" i="12" s="1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2229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2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23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4" i="12"/>
  <c r="J1945" i="12"/>
  <c r="J1946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2" i="12"/>
  <c r="J1973" i="12"/>
  <c r="J1975" i="12"/>
  <c r="J197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2229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2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1445" i="12"/>
  <c r="I1446" i="12"/>
  <c r="I1447" i="12"/>
  <c r="I1448" i="12"/>
  <c r="I1449" i="12"/>
  <c r="I1450" i="12"/>
  <c r="I1451" i="12"/>
  <c r="I1452" i="12"/>
  <c r="I1453" i="12"/>
  <c r="I1454" i="12"/>
  <c r="I1455" i="12"/>
  <c r="I23" i="12"/>
  <c r="I1456" i="12"/>
  <c r="I1457" i="12"/>
  <c r="I1458" i="12"/>
  <c r="I1459" i="12"/>
  <c r="I1460" i="12"/>
  <c r="I1461" i="12"/>
  <c r="I1462" i="12"/>
  <c r="I1463" i="12"/>
  <c r="I1464" i="12"/>
  <c r="I1465" i="12"/>
  <c r="I1466" i="12"/>
  <c r="I1467" i="12"/>
  <c r="I1468" i="12"/>
  <c r="I1469" i="12"/>
  <c r="I1470" i="12"/>
  <c r="I1471" i="12"/>
  <c r="I1472" i="12"/>
  <c r="I1473" i="12"/>
  <c r="I1474" i="12"/>
  <c r="I1475" i="12"/>
  <c r="I1476" i="12"/>
  <c r="I1477" i="12"/>
  <c r="I1478" i="12"/>
  <c r="I1479" i="12"/>
  <c r="I1480" i="12"/>
  <c r="I1481" i="12"/>
  <c r="I1482" i="12"/>
  <c r="I1483" i="12"/>
  <c r="I1484" i="12"/>
  <c r="I1485" i="12"/>
  <c r="I1486" i="12"/>
  <c r="I1487" i="12"/>
  <c r="I1488" i="12"/>
  <c r="I1489" i="12"/>
  <c r="I1490" i="12"/>
  <c r="I1491" i="12"/>
  <c r="I1492" i="12"/>
  <c r="I1493" i="12"/>
  <c r="I1494" i="12"/>
  <c r="I1495" i="12"/>
  <c r="I1496" i="12"/>
  <c r="I1497" i="12"/>
  <c r="I1498" i="12"/>
  <c r="I1499" i="12"/>
  <c r="I1500" i="12"/>
  <c r="I1501" i="12"/>
  <c r="I1502" i="12"/>
  <c r="I1503" i="12"/>
  <c r="I1504" i="12"/>
  <c r="I1505" i="12"/>
  <c r="I1506" i="12"/>
  <c r="I1507" i="12"/>
  <c r="I1508" i="12"/>
  <c r="I1509" i="12"/>
  <c r="I1510" i="12"/>
  <c r="I1511" i="12"/>
  <c r="I1512" i="12"/>
  <c r="I1513" i="12"/>
  <c r="I1514" i="12"/>
  <c r="I1515" i="12"/>
  <c r="I1516" i="12"/>
  <c r="I1517" i="12"/>
  <c r="I1518" i="12"/>
  <c r="I1519" i="12"/>
  <c r="I1520" i="12"/>
  <c r="I1521" i="12"/>
  <c r="I1522" i="12"/>
  <c r="I1523" i="12"/>
  <c r="I1524" i="12"/>
  <c r="I1525" i="12"/>
  <c r="I1526" i="12"/>
  <c r="I1527" i="12"/>
  <c r="I1528" i="12"/>
  <c r="I1529" i="12"/>
  <c r="I1530" i="12"/>
  <c r="I1531" i="12"/>
  <c r="I1532" i="12"/>
  <c r="I1533" i="12"/>
  <c r="I1534" i="12"/>
  <c r="I1535" i="12"/>
  <c r="I1536" i="12"/>
  <c r="I1537" i="12"/>
  <c r="I1538" i="12"/>
  <c r="I1539" i="12"/>
  <c r="I1540" i="12"/>
  <c r="I1541" i="12"/>
  <c r="I1542" i="12"/>
  <c r="I1543" i="12"/>
  <c r="I1544" i="12"/>
  <c r="I1545" i="12"/>
  <c r="I1546" i="12"/>
  <c r="I1547" i="12"/>
  <c r="I1548" i="12"/>
  <c r="I1549" i="12"/>
  <c r="I1550" i="12"/>
  <c r="I1551" i="12"/>
  <c r="I1552" i="12"/>
  <c r="I1553" i="12"/>
  <c r="I1554" i="12"/>
  <c r="I1555" i="12"/>
  <c r="I1556" i="12"/>
  <c r="I1557" i="12"/>
  <c r="I1558" i="12"/>
  <c r="I1559" i="12"/>
  <c r="I1560" i="12"/>
  <c r="I1561" i="12"/>
  <c r="I1562" i="12"/>
  <c r="I1563" i="12"/>
  <c r="I1564" i="12"/>
  <c r="I1565" i="12"/>
  <c r="I1566" i="12"/>
  <c r="I1567" i="12"/>
  <c r="I1568" i="12"/>
  <c r="I1569" i="12"/>
  <c r="I1570" i="12"/>
  <c r="I1571" i="12"/>
  <c r="I1572" i="12"/>
  <c r="I1573" i="12"/>
  <c r="I1574" i="12"/>
  <c r="I1575" i="12"/>
  <c r="I1576" i="12"/>
  <c r="I1577" i="12"/>
  <c r="I1578" i="12"/>
  <c r="I1579" i="12"/>
  <c r="I1580" i="12"/>
  <c r="I1581" i="12"/>
  <c r="I1582" i="12"/>
  <c r="I1583" i="12"/>
  <c r="I1584" i="12"/>
  <c r="I1585" i="12"/>
  <c r="I1586" i="12"/>
  <c r="I1587" i="12"/>
  <c r="I1588" i="12"/>
  <c r="I1589" i="12"/>
  <c r="I1590" i="12"/>
  <c r="I1591" i="12"/>
  <c r="I1592" i="12"/>
  <c r="I1593" i="12"/>
  <c r="I1594" i="12"/>
  <c r="I1595" i="12"/>
  <c r="I1596" i="12"/>
  <c r="I1597" i="12"/>
  <c r="I1598" i="12"/>
  <c r="I1599" i="12"/>
  <c r="I1600" i="12"/>
  <c r="I1601" i="12"/>
  <c r="I1602" i="12"/>
  <c r="I1603" i="12"/>
  <c r="I1604" i="12"/>
  <c r="I1605" i="12"/>
  <c r="I1606" i="12"/>
  <c r="I1607" i="12"/>
  <c r="I1608" i="12"/>
  <c r="I1609" i="12"/>
  <c r="I1610" i="12"/>
  <c r="I1611" i="12"/>
  <c r="I1612" i="12"/>
  <c r="I1613" i="12"/>
  <c r="I1614" i="12"/>
  <c r="I1615" i="12"/>
  <c r="I1616" i="12"/>
  <c r="I1617" i="12"/>
  <c r="I1618" i="12"/>
  <c r="I1619" i="12"/>
  <c r="I1620" i="12"/>
  <c r="I1621" i="12"/>
  <c r="I1622" i="12"/>
  <c r="I1623" i="12"/>
  <c r="I1624" i="12"/>
  <c r="I1625" i="12"/>
  <c r="I1626" i="12"/>
  <c r="I1627" i="12"/>
  <c r="I1628" i="12"/>
  <c r="I1629" i="12"/>
  <c r="I1630" i="12"/>
  <c r="I1631" i="12"/>
  <c r="I1632" i="12"/>
  <c r="I1633" i="12"/>
  <c r="I1634" i="12"/>
  <c r="I1635" i="12"/>
  <c r="I1636" i="12"/>
  <c r="I1637" i="12"/>
  <c r="I1638" i="12"/>
  <c r="I1639" i="12"/>
  <c r="I1640" i="12"/>
  <c r="I1641" i="12"/>
  <c r="I1642" i="12"/>
  <c r="I1643" i="12"/>
  <c r="I1644" i="12"/>
  <c r="I1645" i="12"/>
  <c r="I1646" i="12"/>
  <c r="I1647" i="12"/>
  <c r="I1648" i="12"/>
  <c r="I1649" i="12"/>
  <c r="I1650" i="12"/>
  <c r="I1651" i="12"/>
  <c r="I1652" i="12"/>
  <c r="I1653" i="12"/>
  <c r="I1654" i="12"/>
  <c r="I1655" i="12"/>
  <c r="I1656" i="12"/>
  <c r="I1657" i="12"/>
  <c r="I1658" i="12"/>
  <c r="I1659" i="12"/>
  <c r="I1660" i="12"/>
  <c r="I1661" i="12"/>
  <c r="I1662" i="12"/>
  <c r="I1663" i="12"/>
  <c r="I1664" i="12"/>
  <c r="I1665" i="12"/>
  <c r="I1666" i="12"/>
  <c r="I1667" i="12"/>
  <c r="I1668" i="12"/>
  <c r="I1669" i="12"/>
  <c r="I1670" i="12"/>
  <c r="I1671" i="12"/>
  <c r="I1672" i="12"/>
  <c r="I1673" i="12"/>
  <c r="I1674" i="12"/>
  <c r="I1675" i="12"/>
  <c r="I1676" i="12"/>
  <c r="I1677" i="12"/>
  <c r="I1678" i="12"/>
  <c r="I1679" i="12"/>
  <c r="I1680" i="12"/>
  <c r="I1681" i="12"/>
  <c r="I1682" i="12"/>
  <c r="I1683" i="12"/>
  <c r="I1684" i="12"/>
  <c r="I1685" i="12"/>
  <c r="I1686" i="12"/>
  <c r="I1687" i="12"/>
  <c r="I1688" i="12"/>
  <c r="I1689" i="12"/>
  <c r="I1690" i="12"/>
  <c r="I1691" i="12"/>
  <c r="I1692" i="12"/>
  <c r="I1693" i="12"/>
  <c r="I1694" i="12"/>
  <c r="I1695" i="12"/>
  <c r="I1696" i="12"/>
  <c r="I1697" i="12"/>
  <c r="I1698" i="12"/>
  <c r="I1699" i="12"/>
  <c r="I1700" i="12"/>
  <c r="I1701" i="12"/>
  <c r="I1702" i="12"/>
  <c r="I1703" i="12"/>
  <c r="I1704" i="12"/>
  <c r="I1705" i="12"/>
  <c r="I1706" i="12"/>
  <c r="I1707" i="12"/>
  <c r="I1708" i="12"/>
  <c r="I1709" i="12"/>
  <c r="I1710" i="12"/>
  <c r="I1711" i="12"/>
  <c r="I1712" i="12"/>
  <c r="I1713" i="12"/>
  <c r="I1714" i="12"/>
  <c r="I1715" i="12"/>
  <c r="I1716" i="12"/>
  <c r="I1717" i="12"/>
  <c r="I1718" i="12"/>
  <c r="I1719" i="12"/>
  <c r="I1720" i="12"/>
  <c r="I1721" i="12"/>
  <c r="I1722" i="12"/>
  <c r="I1723" i="12"/>
  <c r="I1724" i="12"/>
  <c r="I1725" i="12"/>
  <c r="I1726" i="12"/>
  <c r="I1727" i="12"/>
  <c r="I1728" i="12"/>
  <c r="I1729" i="12"/>
  <c r="I1730" i="12"/>
  <c r="I1731" i="12"/>
  <c r="I1732" i="12"/>
  <c r="I1733" i="12"/>
  <c r="I1734" i="12"/>
  <c r="I1735" i="12"/>
  <c r="I1736" i="12"/>
  <c r="I1737" i="12"/>
  <c r="I1738" i="12"/>
  <c r="I1739" i="12"/>
  <c r="I1740" i="12"/>
  <c r="I1741" i="12"/>
  <c r="I1742" i="12"/>
  <c r="I1743" i="12"/>
  <c r="I1744" i="12"/>
  <c r="I1745" i="12"/>
  <c r="I1746" i="12"/>
  <c r="I1747" i="12"/>
  <c r="I1748" i="12"/>
  <c r="I1749" i="12"/>
  <c r="I1750" i="12"/>
  <c r="I1751" i="12"/>
  <c r="I1752" i="12"/>
  <c r="I1753" i="12"/>
  <c r="I1754" i="12"/>
  <c r="I1755" i="12"/>
  <c r="I1756" i="12"/>
  <c r="I1757" i="12"/>
  <c r="I1758" i="12"/>
  <c r="I1759" i="12"/>
  <c r="I1760" i="12"/>
  <c r="I1761" i="12"/>
  <c r="I1762" i="12"/>
  <c r="I1763" i="12"/>
  <c r="I1764" i="12"/>
  <c r="I1765" i="12"/>
  <c r="I1766" i="12"/>
  <c r="I1767" i="12"/>
  <c r="I1768" i="12"/>
  <c r="I1769" i="12"/>
  <c r="I1770" i="12"/>
  <c r="I1771" i="12"/>
  <c r="I1772" i="12"/>
  <c r="I1773" i="12"/>
  <c r="I1774" i="12"/>
  <c r="I1775" i="12"/>
  <c r="I1776" i="12"/>
  <c r="I1777" i="12"/>
  <c r="I1778" i="12"/>
  <c r="I1779" i="12"/>
  <c r="I1780" i="12"/>
  <c r="I1781" i="12"/>
  <c r="I1782" i="12"/>
  <c r="I1783" i="12"/>
  <c r="I1784" i="12"/>
  <c r="I1785" i="12"/>
  <c r="I1786" i="12"/>
  <c r="I1787" i="12"/>
  <c r="I1788" i="12"/>
  <c r="I1789" i="12"/>
  <c r="I1790" i="12"/>
  <c r="I1791" i="12"/>
  <c r="I1792" i="12"/>
  <c r="I1793" i="12"/>
  <c r="I1794" i="12"/>
  <c r="I1795" i="12"/>
  <c r="I1796" i="12"/>
  <c r="I1797" i="12"/>
  <c r="I1798" i="12"/>
  <c r="I1799" i="12"/>
  <c r="I1800" i="12"/>
  <c r="I1801" i="12"/>
  <c r="I1802" i="12"/>
  <c r="I1803" i="12"/>
  <c r="I1804" i="12"/>
  <c r="I1805" i="12"/>
  <c r="I1806" i="12"/>
  <c r="I1807" i="12"/>
  <c r="I1808" i="12"/>
  <c r="I1809" i="12"/>
  <c r="I1810" i="12"/>
  <c r="I1811" i="12"/>
  <c r="I1812" i="12"/>
  <c r="I1813" i="12"/>
  <c r="I1814" i="12"/>
  <c r="I1815" i="12"/>
  <c r="I1816" i="12"/>
  <c r="I1817" i="12"/>
  <c r="I1818" i="12"/>
  <c r="I1819" i="12"/>
  <c r="I1820" i="12"/>
  <c r="I1821" i="12"/>
  <c r="I1822" i="12"/>
  <c r="I1823" i="12"/>
  <c r="I1824" i="12"/>
  <c r="I1825" i="12"/>
  <c r="I1826" i="12"/>
  <c r="I1827" i="12"/>
  <c r="I1828" i="12"/>
  <c r="I1829" i="12"/>
  <c r="I1830" i="12"/>
  <c r="I1831" i="12"/>
  <c r="I1832" i="12"/>
  <c r="I1833" i="12"/>
  <c r="I1834" i="12"/>
  <c r="I1835" i="12"/>
  <c r="I1836" i="12"/>
  <c r="I1837" i="12"/>
  <c r="I1838" i="12"/>
  <c r="I1839" i="12"/>
  <c r="I1840" i="12"/>
  <c r="I1841" i="12"/>
  <c r="I1842" i="12"/>
  <c r="I1843" i="12"/>
  <c r="I1844" i="12"/>
  <c r="I1845" i="12"/>
  <c r="I1846" i="12"/>
  <c r="I1847" i="12"/>
  <c r="I1848" i="12"/>
  <c r="I1849" i="12"/>
  <c r="I1850" i="12"/>
  <c r="I1851" i="12"/>
  <c r="I1852" i="12"/>
  <c r="I1853" i="12"/>
  <c r="I1854" i="12"/>
  <c r="I1855" i="12"/>
  <c r="I1856" i="12"/>
  <c r="I1857" i="12"/>
  <c r="I1858" i="12"/>
  <c r="I1859" i="12"/>
  <c r="I1860" i="12"/>
  <c r="I1861" i="12"/>
  <c r="I1862" i="12"/>
  <c r="I1863" i="12"/>
  <c r="I1864" i="12"/>
  <c r="I1865" i="12"/>
  <c r="I1866" i="12"/>
  <c r="I1867" i="12"/>
  <c r="I1868" i="12"/>
  <c r="I1869" i="12"/>
  <c r="I1870" i="12"/>
  <c r="I1871" i="12"/>
  <c r="I1872" i="12"/>
  <c r="I1873" i="12"/>
  <c r="I1874" i="12"/>
  <c r="I1875" i="12"/>
  <c r="I1876" i="12"/>
  <c r="I1877" i="12"/>
  <c r="I1878" i="12"/>
  <c r="I1879" i="12"/>
  <c r="I1880" i="12"/>
  <c r="I1881" i="12"/>
  <c r="I1882" i="12"/>
  <c r="I1883" i="12"/>
  <c r="I1884" i="12"/>
  <c r="I1885" i="12"/>
  <c r="I1886" i="12"/>
  <c r="I1887" i="12"/>
  <c r="I1888" i="12"/>
  <c r="I1889" i="12"/>
  <c r="I1890" i="12"/>
  <c r="I1891" i="12"/>
  <c r="I1892" i="12"/>
  <c r="I1893" i="12"/>
  <c r="I1894" i="12"/>
  <c r="I1895" i="12"/>
  <c r="I1896" i="12"/>
  <c r="I1897" i="12"/>
  <c r="I1898" i="12"/>
  <c r="I1899" i="12"/>
  <c r="I1900" i="12"/>
  <c r="I1901" i="12"/>
  <c r="I1902" i="12"/>
  <c r="I1903" i="12"/>
  <c r="I1904" i="12"/>
  <c r="I1905" i="12"/>
  <c r="I1906" i="12"/>
  <c r="I1907" i="12"/>
  <c r="I1908" i="12"/>
  <c r="I1909" i="12"/>
  <c r="I1910" i="12"/>
  <c r="I1911" i="12"/>
  <c r="I1912" i="12"/>
  <c r="I1913" i="12"/>
  <c r="I1914" i="12"/>
  <c r="I1915" i="12"/>
  <c r="I1916" i="12"/>
  <c r="I1917" i="12"/>
  <c r="I1918" i="12"/>
  <c r="I1919" i="12"/>
  <c r="I1920" i="12"/>
  <c r="I1921" i="12"/>
  <c r="I1922" i="12"/>
  <c r="I1923" i="12"/>
  <c r="I1924" i="12"/>
  <c r="I1925" i="12"/>
  <c r="I1926" i="12"/>
  <c r="I1927" i="12"/>
  <c r="I1928" i="12"/>
  <c r="I1929" i="12"/>
  <c r="I1930" i="12"/>
  <c r="I1931" i="12"/>
  <c r="I1932" i="12"/>
  <c r="I1933" i="12"/>
  <c r="I1934" i="12"/>
  <c r="I1935" i="12"/>
  <c r="I1936" i="12"/>
  <c r="I1937" i="12"/>
  <c r="I1938" i="12"/>
  <c r="I1939" i="12"/>
  <c r="I1944" i="12"/>
  <c r="I1945" i="12"/>
  <c r="I1946" i="12"/>
  <c r="I1948" i="12"/>
  <c r="I1949" i="12"/>
  <c r="I1950" i="12"/>
  <c r="I1951" i="12"/>
  <c r="I1952" i="12"/>
  <c r="I1953" i="12"/>
  <c r="I1954" i="12"/>
  <c r="I1955" i="12"/>
  <c r="I1956" i="12"/>
  <c r="I1957" i="12"/>
  <c r="I1958" i="12"/>
  <c r="I1959" i="12"/>
  <c r="I1960" i="12"/>
  <c r="I1961" i="12"/>
  <c r="I1962" i="12"/>
  <c r="I1963" i="12"/>
  <c r="I1964" i="12"/>
  <c r="I1965" i="12"/>
  <c r="I1966" i="12"/>
  <c r="I1967" i="12"/>
  <c r="I1968" i="12"/>
  <c r="I1969" i="12"/>
  <c r="I1970" i="12"/>
  <c r="I1972" i="12"/>
  <c r="I1973" i="12"/>
  <c r="I1975" i="12"/>
  <c r="I1976" i="12"/>
  <c r="I2" i="12"/>
  <c r="H100" i="10" l="1"/>
  <c r="K134" i="10"/>
  <c r="N121" i="10"/>
  <c r="N120" i="10"/>
  <c r="P121" i="10"/>
  <c r="M121" i="10"/>
  <c r="M120" i="10"/>
  <c r="T121" i="10"/>
  <c r="T120" i="10"/>
  <c r="S121" i="10"/>
  <c r="S120" i="10"/>
  <c r="R121" i="10"/>
  <c r="R120" i="10"/>
  <c r="P120" i="10"/>
  <c r="Q121" i="10"/>
  <c r="Q120" i="10"/>
  <c r="O121" i="10"/>
  <c r="O120" i="10"/>
  <c r="H121" i="10"/>
  <c r="H120" i="10"/>
  <c r="K121" i="10"/>
  <c r="K120" i="10"/>
  <c r="D120" i="10"/>
  <c r="D121" i="10"/>
  <c r="L58" i="12"/>
  <c r="F121" i="10"/>
  <c r="F120" i="10"/>
  <c r="D109" i="10"/>
  <c r="F109" i="10"/>
  <c r="H109" i="10"/>
  <c r="K109" i="10"/>
  <c r="K14" i="10"/>
  <c r="K13" i="10"/>
  <c r="K18" i="10"/>
  <c r="K16" i="10"/>
  <c r="K15" i="10"/>
  <c r="D21" i="10"/>
  <c r="F23" i="10"/>
  <c r="F22" i="10"/>
  <c r="F21" i="10"/>
  <c r="D23" i="10"/>
  <c r="D22" i="10"/>
  <c r="K96" i="10"/>
  <c r="K108" i="10"/>
  <c r="K107" i="10"/>
  <c r="D96" i="10"/>
  <c r="F96" i="10"/>
  <c r="H96" i="10"/>
  <c r="H107" i="10"/>
  <c r="F107" i="10"/>
  <c r="D107" i="10"/>
  <c r="E40" i="1"/>
  <c r="AR40" i="1" s="1"/>
  <c r="H41" i="1"/>
  <c r="AR41" i="1" s="1"/>
  <c r="H18" i="10"/>
  <c r="K17" i="1" s="1"/>
  <c r="H16" i="10"/>
  <c r="K15" i="1" s="1"/>
  <c r="H15" i="10"/>
  <c r="K14" i="1" s="1"/>
  <c r="H14" i="10"/>
  <c r="K13" i="1" s="1"/>
  <c r="H13" i="10"/>
  <c r="K94" i="10"/>
  <c r="T94" i="10"/>
  <c r="S95" i="10"/>
  <c r="R97" i="10"/>
  <c r="M94" i="10"/>
  <c r="K95" i="10"/>
  <c r="T95" i="10"/>
  <c r="S97" i="10"/>
  <c r="N94" i="10"/>
  <c r="M95" i="10"/>
  <c r="K97" i="10"/>
  <c r="T97" i="10"/>
  <c r="Q95" i="10"/>
  <c r="O94" i="10"/>
  <c r="N95" i="10"/>
  <c r="M97" i="10"/>
  <c r="H94" i="10"/>
  <c r="P94" i="10"/>
  <c r="O95" i="10"/>
  <c r="N97" i="10"/>
  <c r="H95" i="10"/>
  <c r="R94" i="10"/>
  <c r="Q94" i="10"/>
  <c r="P95" i="10"/>
  <c r="O97" i="10"/>
  <c r="H97" i="10"/>
  <c r="P97" i="10"/>
  <c r="S94" i="10"/>
  <c r="R95" i="10"/>
  <c r="Q97" i="10"/>
  <c r="F77" i="10"/>
  <c r="F16" i="10"/>
  <c r="H15" i="1" s="1"/>
  <c r="F15" i="10"/>
  <c r="H14" i="1" s="1"/>
  <c r="F14" i="10"/>
  <c r="H13" i="1" s="1"/>
  <c r="F13" i="10"/>
  <c r="H16" i="1"/>
  <c r="AR16" i="1" s="1"/>
  <c r="F18" i="10"/>
  <c r="H17" i="1" s="1"/>
  <c r="F52" i="10"/>
  <c r="F30" i="10"/>
  <c r="H30" i="1" s="1"/>
  <c r="F94" i="10"/>
  <c r="L2" i="12"/>
  <c r="D94" i="10"/>
  <c r="F95" i="10"/>
  <c r="L17" i="12"/>
  <c r="D95" i="10"/>
  <c r="F64" i="10"/>
  <c r="D64" i="10"/>
  <c r="P84" i="10"/>
  <c r="P83" i="10" s="1"/>
  <c r="O84" i="10"/>
  <c r="O83" i="10" s="1"/>
  <c r="N84" i="10"/>
  <c r="N83" i="10" s="1"/>
  <c r="M84" i="10"/>
  <c r="M83" i="10" s="1"/>
  <c r="T84" i="10"/>
  <c r="T83" i="10" s="1"/>
  <c r="K84" i="10"/>
  <c r="S84" i="10"/>
  <c r="S83" i="10" s="1"/>
  <c r="H84" i="10"/>
  <c r="R84" i="10"/>
  <c r="R83" i="10" s="1"/>
  <c r="F84" i="10"/>
  <c r="Q84" i="10"/>
  <c r="Q83" i="10" s="1"/>
  <c r="D84" i="10"/>
  <c r="D97" i="10"/>
  <c r="F97" i="10"/>
  <c r="G7" i="13"/>
  <c r="D16" i="10"/>
  <c r="D18" i="10"/>
  <c r="D17" i="10"/>
  <c r="D15" i="10"/>
  <c r="D14" i="10"/>
  <c r="D13" i="10"/>
  <c r="G2" i="13"/>
  <c r="T24" i="10"/>
  <c r="K24" i="10"/>
  <c r="O23" i="10"/>
  <c r="R22" i="10"/>
  <c r="M21" i="10"/>
  <c r="N39" i="10"/>
  <c r="Q38" i="10"/>
  <c r="T37" i="10"/>
  <c r="K37" i="10"/>
  <c r="O36" i="10"/>
  <c r="R35" i="10"/>
  <c r="F35" i="10"/>
  <c r="H35" i="1" s="1"/>
  <c r="M34" i="10"/>
  <c r="P33" i="10"/>
  <c r="S32" i="10"/>
  <c r="H32" i="10"/>
  <c r="K32" i="1" s="1"/>
  <c r="N31" i="10"/>
  <c r="Q30" i="10"/>
  <c r="T29" i="10"/>
  <c r="K29" i="10"/>
  <c r="D34" i="10"/>
  <c r="R135" i="10"/>
  <c r="F135" i="10"/>
  <c r="M134" i="10"/>
  <c r="P133" i="10"/>
  <c r="S130" i="10"/>
  <c r="H130" i="10"/>
  <c r="N129" i="10"/>
  <c r="Q125" i="10"/>
  <c r="T124" i="10"/>
  <c r="K124" i="10"/>
  <c r="O123" i="10"/>
  <c r="R119" i="10"/>
  <c r="F119" i="10"/>
  <c r="M117" i="10"/>
  <c r="P116" i="10"/>
  <c r="S115" i="10"/>
  <c r="H115" i="10"/>
  <c r="N114" i="10"/>
  <c r="Q113" i="10"/>
  <c r="T112" i="10"/>
  <c r="K112" i="10"/>
  <c r="O111" i="10"/>
  <c r="R110" i="10"/>
  <c r="F110" i="10"/>
  <c r="M108" i="10"/>
  <c r="P106" i="10"/>
  <c r="S105" i="10"/>
  <c r="H105" i="10"/>
  <c r="N104" i="10"/>
  <c r="Q103" i="10"/>
  <c r="T101" i="10"/>
  <c r="K101" i="10"/>
  <c r="O100" i="10"/>
  <c r="R99" i="10"/>
  <c r="F99" i="10"/>
  <c r="P98" i="10"/>
  <c r="S93" i="10"/>
  <c r="H93" i="10"/>
  <c r="Q92" i="10"/>
  <c r="T81" i="10"/>
  <c r="K81" i="10"/>
  <c r="O80" i="10"/>
  <c r="R91" i="10"/>
  <c r="F91" i="10"/>
  <c r="M90" i="10"/>
  <c r="P89" i="10"/>
  <c r="H85" i="10"/>
  <c r="N88" i="10"/>
  <c r="Q87" i="10"/>
  <c r="T79" i="10"/>
  <c r="K79" i="10"/>
  <c r="O77" i="10"/>
  <c r="R76" i="10"/>
  <c r="F76" i="10"/>
  <c r="M75" i="10"/>
  <c r="D129" i="10"/>
  <c r="D128" i="10" s="1"/>
  <c r="S24" i="10"/>
  <c r="H24" i="10"/>
  <c r="N23" i="10"/>
  <c r="Q22" i="10"/>
  <c r="T21" i="10"/>
  <c r="K21" i="10"/>
  <c r="M39" i="10"/>
  <c r="P38" i="10"/>
  <c r="S37" i="10"/>
  <c r="H37" i="10"/>
  <c r="K37" i="1" s="1"/>
  <c r="N36" i="10"/>
  <c r="Q35" i="10"/>
  <c r="T34" i="10"/>
  <c r="K34" i="10"/>
  <c r="O33" i="10"/>
  <c r="R32" i="10"/>
  <c r="F32" i="10"/>
  <c r="H32" i="1" s="1"/>
  <c r="M31" i="10"/>
  <c r="P30" i="10"/>
  <c r="S29" i="10"/>
  <c r="H29" i="10"/>
  <c r="K29" i="1" s="1"/>
  <c r="D33" i="10"/>
  <c r="Q135" i="10"/>
  <c r="T134" i="10"/>
  <c r="O133" i="10"/>
  <c r="R130" i="10"/>
  <c r="F130" i="10"/>
  <c r="M129" i="10"/>
  <c r="P125" i="10"/>
  <c r="S124" i="10"/>
  <c r="H124" i="10"/>
  <c r="N123" i="10"/>
  <c r="Q119" i="10"/>
  <c r="T117" i="10"/>
  <c r="K117" i="10"/>
  <c r="O116" i="10"/>
  <c r="R115" i="10"/>
  <c r="F115" i="10"/>
  <c r="M114" i="10"/>
  <c r="P113" i="10"/>
  <c r="S112" i="10"/>
  <c r="H112" i="10"/>
  <c r="N111" i="10"/>
  <c r="Q110" i="10"/>
  <c r="T108" i="10"/>
  <c r="O106" i="10"/>
  <c r="R105" i="10"/>
  <c r="F105" i="10"/>
  <c r="M104" i="10"/>
  <c r="P103" i="10"/>
  <c r="S101" i="10"/>
  <c r="H101" i="10"/>
  <c r="N100" i="10"/>
  <c r="Q99" i="10"/>
  <c r="O98" i="10"/>
  <c r="R93" i="10"/>
  <c r="F93" i="10"/>
  <c r="P92" i="10"/>
  <c r="S81" i="10"/>
  <c r="H81" i="10"/>
  <c r="N80" i="10"/>
  <c r="Q91" i="10"/>
  <c r="T90" i="10"/>
  <c r="K90" i="10"/>
  <c r="O89" i="10"/>
  <c r="F85" i="10"/>
  <c r="M88" i="10"/>
  <c r="P87" i="10"/>
  <c r="S79" i="10"/>
  <c r="H79" i="10"/>
  <c r="N77" i="10"/>
  <c r="R24" i="10"/>
  <c r="F24" i="10"/>
  <c r="M23" i="10"/>
  <c r="P22" i="10"/>
  <c r="S21" i="10"/>
  <c r="H21" i="10"/>
  <c r="T39" i="10"/>
  <c r="K39" i="10"/>
  <c r="O38" i="10"/>
  <c r="R37" i="10"/>
  <c r="F37" i="10"/>
  <c r="H37" i="1" s="1"/>
  <c r="M36" i="10"/>
  <c r="P35" i="10"/>
  <c r="S34" i="10"/>
  <c r="H34" i="10"/>
  <c r="K34" i="1" s="1"/>
  <c r="N33" i="10"/>
  <c r="Q32" i="10"/>
  <c r="T31" i="10"/>
  <c r="K31" i="10"/>
  <c r="O30" i="10"/>
  <c r="R29" i="10"/>
  <c r="F29" i="10"/>
  <c r="H29" i="1" s="1"/>
  <c r="D32" i="10"/>
  <c r="P135" i="10"/>
  <c r="S134" i="10"/>
  <c r="H134" i="10"/>
  <c r="N133" i="10"/>
  <c r="Q130" i="10"/>
  <c r="T129" i="10"/>
  <c r="K129" i="10"/>
  <c r="O125" i="10"/>
  <c r="R124" i="10"/>
  <c r="F124" i="10"/>
  <c r="M123" i="10"/>
  <c r="P119" i="10"/>
  <c r="S117" i="10"/>
  <c r="H117" i="10"/>
  <c r="N116" i="10"/>
  <c r="Q115" i="10"/>
  <c r="T114" i="10"/>
  <c r="K114" i="10"/>
  <c r="O113" i="10"/>
  <c r="R112" i="10"/>
  <c r="F112" i="10"/>
  <c r="M111" i="10"/>
  <c r="P110" i="10"/>
  <c r="S108" i="10"/>
  <c r="H108" i="10"/>
  <c r="N106" i="10"/>
  <c r="Q105" i="10"/>
  <c r="T104" i="10"/>
  <c r="K104" i="10"/>
  <c r="O103" i="10"/>
  <c r="R101" i="10"/>
  <c r="F101" i="10"/>
  <c r="M100" i="10"/>
  <c r="P99" i="10"/>
  <c r="N98" i="10"/>
  <c r="Q93" i="10"/>
  <c r="O92" i="10"/>
  <c r="R81" i="10"/>
  <c r="F81" i="10"/>
  <c r="M80" i="10"/>
  <c r="P91" i="10"/>
  <c r="S90" i="10"/>
  <c r="H90" i="10"/>
  <c r="N89" i="10"/>
  <c r="T88" i="10"/>
  <c r="K88" i="10"/>
  <c r="O87" i="10"/>
  <c r="R79" i="10"/>
  <c r="F79" i="10"/>
  <c r="M77" i="10"/>
  <c r="P76" i="10"/>
  <c r="S75" i="10"/>
  <c r="Q24" i="10"/>
  <c r="T23" i="10"/>
  <c r="K23" i="10"/>
  <c r="O22" i="10"/>
  <c r="R21" i="10"/>
  <c r="S39" i="10"/>
  <c r="H39" i="10"/>
  <c r="K39" i="1" s="1"/>
  <c r="N38" i="10"/>
  <c r="Q37" i="10"/>
  <c r="T36" i="10"/>
  <c r="K36" i="10"/>
  <c r="O35" i="10"/>
  <c r="R34" i="10"/>
  <c r="F34" i="10"/>
  <c r="H34" i="1" s="1"/>
  <c r="M33" i="10"/>
  <c r="P32" i="10"/>
  <c r="S31" i="10"/>
  <c r="H31" i="10"/>
  <c r="K31" i="1" s="1"/>
  <c r="N30" i="10"/>
  <c r="Q29" i="10"/>
  <c r="D39" i="10"/>
  <c r="D31" i="10"/>
  <c r="O135" i="10"/>
  <c r="R134" i="10"/>
  <c r="F134" i="10"/>
  <c r="M133" i="10"/>
  <c r="P130" i="10"/>
  <c r="S129" i="10"/>
  <c r="H129" i="10"/>
  <c r="N125" i="10"/>
  <c r="Q124" i="10"/>
  <c r="T123" i="10"/>
  <c r="K123" i="10"/>
  <c r="O119" i="10"/>
  <c r="R117" i="10"/>
  <c r="F117" i="10"/>
  <c r="M116" i="10"/>
  <c r="P115" i="10"/>
  <c r="S114" i="10"/>
  <c r="H114" i="10"/>
  <c r="N113" i="10"/>
  <c r="Q112" i="10"/>
  <c r="T111" i="10"/>
  <c r="K111" i="10"/>
  <c r="O110" i="10"/>
  <c r="R108" i="10"/>
  <c r="F108" i="10"/>
  <c r="M106" i="10"/>
  <c r="P105" i="10"/>
  <c r="S104" i="10"/>
  <c r="H104" i="10"/>
  <c r="N103" i="10"/>
  <c r="Q101" i="10"/>
  <c r="T100" i="10"/>
  <c r="K100" i="10"/>
  <c r="O99" i="10"/>
  <c r="M98" i="10"/>
  <c r="P93" i="10"/>
  <c r="N92" i="10"/>
  <c r="Q81" i="10"/>
  <c r="T80" i="10"/>
  <c r="K80" i="10"/>
  <c r="O91" i="10"/>
  <c r="R90" i="10"/>
  <c r="F90" i="10"/>
  <c r="M89" i="10"/>
  <c r="S88" i="10"/>
  <c r="H88" i="10"/>
  <c r="N87" i="10"/>
  <c r="Q79" i="10"/>
  <c r="T77" i="10"/>
  <c r="K77" i="10"/>
  <c r="O24" i="10"/>
  <c r="R23" i="10"/>
  <c r="M22" i="10"/>
  <c r="P21" i="10"/>
  <c r="Q39" i="10"/>
  <c r="T38" i="10"/>
  <c r="K38" i="10"/>
  <c r="O37" i="10"/>
  <c r="R36" i="10"/>
  <c r="F36" i="10"/>
  <c r="H36" i="1" s="1"/>
  <c r="M35" i="10"/>
  <c r="P34" i="10"/>
  <c r="S33" i="10"/>
  <c r="H33" i="10"/>
  <c r="K33" i="1" s="1"/>
  <c r="N32" i="10"/>
  <c r="Q31" i="10"/>
  <c r="T30" i="10"/>
  <c r="K30" i="10"/>
  <c r="O29" i="10"/>
  <c r="D37" i="10"/>
  <c r="D29" i="10"/>
  <c r="M135" i="10"/>
  <c r="P134" i="10"/>
  <c r="S133" i="10"/>
  <c r="H133" i="10"/>
  <c r="N130" i="10"/>
  <c r="Q129" i="10"/>
  <c r="T125" i="10"/>
  <c r="K125" i="10"/>
  <c r="O124" i="10"/>
  <c r="R123" i="10"/>
  <c r="F123" i="10"/>
  <c r="M119" i="10"/>
  <c r="P117" i="10"/>
  <c r="S116" i="10"/>
  <c r="H116" i="10"/>
  <c r="N115" i="10"/>
  <c r="Q114" i="10"/>
  <c r="T113" i="10"/>
  <c r="K113" i="10"/>
  <c r="O112" i="10"/>
  <c r="R111" i="10"/>
  <c r="F111" i="10"/>
  <c r="M110" i="10"/>
  <c r="P108" i="10"/>
  <c r="S106" i="10"/>
  <c r="H106" i="10"/>
  <c r="N105" i="10"/>
  <c r="N60" i="1" s="1"/>
  <c r="Q104" i="10"/>
  <c r="T103" i="10"/>
  <c r="K103" i="10"/>
  <c r="O101" i="10"/>
  <c r="R100" i="10"/>
  <c r="F100" i="10"/>
  <c r="M99" i="10"/>
  <c r="S98" i="10"/>
  <c r="H98" i="10"/>
  <c r="N93" i="10"/>
  <c r="T92" i="10"/>
  <c r="K92" i="10"/>
  <c r="O81" i="10"/>
  <c r="R80" i="10"/>
  <c r="F80" i="10"/>
  <c r="M91" i="10"/>
  <c r="P90" i="10"/>
  <c r="S89" i="10"/>
  <c r="H89" i="10"/>
  <c r="Q88" i="10"/>
  <c r="T87" i="10"/>
  <c r="K87" i="10"/>
  <c r="O79" i="10"/>
  <c r="R77" i="10"/>
  <c r="M76" i="10"/>
  <c r="P75" i="10"/>
  <c r="N24" i="10"/>
  <c r="Q23" i="10"/>
  <c r="T22" i="10"/>
  <c r="K22" i="10"/>
  <c r="O21" i="10"/>
  <c r="D24" i="10"/>
  <c r="P39" i="10"/>
  <c r="S38" i="10"/>
  <c r="H38" i="10"/>
  <c r="K38" i="1" s="1"/>
  <c r="N37" i="10"/>
  <c r="Q36" i="10"/>
  <c r="T35" i="10"/>
  <c r="K35" i="10"/>
  <c r="O34" i="10"/>
  <c r="R33" i="10"/>
  <c r="F33" i="10"/>
  <c r="H33" i="1" s="1"/>
  <c r="M32" i="10"/>
  <c r="P31" i="10"/>
  <c r="S30" i="10"/>
  <c r="H30" i="10"/>
  <c r="K30" i="1" s="1"/>
  <c r="N29" i="10"/>
  <c r="D36" i="10"/>
  <c r="T135" i="10"/>
  <c r="K135" i="10"/>
  <c r="O134" i="10"/>
  <c r="R133" i="10"/>
  <c r="F133" i="10"/>
  <c r="M130" i="10"/>
  <c r="P129" i="10"/>
  <c r="S125" i="10"/>
  <c r="H125" i="10"/>
  <c r="N124" i="10"/>
  <c r="Q123" i="10"/>
  <c r="T119" i="10"/>
  <c r="K119" i="10"/>
  <c r="O117" i="10"/>
  <c r="R116" i="10"/>
  <c r="F116" i="10"/>
  <c r="M115" i="10"/>
  <c r="P114" i="10"/>
  <c r="S113" i="10"/>
  <c r="H113" i="10"/>
  <c r="N112" i="10"/>
  <c r="Q111" i="10"/>
  <c r="T110" i="10"/>
  <c r="K110" i="10"/>
  <c r="O108" i="10"/>
  <c r="R106" i="10"/>
  <c r="F106" i="10"/>
  <c r="M105" i="10"/>
  <c r="P104" i="10"/>
  <c r="S103" i="10"/>
  <c r="H103" i="10"/>
  <c r="N101" i="10"/>
  <c r="Q100" i="10"/>
  <c r="T99" i="10"/>
  <c r="K99" i="10"/>
  <c r="R98" i="10"/>
  <c r="F98" i="10"/>
  <c r="M93" i="10"/>
  <c r="S92" i="10"/>
  <c r="H92" i="10"/>
  <c r="N81" i="10"/>
  <c r="Q80" i="10"/>
  <c r="T91" i="10"/>
  <c r="K91" i="10"/>
  <c r="O90" i="10"/>
  <c r="R89" i="10"/>
  <c r="F89" i="10"/>
  <c r="P88" i="10"/>
  <c r="S87" i="10"/>
  <c r="H87" i="10"/>
  <c r="N79" i="10"/>
  <c r="Q77" i="10"/>
  <c r="T76" i="10"/>
  <c r="K76" i="10"/>
  <c r="O75" i="10"/>
  <c r="D134" i="10"/>
  <c r="D115" i="10"/>
  <c r="S23" i="10"/>
  <c r="P37" i="10"/>
  <c r="Q34" i="10"/>
  <c r="R31" i="10"/>
  <c r="D38" i="10"/>
  <c r="T133" i="10"/>
  <c r="F129" i="10"/>
  <c r="H123" i="10"/>
  <c r="K116" i="10"/>
  <c r="M113" i="10"/>
  <c r="N110" i="10"/>
  <c r="O105" i="10"/>
  <c r="P101" i="10"/>
  <c r="S80" i="10"/>
  <c r="T89" i="10"/>
  <c r="F88" i="10"/>
  <c r="H77" i="10"/>
  <c r="Q75" i="10"/>
  <c r="D125" i="10"/>
  <c r="D111" i="10"/>
  <c r="D100" i="10"/>
  <c r="D80" i="10"/>
  <c r="D77" i="10"/>
  <c r="Q67" i="10"/>
  <c r="S66" i="10"/>
  <c r="M65" i="10"/>
  <c r="O64" i="10"/>
  <c r="Q63" i="10"/>
  <c r="S62" i="10"/>
  <c r="H62" i="10"/>
  <c r="M61" i="10"/>
  <c r="O60" i="10"/>
  <c r="Q59" i="10"/>
  <c r="S58" i="10"/>
  <c r="H58" i="10"/>
  <c r="M57" i="10"/>
  <c r="O56" i="10"/>
  <c r="Q55" i="10"/>
  <c r="S54" i="10"/>
  <c r="H54" i="10"/>
  <c r="M53" i="10"/>
  <c r="O52" i="10"/>
  <c r="Q51" i="10"/>
  <c r="S50" i="10"/>
  <c r="H50" i="10"/>
  <c r="M49" i="10"/>
  <c r="F55" i="10"/>
  <c r="F63" i="10"/>
  <c r="D67" i="10"/>
  <c r="D59" i="10"/>
  <c r="D51" i="10"/>
  <c r="F56" i="10"/>
  <c r="H36" i="10"/>
  <c r="K36" i="1" s="1"/>
  <c r="M30" i="10"/>
  <c r="O130" i="10"/>
  <c r="Q117" i="10"/>
  <c r="R114" i="10"/>
  <c r="T106" i="10"/>
  <c r="M92" i="10"/>
  <c r="P79" i="10"/>
  <c r="D105" i="10"/>
  <c r="M67" i="10"/>
  <c r="O66" i="10"/>
  <c r="H64" i="10"/>
  <c r="M63" i="10"/>
  <c r="S60" i="10"/>
  <c r="M59" i="10"/>
  <c r="S56" i="10"/>
  <c r="Q53" i="10"/>
  <c r="M51" i="10"/>
  <c r="F51" i="10"/>
  <c r="F67" i="10"/>
  <c r="D55" i="10"/>
  <c r="D79" i="10"/>
  <c r="R63" i="10"/>
  <c r="P60" i="10"/>
  <c r="K58" i="10"/>
  <c r="R55" i="10"/>
  <c r="R51" i="10"/>
  <c r="F54" i="10"/>
  <c r="F62" i="10"/>
  <c r="D60" i="10"/>
  <c r="D52" i="10"/>
  <c r="P23" i="10"/>
  <c r="M37" i="10"/>
  <c r="N34" i="10"/>
  <c r="O31" i="10"/>
  <c r="D35" i="10"/>
  <c r="Q133" i="10"/>
  <c r="R125" i="10"/>
  <c r="S119" i="10"/>
  <c r="T115" i="10"/>
  <c r="F113" i="10"/>
  <c r="H110" i="10"/>
  <c r="K105" i="10"/>
  <c r="M101" i="10"/>
  <c r="P80" i="10"/>
  <c r="Q89" i="10"/>
  <c r="R87" i="10"/>
  <c r="S76" i="10"/>
  <c r="N75" i="10"/>
  <c r="D124" i="10"/>
  <c r="D110" i="10"/>
  <c r="D99" i="10"/>
  <c r="D91" i="10"/>
  <c r="D76" i="10"/>
  <c r="P67" i="10"/>
  <c r="R66" i="10"/>
  <c r="T65" i="10"/>
  <c r="K65" i="10"/>
  <c r="N64" i="10"/>
  <c r="P63" i="10"/>
  <c r="R62" i="10"/>
  <c r="T61" i="10"/>
  <c r="K61" i="10"/>
  <c r="N60" i="10"/>
  <c r="P59" i="10"/>
  <c r="R58" i="10"/>
  <c r="T57" i="10"/>
  <c r="K57" i="10"/>
  <c r="N56" i="10"/>
  <c r="P55" i="10"/>
  <c r="R54" i="10"/>
  <c r="T53" i="10"/>
  <c r="K53" i="10"/>
  <c r="N52" i="10"/>
  <c r="P51" i="10"/>
  <c r="R50" i="10"/>
  <c r="T49" i="10"/>
  <c r="K49" i="10"/>
  <c r="D58" i="10"/>
  <c r="D50" i="10"/>
  <c r="K33" i="10"/>
  <c r="N135" i="10"/>
  <c r="P124" i="10"/>
  <c r="F104" i="10"/>
  <c r="N76" i="10"/>
  <c r="O58" i="10"/>
  <c r="M55" i="10"/>
  <c r="S52" i="10"/>
  <c r="O50" i="10"/>
  <c r="D63" i="10"/>
  <c r="R75" i="10"/>
  <c r="D101" i="10"/>
  <c r="K66" i="10"/>
  <c r="N61" i="10"/>
  <c r="T58" i="10"/>
  <c r="P56" i="10"/>
  <c r="H23" i="10"/>
  <c r="R39" i="10"/>
  <c r="S36" i="10"/>
  <c r="T33" i="10"/>
  <c r="F31" i="10"/>
  <c r="H31" i="1" s="1"/>
  <c r="D30" i="10"/>
  <c r="K133" i="10"/>
  <c r="M125" i="10"/>
  <c r="N119" i="10"/>
  <c r="O115" i="10"/>
  <c r="P112" i="10"/>
  <c r="Q108" i="10"/>
  <c r="R104" i="10"/>
  <c r="S100" i="10"/>
  <c r="T98" i="10"/>
  <c r="H80" i="10"/>
  <c r="K89" i="10"/>
  <c r="M87" i="10"/>
  <c r="Q76" i="10"/>
  <c r="K75" i="10"/>
  <c r="D123" i="10"/>
  <c r="D108" i="10"/>
  <c r="D90" i="10"/>
  <c r="D75" i="10"/>
  <c r="O67" i="10"/>
  <c r="Q66" i="10"/>
  <c r="S65" i="10"/>
  <c r="H65" i="10"/>
  <c r="M64" i="10"/>
  <c r="O63" i="10"/>
  <c r="Q62" i="10"/>
  <c r="S61" i="10"/>
  <c r="H61" i="10"/>
  <c r="M60" i="10"/>
  <c r="O59" i="10"/>
  <c r="Q58" i="10"/>
  <c r="S57" i="10"/>
  <c r="H57" i="10"/>
  <c r="M56" i="10"/>
  <c r="O55" i="10"/>
  <c r="Q54" i="10"/>
  <c r="S53" i="10"/>
  <c r="H53" i="10"/>
  <c r="M52" i="10"/>
  <c r="O51" i="10"/>
  <c r="Q50" i="10"/>
  <c r="S49" i="10"/>
  <c r="H49" i="10"/>
  <c r="F57" i="10"/>
  <c r="F65" i="10"/>
  <c r="D65" i="10"/>
  <c r="D57" i="10"/>
  <c r="D49" i="10"/>
  <c r="F58" i="10"/>
  <c r="D56" i="10"/>
  <c r="F39" i="10"/>
  <c r="H39" i="1" s="1"/>
  <c r="F75" i="10"/>
  <c r="D85" i="10"/>
  <c r="S22" i="10"/>
  <c r="O39" i="10"/>
  <c r="P36" i="10"/>
  <c r="Q33" i="10"/>
  <c r="R30" i="10"/>
  <c r="S135" i="10"/>
  <c r="T130" i="10"/>
  <c r="F125" i="10"/>
  <c r="H119" i="10"/>
  <c r="K115" i="10"/>
  <c r="M112" i="10"/>
  <c r="N108" i="10"/>
  <c r="O104" i="10"/>
  <c r="P100" i="10"/>
  <c r="Q98" i="10"/>
  <c r="R92" i="10"/>
  <c r="S91" i="10"/>
  <c r="F87" i="10"/>
  <c r="O76" i="10"/>
  <c r="H75" i="10"/>
  <c r="D119" i="10"/>
  <c r="D106" i="10"/>
  <c r="D98" i="10"/>
  <c r="D89" i="10"/>
  <c r="N67" i="10"/>
  <c r="P66" i="10"/>
  <c r="R65" i="10"/>
  <c r="T64" i="10"/>
  <c r="K64" i="10"/>
  <c r="N63" i="10"/>
  <c r="P62" i="10"/>
  <c r="R61" i="10"/>
  <c r="T60" i="10"/>
  <c r="K60" i="10"/>
  <c r="N59" i="10"/>
  <c r="P58" i="10"/>
  <c r="R57" i="10"/>
  <c r="T56" i="10"/>
  <c r="K56" i="10"/>
  <c r="N55" i="10"/>
  <c r="P54" i="10"/>
  <c r="R53" i="10"/>
  <c r="T52" i="10"/>
  <c r="K52" i="10"/>
  <c r="N51" i="10"/>
  <c r="P50" i="10"/>
  <c r="R49" i="10"/>
  <c r="F50" i="10"/>
  <c r="N22" i="10"/>
  <c r="S111" i="10"/>
  <c r="K98" i="10"/>
  <c r="N91" i="10"/>
  <c r="D116" i="10"/>
  <c r="Q65" i="10"/>
  <c r="S64" i="10"/>
  <c r="O62" i="10"/>
  <c r="Q61" i="10"/>
  <c r="H60" i="10"/>
  <c r="Q57" i="10"/>
  <c r="H56" i="10"/>
  <c r="O54" i="10"/>
  <c r="H52" i="10"/>
  <c r="Q49" i="10"/>
  <c r="F59" i="10"/>
  <c r="D133" i="10"/>
  <c r="D81" i="10"/>
  <c r="R67" i="10"/>
  <c r="N65" i="10"/>
  <c r="T62" i="10"/>
  <c r="N57" i="10"/>
  <c r="T54" i="10"/>
  <c r="N53" i="10"/>
  <c r="K50" i="10"/>
  <c r="H22" i="10"/>
  <c r="R38" i="10"/>
  <c r="S35" i="10"/>
  <c r="T32" i="10"/>
  <c r="H135" i="10"/>
  <c r="K130" i="10"/>
  <c r="M124" i="10"/>
  <c r="N117" i="10"/>
  <c r="O114" i="10"/>
  <c r="P111" i="10"/>
  <c r="Q106" i="10"/>
  <c r="R103" i="10"/>
  <c r="S99" i="10"/>
  <c r="T93" i="10"/>
  <c r="F92" i="10"/>
  <c r="H91" i="10"/>
  <c r="M79" i="10"/>
  <c r="H76" i="10"/>
  <c r="D117" i="10"/>
  <c r="D114" i="10"/>
  <c r="D104" i="10"/>
  <c r="D88" i="10"/>
  <c r="T67" i="10"/>
  <c r="K67" i="10"/>
  <c r="N66" i="10"/>
  <c r="P65" i="10"/>
  <c r="R64" i="10"/>
  <c r="T63" i="10"/>
  <c r="K63" i="10"/>
  <c r="N62" i="10"/>
  <c r="P61" i="10"/>
  <c r="R60" i="10"/>
  <c r="T59" i="10"/>
  <c r="K59" i="10"/>
  <c r="N58" i="10"/>
  <c r="P57" i="10"/>
  <c r="R56" i="10"/>
  <c r="T55" i="10"/>
  <c r="K55" i="10"/>
  <c r="N54" i="10"/>
  <c r="P53" i="10"/>
  <c r="R52" i="10"/>
  <c r="T51" i="10"/>
  <c r="K51" i="10"/>
  <c r="N50" i="10"/>
  <c r="P49" i="10"/>
  <c r="F60" i="10"/>
  <c r="D62" i="10"/>
  <c r="D54" i="10"/>
  <c r="M24" i="10"/>
  <c r="F38" i="10"/>
  <c r="H38" i="1" s="1"/>
  <c r="H35" i="10"/>
  <c r="K35" i="1" s="1"/>
  <c r="K32" i="10"/>
  <c r="M29" i="10"/>
  <c r="N134" i="10"/>
  <c r="O129" i="10"/>
  <c r="P123" i="10"/>
  <c r="Q116" i="10"/>
  <c r="R113" i="10"/>
  <c r="S110" i="10"/>
  <c r="T105" i="10"/>
  <c r="F103" i="10"/>
  <c r="H99" i="10"/>
  <c r="K93" i="10"/>
  <c r="M81" i="10"/>
  <c r="N90" i="10"/>
  <c r="O88" i="10"/>
  <c r="P77" i="10"/>
  <c r="D112" i="10"/>
  <c r="T66" i="10"/>
  <c r="P64" i="10"/>
  <c r="K62" i="10"/>
  <c r="R59" i="10"/>
  <c r="K54" i="10"/>
  <c r="P52" i="10"/>
  <c r="T50" i="10"/>
  <c r="N49" i="10"/>
  <c r="P24" i="10"/>
  <c r="Q21" i="10"/>
  <c r="M38" i="10"/>
  <c r="N35" i="10"/>
  <c r="O32" i="10"/>
  <c r="P29" i="10"/>
  <c r="Q134" i="10"/>
  <c r="R129" i="10"/>
  <c r="S123" i="10"/>
  <c r="T116" i="10"/>
  <c r="F114" i="10"/>
  <c r="H111" i="10"/>
  <c r="K106" i="10"/>
  <c r="M103" i="10"/>
  <c r="N99" i="10"/>
  <c r="O93" i="10"/>
  <c r="P81" i="10"/>
  <c r="Q90" i="10"/>
  <c r="R88" i="10"/>
  <c r="S77" i="10"/>
  <c r="T75" i="10"/>
  <c r="D135" i="10"/>
  <c r="D113" i="10"/>
  <c r="D103" i="10"/>
  <c r="D92" i="10"/>
  <c r="D87" i="10"/>
  <c r="S67" i="10"/>
  <c r="H67" i="10"/>
  <c r="M66" i="10"/>
  <c r="O65" i="10"/>
  <c r="Q64" i="10"/>
  <c r="S63" i="10"/>
  <c r="H63" i="10"/>
  <c r="M62" i="10"/>
  <c r="O61" i="10"/>
  <c r="Q60" i="10"/>
  <c r="S59" i="10"/>
  <c r="H59" i="10"/>
  <c r="M58" i="10"/>
  <c r="O57" i="10"/>
  <c r="Q56" i="10"/>
  <c r="S55" i="10"/>
  <c r="H55" i="10"/>
  <c r="M54" i="10"/>
  <c r="O53" i="10"/>
  <c r="Q52" i="10"/>
  <c r="S51" i="10"/>
  <c r="H51" i="10"/>
  <c r="M50" i="10"/>
  <c r="O49" i="10"/>
  <c r="F53" i="10"/>
  <c r="F61" i="10"/>
  <c r="F49" i="10"/>
  <c r="D61" i="10"/>
  <c r="D53" i="10"/>
  <c r="N21" i="10"/>
  <c r="D93" i="10"/>
  <c r="V150" i="10"/>
  <c r="V149" i="10"/>
  <c r="V148" i="10"/>
  <c r="V147" i="10"/>
  <c r="T146" i="10"/>
  <c r="S146" i="10"/>
  <c r="R146" i="10"/>
  <c r="Q146" i="10"/>
  <c r="P146" i="10"/>
  <c r="O146" i="10"/>
  <c r="N146" i="10"/>
  <c r="M146" i="10"/>
  <c r="K146" i="10"/>
  <c r="H146" i="10"/>
  <c r="F146" i="10"/>
  <c r="D146" i="10"/>
  <c r="V144" i="10"/>
  <c r="V143" i="10"/>
  <c r="T142" i="10"/>
  <c r="S142" i="10"/>
  <c r="R142" i="10"/>
  <c r="Q142" i="10"/>
  <c r="P142" i="10"/>
  <c r="O142" i="10"/>
  <c r="N142" i="10"/>
  <c r="M142" i="10"/>
  <c r="K142" i="10"/>
  <c r="H142" i="10"/>
  <c r="F142" i="10"/>
  <c r="D142" i="10"/>
  <c r="V139" i="10"/>
  <c r="V138" i="10" s="1"/>
  <c r="T138" i="10"/>
  <c r="S138" i="10"/>
  <c r="R138" i="10"/>
  <c r="Q138" i="10"/>
  <c r="P138" i="10"/>
  <c r="O138" i="10"/>
  <c r="N138" i="10"/>
  <c r="M138" i="10"/>
  <c r="K138" i="10"/>
  <c r="H138" i="10"/>
  <c r="F138" i="10"/>
  <c r="D138" i="10"/>
  <c r="X28" i="10"/>
  <c r="Z28" i="10" s="1"/>
  <c r="X11" i="10"/>
  <c r="P64" i="2"/>
  <c r="O64" i="2"/>
  <c r="N64" i="2"/>
  <c r="M64" i="2"/>
  <c r="L64" i="2"/>
  <c r="K64" i="2"/>
  <c r="J64" i="2"/>
  <c r="I64" i="2"/>
  <c r="H64" i="2"/>
  <c r="G64" i="2"/>
  <c r="F64" i="2"/>
  <c r="E64" i="2"/>
  <c r="AN25" i="1"/>
  <c r="AN27" i="1"/>
  <c r="AN43" i="1"/>
  <c r="AN61" i="1"/>
  <c r="AN64" i="1"/>
  <c r="AN70" i="1"/>
  <c r="P65" i="2"/>
  <c r="O65" i="2"/>
  <c r="N65" i="2"/>
  <c r="M65" i="2"/>
  <c r="L65" i="2"/>
  <c r="K65" i="2"/>
  <c r="J65" i="2"/>
  <c r="I65" i="2"/>
  <c r="H65" i="2"/>
  <c r="G65" i="2"/>
  <c r="F65" i="2"/>
  <c r="E65" i="2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90" i="3"/>
  <c r="AD5" i="3"/>
  <c r="AA79" i="3"/>
  <c r="AC79" i="3" s="1"/>
  <c r="AA82" i="3"/>
  <c r="AC82" i="3" s="1"/>
  <c r="V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AA80" i="3" s="1"/>
  <c r="AC80" i="3" s="1"/>
  <c r="J81" i="3"/>
  <c r="AA81" i="3" s="1"/>
  <c r="AC81" i="3" s="1"/>
  <c r="J82" i="3"/>
  <c r="J83" i="3"/>
  <c r="AA83" i="3" s="1"/>
  <c r="AC83" i="3" s="1"/>
  <c r="J84" i="3"/>
  <c r="AA84" i="3" s="1"/>
  <c r="AC84" i="3" s="1"/>
  <c r="J85" i="3"/>
  <c r="AA85" i="3" s="1"/>
  <c r="AC85" i="3" s="1"/>
  <c r="J86" i="3"/>
  <c r="J87" i="3"/>
  <c r="J88" i="3"/>
  <c r="J5" i="3"/>
  <c r="N14" i="1" l="1"/>
  <c r="N15" i="1"/>
  <c r="N16" i="1"/>
  <c r="AT16" i="1" s="1"/>
  <c r="N33" i="1"/>
  <c r="N37" i="1"/>
  <c r="N35" i="1"/>
  <c r="N30" i="1"/>
  <c r="K83" i="10"/>
  <c r="N52" i="1" s="1"/>
  <c r="N47" i="1"/>
  <c r="N22" i="1"/>
  <c r="N31" i="1"/>
  <c r="N34" i="1"/>
  <c r="N21" i="1"/>
  <c r="N46" i="1"/>
  <c r="K118" i="10"/>
  <c r="N58" i="1" s="1"/>
  <c r="N29" i="1"/>
  <c r="N38" i="1"/>
  <c r="N36" i="1"/>
  <c r="N32" i="1"/>
  <c r="N39" i="1"/>
  <c r="K60" i="1"/>
  <c r="H60" i="1"/>
  <c r="E17" i="1"/>
  <c r="AR17" i="1" s="1"/>
  <c r="H48" i="10"/>
  <c r="F48" i="10"/>
  <c r="D48" i="10"/>
  <c r="E29" i="1"/>
  <c r="AR29" i="1" s="1"/>
  <c r="E36" i="1"/>
  <c r="AR36" i="1" s="1"/>
  <c r="E39" i="1"/>
  <c r="AR39" i="1" s="1"/>
  <c r="E30" i="1"/>
  <c r="AR30" i="1" s="1"/>
  <c r="E31" i="1"/>
  <c r="AR31" i="1" s="1"/>
  <c r="E33" i="1"/>
  <c r="AR33" i="1" s="1"/>
  <c r="E37" i="1"/>
  <c r="AR37" i="1" s="1"/>
  <c r="E38" i="1"/>
  <c r="AR38" i="1" s="1"/>
  <c r="E34" i="1"/>
  <c r="AR34" i="1" s="1"/>
  <c r="E35" i="1"/>
  <c r="AR35" i="1" s="1"/>
  <c r="E22" i="1"/>
  <c r="E21" i="1"/>
  <c r="K22" i="1"/>
  <c r="K21" i="1"/>
  <c r="E20" i="1"/>
  <c r="E15" i="1"/>
  <c r="AR15" i="1" s="1"/>
  <c r="E13" i="1"/>
  <c r="AR13" i="1" s="1"/>
  <c r="E14" i="1"/>
  <c r="AR14" i="1" s="1"/>
  <c r="H118" i="10"/>
  <c r="K58" i="1" s="1"/>
  <c r="N26" i="14" s="1"/>
  <c r="F118" i="10"/>
  <c r="H58" i="1" s="1"/>
  <c r="J26" i="14" s="1"/>
  <c r="D118" i="10"/>
  <c r="E58" i="1" s="1"/>
  <c r="N13" i="1"/>
  <c r="K11" i="10"/>
  <c r="L105" i="10" s="1"/>
  <c r="K132" i="10"/>
  <c r="F20" i="10"/>
  <c r="N45" i="1"/>
  <c r="K122" i="10"/>
  <c r="N59" i="1" s="1"/>
  <c r="K28" i="10"/>
  <c r="K46" i="10" s="1"/>
  <c r="D83" i="10"/>
  <c r="F83" i="10"/>
  <c r="H52" i="1" s="1"/>
  <c r="J23" i="14" s="1"/>
  <c r="R23" i="14" s="1"/>
  <c r="H83" i="10"/>
  <c r="H132" i="10"/>
  <c r="K69" i="1" s="1"/>
  <c r="N36" i="14" s="1"/>
  <c r="K47" i="1"/>
  <c r="K46" i="1"/>
  <c r="R20" i="10"/>
  <c r="R45" i="10" s="1"/>
  <c r="N20" i="10"/>
  <c r="N45" i="10" s="1"/>
  <c r="Q20" i="10"/>
  <c r="Q45" i="10" s="1"/>
  <c r="K20" i="10"/>
  <c r="T20" i="10"/>
  <c r="T45" i="10" s="1"/>
  <c r="M20" i="10"/>
  <c r="M45" i="10" s="1"/>
  <c r="O20" i="10"/>
  <c r="O45" i="10" s="1"/>
  <c r="P20" i="10"/>
  <c r="P45" i="10" s="1"/>
  <c r="K20" i="1"/>
  <c r="H20" i="10"/>
  <c r="S20" i="10"/>
  <c r="S45" i="10" s="1"/>
  <c r="Q74" i="10"/>
  <c r="H122" i="10"/>
  <c r="K59" i="1" s="1"/>
  <c r="N78" i="10"/>
  <c r="O78" i="10"/>
  <c r="N74" i="10"/>
  <c r="Q78" i="10"/>
  <c r="P74" i="10"/>
  <c r="K12" i="1"/>
  <c r="K10" i="1" s="1"/>
  <c r="N11" i="14" s="1"/>
  <c r="H11" i="10"/>
  <c r="I87" i="10" s="1"/>
  <c r="R74" i="10"/>
  <c r="H74" i="10"/>
  <c r="H78" i="10"/>
  <c r="K78" i="10"/>
  <c r="N50" i="1" s="1"/>
  <c r="R86" i="10"/>
  <c r="P78" i="10"/>
  <c r="S86" i="10"/>
  <c r="T86" i="10"/>
  <c r="K74" i="10"/>
  <c r="N49" i="1" s="1"/>
  <c r="M102" i="10"/>
  <c r="R102" i="10"/>
  <c r="O74" i="10"/>
  <c r="R78" i="10"/>
  <c r="K28" i="1"/>
  <c r="M74" i="10"/>
  <c r="T74" i="10"/>
  <c r="M86" i="10"/>
  <c r="H102" i="10"/>
  <c r="K57" i="1" s="1"/>
  <c r="K102" i="10"/>
  <c r="N57" i="1" s="1"/>
  <c r="O86" i="10"/>
  <c r="P102" i="10"/>
  <c r="S102" i="10"/>
  <c r="Q102" i="10"/>
  <c r="T102" i="10"/>
  <c r="K45" i="1"/>
  <c r="N86" i="10"/>
  <c r="O102" i="10"/>
  <c r="M78" i="10"/>
  <c r="S74" i="10"/>
  <c r="H86" i="10"/>
  <c r="K51" i="1" s="1"/>
  <c r="K86" i="10"/>
  <c r="N51" i="1" s="1"/>
  <c r="N102" i="10"/>
  <c r="S78" i="10"/>
  <c r="T78" i="10"/>
  <c r="P86" i="10"/>
  <c r="Q86" i="10"/>
  <c r="H28" i="10"/>
  <c r="H46" i="10" s="1"/>
  <c r="F11" i="10"/>
  <c r="G66" i="10" s="1"/>
  <c r="H47" i="1"/>
  <c r="H46" i="1"/>
  <c r="H45" i="1"/>
  <c r="H12" i="1"/>
  <c r="H28" i="1"/>
  <c r="F78" i="10"/>
  <c r="H50" i="1" s="1"/>
  <c r="F28" i="10"/>
  <c r="F46" i="10" s="1"/>
  <c r="D11" i="10"/>
  <c r="E63" i="10" s="1"/>
  <c r="E47" i="1"/>
  <c r="E46" i="1"/>
  <c r="E45" i="1"/>
  <c r="F74" i="10"/>
  <c r="H49" i="1" s="1"/>
  <c r="F86" i="10"/>
  <c r="H51" i="1" s="1"/>
  <c r="D74" i="10"/>
  <c r="E52" i="1"/>
  <c r="D78" i="10"/>
  <c r="E50" i="1" s="1"/>
  <c r="D86" i="10"/>
  <c r="F132" i="10"/>
  <c r="H69" i="1" s="1"/>
  <c r="J36" i="14" s="1"/>
  <c r="F122" i="10"/>
  <c r="H59" i="1" s="1"/>
  <c r="F102" i="10"/>
  <c r="H57" i="1" s="1"/>
  <c r="D122" i="10"/>
  <c r="E59" i="1" s="1"/>
  <c r="E32" i="1"/>
  <c r="D20" i="10"/>
  <c r="E12" i="1"/>
  <c r="D132" i="10"/>
  <c r="E69" i="1" s="1"/>
  <c r="D28" i="10"/>
  <c r="D46" i="10" s="1"/>
  <c r="N48" i="10"/>
  <c r="O28" i="10"/>
  <c r="O46" i="10" s="1"/>
  <c r="P28" i="10"/>
  <c r="P46" i="10" s="1"/>
  <c r="P48" i="10"/>
  <c r="S48" i="10"/>
  <c r="K48" i="10"/>
  <c r="Q28" i="10"/>
  <c r="Q46" i="10" s="1"/>
  <c r="T28" i="10"/>
  <c r="T46" i="10" s="1"/>
  <c r="M28" i="10"/>
  <c r="M46" i="10" s="1"/>
  <c r="R48" i="10"/>
  <c r="T48" i="10"/>
  <c r="M48" i="10"/>
  <c r="R28" i="10"/>
  <c r="R46" i="10" s="1"/>
  <c r="S28" i="10"/>
  <c r="S46" i="10" s="1"/>
  <c r="O48" i="10"/>
  <c r="N28" i="10"/>
  <c r="N46" i="10" s="1"/>
  <c r="Q48" i="10"/>
  <c r="D102" i="10"/>
  <c r="E57" i="1" s="1"/>
  <c r="V142" i="10"/>
  <c r="V146" i="10"/>
  <c r="P110" i="2"/>
  <c r="O110" i="2"/>
  <c r="N110" i="2"/>
  <c r="M110" i="2"/>
  <c r="L110" i="2"/>
  <c r="K110" i="2"/>
  <c r="J110" i="2"/>
  <c r="I110" i="2"/>
  <c r="H110" i="2"/>
  <c r="G110" i="2"/>
  <c r="F110" i="2"/>
  <c r="L21" i="10" l="1"/>
  <c r="E103" i="10"/>
  <c r="AO16" i="1"/>
  <c r="G91" i="10"/>
  <c r="E114" i="10"/>
  <c r="G125" i="10"/>
  <c r="G111" i="10"/>
  <c r="E81" i="10"/>
  <c r="G84" i="10"/>
  <c r="G65" i="10"/>
  <c r="G87" i="10"/>
  <c r="G120" i="10"/>
  <c r="G104" i="10"/>
  <c r="G80" i="10"/>
  <c r="G115" i="10"/>
  <c r="AT14" i="1"/>
  <c r="G76" i="10"/>
  <c r="G53" i="10"/>
  <c r="G81" i="10"/>
  <c r="G107" i="10"/>
  <c r="G117" i="10"/>
  <c r="G97" i="10"/>
  <c r="G88" i="10"/>
  <c r="G85" i="10"/>
  <c r="G95" i="10"/>
  <c r="G57" i="10"/>
  <c r="G93" i="10"/>
  <c r="G100" i="10"/>
  <c r="G92" i="10"/>
  <c r="G67" i="10"/>
  <c r="G101" i="10"/>
  <c r="AO14" i="1"/>
  <c r="E117" i="10"/>
  <c r="L84" i="10"/>
  <c r="L33" i="10"/>
  <c r="L18" i="10"/>
  <c r="G79" i="10"/>
  <c r="L16" i="10"/>
  <c r="I93" i="10"/>
  <c r="G123" i="10"/>
  <c r="G122" i="10" s="1"/>
  <c r="G59" i="10"/>
  <c r="I98" i="10"/>
  <c r="G60" i="10"/>
  <c r="G114" i="10"/>
  <c r="L101" i="10"/>
  <c r="G56" i="10"/>
  <c r="G103" i="10"/>
  <c r="I117" i="10"/>
  <c r="L110" i="10"/>
  <c r="G61" i="10"/>
  <c r="I61" i="10"/>
  <c r="L112" i="10"/>
  <c r="I53" i="10"/>
  <c r="G64" i="10"/>
  <c r="L92" i="10"/>
  <c r="I76" i="10"/>
  <c r="G54" i="10"/>
  <c r="G77" i="10"/>
  <c r="L125" i="10"/>
  <c r="L32" i="10"/>
  <c r="L119" i="10"/>
  <c r="L31" i="10"/>
  <c r="L113" i="10"/>
  <c r="L121" i="10"/>
  <c r="L76" i="10"/>
  <c r="I99" i="10"/>
  <c r="I113" i="10"/>
  <c r="L61" i="10"/>
  <c r="L109" i="10"/>
  <c r="L88" i="10"/>
  <c r="I92" i="10"/>
  <c r="I75" i="10"/>
  <c r="L117" i="10"/>
  <c r="L56" i="10"/>
  <c r="L124" i="10"/>
  <c r="I125" i="10"/>
  <c r="L59" i="10"/>
  <c r="I84" i="10"/>
  <c r="I100" i="10"/>
  <c r="I66" i="10"/>
  <c r="L85" i="10"/>
  <c r="L41" i="10"/>
  <c r="L40" i="10"/>
  <c r="L12" i="10"/>
  <c r="N10" i="1"/>
  <c r="G94" i="10"/>
  <c r="L87" i="10"/>
  <c r="L94" i="10"/>
  <c r="I101" i="10"/>
  <c r="G133" i="10"/>
  <c r="G132" i="10" s="1"/>
  <c r="G109" i="10"/>
  <c r="I58" i="10"/>
  <c r="G58" i="10"/>
  <c r="L116" i="10"/>
  <c r="I79" i="10"/>
  <c r="I57" i="10"/>
  <c r="G96" i="10"/>
  <c r="G108" i="10"/>
  <c r="I50" i="10"/>
  <c r="L52" i="10"/>
  <c r="L64" i="10"/>
  <c r="I104" i="10"/>
  <c r="I51" i="10"/>
  <c r="G105" i="10"/>
  <c r="I62" i="10"/>
  <c r="G49" i="10"/>
  <c r="G75" i="10"/>
  <c r="G99" i="10"/>
  <c r="G55" i="10"/>
  <c r="L36" i="10"/>
  <c r="L66" i="10"/>
  <c r="L22" i="10"/>
  <c r="L30" i="10"/>
  <c r="I105" i="10"/>
  <c r="G106" i="10"/>
  <c r="I120" i="10"/>
  <c r="I81" i="10"/>
  <c r="G98" i="10"/>
  <c r="L107" i="10"/>
  <c r="L49" i="10"/>
  <c r="L115" i="10"/>
  <c r="G62" i="10"/>
  <c r="G112" i="10"/>
  <c r="L60" i="10"/>
  <c r="I95" i="10"/>
  <c r="L100" i="10"/>
  <c r="L58" i="10"/>
  <c r="L54" i="10"/>
  <c r="G63" i="10"/>
  <c r="I106" i="10"/>
  <c r="L14" i="10"/>
  <c r="L90" i="10"/>
  <c r="G113" i="10"/>
  <c r="G51" i="10"/>
  <c r="I121" i="10"/>
  <c r="L79" i="10"/>
  <c r="L96" i="10"/>
  <c r="L37" i="10"/>
  <c r="L99" i="10"/>
  <c r="L15" i="10"/>
  <c r="I90" i="10"/>
  <c r="L75" i="10"/>
  <c r="L97" i="10"/>
  <c r="I119" i="10"/>
  <c r="L104" i="10"/>
  <c r="L62" i="10"/>
  <c r="L133" i="10"/>
  <c r="L132" i="10" s="1"/>
  <c r="L106" i="10"/>
  <c r="L53" i="10"/>
  <c r="I59" i="10"/>
  <c r="G119" i="10"/>
  <c r="L38" i="10"/>
  <c r="L35" i="10"/>
  <c r="I112" i="10"/>
  <c r="I123" i="10"/>
  <c r="I122" i="10" s="1"/>
  <c r="I65" i="10"/>
  <c r="L50" i="10"/>
  <c r="I60" i="10"/>
  <c r="L120" i="10"/>
  <c r="L80" i="10"/>
  <c r="I55" i="10"/>
  <c r="I115" i="10"/>
  <c r="L103" i="10"/>
  <c r="L98" i="10"/>
  <c r="I110" i="10"/>
  <c r="I52" i="10"/>
  <c r="L91" i="10"/>
  <c r="I96" i="10"/>
  <c r="I114" i="10"/>
  <c r="I80" i="10"/>
  <c r="I63" i="10"/>
  <c r="G124" i="10"/>
  <c r="L39" i="10"/>
  <c r="L67" i="10"/>
  <c r="L108" i="10"/>
  <c r="L111" i="10"/>
  <c r="I85" i="10"/>
  <c r="I91" i="10"/>
  <c r="I109" i="10"/>
  <c r="I103" i="10"/>
  <c r="L81" i="10"/>
  <c r="I89" i="10"/>
  <c r="I111" i="10"/>
  <c r="L65" i="10"/>
  <c r="I77" i="10"/>
  <c r="L95" i="10"/>
  <c r="L77" i="10"/>
  <c r="I49" i="10"/>
  <c r="I54" i="10"/>
  <c r="L13" i="10"/>
  <c r="L123" i="10"/>
  <c r="L122" i="10" s="1"/>
  <c r="L114" i="10"/>
  <c r="E105" i="10"/>
  <c r="L29" i="10"/>
  <c r="L34" i="10"/>
  <c r="G121" i="10"/>
  <c r="I108" i="10"/>
  <c r="L51" i="10"/>
  <c r="I97" i="10"/>
  <c r="I88" i="10"/>
  <c r="G50" i="10"/>
  <c r="I133" i="10"/>
  <c r="I132" i="10" s="1"/>
  <c r="L55" i="10"/>
  <c r="L93" i="10"/>
  <c r="G110" i="10"/>
  <c r="G89" i="10"/>
  <c r="L63" i="10"/>
  <c r="I124" i="10"/>
  <c r="G116" i="10"/>
  <c r="I67" i="10"/>
  <c r="L89" i="10"/>
  <c r="I94" i="10"/>
  <c r="L57" i="10"/>
  <c r="G52" i="10"/>
  <c r="I116" i="10"/>
  <c r="I56" i="10"/>
  <c r="I64" i="10"/>
  <c r="I107" i="10"/>
  <c r="G90" i="10"/>
  <c r="L23" i="10"/>
  <c r="AN60" i="1"/>
  <c r="AR60" i="1"/>
  <c r="AR22" i="1"/>
  <c r="N28" i="1"/>
  <c r="N44" i="1"/>
  <c r="AO22" i="1"/>
  <c r="E19" i="1"/>
  <c r="F13" i="14" s="1"/>
  <c r="E75" i="10"/>
  <c r="E109" i="10"/>
  <c r="E133" i="10"/>
  <c r="E132" i="10" s="1"/>
  <c r="E106" i="10"/>
  <c r="E101" i="10"/>
  <c r="E113" i="10"/>
  <c r="E37" i="10"/>
  <c r="E14" i="10"/>
  <c r="E110" i="10"/>
  <c r="E112" i="10"/>
  <c r="E116" i="10"/>
  <c r="E79" i="10"/>
  <c r="E120" i="10"/>
  <c r="E104" i="10"/>
  <c r="E124" i="10"/>
  <c r="E39" i="10"/>
  <c r="E88" i="10"/>
  <c r="E111" i="10"/>
  <c r="E125" i="10"/>
  <c r="E121" i="10"/>
  <c r="E115" i="10"/>
  <c r="E119" i="10"/>
  <c r="K19" i="1"/>
  <c r="N13" i="14" s="1"/>
  <c r="N15" i="14" s="1"/>
  <c r="E52" i="10"/>
  <c r="E107" i="10"/>
  <c r="E108" i="10"/>
  <c r="E123" i="10"/>
  <c r="E122" i="10" s="1"/>
  <c r="AT15" i="1"/>
  <c r="AT17" i="1"/>
  <c r="AR21" i="1"/>
  <c r="E22" i="10"/>
  <c r="E15" i="10"/>
  <c r="E99" i="10"/>
  <c r="E84" i="10"/>
  <c r="E59" i="10"/>
  <c r="E51" i="10"/>
  <c r="E87" i="10"/>
  <c r="E54" i="10"/>
  <c r="E64" i="10"/>
  <c r="E18" i="10"/>
  <c r="E77" i="10"/>
  <c r="E21" i="10"/>
  <c r="E60" i="10"/>
  <c r="G23" i="10"/>
  <c r="E76" i="10"/>
  <c r="E61" i="10"/>
  <c r="E16" i="10"/>
  <c r="E35" i="10"/>
  <c r="E30" i="10"/>
  <c r="E36" i="10"/>
  <c r="E65" i="10"/>
  <c r="E91" i="10"/>
  <c r="E96" i="10"/>
  <c r="E62" i="10"/>
  <c r="E100" i="10"/>
  <c r="AO21" i="1"/>
  <c r="E12" i="10"/>
  <c r="E41" i="10"/>
  <c r="E40" i="10"/>
  <c r="E66" i="10"/>
  <c r="I22" i="10"/>
  <c r="E85" i="10"/>
  <c r="E97" i="10"/>
  <c r="E49" i="10"/>
  <c r="G22" i="10"/>
  <c r="E58" i="10"/>
  <c r="I21" i="10"/>
  <c r="E32" i="10"/>
  <c r="E34" i="10"/>
  <c r="E31" i="10"/>
  <c r="E29" i="10"/>
  <c r="E53" i="10"/>
  <c r="E67" i="10"/>
  <c r="E98" i="10"/>
  <c r="E57" i="10"/>
  <c r="E13" i="10"/>
  <c r="G21" i="10"/>
  <c r="E50" i="10"/>
  <c r="I23" i="10"/>
  <c r="E55" i="10"/>
  <c r="E92" i="10"/>
  <c r="E89" i="10"/>
  <c r="E90" i="10"/>
  <c r="E23" i="10"/>
  <c r="E80" i="10"/>
  <c r="AO15" i="1"/>
  <c r="E33" i="10"/>
  <c r="E38" i="10"/>
  <c r="E94" i="10"/>
  <c r="E95" i="10"/>
  <c r="E56" i="10"/>
  <c r="E93" i="10"/>
  <c r="I14" i="10"/>
  <c r="I40" i="10"/>
  <c r="I32" i="10"/>
  <c r="I12" i="10"/>
  <c r="I38" i="10"/>
  <c r="I36" i="10"/>
  <c r="I18" i="10"/>
  <c r="I15" i="10"/>
  <c r="I13" i="10"/>
  <c r="I39" i="10"/>
  <c r="I31" i="10"/>
  <c r="I30" i="10"/>
  <c r="I35" i="10"/>
  <c r="I34" i="10"/>
  <c r="I41" i="10"/>
  <c r="I37" i="10"/>
  <c r="I29" i="10"/>
  <c r="I16" i="10"/>
  <c r="I33" i="10"/>
  <c r="F8" i="10"/>
  <c r="H8" i="1" s="1"/>
  <c r="G12" i="10"/>
  <c r="G37" i="10"/>
  <c r="G29" i="10"/>
  <c r="G35" i="10"/>
  <c r="G32" i="10"/>
  <c r="G14" i="10"/>
  <c r="G39" i="10"/>
  <c r="G38" i="10"/>
  <c r="G36" i="10"/>
  <c r="G41" i="10"/>
  <c r="G30" i="10"/>
  <c r="G18" i="10"/>
  <c r="G34" i="10"/>
  <c r="G16" i="10"/>
  <c r="G33" i="10"/>
  <c r="G15" i="10"/>
  <c r="G40" i="10"/>
  <c r="G31" i="10"/>
  <c r="G13" i="10"/>
  <c r="D8" i="10"/>
  <c r="E8" i="1" s="1"/>
  <c r="AO58" i="1"/>
  <c r="F26" i="14"/>
  <c r="AR58" i="1"/>
  <c r="AO13" i="1"/>
  <c r="AT13" i="1"/>
  <c r="AR46" i="1"/>
  <c r="N56" i="1"/>
  <c r="K45" i="10"/>
  <c r="K44" i="10" s="1"/>
  <c r="N20" i="1"/>
  <c r="N19" i="1" s="1"/>
  <c r="AR45" i="1"/>
  <c r="AR12" i="1"/>
  <c r="AR59" i="1"/>
  <c r="AR47" i="1"/>
  <c r="AR20" i="1"/>
  <c r="AR69" i="1"/>
  <c r="AR57" i="1"/>
  <c r="E28" i="1"/>
  <c r="AR28" i="1" s="1"/>
  <c r="AR32" i="1"/>
  <c r="H8" i="10"/>
  <c r="K8" i="1" s="1"/>
  <c r="N9" i="14"/>
  <c r="N18" i="14"/>
  <c r="N25" i="14"/>
  <c r="N22" i="14"/>
  <c r="N27" i="14"/>
  <c r="K44" i="1"/>
  <c r="H45" i="10"/>
  <c r="H44" i="10" s="1"/>
  <c r="K56" i="1"/>
  <c r="H10" i="1"/>
  <c r="J11" i="14" s="1"/>
  <c r="J15" i="14" s="1"/>
  <c r="K52" i="1"/>
  <c r="AR52" i="1" s="1"/>
  <c r="J25" i="14"/>
  <c r="J18" i="14"/>
  <c r="J21" i="14"/>
  <c r="R21" i="14" s="1"/>
  <c r="J27" i="14"/>
  <c r="R27" i="14" s="1"/>
  <c r="J22" i="14"/>
  <c r="J20" i="14"/>
  <c r="AO57" i="1"/>
  <c r="H44" i="1"/>
  <c r="H56" i="1"/>
  <c r="AO59" i="1"/>
  <c r="F45" i="10"/>
  <c r="F44" i="10" s="1"/>
  <c r="AO12" i="1"/>
  <c r="AT12" i="1"/>
  <c r="F23" i="14"/>
  <c r="P23" i="14" s="1"/>
  <c r="E10" i="1"/>
  <c r="E44" i="1"/>
  <c r="F21" i="14"/>
  <c r="F36" i="14"/>
  <c r="AO69" i="1"/>
  <c r="F25" i="14"/>
  <c r="F27" i="14"/>
  <c r="E56" i="1"/>
  <c r="D45" i="10"/>
  <c r="D44" i="10" s="1"/>
  <c r="F158" i="10"/>
  <c r="F159" i="10" s="1"/>
  <c r="F160" i="10" s="1"/>
  <c r="R100" i="2"/>
  <c r="I118" i="10" l="1"/>
  <c r="L83" i="10"/>
  <c r="N24" i="1"/>
  <c r="W24" i="15" s="1"/>
  <c r="I86" i="10"/>
  <c r="I74" i="10"/>
  <c r="G83" i="10"/>
  <c r="G86" i="10"/>
  <c r="L11" i="10"/>
  <c r="L74" i="10"/>
  <c r="I83" i="10"/>
  <c r="G78" i="10"/>
  <c r="L118" i="10"/>
  <c r="I48" i="10"/>
  <c r="I102" i="10"/>
  <c r="L102" i="10"/>
  <c r="G74" i="10"/>
  <c r="G48" i="10"/>
  <c r="L78" i="10"/>
  <c r="G118" i="10"/>
  <c r="L48" i="10"/>
  <c r="I78" i="10"/>
  <c r="L86" i="10"/>
  <c r="G102" i="10"/>
  <c r="N26" i="1"/>
  <c r="E118" i="10"/>
  <c r="E78" i="10"/>
  <c r="E24" i="1"/>
  <c r="E74" i="10"/>
  <c r="E102" i="10"/>
  <c r="E11" i="10"/>
  <c r="E86" i="10"/>
  <c r="E48" i="10"/>
  <c r="G11" i="10"/>
  <c r="E83" i="10"/>
  <c r="I11" i="10"/>
  <c r="AO20" i="1"/>
  <c r="AO19" i="1"/>
  <c r="AR19" i="1"/>
  <c r="K24" i="1"/>
  <c r="AR56" i="1"/>
  <c r="F18" i="14"/>
  <c r="AO28" i="1"/>
  <c r="AR44" i="1"/>
  <c r="AE25" i="14"/>
  <c r="N24" i="14"/>
  <c r="AE24" i="14" s="1"/>
  <c r="N19" i="14"/>
  <c r="AE22" i="14"/>
  <c r="AE18" i="14"/>
  <c r="AE27" i="14"/>
  <c r="AO52" i="1"/>
  <c r="N23" i="14"/>
  <c r="AE38" i="14"/>
  <c r="AE36" i="14"/>
  <c r="AE37" i="14"/>
  <c r="AE28" i="14"/>
  <c r="AE33" i="14"/>
  <c r="AE32" i="14"/>
  <c r="AE31" i="14"/>
  <c r="AE26" i="14"/>
  <c r="J9" i="14"/>
  <c r="K49" i="1"/>
  <c r="K50" i="1"/>
  <c r="J24" i="14"/>
  <c r="H26" i="1"/>
  <c r="J19" i="14"/>
  <c r="AA37" i="14"/>
  <c r="AA36" i="14"/>
  <c r="AA38" i="14"/>
  <c r="AA32" i="14"/>
  <c r="AA26" i="14"/>
  <c r="AA23" i="14"/>
  <c r="AA20" i="14"/>
  <c r="AA27" i="14"/>
  <c r="AA22" i="14"/>
  <c r="AA25" i="14"/>
  <c r="AA21" i="14"/>
  <c r="AA18" i="14"/>
  <c r="AO56" i="1"/>
  <c r="AO44" i="1"/>
  <c r="F19" i="14"/>
  <c r="F11" i="14"/>
  <c r="F15" i="14" s="1"/>
  <c r="W21" i="14" s="1"/>
  <c r="P21" i="14"/>
  <c r="F24" i="14"/>
  <c r="H158" i="10"/>
  <c r="H159" i="10" s="1"/>
  <c r="H160" i="10" s="1"/>
  <c r="R158" i="10"/>
  <c r="R159" i="10" s="1"/>
  <c r="R160" i="10" s="1"/>
  <c r="T158" i="10"/>
  <c r="T159" i="10" s="1"/>
  <c r="T160" i="10" s="1"/>
  <c r="N158" i="10"/>
  <c r="N159" i="10" s="1"/>
  <c r="N160" i="10" s="1"/>
  <c r="K158" i="10"/>
  <c r="K159" i="10" s="1"/>
  <c r="K160" i="10" s="1"/>
  <c r="M158" i="10"/>
  <c r="M159" i="10" s="1"/>
  <c r="M160" i="10" s="1"/>
  <c r="D158" i="10"/>
  <c r="D159" i="10" s="1"/>
  <c r="D160" i="10" s="1"/>
  <c r="Q158" i="10"/>
  <c r="Q159" i="10" s="1"/>
  <c r="Q160" i="10" s="1"/>
  <c r="S158" i="10"/>
  <c r="S159" i="10" s="1"/>
  <c r="S160" i="10" s="1"/>
  <c r="O158" i="10"/>
  <c r="O159" i="10" s="1"/>
  <c r="O160" i="10" s="1"/>
  <c r="P158" i="10"/>
  <c r="P159" i="10" s="1"/>
  <c r="P160" i="10" s="1"/>
  <c r="O90" i="3"/>
  <c r="M90" i="3"/>
  <c r="L18" i="9"/>
  <c r="BO44" i="1" l="1"/>
  <c r="W10" i="15" s="1"/>
  <c r="BO52" i="1"/>
  <c r="W14" i="15" s="1"/>
  <c r="BO58" i="1"/>
  <c r="W16" i="15" s="1"/>
  <c r="N53" i="1"/>
  <c r="N62" i="1" s="1"/>
  <c r="N63" i="1" s="1"/>
  <c r="BO50" i="1"/>
  <c r="W12" i="15" s="1"/>
  <c r="BO57" i="1"/>
  <c r="W15" i="15" s="1"/>
  <c r="BO59" i="1"/>
  <c r="W17" i="15" s="1"/>
  <c r="BO49" i="1"/>
  <c r="W11" i="15" s="1"/>
  <c r="BO28" i="1"/>
  <c r="W9" i="15" s="1"/>
  <c r="BO51" i="1"/>
  <c r="W13" i="15" s="1"/>
  <c r="BM58" i="1"/>
  <c r="K16" i="15" s="1"/>
  <c r="K24" i="15"/>
  <c r="BI57" i="1"/>
  <c r="E15" i="15" s="1"/>
  <c r="E24" i="15"/>
  <c r="BI52" i="1"/>
  <c r="E14" i="15" s="1"/>
  <c r="BI50" i="1"/>
  <c r="E12" i="15" s="1"/>
  <c r="BI58" i="1"/>
  <c r="E16" i="15" s="1"/>
  <c r="BI44" i="1"/>
  <c r="E10" i="15" s="1"/>
  <c r="BI59" i="1"/>
  <c r="E17" i="15" s="1"/>
  <c r="BI28" i="1"/>
  <c r="P9" i="15" s="1"/>
  <c r="BM57" i="1"/>
  <c r="K15" i="15" s="1"/>
  <c r="BM28" i="1"/>
  <c r="K9" i="15" s="1"/>
  <c r="BM51" i="1"/>
  <c r="K13" i="15" s="1"/>
  <c r="BM52" i="1"/>
  <c r="K14" i="15" s="1"/>
  <c r="BM59" i="1"/>
  <c r="K17" i="15" s="1"/>
  <c r="BM44" i="1"/>
  <c r="K10" i="15" s="1"/>
  <c r="BM50" i="1"/>
  <c r="K12" i="15" s="1"/>
  <c r="AR50" i="1"/>
  <c r="AE19" i="14"/>
  <c r="N20" i="14"/>
  <c r="AE20" i="14" s="1"/>
  <c r="BM49" i="1"/>
  <c r="K11" i="15" s="1"/>
  <c r="AE23" i="14"/>
  <c r="T23" i="14"/>
  <c r="AO50" i="1"/>
  <c r="N21" i="14"/>
  <c r="K26" i="1"/>
  <c r="K53" i="1" s="1"/>
  <c r="K54" i="1" s="1"/>
  <c r="AA24" i="14"/>
  <c r="AA19" i="14"/>
  <c r="R19" i="14"/>
  <c r="J17" i="14"/>
  <c r="F9" i="14"/>
  <c r="W18" i="14"/>
  <c r="W23" i="14"/>
  <c r="W24" i="14"/>
  <c r="W19" i="14"/>
  <c r="W25" i="14"/>
  <c r="W26" i="14"/>
  <c r="W27" i="14"/>
  <c r="W32" i="14"/>
  <c r="W36" i="14"/>
  <c r="W37" i="14"/>
  <c r="W38" i="14"/>
  <c r="X105" i="10"/>
  <c r="X90" i="10"/>
  <c r="X101" i="10"/>
  <c r="X87" i="10"/>
  <c r="X104" i="10"/>
  <c r="X111" i="10"/>
  <c r="X89" i="10"/>
  <c r="X110" i="10"/>
  <c r="X100" i="10"/>
  <c r="X103" i="10"/>
  <c r="X112" i="10"/>
  <c r="P54" i="2"/>
  <c r="H54" i="2"/>
  <c r="I54" i="2"/>
  <c r="O54" i="2"/>
  <c r="G54" i="2"/>
  <c r="N54" i="2"/>
  <c r="F54" i="2"/>
  <c r="M54" i="2"/>
  <c r="E54" i="2"/>
  <c r="J54" i="2"/>
  <c r="L54" i="2"/>
  <c r="K54" i="2"/>
  <c r="H7" i="2"/>
  <c r="M7" i="1" s="1"/>
  <c r="H55" i="9"/>
  <c r="H54" i="9"/>
  <c r="H53" i="9"/>
  <c r="H52" i="9"/>
  <c r="H51" i="9"/>
  <c r="H50" i="9"/>
  <c r="H49" i="9"/>
  <c r="H48" i="9"/>
  <c r="H47" i="9"/>
  <c r="H46" i="9"/>
  <c r="H45" i="9"/>
  <c r="H44" i="9"/>
  <c r="H37" i="9"/>
  <c r="I36" i="9"/>
  <c r="I35" i="9"/>
  <c r="I54" i="9" s="1"/>
  <c r="J54" i="9" s="1"/>
  <c r="I34" i="9"/>
  <c r="I53" i="9" s="1"/>
  <c r="J53" i="9" s="1"/>
  <c r="I33" i="9"/>
  <c r="I32" i="9"/>
  <c r="I31" i="9"/>
  <c r="I30" i="9"/>
  <c r="I29" i="9"/>
  <c r="I28" i="9"/>
  <c r="I27" i="9"/>
  <c r="I46" i="9" s="1"/>
  <c r="J46" i="9" s="1"/>
  <c r="I26" i="9"/>
  <c r="I45" i="9" s="1"/>
  <c r="J45" i="9" s="1"/>
  <c r="I25" i="9"/>
  <c r="G18" i="9"/>
  <c r="H18" i="9" s="1"/>
  <c r="E18" i="9"/>
  <c r="C18" i="9"/>
  <c r="B18" i="9"/>
  <c r="D18" i="9" s="1"/>
  <c r="I17" i="9"/>
  <c r="H17" i="9"/>
  <c r="F17" i="9"/>
  <c r="D17" i="9"/>
  <c r="I16" i="9"/>
  <c r="K16" i="9" s="1"/>
  <c r="O7" i="2" s="1"/>
  <c r="AH7" i="1" s="1"/>
  <c r="H16" i="9"/>
  <c r="F16" i="9"/>
  <c r="D16" i="9"/>
  <c r="I15" i="9"/>
  <c r="K15" i="9" s="1"/>
  <c r="N7" i="2" s="1"/>
  <c r="AE7" i="1" s="1"/>
  <c r="H15" i="9"/>
  <c r="F15" i="9"/>
  <c r="D15" i="9"/>
  <c r="I14" i="9"/>
  <c r="K14" i="9" s="1"/>
  <c r="M7" i="2" s="1"/>
  <c r="AB7" i="1" s="1"/>
  <c r="H14" i="9"/>
  <c r="F14" i="9"/>
  <c r="D14" i="9"/>
  <c r="I13" i="9"/>
  <c r="H13" i="9"/>
  <c r="F13" i="9"/>
  <c r="D13" i="9"/>
  <c r="J12" i="9"/>
  <c r="I12" i="9"/>
  <c r="K12" i="9" s="1"/>
  <c r="K7" i="2" s="1"/>
  <c r="V7" i="1" s="1"/>
  <c r="H12" i="9"/>
  <c r="F12" i="9"/>
  <c r="I11" i="9"/>
  <c r="H11" i="9"/>
  <c r="F11" i="9"/>
  <c r="I10" i="9"/>
  <c r="H10" i="9"/>
  <c r="F10" i="9"/>
  <c r="I9" i="9"/>
  <c r="K9" i="9" s="1"/>
  <c r="H9" i="9"/>
  <c r="F9" i="9"/>
  <c r="I8" i="9"/>
  <c r="G10" i="2" s="1"/>
  <c r="H8" i="9"/>
  <c r="F8" i="9"/>
  <c r="I7" i="9"/>
  <c r="K7" i="9" s="1"/>
  <c r="F7" i="2" s="1"/>
  <c r="G7" i="1" s="1"/>
  <c r="H8" i="14" s="1"/>
  <c r="R8" i="14" s="1"/>
  <c r="H7" i="9"/>
  <c r="F7" i="9"/>
  <c r="I6" i="9"/>
  <c r="H6" i="9"/>
  <c r="F6" i="9"/>
  <c r="F127" i="2"/>
  <c r="E66" i="1" s="1"/>
  <c r="AR66" i="1" s="1"/>
  <c r="G94" i="5"/>
  <c r="F94" i="5"/>
  <c r="Q90" i="5"/>
  <c r="P90" i="5"/>
  <c r="O90" i="5"/>
  <c r="N90" i="5"/>
  <c r="M90" i="5"/>
  <c r="L90" i="5"/>
  <c r="K90" i="5"/>
  <c r="J90" i="5"/>
  <c r="I90" i="5"/>
  <c r="H90" i="5"/>
  <c r="G90" i="5"/>
  <c r="F90" i="5"/>
  <c r="Q89" i="5"/>
  <c r="P89" i="5"/>
  <c r="O89" i="5"/>
  <c r="N89" i="5"/>
  <c r="M89" i="5"/>
  <c r="L89" i="5"/>
  <c r="K89" i="5"/>
  <c r="J89" i="5"/>
  <c r="I89" i="5"/>
  <c r="H89" i="5"/>
  <c r="G89" i="5"/>
  <c r="F89" i="5"/>
  <c r="Q88" i="5"/>
  <c r="P88" i="5"/>
  <c r="O88" i="5"/>
  <c r="N88" i="5"/>
  <c r="M88" i="5"/>
  <c r="L88" i="5"/>
  <c r="K88" i="5"/>
  <c r="J88" i="5"/>
  <c r="I88" i="5"/>
  <c r="H88" i="5"/>
  <c r="G88" i="5"/>
  <c r="F88" i="5"/>
  <c r="Q79" i="5"/>
  <c r="P79" i="5"/>
  <c r="O79" i="5"/>
  <c r="N79" i="5"/>
  <c r="M79" i="5"/>
  <c r="L79" i="5"/>
  <c r="K79" i="5"/>
  <c r="J79" i="5"/>
  <c r="I79" i="5"/>
  <c r="H79" i="5"/>
  <c r="G79" i="5"/>
  <c r="F79" i="5"/>
  <c r="Q76" i="5"/>
  <c r="P76" i="5"/>
  <c r="O76" i="5"/>
  <c r="N76" i="5"/>
  <c r="M76" i="5"/>
  <c r="L76" i="5"/>
  <c r="K76" i="5"/>
  <c r="J76" i="5"/>
  <c r="I76" i="5"/>
  <c r="H76" i="5"/>
  <c r="G76" i="5"/>
  <c r="F76" i="5"/>
  <c r="Q75" i="5"/>
  <c r="P75" i="5"/>
  <c r="O75" i="5"/>
  <c r="N75" i="5"/>
  <c r="M75" i="5"/>
  <c r="L75" i="5"/>
  <c r="K75" i="5"/>
  <c r="J75" i="5"/>
  <c r="I75" i="5"/>
  <c r="H75" i="5"/>
  <c r="G75" i="5"/>
  <c r="F75" i="5"/>
  <c r="Q74" i="5"/>
  <c r="P74" i="5"/>
  <c r="O74" i="5"/>
  <c r="N74" i="5"/>
  <c r="M74" i="5"/>
  <c r="L74" i="5"/>
  <c r="K74" i="5"/>
  <c r="J74" i="5"/>
  <c r="I74" i="5"/>
  <c r="H74" i="5"/>
  <c r="G74" i="5"/>
  <c r="F74" i="5"/>
  <c r="Q73" i="5"/>
  <c r="P73" i="5"/>
  <c r="O73" i="5"/>
  <c r="N73" i="5"/>
  <c r="M73" i="5"/>
  <c r="L73" i="5"/>
  <c r="K73" i="5"/>
  <c r="J73" i="5"/>
  <c r="I73" i="5"/>
  <c r="H73" i="5"/>
  <c r="G73" i="5"/>
  <c r="F73" i="5"/>
  <c r="Q67" i="5"/>
  <c r="P67" i="5"/>
  <c r="O67" i="5"/>
  <c r="N67" i="5"/>
  <c r="M67" i="5"/>
  <c r="L67" i="5"/>
  <c r="K67" i="5"/>
  <c r="J67" i="5"/>
  <c r="I67" i="5"/>
  <c r="H67" i="5"/>
  <c r="G67" i="5"/>
  <c r="F67" i="5"/>
  <c r="Q59" i="5"/>
  <c r="P59" i="5"/>
  <c r="O59" i="5"/>
  <c r="N59" i="5"/>
  <c r="M59" i="5"/>
  <c r="L59" i="5"/>
  <c r="K59" i="5"/>
  <c r="J59" i="5"/>
  <c r="I59" i="5"/>
  <c r="H59" i="5"/>
  <c r="G59" i="5"/>
  <c r="F59" i="5"/>
  <c r="Q54" i="5" a="1"/>
  <c r="Q54" i="5" s="1"/>
  <c r="Q80" i="5" s="1"/>
  <c r="P54" i="5" a="1"/>
  <c r="P54" i="5" s="1"/>
  <c r="P80" i="5" s="1"/>
  <c r="O54" i="5" a="1"/>
  <c r="O54" i="5" s="1"/>
  <c r="O80" i="5" s="1"/>
  <c r="N54" i="5" a="1"/>
  <c r="N54" i="5" s="1"/>
  <c r="N80" i="5" s="1"/>
  <c r="M54" i="5" a="1"/>
  <c r="M54" i="5" s="1"/>
  <c r="M80" i="5" s="1"/>
  <c r="L54" i="5" a="1"/>
  <c r="L54" i="5" s="1"/>
  <c r="L80" i="5" s="1"/>
  <c r="K54" i="5" a="1"/>
  <c r="K54" i="5" s="1"/>
  <c r="K80" i="5" s="1"/>
  <c r="J54" i="5" a="1"/>
  <c r="J54" i="5" s="1"/>
  <c r="J80" i="5" s="1"/>
  <c r="I54" i="5" a="1"/>
  <c r="I54" i="5" s="1"/>
  <c r="I80" i="5" s="1"/>
  <c r="H54" i="5" a="1"/>
  <c r="H54" i="5" s="1"/>
  <c r="H80" i="5" s="1"/>
  <c r="G54" i="5" a="1"/>
  <c r="G54" i="5" s="1"/>
  <c r="G80" i="5" s="1"/>
  <c r="F54" i="5" a="1"/>
  <c r="F54" i="5" s="1"/>
  <c r="F80" i="5" s="1"/>
  <c r="Q53" i="5" a="1"/>
  <c r="Q53" i="5" s="1"/>
  <c r="P53" i="5" a="1"/>
  <c r="P53" i="5" s="1"/>
  <c r="O53" i="5" a="1"/>
  <c r="O53" i="5" s="1"/>
  <c r="H53" i="5" a="1"/>
  <c r="H53" i="5" s="1"/>
  <c r="G53" i="5" a="1"/>
  <c r="G53" i="5" s="1"/>
  <c r="F53" i="5" a="1"/>
  <c r="F53" i="5" s="1"/>
  <c r="Q52" i="5" a="1"/>
  <c r="Q52" i="5" s="1"/>
  <c r="P52" i="5" a="1"/>
  <c r="P52" i="5" s="1"/>
  <c r="O52" i="5" a="1"/>
  <c r="O52" i="5" s="1"/>
  <c r="N52" i="5" a="1"/>
  <c r="N52" i="5" s="1"/>
  <c r="M52" i="5" a="1"/>
  <c r="M52" i="5" s="1"/>
  <c r="L52" i="5" a="1"/>
  <c r="L52" i="5" s="1"/>
  <c r="K52" i="5" a="1"/>
  <c r="K52" i="5" s="1"/>
  <c r="J52" i="5" a="1"/>
  <c r="J52" i="5" s="1"/>
  <c r="I52" i="5" a="1"/>
  <c r="I52" i="5" s="1"/>
  <c r="H52" i="5" a="1"/>
  <c r="H52" i="5" s="1"/>
  <c r="G52" i="5" a="1"/>
  <c r="G52" i="5" s="1"/>
  <c r="F52" i="5" a="1"/>
  <c r="F52" i="5" s="1"/>
  <c r="Q51" i="5" a="1"/>
  <c r="Q51" i="5" s="1"/>
  <c r="P51" i="5" a="1"/>
  <c r="P51" i="5" s="1"/>
  <c r="O51" i="5" a="1"/>
  <c r="O51" i="5" s="1"/>
  <c r="N51" i="5" a="1"/>
  <c r="N51" i="5" s="1"/>
  <c r="M51" i="5" a="1"/>
  <c r="M51" i="5" s="1"/>
  <c r="L51" i="5" a="1"/>
  <c r="L51" i="5" s="1"/>
  <c r="K51" i="5" a="1"/>
  <c r="K51" i="5" s="1"/>
  <c r="J51" i="5" a="1"/>
  <c r="J51" i="5" s="1"/>
  <c r="I51" i="5" a="1"/>
  <c r="I51" i="5" s="1"/>
  <c r="H51" i="5" a="1"/>
  <c r="H51" i="5" s="1"/>
  <c r="G51" i="5" a="1"/>
  <c r="G51" i="5" s="1"/>
  <c r="F51" i="5" a="1"/>
  <c r="F51" i="5" s="1"/>
  <c r="Q50" i="5" a="1"/>
  <c r="Q50" i="5" s="1"/>
  <c r="Q82" i="5" s="1"/>
  <c r="P50" i="5" a="1"/>
  <c r="P50" i="5" s="1"/>
  <c r="P82" i="5" s="1"/>
  <c r="O50" i="5" a="1"/>
  <c r="O50" i="5" s="1"/>
  <c r="O82" i="5" s="1"/>
  <c r="N50" i="5" a="1"/>
  <c r="N50" i="5" s="1"/>
  <c r="N82" i="5" s="1"/>
  <c r="M50" i="5" a="1"/>
  <c r="M50" i="5" s="1"/>
  <c r="M82" i="5" s="1"/>
  <c r="L50" i="5" a="1"/>
  <c r="L50" i="5" s="1"/>
  <c r="L82" i="5" s="1"/>
  <c r="K50" i="5" a="1"/>
  <c r="K50" i="5" s="1"/>
  <c r="K82" i="5" s="1"/>
  <c r="J50" i="5" a="1"/>
  <c r="J50" i="5" s="1"/>
  <c r="J82" i="5" s="1"/>
  <c r="I50" i="5" a="1"/>
  <c r="I50" i="5" s="1"/>
  <c r="I82" i="5" s="1"/>
  <c r="H50" i="5" a="1"/>
  <c r="H50" i="5" s="1"/>
  <c r="H82" i="5" s="1"/>
  <c r="G50" i="5" a="1"/>
  <c r="G50" i="5" s="1"/>
  <c r="G82" i="5" s="1"/>
  <c r="F50" i="5" a="1"/>
  <c r="F50" i="5" s="1"/>
  <c r="F82" i="5" s="1"/>
  <c r="Q49" i="5" a="1"/>
  <c r="Q49" i="5" s="1"/>
  <c r="P49" i="5" a="1"/>
  <c r="P49" i="5" s="1"/>
  <c r="O49" i="5" a="1"/>
  <c r="O49" i="5" s="1"/>
  <c r="N49" i="5" a="1"/>
  <c r="N49" i="5" s="1"/>
  <c r="M49" i="5" a="1"/>
  <c r="M49" i="5" s="1"/>
  <c r="L49" i="5" a="1"/>
  <c r="L49" i="5" s="1"/>
  <c r="K49" i="5" a="1"/>
  <c r="K49" i="5" s="1"/>
  <c r="J49" i="5" a="1"/>
  <c r="J49" i="5" s="1"/>
  <c r="I49" i="5" a="1"/>
  <c r="I49" i="5" s="1"/>
  <c r="H49" i="5" a="1"/>
  <c r="H49" i="5" s="1"/>
  <c r="G49" i="5" a="1"/>
  <c r="G49" i="5" s="1"/>
  <c r="F49" i="5" a="1"/>
  <c r="F49" i="5" s="1"/>
  <c r="Q48" i="5" a="1"/>
  <c r="Q48" i="5" s="1"/>
  <c r="Q91" i="5" s="1"/>
  <c r="P48" i="5" a="1"/>
  <c r="P48" i="5" s="1"/>
  <c r="P91" i="5" s="1"/>
  <c r="O48" i="5" a="1"/>
  <c r="O48" i="5" s="1"/>
  <c r="O91" i="5" s="1"/>
  <c r="N48" i="5" a="1"/>
  <c r="N48" i="5" s="1"/>
  <c r="N91" i="5" s="1"/>
  <c r="M48" i="5" a="1"/>
  <c r="M48" i="5" s="1"/>
  <c r="M91" i="5" s="1"/>
  <c r="L48" i="5" a="1"/>
  <c r="L48" i="5" s="1"/>
  <c r="L91" i="5" s="1"/>
  <c r="K48" i="5" a="1"/>
  <c r="K48" i="5" s="1"/>
  <c r="K91" i="5" s="1"/>
  <c r="J48" i="5" a="1"/>
  <c r="J48" i="5" s="1"/>
  <c r="J91" i="5" s="1"/>
  <c r="I48" i="5" a="1"/>
  <c r="I48" i="5" s="1"/>
  <c r="I91" i="5" s="1"/>
  <c r="H48" i="5" a="1"/>
  <c r="H48" i="5" s="1"/>
  <c r="H91" i="5" s="1"/>
  <c r="G48" i="5" a="1"/>
  <c r="G48" i="5" s="1"/>
  <c r="G91" i="5" s="1"/>
  <c r="F48" i="5" a="1"/>
  <c r="F48" i="5" s="1"/>
  <c r="F91" i="5" s="1"/>
  <c r="Q47" i="5" a="1"/>
  <c r="Q47" i="5" s="1"/>
  <c r="P47" i="5" a="1"/>
  <c r="P47" i="5" s="1"/>
  <c r="O47" i="5" a="1"/>
  <c r="O47" i="5" s="1"/>
  <c r="N47" i="5" a="1"/>
  <c r="N47" i="5" s="1"/>
  <c r="M47" i="5" a="1"/>
  <c r="M47" i="5" s="1"/>
  <c r="L47" i="5" a="1"/>
  <c r="L47" i="5" s="1"/>
  <c r="K47" i="5" a="1"/>
  <c r="K47" i="5" s="1"/>
  <c r="J47" i="5" a="1"/>
  <c r="J47" i="5" s="1"/>
  <c r="I47" i="5" a="1"/>
  <c r="I47" i="5" s="1"/>
  <c r="H47" i="5" a="1"/>
  <c r="H47" i="5" s="1"/>
  <c r="G47" i="5" a="1"/>
  <c r="G47" i="5" s="1"/>
  <c r="F47" i="5" a="1"/>
  <c r="F47" i="5" s="1"/>
  <c r="Q46" i="5" a="1"/>
  <c r="Q46" i="5" s="1"/>
  <c r="P46" i="5" a="1"/>
  <c r="P46" i="5" s="1"/>
  <c r="O46" i="5" a="1"/>
  <c r="O46" i="5" s="1"/>
  <c r="N46" i="5" a="1"/>
  <c r="N46" i="5" s="1"/>
  <c r="M46" i="5" a="1"/>
  <c r="M46" i="5" s="1"/>
  <c r="L46" i="5" a="1"/>
  <c r="L46" i="5" s="1"/>
  <c r="K46" i="5" a="1"/>
  <c r="K46" i="5" s="1"/>
  <c r="J46" i="5" a="1"/>
  <c r="J46" i="5" s="1"/>
  <c r="I46" i="5" a="1"/>
  <c r="I46" i="5" s="1"/>
  <c r="H46" i="5" a="1"/>
  <c r="H46" i="5" s="1"/>
  <c r="G46" i="5" a="1"/>
  <c r="G46" i="5" s="1"/>
  <c r="F46" i="5" a="1"/>
  <c r="F46" i="5" s="1"/>
  <c r="Q45" i="5" a="1"/>
  <c r="Q45" i="5" s="1"/>
  <c r="P45" i="5" a="1"/>
  <c r="P45" i="5" s="1"/>
  <c r="O45" i="5" a="1"/>
  <c r="O45" i="5" s="1"/>
  <c r="N45" i="5" a="1"/>
  <c r="N45" i="5" s="1"/>
  <c r="M45" i="5" a="1"/>
  <c r="M45" i="5" s="1"/>
  <c r="L45" i="5" a="1"/>
  <c r="L45" i="5" s="1"/>
  <c r="K45" i="5" a="1"/>
  <c r="K45" i="5" s="1"/>
  <c r="J45" i="5" a="1"/>
  <c r="J45" i="5" s="1"/>
  <c r="I45" i="5" a="1"/>
  <c r="I45" i="5" s="1"/>
  <c r="H45" i="5" a="1"/>
  <c r="H45" i="5" s="1"/>
  <c r="G45" i="5" a="1"/>
  <c r="G45" i="5" s="1"/>
  <c r="F45" i="5" a="1"/>
  <c r="F45" i="5" s="1"/>
  <c r="Q44" i="5" a="1"/>
  <c r="Q44" i="5" s="1"/>
  <c r="P44" i="5" a="1"/>
  <c r="P44" i="5" s="1"/>
  <c r="O44" i="5" a="1"/>
  <c r="O44" i="5" s="1"/>
  <c r="N44" i="5" a="1"/>
  <c r="N44" i="5" s="1"/>
  <c r="M44" i="5" a="1"/>
  <c r="M44" i="5" s="1"/>
  <c r="L44" i="5" a="1"/>
  <c r="L44" i="5" s="1"/>
  <c r="K44" i="5" a="1"/>
  <c r="K44" i="5" s="1"/>
  <c r="J44" i="5" a="1"/>
  <c r="J44" i="5" s="1"/>
  <c r="I44" i="5" a="1"/>
  <c r="I44" i="5" s="1"/>
  <c r="H44" i="5" a="1"/>
  <c r="H44" i="5" s="1"/>
  <c r="G44" i="5" a="1"/>
  <c r="G44" i="5" s="1"/>
  <c r="F44" i="5" a="1"/>
  <c r="F44" i="5" s="1"/>
  <c r="Q43" i="5" a="1"/>
  <c r="Q43" i="5" s="1"/>
  <c r="P43" i="5" a="1"/>
  <c r="P43" i="5" s="1"/>
  <c r="O43" i="5" a="1"/>
  <c r="O43" i="5" s="1"/>
  <c r="N43" i="5" a="1"/>
  <c r="N43" i="5" s="1"/>
  <c r="M43" i="5" a="1"/>
  <c r="M43" i="5" s="1"/>
  <c r="L43" i="5" a="1"/>
  <c r="L43" i="5" s="1"/>
  <c r="K43" i="5" a="1"/>
  <c r="K43" i="5" s="1"/>
  <c r="J43" i="5" a="1"/>
  <c r="J43" i="5" s="1"/>
  <c r="I43" i="5" a="1"/>
  <c r="I43" i="5" s="1"/>
  <c r="H43" i="5" a="1"/>
  <c r="H43" i="5" s="1"/>
  <c r="G43" i="5" a="1"/>
  <c r="G43" i="5" s="1"/>
  <c r="F43" i="5" a="1"/>
  <c r="F43" i="5" s="1"/>
  <c r="Q42" i="5" a="1"/>
  <c r="Q42" i="5" s="1"/>
  <c r="Q84" i="5" s="1"/>
  <c r="P42" i="5" a="1"/>
  <c r="P42" i="5" s="1"/>
  <c r="P84" i="5" s="1"/>
  <c r="O42" i="5" a="1"/>
  <c r="O42" i="5" s="1"/>
  <c r="O84" i="5" s="1"/>
  <c r="N42" i="5" a="1"/>
  <c r="N42" i="5" s="1"/>
  <c r="N84" i="5" s="1"/>
  <c r="M42" i="5" a="1"/>
  <c r="M42" i="5" s="1"/>
  <c r="M84" i="5" s="1"/>
  <c r="L42" i="5" a="1"/>
  <c r="L42" i="5" s="1"/>
  <c r="L84" i="5" s="1"/>
  <c r="K42" i="5" a="1"/>
  <c r="K42" i="5" s="1"/>
  <c r="K84" i="5" s="1"/>
  <c r="J42" i="5" a="1"/>
  <c r="J42" i="5" s="1"/>
  <c r="J84" i="5" s="1"/>
  <c r="I42" i="5" a="1"/>
  <c r="I42" i="5" s="1"/>
  <c r="I84" i="5" s="1"/>
  <c r="H42" i="5" a="1"/>
  <c r="H42" i="5" s="1"/>
  <c r="H84" i="5" s="1"/>
  <c r="G42" i="5" a="1"/>
  <c r="G42" i="5" s="1"/>
  <c r="G84" i="5" s="1"/>
  <c r="F42" i="5" a="1"/>
  <c r="F42" i="5" s="1"/>
  <c r="F84" i="5" s="1"/>
  <c r="Q41" i="5" a="1"/>
  <c r="Q41" i="5" s="1"/>
  <c r="P41" i="5" a="1"/>
  <c r="P41" i="5" s="1"/>
  <c r="O41" i="5" a="1"/>
  <c r="O41" i="5" s="1"/>
  <c r="N41" i="5" a="1"/>
  <c r="N41" i="5" s="1"/>
  <c r="M41" i="5" a="1"/>
  <c r="M41" i="5" s="1"/>
  <c r="L41" i="5" a="1"/>
  <c r="L41" i="5" s="1"/>
  <c r="K41" i="5" a="1"/>
  <c r="K41" i="5" s="1"/>
  <c r="J41" i="5" a="1"/>
  <c r="J41" i="5" s="1"/>
  <c r="I41" i="5" a="1"/>
  <c r="I41" i="5" s="1"/>
  <c r="H41" i="5" a="1"/>
  <c r="H41" i="5" s="1"/>
  <c r="G41" i="5" a="1"/>
  <c r="G41" i="5" s="1"/>
  <c r="F41" i="5" a="1"/>
  <c r="F41" i="5" s="1"/>
  <c r="Q40" i="5" a="1"/>
  <c r="Q40" i="5" s="1"/>
  <c r="P40" i="5" a="1"/>
  <c r="P40" i="5" s="1"/>
  <c r="O40" i="5" a="1"/>
  <c r="O40" i="5" s="1"/>
  <c r="N40" i="5" a="1"/>
  <c r="N40" i="5" s="1"/>
  <c r="M40" i="5" a="1"/>
  <c r="M40" i="5" s="1"/>
  <c r="L40" i="5" a="1"/>
  <c r="L40" i="5" s="1"/>
  <c r="K40" i="5" a="1"/>
  <c r="K40" i="5" s="1"/>
  <c r="J40" i="5" a="1"/>
  <c r="J40" i="5" s="1"/>
  <c r="I40" i="5" a="1"/>
  <c r="I40" i="5" s="1"/>
  <c r="H40" i="5" a="1"/>
  <c r="H40" i="5" s="1"/>
  <c r="G40" i="5" a="1"/>
  <c r="G40" i="5" s="1"/>
  <c r="F40" i="5" a="1"/>
  <c r="F40" i="5" s="1"/>
  <c r="Q39" i="5" a="1"/>
  <c r="Q39" i="5" s="1"/>
  <c r="Q83" i="5" s="1"/>
  <c r="P39" i="5" a="1"/>
  <c r="P39" i="5" s="1"/>
  <c r="P83" i="5" s="1"/>
  <c r="O39" i="5" a="1"/>
  <c r="O39" i="5" s="1"/>
  <c r="O83" i="5" s="1"/>
  <c r="N39" i="5" a="1"/>
  <c r="N39" i="5" s="1"/>
  <c r="N83" i="5" s="1"/>
  <c r="M39" i="5" a="1"/>
  <c r="M39" i="5" s="1"/>
  <c r="M83" i="5" s="1"/>
  <c r="L39" i="5" a="1"/>
  <c r="L39" i="5" s="1"/>
  <c r="L83" i="5" s="1"/>
  <c r="K39" i="5" a="1"/>
  <c r="K39" i="5" s="1"/>
  <c r="K83" i="5" s="1"/>
  <c r="J39" i="5" a="1"/>
  <c r="J39" i="5" s="1"/>
  <c r="J83" i="5" s="1"/>
  <c r="I39" i="5" a="1"/>
  <c r="I39" i="5" s="1"/>
  <c r="I83" i="5" s="1"/>
  <c r="H39" i="5" a="1"/>
  <c r="H39" i="5" s="1"/>
  <c r="H83" i="5" s="1"/>
  <c r="G39" i="5" a="1"/>
  <c r="G39" i="5" s="1"/>
  <c r="G83" i="5" s="1"/>
  <c r="F39" i="5" a="1"/>
  <c r="F39" i="5" s="1"/>
  <c r="F83" i="5" s="1"/>
  <c r="Q38" i="5" a="1"/>
  <c r="Q38" i="5" s="1"/>
  <c r="Q93" i="5" s="1"/>
  <c r="P38" i="5" a="1"/>
  <c r="P38" i="5" s="1"/>
  <c r="P93" i="5" s="1"/>
  <c r="O38" i="5" a="1"/>
  <c r="O38" i="5" s="1"/>
  <c r="O93" i="5" s="1"/>
  <c r="N38" i="5" a="1"/>
  <c r="N38" i="5" s="1"/>
  <c r="N93" i="5" s="1"/>
  <c r="M38" i="5" a="1"/>
  <c r="M38" i="5" s="1"/>
  <c r="M93" i="5" s="1"/>
  <c r="L38" i="5" a="1"/>
  <c r="L38" i="5" s="1"/>
  <c r="L93" i="5" s="1"/>
  <c r="K38" i="5" a="1"/>
  <c r="K38" i="5" s="1"/>
  <c r="K93" i="5" s="1"/>
  <c r="J38" i="5" a="1"/>
  <c r="J38" i="5" s="1"/>
  <c r="J93" i="5" s="1"/>
  <c r="I38" i="5" a="1"/>
  <c r="I38" i="5" s="1"/>
  <c r="I93" i="5" s="1"/>
  <c r="H38" i="5" a="1"/>
  <c r="H38" i="5" s="1"/>
  <c r="H93" i="5" s="1"/>
  <c r="G38" i="5" a="1"/>
  <c r="G38" i="5" s="1"/>
  <c r="G93" i="5" s="1"/>
  <c r="F38" i="5" a="1"/>
  <c r="F38" i="5" s="1"/>
  <c r="F93" i="5" s="1"/>
  <c r="Q37" i="5" a="1"/>
  <c r="Q37" i="5" s="1"/>
  <c r="P37" i="5" a="1"/>
  <c r="P37" i="5" s="1"/>
  <c r="O37" i="5" a="1"/>
  <c r="O37" i="5" s="1"/>
  <c r="N37" i="5" a="1"/>
  <c r="N37" i="5" s="1"/>
  <c r="M37" i="5" a="1"/>
  <c r="M37" i="5" s="1"/>
  <c r="L37" i="5" a="1"/>
  <c r="L37" i="5" s="1"/>
  <c r="K37" i="5" a="1"/>
  <c r="K37" i="5" s="1"/>
  <c r="J37" i="5" a="1"/>
  <c r="J37" i="5" s="1"/>
  <c r="I37" i="5" a="1"/>
  <c r="I37" i="5" s="1"/>
  <c r="H37" i="5" a="1"/>
  <c r="H37" i="5" s="1"/>
  <c r="G37" i="5" a="1"/>
  <c r="G37" i="5" s="1"/>
  <c r="F37" i="5" a="1"/>
  <c r="F37" i="5" s="1"/>
  <c r="Q36" i="5" a="1"/>
  <c r="Q36" i="5" s="1"/>
  <c r="Q72" i="5" s="1"/>
  <c r="P36" i="5" a="1"/>
  <c r="P36" i="5" s="1"/>
  <c r="P72" i="5" s="1"/>
  <c r="O36" i="5" a="1"/>
  <c r="O36" i="5" s="1"/>
  <c r="O72" i="5" s="1"/>
  <c r="N36" i="5" a="1"/>
  <c r="N36" i="5" s="1"/>
  <c r="N72" i="5" s="1"/>
  <c r="M36" i="5" a="1"/>
  <c r="M36" i="5" s="1"/>
  <c r="M72" i="5" s="1"/>
  <c r="L36" i="5" a="1"/>
  <c r="L36" i="5" s="1"/>
  <c r="L72" i="5" s="1"/>
  <c r="K36" i="5" a="1"/>
  <c r="K36" i="5" s="1"/>
  <c r="K72" i="5" s="1"/>
  <c r="J36" i="5" a="1"/>
  <c r="J36" i="5" s="1"/>
  <c r="J72" i="5" s="1"/>
  <c r="I36" i="5" a="1"/>
  <c r="I36" i="5" s="1"/>
  <c r="I72" i="5" s="1"/>
  <c r="H36" i="5" a="1"/>
  <c r="H36" i="5" s="1"/>
  <c r="H72" i="5" s="1"/>
  <c r="G36" i="5" a="1"/>
  <c r="G36" i="5" s="1"/>
  <c r="G72" i="5" s="1"/>
  <c r="F36" i="5" a="1"/>
  <c r="F36" i="5" s="1"/>
  <c r="F72" i="5" s="1"/>
  <c r="Q35" i="5" a="1"/>
  <c r="Q35" i="5" s="1"/>
  <c r="P35" i="5" a="1"/>
  <c r="P35" i="5" s="1"/>
  <c r="O35" i="5" a="1"/>
  <c r="O35" i="5" s="1"/>
  <c r="N35" i="5" a="1"/>
  <c r="N35" i="5" s="1"/>
  <c r="M35" i="5" a="1"/>
  <c r="M35" i="5" s="1"/>
  <c r="L35" i="5" a="1"/>
  <c r="L35" i="5" s="1"/>
  <c r="K35" i="5" a="1"/>
  <c r="K35" i="5" s="1"/>
  <c r="J35" i="5" a="1"/>
  <c r="J35" i="5" s="1"/>
  <c r="I35" i="5" a="1"/>
  <c r="I35" i="5" s="1"/>
  <c r="H35" i="5" a="1"/>
  <c r="H35" i="5" s="1"/>
  <c r="G35" i="5" a="1"/>
  <c r="G35" i="5" s="1"/>
  <c r="F35" i="5" a="1"/>
  <c r="F35" i="5" s="1"/>
  <c r="Q34" i="5" a="1"/>
  <c r="Q34" i="5" s="1"/>
  <c r="P34" i="5" a="1"/>
  <c r="P34" i="5" s="1"/>
  <c r="O34" i="5" a="1"/>
  <c r="O34" i="5" s="1"/>
  <c r="O81" i="5" s="1"/>
  <c r="N34" i="5" a="1"/>
  <c r="N34" i="5" s="1"/>
  <c r="N81" i="5" s="1"/>
  <c r="M34" i="5" a="1"/>
  <c r="M34" i="5" s="1"/>
  <c r="L34" i="5" a="1"/>
  <c r="L34" i="5" s="1"/>
  <c r="K34" i="5" a="1"/>
  <c r="K34" i="5" s="1"/>
  <c r="J34" i="5" a="1"/>
  <c r="J34" i="5" s="1"/>
  <c r="I34" i="5" a="1"/>
  <c r="I34" i="5" s="1"/>
  <c r="H34" i="5" a="1"/>
  <c r="H34" i="5" s="1"/>
  <c r="G34" i="5" a="1"/>
  <c r="G34" i="5" s="1"/>
  <c r="G81" i="5" s="1"/>
  <c r="F34" i="5" a="1"/>
  <c r="F34" i="5" s="1"/>
  <c r="Q33" i="5" a="1"/>
  <c r="Q33" i="5" s="1"/>
  <c r="Q71" i="5" s="1"/>
  <c r="P33" i="5" a="1"/>
  <c r="P33" i="5" s="1"/>
  <c r="P71" i="5" s="1"/>
  <c r="O33" i="5" a="1"/>
  <c r="O33" i="5" s="1"/>
  <c r="O71" i="5" s="1"/>
  <c r="N33" i="5" a="1"/>
  <c r="N33" i="5" s="1"/>
  <c r="N71" i="5" s="1"/>
  <c r="M33" i="5" a="1"/>
  <c r="M33" i="5" s="1"/>
  <c r="M71" i="5" s="1"/>
  <c r="L33" i="5" a="1"/>
  <c r="L33" i="5" s="1"/>
  <c r="L71" i="5" s="1"/>
  <c r="K33" i="5" a="1"/>
  <c r="K33" i="5" s="1"/>
  <c r="K71" i="5" s="1"/>
  <c r="J33" i="5" a="1"/>
  <c r="J33" i="5" s="1"/>
  <c r="J71" i="5" s="1"/>
  <c r="I33" i="5" a="1"/>
  <c r="I33" i="5" s="1"/>
  <c r="I71" i="5" s="1"/>
  <c r="H33" i="5" a="1"/>
  <c r="H33" i="5" s="1"/>
  <c r="H71" i="5" s="1"/>
  <c r="G33" i="5" a="1"/>
  <c r="G33" i="5" s="1"/>
  <c r="G71" i="5" s="1"/>
  <c r="F33" i="5" a="1"/>
  <c r="F33" i="5" s="1"/>
  <c r="F71" i="5" s="1"/>
  <c r="Q32" i="5" a="1"/>
  <c r="Q32" i="5" s="1"/>
  <c r="P32" i="5" a="1"/>
  <c r="P32" i="5" s="1"/>
  <c r="O32" i="5" a="1"/>
  <c r="O32" i="5" s="1"/>
  <c r="N32" i="5" a="1"/>
  <c r="N32" i="5" s="1"/>
  <c r="M32" i="5" a="1"/>
  <c r="M32" i="5" s="1"/>
  <c r="L32" i="5" a="1"/>
  <c r="L32" i="5" s="1"/>
  <c r="K32" i="5" a="1"/>
  <c r="K32" i="5" s="1"/>
  <c r="J32" i="5" a="1"/>
  <c r="J32" i="5" s="1"/>
  <c r="I32" i="5" a="1"/>
  <c r="I32" i="5" s="1"/>
  <c r="H32" i="5" a="1"/>
  <c r="H32" i="5" s="1"/>
  <c r="G32" i="5" a="1"/>
  <c r="G32" i="5" s="1"/>
  <c r="F32" i="5" a="1"/>
  <c r="F32" i="5" s="1"/>
  <c r="Q31" i="5" a="1"/>
  <c r="Q31" i="5" s="1"/>
  <c r="Q70" i="5" s="1"/>
  <c r="P31" i="5" a="1"/>
  <c r="P31" i="5" s="1"/>
  <c r="P70" i="5" s="1"/>
  <c r="O31" i="5" a="1"/>
  <c r="O31" i="5" s="1"/>
  <c r="O70" i="5" s="1"/>
  <c r="N31" i="5" a="1"/>
  <c r="N31" i="5" s="1"/>
  <c r="N70" i="5" s="1"/>
  <c r="M31" i="5" a="1"/>
  <c r="M31" i="5" s="1"/>
  <c r="M70" i="5" s="1"/>
  <c r="L31" i="5" a="1"/>
  <c r="L31" i="5" s="1"/>
  <c r="L70" i="5" s="1"/>
  <c r="K31" i="5" a="1"/>
  <c r="K31" i="5" s="1"/>
  <c r="K70" i="5" s="1"/>
  <c r="J31" i="5" a="1"/>
  <c r="J31" i="5" s="1"/>
  <c r="J70" i="5" s="1"/>
  <c r="I31" i="5" a="1"/>
  <c r="I31" i="5" s="1"/>
  <c r="I70" i="5" s="1"/>
  <c r="H31" i="5" a="1"/>
  <c r="H31" i="5" s="1"/>
  <c r="H70" i="5" s="1"/>
  <c r="G31" i="5" a="1"/>
  <c r="G31" i="5" s="1"/>
  <c r="G70" i="5" s="1"/>
  <c r="F31" i="5" a="1"/>
  <c r="F31" i="5" s="1"/>
  <c r="F70" i="5" s="1"/>
  <c r="Q30" i="5" a="1"/>
  <c r="Q30" i="5" s="1"/>
  <c r="P30" i="5" a="1"/>
  <c r="P30" i="5" s="1"/>
  <c r="O30" i="5" a="1"/>
  <c r="O30" i="5" s="1"/>
  <c r="N30" i="5" a="1"/>
  <c r="N30" i="5" s="1"/>
  <c r="M30" i="5" a="1"/>
  <c r="M30" i="5" s="1"/>
  <c r="L30" i="5" a="1"/>
  <c r="L30" i="5" s="1"/>
  <c r="K30" i="5" a="1"/>
  <c r="K30" i="5" s="1"/>
  <c r="J30" i="5" a="1"/>
  <c r="J30" i="5" s="1"/>
  <c r="I30" i="5" a="1"/>
  <c r="I30" i="5" s="1"/>
  <c r="H30" i="5" a="1"/>
  <c r="H30" i="5" s="1"/>
  <c r="G30" i="5" a="1"/>
  <c r="G30" i="5" s="1"/>
  <c r="F30" i="5" a="1"/>
  <c r="F30" i="5" s="1"/>
  <c r="Q29" i="5" a="1"/>
  <c r="Q29" i="5" s="1"/>
  <c r="P29" i="5" a="1"/>
  <c r="P29" i="5" s="1"/>
  <c r="O29" i="5" a="1"/>
  <c r="O29" i="5" s="1"/>
  <c r="N29" i="5" a="1"/>
  <c r="N29" i="5" s="1"/>
  <c r="M29" i="5" a="1"/>
  <c r="M29" i="5" s="1"/>
  <c r="L29" i="5" a="1"/>
  <c r="L29" i="5" s="1"/>
  <c r="K29" i="5" a="1"/>
  <c r="K29" i="5" s="1"/>
  <c r="J29" i="5" a="1"/>
  <c r="J29" i="5" s="1"/>
  <c r="I29" i="5" a="1"/>
  <c r="I29" i="5" s="1"/>
  <c r="H29" i="5" a="1"/>
  <c r="H29" i="5" s="1"/>
  <c r="H87" i="5" s="1"/>
  <c r="G29" i="5" a="1"/>
  <c r="G29" i="5" s="1"/>
  <c r="F29" i="5" a="1"/>
  <c r="F29" i="5" s="1"/>
  <c r="Q28" i="5" a="1"/>
  <c r="Q28" i="5" s="1"/>
  <c r="Q68" i="5" s="1"/>
  <c r="P28" i="5" a="1"/>
  <c r="P28" i="5" s="1"/>
  <c r="P68" i="5" s="1"/>
  <c r="O28" i="5" a="1"/>
  <c r="O28" i="5" s="1"/>
  <c r="O68" i="5" s="1"/>
  <c r="N28" i="5" a="1"/>
  <c r="N28" i="5" s="1"/>
  <c r="N68" i="5" s="1"/>
  <c r="M28" i="5" a="1"/>
  <c r="M28" i="5" s="1"/>
  <c r="M68" i="5" s="1"/>
  <c r="L28" i="5" a="1"/>
  <c r="L28" i="5" s="1"/>
  <c r="L68" i="5" s="1"/>
  <c r="K28" i="5" a="1"/>
  <c r="K28" i="5" s="1"/>
  <c r="K68" i="5" s="1"/>
  <c r="J28" i="5" a="1"/>
  <c r="J28" i="5" s="1"/>
  <c r="J68" i="5" s="1"/>
  <c r="I28" i="5" a="1"/>
  <c r="I28" i="5" s="1"/>
  <c r="I68" i="5" s="1"/>
  <c r="H28" i="5" a="1"/>
  <c r="H28" i="5" s="1"/>
  <c r="H68" i="5" s="1"/>
  <c r="G28" i="5" a="1"/>
  <c r="G28" i="5" s="1"/>
  <c r="G68" i="5" s="1"/>
  <c r="F28" i="5" a="1"/>
  <c r="F28" i="5" s="1"/>
  <c r="F68" i="5" s="1"/>
  <c r="Q27" i="5" a="1"/>
  <c r="Q27" i="5" s="1"/>
  <c r="Q69" i="5" s="1"/>
  <c r="P27" i="5" a="1"/>
  <c r="P27" i="5" s="1"/>
  <c r="P69" i="5" s="1"/>
  <c r="O27" i="5" a="1"/>
  <c r="O27" i="5" s="1"/>
  <c r="O69" i="5" s="1"/>
  <c r="N27" i="5" a="1"/>
  <c r="N27" i="5" s="1"/>
  <c r="N69" i="5" s="1"/>
  <c r="M27" i="5" a="1"/>
  <c r="M27" i="5" s="1"/>
  <c r="M69" i="5" s="1"/>
  <c r="L27" i="5" a="1"/>
  <c r="L27" i="5" s="1"/>
  <c r="L69" i="5" s="1"/>
  <c r="K27" i="5" a="1"/>
  <c r="K27" i="5" s="1"/>
  <c r="K69" i="5" s="1"/>
  <c r="J27" i="5" a="1"/>
  <c r="J27" i="5" s="1"/>
  <c r="J69" i="5" s="1"/>
  <c r="I27" i="5" a="1"/>
  <c r="I27" i="5" s="1"/>
  <c r="I69" i="5" s="1"/>
  <c r="H27" i="5" a="1"/>
  <c r="H27" i="5" s="1"/>
  <c r="H69" i="5" s="1"/>
  <c r="G27" i="5" a="1"/>
  <c r="G27" i="5" s="1"/>
  <c r="G69" i="5" s="1"/>
  <c r="F27" i="5" a="1"/>
  <c r="F27" i="5" s="1"/>
  <c r="F69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G26" i="5" a="1"/>
  <c r="G26" i="5" s="1"/>
  <c r="F26" i="5" a="1"/>
  <c r="F26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F25" i="5" a="1"/>
  <c r="F25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 s="1"/>
  <c r="F24" i="5" a="1"/>
  <c r="F24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G23" i="5" a="1"/>
  <c r="G23" i="5" s="1"/>
  <c r="F23" i="5" a="1"/>
  <c r="F23" i="5" s="1"/>
  <c r="Q22" i="5" a="1"/>
  <c r="Q22" i="5" s="1"/>
  <c r="P22" i="5" a="1"/>
  <c r="P22" i="5" s="1"/>
  <c r="O22" i="5" a="1"/>
  <c r="O22" i="5" s="1"/>
  <c r="N22" i="5" a="1"/>
  <c r="N22" i="5" s="1"/>
  <c r="M22" i="5" a="1"/>
  <c r="M22" i="5" s="1"/>
  <c r="L22" i="5" a="1"/>
  <c r="L22" i="5" s="1"/>
  <c r="K22" i="5" a="1"/>
  <c r="K22" i="5" s="1"/>
  <c r="J22" i="5" a="1"/>
  <c r="J22" i="5" s="1"/>
  <c r="I22" i="5" a="1"/>
  <c r="I22" i="5" s="1"/>
  <c r="H22" i="5" a="1"/>
  <c r="H22" i="5" s="1"/>
  <c r="G22" i="5" a="1"/>
  <c r="G22" i="5" s="1"/>
  <c r="F22" i="5" a="1"/>
  <c r="F22" i="5" s="1"/>
  <c r="Q21" i="5" a="1"/>
  <c r="Q21" i="5" s="1"/>
  <c r="Q78" i="5" s="1"/>
  <c r="P21" i="5" a="1"/>
  <c r="P21" i="5" s="1"/>
  <c r="P78" i="5" s="1"/>
  <c r="O21" i="5" a="1"/>
  <c r="O21" i="5" s="1"/>
  <c r="O78" i="5" s="1"/>
  <c r="N21" i="5" a="1"/>
  <c r="N21" i="5" s="1"/>
  <c r="N78" i="5" s="1"/>
  <c r="M21" i="5" a="1"/>
  <c r="M21" i="5" s="1"/>
  <c r="M78" i="5" s="1"/>
  <c r="L21" i="5" a="1"/>
  <c r="L21" i="5" s="1"/>
  <c r="L78" i="5" s="1"/>
  <c r="K21" i="5" a="1"/>
  <c r="K21" i="5" s="1"/>
  <c r="K78" i="5" s="1"/>
  <c r="J21" i="5" a="1"/>
  <c r="J21" i="5" s="1"/>
  <c r="J78" i="5" s="1"/>
  <c r="I21" i="5" a="1"/>
  <c r="I21" i="5" s="1"/>
  <c r="I78" i="5" s="1"/>
  <c r="H21" i="5" a="1"/>
  <c r="H21" i="5" s="1"/>
  <c r="H78" i="5" s="1"/>
  <c r="G21" i="5" a="1"/>
  <c r="G21" i="5" s="1"/>
  <c r="G78" i="5" s="1"/>
  <c r="F21" i="5" a="1"/>
  <c r="F21" i="5" s="1"/>
  <c r="F78" i="5" s="1"/>
  <c r="Q20" i="5" a="1"/>
  <c r="Q20" i="5" s="1"/>
  <c r="P20" i="5" a="1"/>
  <c r="P20" i="5" s="1"/>
  <c r="O20" i="5" a="1"/>
  <c r="O20" i="5" s="1"/>
  <c r="N20" i="5" a="1"/>
  <c r="N20" i="5" s="1"/>
  <c r="M20" i="5" a="1"/>
  <c r="M20" i="5" s="1"/>
  <c r="L20" i="5" a="1"/>
  <c r="L20" i="5" s="1"/>
  <c r="K20" i="5" a="1"/>
  <c r="K20" i="5" s="1"/>
  <c r="J20" i="5" a="1"/>
  <c r="J20" i="5" s="1"/>
  <c r="I20" i="5" a="1"/>
  <c r="I20" i="5" s="1"/>
  <c r="H20" i="5" a="1"/>
  <c r="H20" i="5" s="1"/>
  <c r="G20" i="5" a="1"/>
  <c r="G20" i="5" s="1"/>
  <c r="F20" i="5" a="1"/>
  <c r="F20" i="5" s="1"/>
  <c r="Q19" i="5" a="1"/>
  <c r="Q19" i="5" s="1"/>
  <c r="Q85" i="5" s="1"/>
  <c r="P19" i="5" a="1"/>
  <c r="P19" i="5" s="1"/>
  <c r="P85" i="5" s="1"/>
  <c r="O19" i="5" a="1"/>
  <c r="O19" i="5" s="1"/>
  <c r="O85" i="5" s="1"/>
  <c r="N19" i="5" a="1"/>
  <c r="N19" i="5" s="1"/>
  <c r="N85" i="5" s="1"/>
  <c r="M19" i="5" a="1"/>
  <c r="M19" i="5" s="1"/>
  <c r="M85" i="5" s="1"/>
  <c r="L19" i="5" a="1"/>
  <c r="L19" i="5" s="1"/>
  <c r="L85" i="5" s="1"/>
  <c r="K19" i="5" a="1"/>
  <c r="K19" i="5" s="1"/>
  <c r="K85" i="5" s="1"/>
  <c r="J19" i="5" a="1"/>
  <c r="J19" i="5" s="1"/>
  <c r="J85" i="5" s="1"/>
  <c r="I19" i="5" a="1"/>
  <c r="I19" i="5" s="1"/>
  <c r="I85" i="5" s="1"/>
  <c r="H19" i="5" a="1"/>
  <c r="H19" i="5" s="1"/>
  <c r="H85" i="5" s="1"/>
  <c r="G19" i="5" a="1"/>
  <c r="G19" i="5" s="1"/>
  <c r="G85" i="5" s="1"/>
  <c r="F19" i="5" a="1"/>
  <c r="F19" i="5" s="1"/>
  <c r="F85" i="5" s="1"/>
  <c r="Q18" i="5" a="1"/>
  <c r="Q18" i="5" s="1"/>
  <c r="Q94" i="5" s="1"/>
  <c r="P18" i="5" a="1"/>
  <c r="P18" i="5" s="1"/>
  <c r="P94" i="5" s="1"/>
  <c r="O18" i="5" a="1"/>
  <c r="O18" i="5" s="1"/>
  <c r="O94" i="5" s="1"/>
  <c r="N18" i="5" a="1"/>
  <c r="N18" i="5" s="1"/>
  <c r="N94" i="5" s="1"/>
  <c r="M18" i="5" a="1"/>
  <c r="M18" i="5" s="1"/>
  <c r="M94" i="5" s="1"/>
  <c r="L18" i="5" a="1"/>
  <c r="L18" i="5" s="1"/>
  <c r="L94" i="5" s="1"/>
  <c r="K18" i="5" a="1"/>
  <c r="K18" i="5" s="1"/>
  <c r="K94" i="5" s="1"/>
  <c r="J18" i="5" a="1"/>
  <c r="J18" i="5" s="1"/>
  <c r="J94" i="5" s="1"/>
  <c r="I18" i="5" a="1"/>
  <c r="I18" i="5" s="1"/>
  <c r="I94" i="5" s="1"/>
  <c r="H18" i="5" a="1"/>
  <c r="H18" i="5" s="1"/>
  <c r="H94" i="5" s="1"/>
  <c r="Q17" i="5" a="1"/>
  <c r="Q17" i="5" s="1"/>
  <c r="P17" i="5" a="1"/>
  <c r="P17" i="5" s="1"/>
  <c r="O17" i="5" a="1"/>
  <c r="O17" i="5" s="1"/>
  <c r="N17" i="5" a="1"/>
  <c r="N17" i="5" s="1"/>
  <c r="M17" i="5" a="1"/>
  <c r="M17" i="5" s="1"/>
  <c r="L17" i="5" a="1"/>
  <c r="L17" i="5" s="1"/>
  <c r="K17" i="5" a="1"/>
  <c r="K17" i="5" s="1"/>
  <c r="J17" i="5" a="1"/>
  <c r="J17" i="5" s="1"/>
  <c r="I17" i="5" a="1"/>
  <c r="I17" i="5" s="1"/>
  <c r="H17" i="5" a="1"/>
  <c r="H17" i="5" s="1"/>
  <c r="G17" i="5" a="1"/>
  <c r="G17" i="5" s="1"/>
  <c r="F17" i="5" a="1"/>
  <c r="F17" i="5" s="1"/>
  <c r="Q16" i="5" a="1"/>
  <c r="Q16" i="5" s="1"/>
  <c r="Q92" i="5" s="1"/>
  <c r="P16" i="5" a="1"/>
  <c r="P16" i="5" s="1"/>
  <c r="O16" i="5" a="1"/>
  <c r="O16" i="5" s="1"/>
  <c r="N16" i="5" a="1"/>
  <c r="N16" i="5" s="1"/>
  <c r="M16" i="5" a="1"/>
  <c r="M16" i="5" s="1"/>
  <c r="M92" i="5" s="1"/>
  <c r="L16" i="5" a="1"/>
  <c r="L16" i="5" s="1"/>
  <c r="K16" i="5" a="1"/>
  <c r="K16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P15" i="5" a="1"/>
  <c r="P15" i="5" s="1"/>
  <c r="P92" i="5" s="1"/>
  <c r="O15" i="5" a="1"/>
  <c r="O15" i="5" s="1"/>
  <c r="O92" i="5" s="1"/>
  <c r="N15" i="5" a="1"/>
  <c r="N15" i="5" s="1"/>
  <c r="N92" i="5" s="1"/>
  <c r="L15" i="5" a="1"/>
  <c r="L15" i="5" s="1"/>
  <c r="L92" i="5" s="1"/>
  <c r="K15" i="5" a="1"/>
  <c r="K15" i="5" s="1"/>
  <c r="K92" i="5" s="1"/>
  <c r="J15" i="5" a="1"/>
  <c r="J15" i="5" s="1"/>
  <c r="J92" i="5" s="1"/>
  <c r="I15" i="5" a="1"/>
  <c r="I15" i="5" s="1"/>
  <c r="I92" i="5" s="1"/>
  <c r="H15" i="5" a="1"/>
  <c r="H15" i="5" s="1"/>
  <c r="H92" i="5" s="1"/>
  <c r="G15" i="5" a="1"/>
  <c r="G15" i="5" s="1"/>
  <c r="G92" i="5" s="1"/>
  <c r="F15" i="5" a="1"/>
  <c r="F15" i="5" s="1"/>
  <c r="F92" i="5" s="1"/>
  <c r="Q14" i="5" a="1"/>
  <c r="Q14" i="5" s="1"/>
  <c r="P14" i="5" a="1"/>
  <c r="P14" i="5" s="1"/>
  <c r="O14" i="5" a="1"/>
  <c r="O14" i="5" s="1"/>
  <c r="N14" i="5" a="1"/>
  <c r="N14" i="5" s="1"/>
  <c r="M14" i="5" a="1"/>
  <c r="M14" i="5" s="1"/>
  <c r="L14" i="5" a="1"/>
  <c r="L14" i="5" s="1"/>
  <c r="K14" i="5" a="1"/>
  <c r="K14" i="5" s="1"/>
  <c r="J14" i="5" a="1"/>
  <c r="J14" i="5" s="1"/>
  <c r="I14" i="5" a="1"/>
  <c r="I14" i="5" s="1"/>
  <c r="H14" i="5" a="1"/>
  <c r="H14" i="5" s="1"/>
  <c r="G14" i="5" a="1"/>
  <c r="G14" i="5" s="1"/>
  <c r="F14" i="5" a="1"/>
  <c r="F14" i="5" s="1"/>
  <c r="Q13" i="5" a="1"/>
  <c r="Q13" i="5" s="1"/>
  <c r="P13" i="5" a="1"/>
  <c r="P13" i="5" s="1"/>
  <c r="O13" i="5" a="1"/>
  <c r="O13" i="5" s="1"/>
  <c r="N13" i="5" a="1"/>
  <c r="N13" i="5" s="1"/>
  <c r="M13" i="5" a="1"/>
  <c r="M13" i="5" s="1"/>
  <c r="L13" i="5" a="1"/>
  <c r="L13" i="5" s="1"/>
  <c r="K13" i="5" a="1"/>
  <c r="K13" i="5" s="1"/>
  <c r="J13" i="5" a="1"/>
  <c r="J13" i="5" s="1"/>
  <c r="I13" i="5" a="1"/>
  <c r="I13" i="5" s="1"/>
  <c r="H13" i="5" a="1"/>
  <c r="H13" i="5" s="1"/>
  <c r="G13" i="5" a="1"/>
  <c r="G13" i="5" s="1"/>
  <c r="F13" i="5" a="1"/>
  <c r="F13" i="5" s="1"/>
  <c r="Q12" i="5" a="1"/>
  <c r="Q12" i="5" s="1"/>
  <c r="P12" i="5" a="1"/>
  <c r="P12" i="5" s="1"/>
  <c r="O12" i="5" a="1"/>
  <c r="O12" i="5" s="1"/>
  <c r="N12" i="5" a="1"/>
  <c r="N12" i="5" s="1"/>
  <c r="M12" i="5" a="1"/>
  <c r="M12" i="5" s="1"/>
  <c r="L12" i="5" a="1"/>
  <c r="L12" i="5" s="1"/>
  <c r="K12" i="5" a="1"/>
  <c r="K12" i="5" s="1"/>
  <c r="J12" i="5" a="1"/>
  <c r="J12" i="5" s="1"/>
  <c r="I12" i="5" a="1"/>
  <c r="I12" i="5" s="1"/>
  <c r="H12" i="5" a="1"/>
  <c r="H12" i="5" s="1"/>
  <c r="G12" i="5" a="1"/>
  <c r="G12" i="5" s="1"/>
  <c r="F12" i="5" a="1"/>
  <c r="F12" i="5" s="1"/>
  <c r="Q11" i="5" a="1"/>
  <c r="Q11" i="5" s="1"/>
  <c r="P11" i="5" a="1"/>
  <c r="P11" i="5" s="1"/>
  <c r="O11" i="5" a="1"/>
  <c r="O11" i="5" s="1"/>
  <c r="N11" i="5" a="1"/>
  <c r="N11" i="5" s="1"/>
  <c r="M11" i="5" a="1"/>
  <c r="M11" i="5" s="1"/>
  <c r="L11" i="5" a="1"/>
  <c r="L11" i="5" s="1"/>
  <c r="K11" i="5" a="1"/>
  <c r="K11" i="5" s="1"/>
  <c r="J11" i="5" a="1"/>
  <c r="J11" i="5" s="1"/>
  <c r="I11" i="5" a="1"/>
  <c r="I11" i="5" s="1"/>
  <c r="H11" i="5" a="1"/>
  <c r="H11" i="5" s="1"/>
  <c r="G11" i="5" a="1"/>
  <c r="G11" i="5" s="1"/>
  <c r="F11" i="5" a="1"/>
  <c r="F11" i="5" s="1"/>
  <c r="Q10" i="5" a="1"/>
  <c r="Q10" i="5" s="1"/>
  <c r="P10" i="5" a="1"/>
  <c r="P10" i="5" s="1"/>
  <c r="O10" i="5" a="1"/>
  <c r="O10" i="5" s="1"/>
  <c r="N10" i="5" a="1"/>
  <c r="N10" i="5" s="1"/>
  <c r="M10" i="5" a="1"/>
  <c r="M10" i="5" s="1"/>
  <c r="L10" i="5" a="1"/>
  <c r="L10" i="5" s="1"/>
  <c r="K10" i="5" a="1"/>
  <c r="K10" i="5" s="1"/>
  <c r="J10" i="5" a="1"/>
  <c r="J10" i="5" s="1"/>
  <c r="I10" i="5" a="1"/>
  <c r="I10" i="5" s="1"/>
  <c r="H10" i="5" a="1"/>
  <c r="H10" i="5" s="1"/>
  <c r="G10" i="5" a="1"/>
  <c r="G10" i="5" s="1"/>
  <c r="F10" i="5" a="1"/>
  <c r="F10" i="5" s="1"/>
  <c r="Q9" i="5" a="1"/>
  <c r="Q9" i="5" s="1"/>
  <c r="P9" i="5" a="1"/>
  <c r="P9" i="5" s="1"/>
  <c r="O9" i="5" a="1"/>
  <c r="O9" i="5" s="1"/>
  <c r="N9" i="5" a="1"/>
  <c r="N9" i="5" s="1"/>
  <c r="M9" i="5" a="1"/>
  <c r="M9" i="5" s="1"/>
  <c r="L9" i="5" a="1"/>
  <c r="L9" i="5" s="1"/>
  <c r="K9" i="5" a="1"/>
  <c r="K9" i="5" s="1"/>
  <c r="J9" i="5" a="1"/>
  <c r="J9" i="5" s="1"/>
  <c r="I9" i="5" a="1"/>
  <c r="I9" i="5" s="1"/>
  <c r="H9" i="5" a="1"/>
  <c r="H9" i="5" s="1"/>
  <c r="G9" i="5" a="1"/>
  <c r="G9" i="5" s="1"/>
  <c r="F9" i="5" a="1"/>
  <c r="F9" i="5" s="1"/>
  <c r="Q8" i="5" a="1"/>
  <c r="Q8" i="5" s="1"/>
  <c r="Q86" i="5" s="1"/>
  <c r="P8" i="5" a="1"/>
  <c r="P8" i="5" s="1"/>
  <c r="O8" i="5" a="1"/>
  <c r="O8" i="5" s="1"/>
  <c r="N8" i="5" a="1"/>
  <c r="N8" i="5" s="1"/>
  <c r="M8" i="5" a="1"/>
  <c r="M8" i="5" s="1"/>
  <c r="L8" i="5" a="1"/>
  <c r="L8" i="5" s="1"/>
  <c r="K8" i="5" a="1"/>
  <c r="K8" i="5" s="1"/>
  <c r="J8" i="5" a="1"/>
  <c r="J8" i="5" s="1"/>
  <c r="I8" i="5" a="1"/>
  <c r="I8" i="5" s="1"/>
  <c r="I86" i="5" s="1"/>
  <c r="H8" i="5" a="1"/>
  <c r="H8" i="5" s="1"/>
  <c r="G8" i="5" a="1"/>
  <c r="G8" i="5" s="1"/>
  <c r="F8" i="5" a="1"/>
  <c r="F8" i="5" s="1"/>
  <c r="Q7" i="5" a="1"/>
  <c r="Q7" i="5" s="1"/>
  <c r="Q77" i="5" s="1"/>
  <c r="P7" i="5" a="1"/>
  <c r="P7" i="5" s="1"/>
  <c r="O7" i="5" a="1"/>
  <c r="O7" i="5" s="1"/>
  <c r="N7" i="5" a="1"/>
  <c r="N7" i="5" s="1"/>
  <c r="M7" i="5" a="1"/>
  <c r="M7" i="5" s="1"/>
  <c r="L7" i="5" a="1"/>
  <c r="L7" i="5" s="1"/>
  <c r="K7" i="5" a="1"/>
  <c r="K7" i="5" s="1"/>
  <c r="J7" i="5" a="1"/>
  <c r="J7" i="5" s="1"/>
  <c r="I7" i="5" a="1"/>
  <c r="I7" i="5" s="1"/>
  <c r="I77" i="5" s="1"/>
  <c r="H7" i="5" a="1"/>
  <c r="H7" i="5" s="1"/>
  <c r="G7" i="5" a="1"/>
  <c r="G7" i="5" s="1"/>
  <c r="F7" i="5" a="1"/>
  <c r="F7" i="5" s="1"/>
  <c r="E12" i="4"/>
  <c r="B8" i="4"/>
  <c r="B9" i="4" s="1"/>
  <c r="B10" i="4" s="1"/>
  <c r="B7" i="4"/>
  <c r="Y90" i="3"/>
  <c r="X90" i="3"/>
  <c r="W90" i="3"/>
  <c r="V90" i="3"/>
  <c r="U90" i="3"/>
  <c r="K63" i="2" s="1"/>
  <c r="T90" i="3"/>
  <c r="S90" i="3"/>
  <c r="E58" i="2" s="1"/>
  <c r="H90" i="3"/>
  <c r="G90" i="3"/>
  <c r="R148" i="2"/>
  <c r="R147" i="2"/>
  <c r="R146" i="2"/>
  <c r="R145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R142" i="2"/>
  <c r="R141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R137" i="2"/>
  <c r="R136" i="2" s="1"/>
  <c r="P136" i="2"/>
  <c r="O136" i="2"/>
  <c r="N136" i="2"/>
  <c r="M136" i="2"/>
  <c r="L136" i="2"/>
  <c r="K136" i="2"/>
  <c r="J136" i="2"/>
  <c r="I136" i="2"/>
  <c r="H136" i="2"/>
  <c r="G136" i="2"/>
  <c r="F136" i="2"/>
  <c r="E136" i="2"/>
  <c r="G127" i="2"/>
  <c r="E126" i="2"/>
  <c r="D65" i="1" s="1"/>
  <c r="R123" i="2"/>
  <c r="R113" i="2"/>
  <c r="R104" i="2"/>
  <c r="R79" i="2"/>
  <c r="R78" i="2"/>
  <c r="R77" i="2"/>
  <c r="R75" i="2"/>
  <c r="R74" i="2"/>
  <c r="R73" i="2"/>
  <c r="R72" i="2"/>
  <c r="R60" i="2"/>
  <c r="R57" i="2"/>
  <c r="T31" i="2"/>
  <c r="V31" i="2" s="1"/>
  <c r="R29" i="2"/>
  <c r="T11" i="2"/>
  <c r="N67" i="1" l="1"/>
  <c r="N72" i="1" s="1"/>
  <c r="N54" i="1"/>
  <c r="E9" i="15"/>
  <c r="AE21" i="14"/>
  <c r="T21" i="14"/>
  <c r="N17" i="14"/>
  <c r="K62" i="1"/>
  <c r="K63" i="1" s="1"/>
  <c r="AA17" i="14"/>
  <c r="J29" i="14"/>
  <c r="R76" i="2"/>
  <c r="AO66" i="1"/>
  <c r="AN66" i="1"/>
  <c r="H153" i="10"/>
  <c r="J15" i="9"/>
  <c r="I55" i="9"/>
  <c r="J55" i="9" s="1"/>
  <c r="F10" i="2"/>
  <c r="N10" i="2"/>
  <c r="I50" i="9"/>
  <c r="G16" i="2"/>
  <c r="J14" i="1" s="1"/>
  <c r="G19" i="2"/>
  <c r="J17" i="1" s="1"/>
  <c r="G27" i="2"/>
  <c r="G18" i="2"/>
  <c r="G14" i="2"/>
  <c r="G15" i="2"/>
  <c r="G28" i="2" s="1"/>
  <c r="J7" i="9"/>
  <c r="J17" i="9"/>
  <c r="K17" i="9"/>
  <c r="P7" i="2" s="1"/>
  <c r="M10" i="2"/>
  <c r="J10" i="9"/>
  <c r="K10" i="9"/>
  <c r="I7" i="2" s="1"/>
  <c r="P7" i="1" s="1"/>
  <c r="AK7" i="1" s="1"/>
  <c r="J14" i="9"/>
  <c r="I47" i="9"/>
  <c r="O10" i="2"/>
  <c r="E10" i="2"/>
  <c r="K6" i="9"/>
  <c r="I18" i="9"/>
  <c r="I20" i="9" s="1"/>
  <c r="K8" i="9"/>
  <c r="G7" i="2" s="1"/>
  <c r="J7" i="1" s="1"/>
  <c r="L8" i="14" s="1"/>
  <c r="T8" i="14" s="1"/>
  <c r="E20" i="9"/>
  <c r="I48" i="9"/>
  <c r="H10" i="2"/>
  <c r="P10" i="2"/>
  <c r="J6" i="9"/>
  <c r="J8" i="9"/>
  <c r="J16" i="9"/>
  <c r="F18" i="9"/>
  <c r="H56" i="9"/>
  <c r="I10" i="2"/>
  <c r="I49" i="9"/>
  <c r="K11" i="9"/>
  <c r="J7" i="2" s="1"/>
  <c r="S7" i="1" s="1"/>
  <c r="J13" i="9"/>
  <c r="K13" i="9"/>
  <c r="L7" i="2" s="1"/>
  <c r="Y7" i="1" s="1"/>
  <c r="J50" i="9"/>
  <c r="J10" i="2"/>
  <c r="G20" i="9"/>
  <c r="I51" i="9"/>
  <c r="J51" i="9" s="1"/>
  <c r="K10" i="2"/>
  <c r="I37" i="9"/>
  <c r="I39" i="9" s="1"/>
  <c r="I52" i="9"/>
  <c r="J52" i="9" s="1"/>
  <c r="L10" i="2"/>
  <c r="AN52" i="1"/>
  <c r="F61" i="2"/>
  <c r="E61" i="2"/>
  <c r="H61" i="2"/>
  <c r="L61" i="2"/>
  <c r="J58" i="2"/>
  <c r="M58" i="2"/>
  <c r="I63" i="2"/>
  <c r="P61" i="2"/>
  <c r="N61" i="2"/>
  <c r="G61" i="2"/>
  <c r="O61" i="2"/>
  <c r="I61" i="2"/>
  <c r="J61" i="2"/>
  <c r="K61" i="2"/>
  <c r="J63" i="2"/>
  <c r="M61" i="2"/>
  <c r="G17" i="2"/>
  <c r="J15" i="1" s="1"/>
  <c r="R144" i="2"/>
  <c r="E63" i="2"/>
  <c r="M63" i="2"/>
  <c r="F63" i="2"/>
  <c r="L63" i="2"/>
  <c r="N63" i="2"/>
  <c r="G63" i="2"/>
  <c r="O63" i="2"/>
  <c r="H63" i="2"/>
  <c r="P63" i="2"/>
  <c r="F58" i="2"/>
  <c r="N58" i="2"/>
  <c r="P58" i="2"/>
  <c r="H58" i="2"/>
  <c r="I58" i="2"/>
  <c r="K58" i="2"/>
  <c r="L58" i="2"/>
  <c r="G58" i="2"/>
  <c r="O58" i="2"/>
  <c r="J90" i="3"/>
  <c r="I44" i="9"/>
  <c r="J9" i="9"/>
  <c r="J11" i="9"/>
  <c r="H127" i="2"/>
  <c r="G126" i="2"/>
  <c r="H86" i="5"/>
  <c r="H58" i="5"/>
  <c r="H63" i="5" s="1"/>
  <c r="R108" i="2"/>
  <c r="R140" i="2"/>
  <c r="F126" i="2"/>
  <c r="E65" i="1" s="1"/>
  <c r="P86" i="5"/>
  <c r="P58" i="5"/>
  <c r="P63" i="5" s="1"/>
  <c r="L90" i="3"/>
  <c r="F77" i="5"/>
  <c r="F60" i="5"/>
  <c r="F56" i="5"/>
  <c r="K60" i="5"/>
  <c r="K77" i="5"/>
  <c r="K56" i="5"/>
  <c r="F81" i="5"/>
  <c r="F62" i="5"/>
  <c r="G77" i="5"/>
  <c r="G56" i="5"/>
  <c r="G60" i="5"/>
  <c r="P77" i="5"/>
  <c r="P56" i="5"/>
  <c r="P60" i="5"/>
  <c r="L77" i="5"/>
  <c r="L60" i="5"/>
  <c r="L56" i="5"/>
  <c r="H81" i="5"/>
  <c r="H62" i="5"/>
  <c r="H77" i="5"/>
  <c r="H56" i="5"/>
  <c r="H60" i="5"/>
  <c r="N86" i="5"/>
  <c r="N58" i="5"/>
  <c r="N63" i="5" s="1"/>
  <c r="J86" i="5"/>
  <c r="J58" i="5"/>
  <c r="J63" i="5" s="1"/>
  <c r="O86" i="5"/>
  <c r="O58" i="5"/>
  <c r="O63" i="5" s="1"/>
  <c r="F86" i="5"/>
  <c r="F58" i="5"/>
  <c r="F63" i="5" s="1"/>
  <c r="K86" i="5"/>
  <c r="K58" i="5"/>
  <c r="K63" i="5" s="1"/>
  <c r="N87" i="5"/>
  <c r="N61" i="5"/>
  <c r="J62" i="5"/>
  <c r="J81" i="5"/>
  <c r="N77" i="5"/>
  <c r="N60" i="5"/>
  <c r="N56" i="5"/>
  <c r="G86" i="5"/>
  <c r="G58" i="5"/>
  <c r="G63" i="5" s="1"/>
  <c r="J87" i="5"/>
  <c r="J61" i="5"/>
  <c r="P81" i="5"/>
  <c r="P62" i="5"/>
  <c r="J77" i="5"/>
  <c r="J60" i="5"/>
  <c r="J56" i="5"/>
  <c r="O77" i="5"/>
  <c r="O56" i="5"/>
  <c r="O60" i="5"/>
  <c r="L86" i="5"/>
  <c r="L58" i="5"/>
  <c r="L63" i="5" s="1"/>
  <c r="F87" i="5"/>
  <c r="F61" i="5"/>
  <c r="Q81" i="5"/>
  <c r="Q62" i="5"/>
  <c r="M77" i="5"/>
  <c r="M56" i="5"/>
  <c r="M60" i="5"/>
  <c r="M86" i="5"/>
  <c r="M58" i="5"/>
  <c r="M63" i="5" s="1"/>
  <c r="I87" i="5"/>
  <c r="I61" i="5"/>
  <c r="M87" i="5"/>
  <c r="M61" i="5"/>
  <c r="Q87" i="5"/>
  <c r="Q61" i="5"/>
  <c r="G62" i="5"/>
  <c r="I60" i="5"/>
  <c r="N62" i="5"/>
  <c r="J96" i="5"/>
  <c r="K62" i="5"/>
  <c r="K81" i="5"/>
  <c r="Q56" i="5"/>
  <c r="Q58" i="5"/>
  <c r="Q63" i="5" s="1"/>
  <c r="O62" i="5"/>
  <c r="K96" i="5"/>
  <c r="G87" i="5"/>
  <c r="G61" i="5"/>
  <c r="K87" i="5"/>
  <c r="K61" i="5"/>
  <c r="O87" i="5"/>
  <c r="O61" i="5"/>
  <c r="L62" i="5"/>
  <c r="L81" i="5"/>
  <c r="L96" i="5"/>
  <c r="Q60" i="5"/>
  <c r="M96" i="5"/>
  <c r="L87" i="5"/>
  <c r="L61" i="5"/>
  <c r="P87" i="5"/>
  <c r="P61" i="5"/>
  <c r="M62" i="5"/>
  <c r="M81" i="5"/>
  <c r="F96" i="5"/>
  <c r="N96" i="5"/>
  <c r="I81" i="5"/>
  <c r="I62" i="5"/>
  <c r="I56" i="5"/>
  <c r="I58" i="5"/>
  <c r="I63" i="5" s="1"/>
  <c r="H61" i="5"/>
  <c r="G96" i="5"/>
  <c r="O96" i="5"/>
  <c r="I96" i="5"/>
  <c r="Q96" i="5"/>
  <c r="H96" i="5"/>
  <c r="P96" i="5"/>
  <c r="N68" i="1" l="1"/>
  <c r="N73" i="1"/>
  <c r="W20" i="15" s="1"/>
  <c r="W26" i="15"/>
  <c r="AO65" i="1"/>
  <c r="AR65" i="1"/>
  <c r="AE17" i="14"/>
  <c r="N29" i="14"/>
  <c r="K67" i="1"/>
  <c r="K72" i="1" s="1"/>
  <c r="J34" i="14"/>
  <c r="AA29" i="14"/>
  <c r="J30" i="14"/>
  <c r="H16" i="2"/>
  <c r="H8" i="2"/>
  <c r="M8" i="1" s="1"/>
  <c r="F16" i="2"/>
  <c r="G14" i="1" s="1"/>
  <c r="F8" i="2"/>
  <c r="G8" i="1" s="1"/>
  <c r="L16" i="2"/>
  <c r="Y14" i="1" s="1"/>
  <c r="L8" i="2"/>
  <c r="Y8" i="1" s="1"/>
  <c r="I17" i="2"/>
  <c r="P15" i="1" s="1"/>
  <c r="I8" i="2"/>
  <c r="P8" i="1" s="1"/>
  <c r="J12" i="1"/>
  <c r="G11" i="2"/>
  <c r="E8" i="2"/>
  <c r="D8" i="1" s="1"/>
  <c r="K16" i="2"/>
  <c r="V14" i="1" s="1"/>
  <c r="K8" i="2"/>
  <c r="V8" i="1" s="1"/>
  <c r="J17" i="2"/>
  <c r="S15" i="1" s="1"/>
  <c r="J8" i="2"/>
  <c r="S8" i="1" s="1"/>
  <c r="P17" i="2"/>
  <c r="AK15" i="1" s="1"/>
  <c r="P8" i="2"/>
  <c r="AK8" i="1" s="1"/>
  <c r="N17" i="2"/>
  <c r="AE15" i="1" s="1"/>
  <c r="N8" i="2"/>
  <c r="AE8" i="1" s="1"/>
  <c r="M17" i="2"/>
  <c r="AB15" i="1" s="1"/>
  <c r="M8" i="2"/>
  <c r="AB8" i="1" s="1"/>
  <c r="O17" i="2"/>
  <c r="AH15" i="1" s="1"/>
  <c r="O8" i="2"/>
  <c r="AH8" i="1" s="1"/>
  <c r="G8" i="2"/>
  <c r="J8" i="1" s="1"/>
  <c r="E17" i="2"/>
  <c r="D15" i="1" s="1"/>
  <c r="E18" i="2"/>
  <c r="M153" i="10"/>
  <c r="K153" i="10"/>
  <c r="N153" i="10"/>
  <c r="J18" i="9"/>
  <c r="J16" i="1"/>
  <c r="N16" i="2"/>
  <c r="AE14" i="1" s="1"/>
  <c r="N19" i="2"/>
  <c r="AE17" i="1" s="1"/>
  <c r="N18" i="2"/>
  <c r="N15" i="2"/>
  <c r="N27" i="2"/>
  <c r="N14" i="2"/>
  <c r="F17" i="2"/>
  <c r="G15" i="1" s="1"/>
  <c r="AQ15" i="1" s="1"/>
  <c r="F27" i="2"/>
  <c r="F19" i="2"/>
  <c r="G17" i="1" s="1"/>
  <c r="F18" i="2"/>
  <c r="F14" i="2"/>
  <c r="F15" i="2"/>
  <c r="J49" i="9"/>
  <c r="H17" i="2"/>
  <c r="M15" i="1" s="1"/>
  <c r="H19" i="2"/>
  <c r="M17" i="1" s="1"/>
  <c r="H27" i="2"/>
  <c r="H18" i="2"/>
  <c r="H14" i="2"/>
  <c r="H15" i="2"/>
  <c r="I16" i="2"/>
  <c r="P14" i="1" s="1"/>
  <c r="I27" i="2"/>
  <c r="I18" i="2"/>
  <c r="I14" i="2"/>
  <c r="I19" i="2"/>
  <c r="P17" i="1" s="1"/>
  <c r="I15" i="2"/>
  <c r="J47" i="9"/>
  <c r="J16" i="2"/>
  <c r="S14" i="1" s="1"/>
  <c r="J27" i="2"/>
  <c r="J18" i="2"/>
  <c r="J14" i="2"/>
  <c r="J19" i="2"/>
  <c r="S17" i="1" s="1"/>
  <c r="J15" i="2"/>
  <c r="J48" i="9"/>
  <c r="L17" i="2"/>
  <c r="Y15" i="1" s="1"/>
  <c r="L27" i="2"/>
  <c r="L14" i="2"/>
  <c r="L19" i="2"/>
  <c r="Y17" i="1" s="1"/>
  <c r="L15" i="2"/>
  <c r="L18" i="2"/>
  <c r="J13" i="1"/>
  <c r="K18" i="9"/>
  <c r="E7" i="2"/>
  <c r="D7" i="1" s="1"/>
  <c r="C7" i="1" s="1"/>
  <c r="M16" i="2"/>
  <c r="AB14" i="1" s="1"/>
  <c r="M27" i="2"/>
  <c r="M14" i="2"/>
  <c r="M19" i="2"/>
  <c r="AB17" i="1" s="1"/>
  <c r="M15" i="2"/>
  <c r="M18" i="2"/>
  <c r="K17" i="2"/>
  <c r="V15" i="1" s="1"/>
  <c r="K18" i="2"/>
  <c r="K19" i="2"/>
  <c r="V17" i="1" s="1"/>
  <c r="K15" i="2"/>
  <c r="K27" i="2"/>
  <c r="K14" i="2"/>
  <c r="E19" i="2"/>
  <c r="E15" i="2"/>
  <c r="R10" i="2"/>
  <c r="E14" i="2"/>
  <c r="E27" i="2"/>
  <c r="E16" i="2"/>
  <c r="P16" i="2"/>
  <c r="AK14" i="1" s="1"/>
  <c r="P19" i="2"/>
  <c r="AK17" i="1" s="1"/>
  <c r="P27" i="2"/>
  <c r="P18" i="2"/>
  <c r="P14" i="2"/>
  <c r="P15" i="2"/>
  <c r="O16" i="2"/>
  <c r="AH14" i="1" s="1"/>
  <c r="O15" i="2"/>
  <c r="O19" i="2"/>
  <c r="AH17" i="1" s="1"/>
  <c r="O27" i="2"/>
  <c r="O18" i="2"/>
  <c r="O14" i="2"/>
  <c r="G121" i="2"/>
  <c r="G120" i="2" s="1"/>
  <c r="J59" i="1" s="1"/>
  <c r="AQ59" i="1" s="1"/>
  <c r="AA49" i="3"/>
  <c r="AC49" i="3" s="1"/>
  <c r="AA13" i="3"/>
  <c r="AC13" i="3" s="1"/>
  <c r="AA34" i="3"/>
  <c r="AC34" i="3" s="1"/>
  <c r="AA53" i="3"/>
  <c r="AC53" i="3" s="1"/>
  <c r="AA70" i="3"/>
  <c r="AC70" i="3" s="1"/>
  <c r="AA25" i="3"/>
  <c r="AC25" i="3" s="1"/>
  <c r="AA12" i="3"/>
  <c r="AC12" i="3" s="1"/>
  <c r="AA88" i="3"/>
  <c r="AC88" i="3" s="1"/>
  <c r="AA28" i="3"/>
  <c r="AC28" i="3" s="1"/>
  <c r="D95" i="3" s="1"/>
  <c r="AA62" i="3"/>
  <c r="AC62" i="3" s="1"/>
  <c r="AA52" i="3"/>
  <c r="AC52" i="3" s="1"/>
  <c r="AA59" i="3"/>
  <c r="AC59" i="3" s="1"/>
  <c r="AA9" i="3"/>
  <c r="AC9" i="3" s="1"/>
  <c r="AA61" i="3"/>
  <c r="AC61" i="3" s="1"/>
  <c r="AA50" i="3"/>
  <c r="AC50" i="3" s="1"/>
  <c r="AA45" i="3"/>
  <c r="AC45" i="3" s="1"/>
  <c r="AA32" i="3"/>
  <c r="AC32" i="3" s="1"/>
  <c r="AA16" i="3"/>
  <c r="AC16" i="3" s="1"/>
  <c r="AA14" i="3"/>
  <c r="AC14" i="3" s="1"/>
  <c r="AA27" i="3"/>
  <c r="AC27" i="3" s="1"/>
  <c r="AA35" i="3"/>
  <c r="AC35" i="3" s="1"/>
  <c r="AA29" i="3"/>
  <c r="AC29" i="3" s="1"/>
  <c r="AA39" i="3"/>
  <c r="AC39" i="3" s="1"/>
  <c r="AA5" i="3"/>
  <c r="AA31" i="3"/>
  <c r="AC31" i="3" s="1"/>
  <c r="AA74" i="3"/>
  <c r="AC74" i="3" s="1"/>
  <c r="AA36" i="3"/>
  <c r="AC36" i="3" s="1"/>
  <c r="AA7" i="3"/>
  <c r="AC7" i="3" s="1"/>
  <c r="AA22" i="3"/>
  <c r="AC22" i="3" s="1"/>
  <c r="AA73" i="3"/>
  <c r="AC73" i="3" s="1"/>
  <c r="AA21" i="3"/>
  <c r="AC21" i="3" s="1"/>
  <c r="AA24" i="3"/>
  <c r="AC24" i="3" s="1"/>
  <c r="AA33" i="3"/>
  <c r="AC33" i="3" s="1"/>
  <c r="AA48" i="3"/>
  <c r="AC48" i="3" s="1"/>
  <c r="AA72" i="3"/>
  <c r="AC72" i="3" s="1"/>
  <c r="AA63" i="3"/>
  <c r="AC63" i="3" s="1"/>
  <c r="AA41" i="3"/>
  <c r="AC41" i="3" s="1"/>
  <c r="AA17" i="3"/>
  <c r="AC17" i="3" s="1"/>
  <c r="AA51" i="3"/>
  <c r="AC51" i="3" s="1"/>
  <c r="AA8" i="3"/>
  <c r="AC8" i="3" s="1"/>
  <c r="AA67" i="3"/>
  <c r="AC67" i="3" s="1"/>
  <c r="AA42" i="3"/>
  <c r="AC42" i="3" s="1"/>
  <c r="AA40" i="3"/>
  <c r="AC40" i="3" s="1"/>
  <c r="AA65" i="3"/>
  <c r="AC65" i="3" s="1"/>
  <c r="AA75" i="3"/>
  <c r="AC75" i="3" s="1"/>
  <c r="AA71" i="3"/>
  <c r="AC71" i="3" s="1"/>
  <c r="AA44" i="3"/>
  <c r="AC44" i="3" s="1"/>
  <c r="AA30" i="3"/>
  <c r="AC30" i="3" s="1"/>
  <c r="AA38" i="3"/>
  <c r="AC38" i="3" s="1"/>
  <c r="AA15" i="3"/>
  <c r="AC15" i="3" s="1"/>
  <c r="AA37" i="3"/>
  <c r="AC37" i="3" s="1"/>
  <c r="R70" i="2"/>
  <c r="R61" i="2"/>
  <c r="R63" i="2"/>
  <c r="R58" i="2"/>
  <c r="G59" i="2"/>
  <c r="F59" i="2"/>
  <c r="M59" i="2"/>
  <c r="K59" i="2"/>
  <c r="L59" i="2"/>
  <c r="J59" i="2"/>
  <c r="I59" i="2"/>
  <c r="H59" i="2"/>
  <c r="O59" i="2"/>
  <c r="N59" i="2"/>
  <c r="P59" i="2"/>
  <c r="E59" i="2"/>
  <c r="N90" i="3"/>
  <c r="M14" i="1"/>
  <c r="I56" i="9"/>
  <c r="J44" i="9"/>
  <c r="N97" i="5"/>
  <c r="O97" i="5"/>
  <c r="H97" i="5"/>
  <c r="P97" i="5"/>
  <c r="I97" i="5"/>
  <c r="J97" i="5"/>
  <c r="J64" i="5"/>
  <c r="G97" i="5"/>
  <c r="L97" i="5"/>
  <c r="N64" i="5"/>
  <c r="H64" i="5"/>
  <c r="I64" i="5"/>
  <c r="Q64" i="5"/>
  <c r="M64" i="5"/>
  <c r="Q97" i="5"/>
  <c r="O64" i="5"/>
  <c r="L64" i="5"/>
  <c r="F64" i="5"/>
  <c r="M97" i="5"/>
  <c r="G64" i="5"/>
  <c r="F97" i="5"/>
  <c r="K97" i="5"/>
  <c r="AA43" i="3"/>
  <c r="K64" i="5"/>
  <c r="P64" i="5"/>
  <c r="O67" i="2"/>
  <c r="G67" i="2"/>
  <c r="N67" i="2"/>
  <c r="F67" i="2"/>
  <c r="M67" i="2"/>
  <c r="E67" i="2"/>
  <c r="L67" i="2"/>
  <c r="K67" i="2"/>
  <c r="J67" i="2"/>
  <c r="I67" i="2"/>
  <c r="P67" i="2"/>
  <c r="H67" i="2"/>
  <c r="J65" i="1"/>
  <c r="H126" i="2"/>
  <c r="I127" i="2"/>
  <c r="G65" i="1"/>
  <c r="AQ65" i="1" s="1"/>
  <c r="K73" i="1" l="1"/>
  <c r="K26" i="15"/>
  <c r="L27" i="14"/>
  <c r="H19" i="15"/>
  <c r="J19" i="15"/>
  <c r="AE29" i="14"/>
  <c r="N30" i="14"/>
  <c r="N34" i="14"/>
  <c r="K68" i="1"/>
  <c r="AA34" i="14"/>
  <c r="J40" i="14"/>
  <c r="J35" i="14"/>
  <c r="C8" i="1"/>
  <c r="AN15" i="1"/>
  <c r="C15" i="1"/>
  <c r="AK12" i="1"/>
  <c r="P11" i="2"/>
  <c r="J10" i="1"/>
  <c r="L11" i="14" s="1"/>
  <c r="AH12" i="1"/>
  <c r="O11" i="2"/>
  <c r="O23" i="2" s="1"/>
  <c r="AH21" i="1" s="1"/>
  <c r="Y12" i="1"/>
  <c r="L11" i="2"/>
  <c r="P12" i="1"/>
  <c r="I11" i="2"/>
  <c r="I25" i="2" s="1"/>
  <c r="E11" i="2"/>
  <c r="G12" i="1"/>
  <c r="AQ12" i="1" s="1"/>
  <c r="F11" i="2"/>
  <c r="E4" i="6" s="1"/>
  <c r="AB12" i="1"/>
  <c r="M11" i="2"/>
  <c r="M25" i="2" s="1"/>
  <c r="V12" i="1"/>
  <c r="K11" i="2"/>
  <c r="S12" i="1"/>
  <c r="J11" i="2"/>
  <c r="J23" i="2" s="1"/>
  <c r="S21" i="1" s="1"/>
  <c r="M12" i="1"/>
  <c r="H11" i="2"/>
  <c r="H25" i="2" s="1"/>
  <c r="AE12" i="1"/>
  <c r="N11" i="2"/>
  <c r="N132" i="2" s="1"/>
  <c r="O121" i="2"/>
  <c r="O153" i="10"/>
  <c r="P153" i="10"/>
  <c r="E121" i="2"/>
  <c r="J121" i="2"/>
  <c r="L121" i="2"/>
  <c r="F28" i="2"/>
  <c r="G13" i="1"/>
  <c r="AQ13" i="1" s="1"/>
  <c r="F121" i="2"/>
  <c r="N121" i="2"/>
  <c r="N28" i="2"/>
  <c r="AE13" i="1"/>
  <c r="G16" i="1"/>
  <c r="N122" i="2"/>
  <c r="AE16" i="1"/>
  <c r="I121" i="2"/>
  <c r="R16" i="2"/>
  <c r="D14" i="1"/>
  <c r="AQ14" i="1" s="1"/>
  <c r="H121" i="2"/>
  <c r="K28" i="2"/>
  <c r="V13" i="1"/>
  <c r="R17" i="2"/>
  <c r="P121" i="2"/>
  <c r="P156" i="2"/>
  <c r="P157" i="2" s="1"/>
  <c r="O28" i="2"/>
  <c r="AH13" i="1"/>
  <c r="E28" i="2"/>
  <c r="D13" i="1"/>
  <c r="R15" i="2"/>
  <c r="K122" i="2"/>
  <c r="V16" i="1"/>
  <c r="L28" i="2"/>
  <c r="Y13" i="1"/>
  <c r="J28" i="2"/>
  <c r="S13" i="1"/>
  <c r="M13" i="1"/>
  <c r="H28" i="2"/>
  <c r="I28" i="2"/>
  <c r="P13" i="1"/>
  <c r="D16" i="1"/>
  <c r="R18" i="2"/>
  <c r="K121" i="2"/>
  <c r="R7" i="2"/>
  <c r="M16" i="1"/>
  <c r="D17" i="1"/>
  <c r="AQ17" i="1" s="1"/>
  <c r="R19" i="2"/>
  <c r="P28" i="2"/>
  <c r="AK13" i="1"/>
  <c r="M122" i="2"/>
  <c r="AB16" i="1"/>
  <c r="J122" i="2"/>
  <c r="S16" i="1"/>
  <c r="I122" i="2"/>
  <c r="P16" i="1"/>
  <c r="R27" i="2"/>
  <c r="M121" i="2"/>
  <c r="O122" i="2"/>
  <c r="AH16" i="1"/>
  <c r="P122" i="2"/>
  <c r="AK16" i="1"/>
  <c r="R14" i="2"/>
  <c r="D12" i="1"/>
  <c r="M28" i="2"/>
  <c r="AB13" i="1"/>
  <c r="L122" i="2"/>
  <c r="Y16" i="1"/>
  <c r="F71" i="2"/>
  <c r="G24" i="2"/>
  <c r="J22" i="1" s="1"/>
  <c r="G133" i="2"/>
  <c r="AA10" i="3"/>
  <c r="AC43" i="3"/>
  <c r="AA66" i="3"/>
  <c r="AC66" i="3" s="1"/>
  <c r="AA11" i="3"/>
  <c r="AC11" i="3" s="1"/>
  <c r="AA55" i="3"/>
  <c r="AC55" i="3" s="1"/>
  <c r="AA54" i="3"/>
  <c r="AC54" i="3" s="1"/>
  <c r="AA56" i="3"/>
  <c r="AC56" i="3" s="1"/>
  <c r="AA19" i="3"/>
  <c r="AC19" i="3" s="1"/>
  <c r="AA86" i="3"/>
  <c r="AC86" i="3" s="1"/>
  <c r="AA47" i="3"/>
  <c r="AC47" i="3" s="1"/>
  <c r="AA20" i="3"/>
  <c r="AC20" i="3" s="1"/>
  <c r="AA64" i="3"/>
  <c r="AC64" i="3" s="1"/>
  <c r="N71" i="2"/>
  <c r="AA58" i="3"/>
  <c r="AC58" i="3" s="1"/>
  <c r="AA6" i="3"/>
  <c r="AC6" i="3" s="1"/>
  <c r="G132" i="2"/>
  <c r="G131" i="2"/>
  <c r="G156" i="2"/>
  <c r="G157" i="2" s="1"/>
  <c r="F4" i="6"/>
  <c r="G23" i="2"/>
  <c r="J21" i="1" s="1"/>
  <c r="G22" i="2"/>
  <c r="G25" i="2"/>
  <c r="G71" i="2"/>
  <c r="J71" i="2"/>
  <c r="O71" i="2"/>
  <c r="K71" i="2"/>
  <c r="H71" i="2"/>
  <c r="L71" i="2"/>
  <c r="P71" i="2"/>
  <c r="R59" i="2"/>
  <c r="E71" i="2"/>
  <c r="I71" i="2"/>
  <c r="M71" i="2"/>
  <c r="P90" i="3"/>
  <c r="I58" i="9"/>
  <c r="J56" i="9"/>
  <c r="J58" i="9" s="1"/>
  <c r="AA76" i="3"/>
  <c r="AA26" i="3"/>
  <c r="AA68" i="3"/>
  <c r="AC68" i="3" s="1"/>
  <c r="AA57" i="3"/>
  <c r="AC57" i="3" s="1"/>
  <c r="J127" i="2"/>
  <c r="I126" i="2"/>
  <c r="M65" i="1"/>
  <c r="R67" i="2"/>
  <c r="AQ16" i="1" l="1"/>
  <c r="J96" i="1"/>
  <c r="L9" i="14"/>
  <c r="T9" i="14" s="1"/>
  <c r="T11" i="14"/>
  <c r="T27" i="14"/>
  <c r="AE30" i="14"/>
  <c r="AE34" i="14"/>
  <c r="N40" i="14"/>
  <c r="N35" i="14"/>
  <c r="J41" i="14"/>
  <c r="AA40" i="14"/>
  <c r="G10" i="1"/>
  <c r="H11" i="14" s="1"/>
  <c r="Y10" i="1"/>
  <c r="AE10" i="1"/>
  <c r="C13" i="1"/>
  <c r="AN13" i="1"/>
  <c r="AN17" i="1"/>
  <c r="C17" i="1"/>
  <c r="C14" i="1"/>
  <c r="AN14" i="1"/>
  <c r="AN16" i="1"/>
  <c r="C16" i="1"/>
  <c r="C12" i="1"/>
  <c r="AN12" i="1"/>
  <c r="O120" i="2"/>
  <c r="AH59" i="1" s="1"/>
  <c r="P10" i="1"/>
  <c r="M10" i="1"/>
  <c r="S10" i="1"/>
  <c r="AH10" i="1"/>
  <c r="AH96" i="1" s="1"/>
  <c r="V10" i="1"/>
  <c r="V96" i="1" s="1"/>
  <c r="D10" i="1"/>
  <c r="AB10" i="1"/>
  <c r="AK10" i="1"/>
  <c r="AK96" i="1" s="1"/>
  <c r="F23" i="2"/>
  <c r="G21" i="1" s="1"/>
  <c r="L25" i="2"/>
  <c r="N24" i="2"/>
  <c r="AE22" i="1" s="1"/>
  <c r="F25" i="2"/>
  <c r="L132" i="2"/>
  <c r="H22" i="2"/>
  <c r="M20" i="1" s="1"/>
  <c r="J131" i="2"/>
  <c r="L156" i="2"/>
  <c r="L157" i="2" s="1"/>
  <c r="L158" i="2" s="1"/>
  <c r="L26" i="2" s="1"/>
  <c r="K23" i="2"/>
  <c r="V21" i="1" s="1"/>
  <c r="E120" i="2"/>
  <c r="D27" i="14" s="1"/>
  <c r="L24" i="2"/>
  <c r="Y22" i="1" s="1"/>
  <c r="H131" i="2"/>
  <c r="I4" i="6"/>
  <c r="I5" i="6" s="1"/>
  <c r="J69" i="2" s="1"/>
  <c r="J68" i="2" s="1"/>
  <c r="J132" i="2"/>
  <c r="H156" i="2"/>
  <c r="H157" i="2" s="1"/>
  <c r="H158" i="2" s="1"/>
  <c r="H26" i="2" s="1"/>
  <c r="K24" i="2"/>
  <c r="V22" i="1" s="1"/>
  <c r="J133" i="2"/>
  <c r="H24" i="2"/>
  <c r="M22" i="1" s="1"/>
  <c r="K131" i="2"/>
  <c r="H132" i="2"/>
  <c r="J25" i="2"/>
  <c r="O132" i="2"/>
  <c r="J156" i="2"/>
  <c r="J157" i="2" s="1"/>
  <c r="J158" i="2" s="1"/>
  <c r="J26" i="2" s="1"/>
  <c r="G4" i="6"/>
  <c r="K132" i="2"/>
  <c r="J24" i="2"/>
  <c r="S22" i="1" s="1"/>
  <c r="O131" i="2"/>
  <c r="N23" i="2"/>
  <c r="AE21" i="1" s="1"/>
  <c r="F131" i="2"/>
  <c r="O25" i="2"/>
  <c r="K4" i="6"/>
  <c r="L131" i="2"/>
  <c r="N131" i="2"/>
  <c r="H133" i="2"/>
  <c r="H23" i="2"/>
  <c r="M21" i="1" s="1"/>
  <c r="O24" i="2"/>
  <c r="AH22" i="1" s="1"/>
  <c r="K22" i="2"/>
  <c r="J22" i="2"/>
  <c r="S20" i="1" s="1"/>
  <c r="N22" i="2"/>
  <c r="AE20" i="1" s="1"/>
  <c r="O22" i="2"/>
  <c r="AH20" i="1" s="1"/>
  <c r="O133" i="2"/>
  <c r="N156" i="2"/>
  <c r="N157" i="2" s="1"/>
  <c r="N158" i="2" s="1"/>
  <c r="N26" i="2" s="1"/>
  <c r="F132" i="2"/>
  <c r="L23" i="2"/>
  <c r="Y21" i="1" s="1"/>
  <c r="O156" i="2"/>
  <c r="O157" i="2" s="1"/>
  <c r="O158" i="2" s="1"/>
  <c r="O26" i="2" s="1"/>
  <c r="J4" i="6"/>
  <c r="L22" i="2"/>
  <c r="Y20" i="1" s="1"/>
  <c r="N4" i="6"/>
  <c r="M4" i="6"/>
  <c r="N25" i="2"/>
  <c r="F120" i="2"/>
  <c r="I23" i="2"/>
  <c r="P21" i="1" s="1"/>
  <c r="F133" i="2"/>
  <c r="P133" i="2"/>
  <c r="N133" i="2"/>
  <c r="I156" i="2"/>
  <c r="I157" i="2" s="1"/>
  <c r="I158" i="2" s="1"/>
  <c r="I26" i="2" s="1"/>
  <c r="P22" i="2"/>
  <c r="AK20" i="1" s="1"/>
  <c r="P25" i="2"/>
  <c r="M133" i="2"/>
  <c r="P24" i="2"/>
  <c r="AK22" i="1" s="1"/>
  <c r="P132" i="2"/>
  <c r="L133" i="2"/>
  <c r="D8" i="14"/>
  <c r="P8" i="14" s="1"/>
  <c r="AN7" i="1"/>
  <c r="AQ7" i="1" s="1"/>
  <c r="Q153" i="10"/>
  <c r="N120" i="2"/>
  <c r="AE59" i="1" s="1"/>
  <c r="R121" i="2"/>
  <c r="M23" i="2"/>
  <c r="AB21" i="1" s="1"/>
  <c r="F24" i="2"/>
  <c r="G22" i="1" s="1"/>
  <c r="L4" i="6"/>
  <c r="M132" i="2"/>
  <c r="I120" i="2"/>
  <c r="P59" i="1" s="1"/>
  <c r="F156" i="2"/>
  <c r="F157" i="2" s="1"/>
  <c r="F158" i="2" s="1"/>
  <c r="F26" i="2" s="1"/>
  <c r="M131" i="2"/>
  <c r="H4" i="6"/>
  <c r="M24" i="2"/>
  <c r="AB22" i="1" s="1"/>
  <c r="M22" i="2"/>
  <c r="AB20" i="1" s="1"/>
  <c r="F22" i="2"/>
  <c r="G20" i="1" s="1"/>
  <c r="L120" i="2"/>
  <c r="Y59" i="1" s="1"/>
  <c r="H120" i="2"/>
  <c r="M59" i="1" s="1"/>
  <c r="M156" i="2"/>
  <c r="M157" i="2" s="1"/>
  <c r="M158" i="2" s="1"/>
  <c r="M26" i="2" s="1"/>
  <c r="I22" i="2"/>
  <c r="P20" i="1" s="1"/>
  <c r="M120" i="2"/>
  <c r="AB59" i="1" s="1"/>
  <c r="J120" i="2"/>
  <c r="S59" i="1" s="1"/>
  <c r="I131" i="2"/>
  <c r="K120" i="2"/>
  <c r="V59" i="1" s="1"/>
  <c r="O4" i="6"/>
  <c r="G92" i="2"/>
  <c r="P131" i="2"/>
  <c r="P23" i="2"/>
  <c r="AK21" i="1" s="1"/>
  <c r="I132" i="2"/>
  <c r="K156" i="2"/>
  <c r="K157" i="2" s="1"/>
  <c r="K158" i="2" s="1"/>
  <c r="K26" i="2" s="1"/>
  <c r="P120" i="2"/>
  <c r="AK59" i="1" s="1"/>
  <c r="I24" i="2"/>
  <c r="P22" i="1" s="1"/>
  <c r="K25" i="2"/>
  <c r="R28" i="2"/>
  <c r="I133" i="2"/>
  <c r="K133" i="2"/>
  <c r="R122" i="2"/>
  <c r="P158" i="2"/>
  <c r="P26" i="2" s="1"/>
  <c r="G158" i="2"/>
  <c r="G26" i="2" s="1"/>
  <c r="G89" i="2"/>
  <c r="G94" i="2"/>
  <c r="G106" i="2"/>
  <c r="G98" i="2"/>
  <c r="G112" i="2"/>
  <c r="G107" i="2"/>
  <c r="G117" i="2"/>
  <c r="G116" i="2" s="1"/>
  <c r="J58" i="1" s="1"/>
  <c r="J49" i="1"/>
  <c r="L53" i="2"/>
  <c r="H53" i="2"/>
  <c r="G53" i="2"/>
  <c r="K53" i="2"/>
  <c r="N53" i="2"/>
  <c r="E53" i="2"/>
  <c r="J53" i="2"/>
  <c r="O53" i="2"/>
  <c r="I53" i="2"/>
  <c r="P53" i="2"/>
  <c r="M53" i="2"/>
  <c r="R93" i="2"/>
  <c r="R90" i="2"/>
  <c r="R91" i="2"/>
  <c r="R99" i="2"/>
  <c r="G66" i="2"/>
  <c r="F5" i="6"/>
  <c r="G69" i="2" s="1"/>
  <c r="G68" i="2" s="1"/>
  <c r="E5" i="6"/>
  <c r="F69" i="2" s="1"/>
  <c r="F68" i="2" s="1"/>
  <c r="AC10" i="3"/>
  <c r="D97" i="3" s="1"/>
  <c r="AC76" i="3"/>
  <c r="AC26" i="3"/>
  <c r="AA18" i="3"/>
  <c r="G96" i="2"/>
  <c r="G48" i="2"/>
  <c r="G130" i="2"/>
  <c r="J69" i="1" s="1"/>
  <c r="L36" i="14" s="1"/>
  <c r="J20" i="1"/>
  <c r="J19" i="1" s="1"/>
  <c r="AA77" i="3"/>
  <c r="AA87" i="3"/>
  <c r="AA69" i="3"/>
  <c r="AC69" i="3" s="1"/>
  <c r="AA23" i="3"/>
  <c r="AA78" i="3"/>
  <c r="AA60" i="3"/>
  <c r="AA46" i="3"/>
  <c r="R71" i="2"/>
  <c r="AC5" i="3"/>
  <c r="Q90" i="3"/>
  <c r="R90" i="3"/>
  <c r="P65" i="1"/>
  <c r="J126" i="2"/>
  <c r="K127" i="2"/>
  <c r="L26" i="14" l="1"/>
  <c r="L20" i="14"/>
  <c r="J24" i="1"/>
  <c r="L13" i="14"/>
  <c r="T36" i="14"/>
  <c r="H20" i="15"/>
  <c r="J20" i="15"/>
  <c r="AE35" i="14"/>
  <c r="N41" i="14"/>
  <c r="AE40" i="14"/>
  <c r="R11" i="14"/>
  <c r="H9" i="14"/>
  <c r="R9" i="14" s="1"/>
  <c r="C59" i="1"/>
  <c r="C10" i="1"/>
  <c r="P27" i="14"/>
  <c r="N130" i="2"/>
  <c r="AE69" i="1" s="1"/>
  <c r="K107" i="2"/>
  <c r="N48" i="2"/>
  <c r="J98" i="2"/>
  <c r="K117" i="2"/>
  <c r="K116" i="2" s="1"/>
  <c r="V58" i="1" s="1"/>
  <c r="G5" i="6"/>
  <c r="H69" i="2" s="1"/>
  <c r="H68" i="2" s="1"/>
  <c r="J66" i="2"/>
  <c r="L5" i="6"/>
  <c r="M69" i="2" s="1"/>
  <c r="M68" i="2" s="1"/>
  <c r="K5" i="6"/>
  <c r="L69" i="2" s="1"/>
  <c r="L68" i="2" s="1"/>
  <c r="O48" i="2"/>
  <c r="H5" i="6"/>
  <c r="I69" i="2" s="1"/>
  <c r="I68" i="2" s="1"/>
  <c r="N5" i="6"/>
  <c r="O69" i="2" s="1"/>
  <c r="O68" i="2" s="1"/>
  <c r="O107" i="2"/>
  <c r="O5" i="6"/>
  <c r="P69" i="2" s="1"/>
  <c r="P68" i="2" s="1"/>
  <c r="O66" i="2"/>
  <c r="O106" i="2"/>
  <c r="L89" i="2"/>
  <c r="N89" i="2"/>
  <c r="N112" i="2"/>
  <c r="N106" i="2"/>
  <c r="J130" i="2"/>
  <c r="S69" i="1" s="1"/>
  <c r="L92" i="2"/>
  <c r="K94" i="2"/>
  <c r="K106" i="2"/>
  <c r="F130" i="2"/>
  <c r="G69" i="1" s="1"/>
  <c r="K96" i="2"/>
  <c r="AE19" i="1"/>
  <c r="AE24" i="1" s="1"/>
  <c r="BE52" i="1" s="1"/>
  <c r="V20" i="1"/>
  <c r="V19" i="1" s="1"/>
  <c r="V24" i="1" s="1"/>
  <c r="BB21" i="1" s="1"/>
  <c r="J5" i="6"/>
  <c r="K69" i="2" s="1"/>
  <c r="K68" i="2" s="1"/>
  <c r="D49" i="1"/>
  <c r="J94" i="2"/>
  <c r="P92" i="2"/>
  <c r="K89" i="2"/>
  <c r="K130" i="2"/>
  <c r="V69" i="1" s="1"/>
  <c r="H130" i="2"/>
  <c r="M69" i="1" s="1"/>
  <c r="K48" i="2"/>
  <c r="H112" i="2"/>
  <c r="K98" i="2"/>
  <c r="J117" i="2"/>
  <c r="J116" i="2" s="1"/>
  <c r="S58" i="1" s="1"/>
  <c r="P130" i="2"/>
  <c r="AK69" i="1" s="1"/>
  <c r="S19" i="1"/>
  <c r="S24" i="1" s="1"/>
  <c r="BA59" i="1" s="1"/>
  <c r="M130" i="2"/>
  <c r="AB69" i="1" s="1"/>
  <c r="H48" i="2"/>
  <c r="H89" i="2"/>
  <c r="K112" i="2"/>
  <c r="AH19" i="1"/>
  <c r="AH24" i="1" s="1"/>
  <c r="BF66" i="1" s="1"/>
  <c r="H96" i="2"/>
  <c r="M48" i="2"/>
  <c r="H66" i="2"/>
  <c r="J92" i="2"/>
  <c r="J107" i="2"/>
  <c r="I106" i="2"/>
  <c r="O117" i="2"/>
  <c r="O116" i="2" s="1"/>
  <c r="AH58" i="1" s="1"/>
  <c r="O130" i="2"/>
  <c r="AH69" i="1" s="1"/>
  <c r="F48" i="2"/>
  <c r="R120" i="2"/>
  <c r="M19" i="1"/>
  <c r="M24" i="1" s="1"/>
  <c r="J48" i="2"/>
  <c r="L98" i="2"/>
  <c r="S49" i="1"/>
  <c r="AE49" i="1"/>
  <c r="N117" i="2"/>
  <c r="N116" i="2" s="1"/>
  <c r="AE58" i="1" s="1"/>
  <c r="H92" i="2"/>
  <c r="L130" i="2"/>
  <c r="Y69" i="1" s="1"/>
  <c r="O112" i="2"/>
  <c r="L106" i="2"/>
  <c r="L94" i="2"/>
  <c r="N94" i="2"/>
  <c r="Y19" i="1"/>
  <c r="Y24" i="1" s="1"/>
  <c r="BC66" i="1" s="1"/>
  <c r="M96" i="2"/>
  <c r="L66" i="2"/>
  <c r="M107" i="2"/>
  <c r="M112" i="2"/>
  <c r="H106" i="2"/>
  <c r="O98" i="2"/>
  <c r="M49" i="1"/>
  <c r="BN49" i="1" s="1"/>
  <c r="V11" i="15" s="1"/>
  <c r="H107" i="2"/>
  <c r="J112" i="2"/>
  <c r="O96" i="2"/>
  <c r="J96" i="2"/>
  <c r="M66" i="2"/>
  <c r="AB49" i="1"/>
  <c r="H98" i="2"/>
  <c r="O92" i="2"/>
  <c r="J106" i="2"/>
  <c r="Y49" i="1"/>
  <c r="O94" i="2"/>
  <c r="L48" i="2"/>
  <c r="K66" i="2"/>
  <c r="N96" i="2"/>
  <c r="AH49" i="1"/>
  <c r="N92" i="2"/>
  <c r="H117" i="2"/>
  <c r="H116" i="2" s="1"/>
  <c r="M58" i="1" s="1"/>
  <c r="BN58" i="1" s="1"/>
  <c r="V16" i="15" s="1"/>
  <c r="N107" i="2"/>
  <c r="J89" i="2"/>
  <c r="K92" i="2"/>
  <c r="L107" i="2"/>
  <c r="L96" i="2"/>
  <c r="N66" i="2"/>
  <c r="L117" i="2"/>
  <c r="L116" i="2" s="1"/>
  <c r="Y58" i="1" s="1"/>
  <c r="H94" i="2"/>
  <c r="L112" i="2"/>
  <c r="N98" i="2"/>
  <c r="O89" i="2"/>
  <c r="V49" i="1"/>
  <c r="F96" i="2"/>
  <c r="M5" i="6"/>
  <c r="N69" i="2" s="1"/>
  <c r="N68" i="2" s="1"/>
  <c r="F112" i="2"/>
  <c r="F98" i="2"/>
  <c r="F107" i="2"/>
  <c r="I89" i="2"/>
  <c r="I96" i="2"/>
  <c r="F66" i="2"/>
  <c r="F94" i="2"/>
  <c r="M98" i="2"/>
  <c r="M94" i="2"/>
  <c r="M96" i="1"/>
  <c r="AN10" i="1"/>
  <c r="AN8" i="1" s="1"/>
  <c r="AN59" i="1"/>
  <c r="P19" i="1"/>
  <c r="P24" i="1" s="1"/>
  <c r="D11" i="14"/>
  <c r="Y96" i="1"/>
  <c r="AB19" i="1"/>
  <c r="AB24" i="1" s="1"/>
  <c r="BD60" i="1" s="1"/>
  <c r="R153" i="10"/>
  <c r="M117" i="2"/>
  <c r="M116" i="2" s="1"/>
  <c r="AB58" i="1" s="1"/>
  <c r="F106" i="2"/>
  <c r="M106" i="2"/>
  <c r="F89" i="2"/>
  <c r="M92" i="2"/>
  <c r="I66" i="2"/>
  <c r="F92" i="2"/>
  <c r="M89" i="2"/>
  <c r="G49" i="1"/>
  <c r="F117" i="2"/>
  <c r="F116" i="2" s="1"/>
  <c r="G58" i="1" s="1"/>
  <c r="I130" i="2"/>
  <c r="P69" i="1" s="1"/>
  <c r="I92" i="2"/>
  <c r="I48" i="2"/>
  <c r="I94" i="2"/>
  <c r="I117" i="2"/>
  <c r="I116" i="2" s="1"/>
  <c r="P58" i="1" s="1"/>
  <c r="P89" i="2"/>
  <c r="P96" i="2"/>
  <c r="AK49" i="1"/>
  <c r="P66" i="2"/>
  <c r="P94" i="2"/>
  <c r="P117" i="2"/>
  <c r="P116" i="2" s="1"/>
  <c r="AK58" i="1" s="1"/>
  <c r="P48" i="2"/>
  <c r="P107" i="2"/>
  <c r="P112" i="2"/>
  <c r="AK19" i="1"/>
  <c r="AK24" i="1" s="1"/>
  <c r="BG52" i="1" s="1"/>
  <c r="P98" i="2"/>
  <c r="P106" i="2"/>
  <c r="J21" i="2"/>
  <c r="G96" i="1"/>
  <c r="D96" i="1"/>
  <c r="AE96" i="1"/>
  <c r="AB96" i="1"/>
  <c r="P49" i="1"/>
  <c r="I98" i="2"/>
  <c r="P96" i="1"/>
  <c r="I107" i="2"/>
  <c r="S96" i="1"/>
  <c r="I112" i="2"/>
  <c r="I21" i="2"/>
  <c r="M21" i="2"/>
  <c r="P21" i="2"/>
  <c r="L21" i="2"/>
  <c r="F21" i="2"/>
  <c r="H21" i="2"/>
  <c r="G21" i="2"/>
  <c r="K21" i="2"/>
  <c r="O21" i="2"/>
  <c r="N21" i="2"/>
  <c r="G19" i="1"/>
  <c r="G102" i="2"/>
  <c r="J57" i="1" s="1"/>
  <c r="G7" i="6"/>
  <c r="E7" i="6"/>
  <c r="I9" i="6"/>
  <c r="I18" i="6" s="1"/>
  <c r="F7" i="6"/>
  <c r="R65" i="2"/>
  <c r="I10" i="6"/>
  <c r="I7" i="6"/>
  <c r="E9" i="6"/>
  <c r="E10" i="6"/>
  <c r="E19" i="6" s="1"/>
  <c r="F9" i="6"/>
  <c r="F18" i="6" s="1"/>
  <c r="F10" i="6"/>
  <c r="F19" i="6" s="1"/>
  <c r="AC77" i="3"/>
  <c r="AC18" i="3"/>
  <c r="AC46" i="3"/>
  <c r="D94" i="3" s="1"/>
  <c r="AC60" i="3"/>
  <c r="AC78" i="3"/>
  <c r="D96" i="3" s="1"/>
  <c r="AC23" i="3"/>
  <c r="D98" i="3" s="1"/>
  <c r="AC87" i="3"/>
  <c r="D92" i="3" s="1"/>
  <c r="AA90" i="3"/>
  <c r="L127" i="2"/>
  <c r="K126" i="2"/>
  <c r="S65" i="1"/>
  <c r="AX20" i="1" l="1"/>
  <c r="BO47" i="1"/>
  <c r="J24" i="15"/>
  <c r="BO45" i="1"/>
  <c r="BO46" i="1"/>
  <c r="AY20" i="1"/>
  <c r="V24" i="15"/>
  <c r="BN47" i="1"/>
  <c r="BN46" i="1"/>
  <c r="BN45" i="1"/>
  <c r="BN52" i="1"/>
  <c r="V14" i="15" s="1"/>
  <c r="BN50" i="1"/>
  <c r="V12" i="15" s="1"/>
  <c r="BN59" i="1"/>
  <c r="V17" i="15" s="1"/>
  <c r="AX70" i="1"/>
  <c r="AX22" i="1"/>
  <c r="AX69" i="1"/>
  <c r="AX49" i="1"/>
  <c r="AX58" i="1"/>
  <c r="AX66" i="1"/>
  <c r="AX52" i="1"/>
  <c r="AX59" i="1"/>
  <c r="AX65" i="1"/>
  <c r="J97" i="1"/>
  <c r="AX21" i="1"/>
  <c r="AX60" i="1"/>
  <c r="H26" i="14"/>
  <c r="R26" i="14" s="1"/>
  <c r="H13" i="14"/>
  <c r="R13" i="14" s="1"/>
  <c r="H20" i="14"/>
  <c r="R20" i="14" s="1"/>
  <c r="AQ49" i="1"/>
  <c r="H36" i="14"/>
  <c r="R36" i="14" s="1"/>
  <c r="T13" i="14"/>
  <c r="L15" i="14"/>
  <c r="AC26" i="14" s="1"/>
  <c r="BM46" i="1"/>
  <c r="BM45" i="1"/>
  <c r="BM47" i="1"/>
  <c r="BL52" i="1"/>
  <c r="J14" i="15" s="1"/>
  <c r="BL50" i="1"/>
  <c r="J12" i="15" s="1"/>
  <c r="BL59" i="1"/>
  <c r="J17" i="15" s="1"/>
  <c r="T20" i="14"/>
  <c r="BL49" i="1"/>
  <c r="J11" i="15" s="1"/>
  <c r="AX57" i="1"/>
  <c r="BL57" i="1"/>
  <c r="J15" i="15" s="1"/>
  <c r="L25" i="14"/>
  <c r="BL58" i="1"/>
  <c r="J16" i="15" s="1"/>
  <c r="T26" i="14"/>
  <c r="C71" i="1"/>
  <c r="D20" i="14"/>
  <c r="C49" i="1"/>
  <c r="L9" i="6"/>
  <c r="L18" i="6" s="1"/>
  <c r="L7" i="6"/>
  <c r="K7" i="6"/>
  <c r="G10" i="6"/>
  <c r="G19" i="6" s="1"/>
  <c r="G9" i="6"/>
  <c r="G18" i="6" s="1"/>
  <c r="H9" i="6"/>
  <c r="H18" i="6" s="1"/>
  <c r="L10" i="6"/>
  <c r="L19" i="6" s="1"/>
  <c r="J7" i="6"/>
  <c r="J10" i="6"/>
  <c r="J19" i="6" s="1"/>
  <c r="J9" i="6"/>
  <c r="J18" i="6" s="1"/>
  <c r="O7" i="6"/>
  <c r="N10" i="6"/>
  <c r="N19" i="6" s="1"/>
  <c r="N9" i="6"/>
  <c r="H7" i="6"/>
  <c r="N7" i="6"/>
  <c r="K10" i="6"/>
  <c r="K19" i="6" s="1"/>
  <c r="H10" i="6"/>
  <c r="H19" i="6" s="1"/>
  <c r="K9" i="6"/>
  <c r="K18" i="6" s="1"/>
  <c r="O10" i="6"/>
  <c r="O19" i="6" s="1"/>
  <c r="O9" i="6"/>
  <c r="O18" i="6" s="1"/>
  <c r="H102" i="2"/>
  <c r="M57" i="1" s="1"/>
  <c r="M9" i="6"/>
  <c r="M18" i="6" s="1"/>
  <c r="AN49" i="1"/>
  <c r="M10" i="6"/>
  <c r="M19" i="6" s="1"/>
  <c r="M7" i="6"/>
  <c r="BB69" i="1"/>
  <c r="AQ10" i="1"/>
  <c r="AY22" i="1"/>
  <c r="BB58" i="1"/>
  <c r="AN71" i="1"/>
  <c r="AY70" i="1"/>
  <c r="AY52" i="1"/>
  <c r="AY71" i="1"/>
  <c r="AY66" i="1"/>
  <c r="AY49" i="1"/>
  <c r="AY65" i="1"/>
  <c r="AY59" i="1"/>
  <c r="AY58" i="1"/>
  <c r="BB22" i="1"/>
  <c r="AY69" i="1"/>
  <c r="M97" i="1"/>
  <c r="AY60" i="1"/>
  <c r="AY21" i="1"/>
  <c r="BE70" i="1"/>
  <c r="AZ52" i="1"/>
  <c r="AZ65" i="1"/>
  <c r="AZ66" i="1"/>
  <c r="AZ69" i="1"/>
  <c r="BB70" i="1"/>
  <c r="BB49" i="1"/>
  <c r="Y97" i="1"/>
  <c r="BC58" i="1"/>
  <c r="AZ70" i="1"/>
  <c r="BC70" i="1"/>
  <c r="AZ49" i="1"/>
  <c r="BE58" i="1"/>
  <c r="BE22" i="1"/>
  <c r="BE60" i="1"/>
  <c r="BG22" i="1"/>
  <c r="AE97" i="1"/>
  <c r="BC22" i="1"/>
  <c r="BC69" i="1"/>
  <c r="BC20" i="1"/>
  <c r="BG70" i="1"/>
  <c r="BE66" i="1"/>
  <c r="BC21" i="1"/>
  <c r="BG49" i="1"/>
  <c r="BE49" i="1"/>
  <c r="BC49" i="1"/>
  <c r="BE20" i="1"/>
  <c r="BE59" i="1"/>
  <c r="BE69" i="1"/>
  <c r="BC59" i="1"/>
  <c r="BC60" i="1"/>
  <c r="BC52" i="1"/>
  <c r="BE21" i="1"/>
  <c r="BE71" i="1"/>
  <c r="BA65" i="1"/>
  <c r="BB71" i="1"/>
  <c r="BB20" i="1"/>
  <c r="BB52" i="1"/>
  <c r="BB66" i="1"/>
  <c r="BB59" i="1"/>
  <c r="V97" i="1"/>
  <c r="BB60" i="1"/>
  <c r="BC71" i="1"/>
  <c r="BF22" i="1"/>
  <c r="P11" i="14"/>
  <c r="D9" i="14"/>
  <c r="P9" i="14" s="1"/>
  <c r="BG66" i="1"/>
  <c r="BG58" i="1"/>
  <c r="BG69" i="1"/>
  <c r="BF58" i="1"/>
  <c r="BF20" i="1"/>
  <c r="BG59" i="1"/>
  <c r="BG71" i="1"/>
  <c r="BF70" i="1"/>
  <c r="BF69" i="1"/>
  <c r="AB97" i="1"/>
  <c r="BD22" i="1"/>
  <c r="BF49" i="1"/>
  <c r="BA66" i="1"/>
  <c r="BA22" i="1"/>
  <c r="BD52" i="1"/>
  <c r="BA60" i="1"/>
  <c r="BD58" i="1"/>
  <c r="BD70" i="1"/>
  <c r="BF71" i="1"/>
  <c r="BD59" i="1"/>
  <c r="BD20" i="1"/>
  <c r="BD49" i="1"/>
  <c r="BD21" i="1"/>
  <c r="BF59" i="1"/>
  <c r="BD66" i="1"/>
  <c r="BF52" i="1"/>
  <c r="BD69" i="1"/>
  <c r="BF21" i="1"/>
  <c r="BA70" i="1"/>
  <c r="AH97" i="1"/>
  <c r="AK97" i="1"/>
  <c r="BD71" i="1"/>
  <c r="BF60" i="1"/>
  <c r="BA20" i="1"/>
  <c r="AZ22" i="1"/>
  <c r="AZ60" i="1"/>
  <c r="AZ59" i="1"/>
  <c r="BA58" i="1"/>
  <c r="BA49" i="1"/>
  <c r="BA52" i="1"/>
  <c r="BA69" i="1"/>
  <c r="BA71" i="1"/>
  <c r="S97" i="1"/>
  <c r="BA21" i="1"/>
  <c r="P97" i="1"/>
  <c r="S153" i="10"/>
  <c r="BG20" i="1"/>
  <c r="F102" i="2"/>
  <c r="G57" i="1" s="1"/>
  <c r="R81" i="2"/>
  <c r="R80" i="2" s="1"/>
  <c r="AZ58" i="1"/>
  <c r="AZ21" i="1"/>
  <c r="AZ20" i="1"/>
  <c r="BG60" i="1"/>
  <c r="BG21" i="1"/>
  <c r="AZ71" i="1"/>
  <c r="C96" i="1"/>
  <c r="I102" i="2"/>
  <c r="P57" i="1" s="1"/>
  <c r="AZ57" i="1" s="1"/>
  <c r="AX71" i="1"/>
  <c r="J56" i="1"/>
  <c r="G24" i="1"/>
  <c r="D99" i="3"/>
  <c r="D93" i="3"/>
  <c r="AX67" i="1"/>
  <c r="G11" i="6"/>
  <c r="G20" i="6" s="1"/>
  <c r="H56" i="2" s="1"/>
  <c r="G12" i="6"/>
  <c r="G21" i="6" s="1"/>
  <c r="H55" i="2" s="1"/>
  <c r="L12" i="6"/>
  <c r="L21" i="6" s="1"/>
  <c r="M55" i="2" s="1"/>
  <c r="F11" i="6"/>
  <c r="F20" i="6" s="1"/>
  <c r="G56" i="2" s="1"/>
  <c r="E18" i="6"/>
  <c r="E11" i="6"/>
  <c r="N18" i="6"/>
  <c r="I11" i="6"/>
  <c r="I20" i="6" s="1"/>
  <c r="J56" i="2" s="1"/>
  <c r="I19" i="6"/>
  <c r="I12" i="6"/>
  <c r="I21" i="6" s="1"/>
  <c r="J55" i="2" s="1"/>
  <c r="E12" i="6"/>
  <c r="E21" i="6" s="1"/>
  <c r="F55" i="2" s="1"/>
  <c r="F12" i="6"/>
  <c r="F21" i="6" s="1"/>
  <c r="G55" i="2" s="1"/>
  <c r="AC90" i="3"/>
  <c r="V65" i="1"/>
  <c r="BB65" i="1" s="1"/>
  <c r="L126" i="2"/>
  <c r="M127" i="2"/>
  <c r="J102" i="2"/>
  <c r="S57" i="1" s="1"/>
  <c r="AX19" i="1" l="1"/>
  <c r="G24" i="15"/>
  <c r="M24" i="15" s="1"/>
  <c r="T24" i="15" s="1"/>
  <c r="BN40" i="1"/>
  <c r="BN42" i="1"/>
  <c r="BN41" i="1"/>
  <c r="BN31" i="1"/>
  <c r="BN34" i="1"/>
  <c r="BN35" i="1"/>
  <c r="BN38" i="1"/>
  <c r="BN32" i="1"/>
  <c r="BN29" i="1"/>
  <c r="BN37" i="1"/>
  <c r="BN39" i="1"/>
  <c r="BN30" i="1"/>
  <c r="BN33" i="1"/>
  <c r="BN36" i="1"/>
  <c r="AY57" i="1"/>
  <c r="BN57" i="1"/>
  <c r="V15" i="15" s="1"/>
  <c r="AX56" i="1"/>
  <c r="H15" i="14"/>
  <c r="Y37" i="14" s="1"/>
  <c r="AC20" i="14"/>
  <c r="AC25" i="14"/>
  <c r="L24" i="14"/>
  <c r="T25" i="14"/>
  <c r="BL38" i="1"/>
  <c r="BL30" i="1"/>
  <c r="BL47" i="1"/>
  <c r="BL37" i="1"/>
  <c r="BL29" i="1"/>
  <c r="BL39" i="1"/>
  <c r="BL46" i="1"/>
  <c r="BL36" i="1"/>
  <c r="BL45" i="1"/>
  <c r="BL35" i="1"/>
  <c r="BL32" i="1"/>
  <c r="BL42" i="1"/>
  <c r="BL34" i="1"/>
  <c r="BL41" i="1"/>
  <c r="BL33" i="1"/>
  <c r="BL40" i="1"/>
  <c r="BL31" i="1"/>
  <c r="AC33" i="14"/>
  <c r="AC32" i="14"/>
  <c r="AC31" i="14"/>
  <c r="AC38" i="14"/>
  <c r="AC37" i="14"/>
  <c r="AC28" i="14"/>
  <c r="AC23" i="14"/>
  <c r="AC21" i="14"/>
  <c r="T15" i="14"/>
  <c r="AC27" i="14"/>
  <c r="AC36" i="14"/>
  <c r="G56" i="1"/>
  <c r="H25" i="14"/>
  <c r="BJ58" i="1"/>
  <c r="G16" i="15" s="1"/>
  <c r="BJ52" i="1"/>
  <c r="G14" i="15" s="1"/>
  <c r="BJ57" i="1"/>
  <c r="G15" i="15" s="1"/>
  <c r="BJ44" i="1"/>
  <c r="G10" i="15" s="1"/>
  <c r="BJ50" i="1"/>
  <c r="G12" i="15" s="1"/>
  <c r="BJ59" i="1"/>
  <c r="G17" i="15" s="1"/>
  <c r="BJ45" i="1"/>
  <c r="BJ46" i="1"/>
  <c r="BJ47" i="1"/>
  <c r="BJ49" i="1"/>
  <c r="G11" i="15" s="1"/>
  <c r="R15" i="14"/>
  <c r="Y31" i="14"/>
  <c r="Y32" i="14"/>
  <c r="Y28" i="14"/>
  <c r="Y27" i="14"/>
  <c r="Y23" i="14"/>
  <c r="AQ8" i="1"/>
  <c r="AR10" i="1"/>
  <c r="K12" i="6"/>
  <c r="K21" i="6" s="1"/>
  <c r="L55" i="2" s="1"/>
  <c r="N12" i="6"/>
  <c r="N21" i="6" s="1"/>
  <c r="O55" i="2" s="1"/>
  <c r="N11" i="6"/>
  <c r="N20" i="6" s="1"/>
  <c r="O56" i="2" s="1"/>
  <c r="J11" i="6"/>
  <c r="J20" i="6" s="1"/>
  <c r="K56" i="2" s="1"/>
  <c r="H12" i="6"/>
  <c r="H21" i="6" s="1"/>
  <c r="I55" i="2" s="1"/>
  <c r="L11" i="6"/>
  <c r="L20" i="6" s="1"/>
  <c r="M56" i="2" s="1"/>
  <c r="J12" i="6"/>
  <c r="J21" i="6" s="1"/>
  <c r="K55" i="2" s="1"/>
  <c r="H11" i="6"/>
  <c r="H20" i="6" s="1"/>
  <c r="I56" i="2" s="1"/>
  <c r="K11" i="6"/>
  <c r="K20" i="6" s="1"/>
  <c r="L56" i="2" s="1"/>
  <c r="O11" i="6"/>
  <c r="O20" i="6" s="1"/>
  <c r="P56" i="2" s="1"/>
  <c r="O12" i="6"/>
  <c r="O21" i="6" s="1"/>
  <c r="P55" i="2" s="1"/>
  <c r="M56" i="1"/>
  <c r="M11" i="6"/>
  <c r="M20" i="6" s="1"/>
  <c r="N56" i="2" s="1"/>
  <c r="M12" i="6"/>
  <c r="M21" i="6" s="1"/>
  <c r="N55" i="2" s="1"/>
  <c r="AY67" i="1"/>
  <c r="AY19" i="1"/>
  <c r="BB19" i="1"/>
  <c r="AY56" i="1"/>
  <c r="AZ67" i="1"/>
  <c r="BE19" i="1"/>
  <c r="BA67" i="1"/>
  <c r="BC19" i="1"/>
  <c r="BB67" i="1"/>
  <c r="BF19" i="1"/>
  <c r="BG19" i="1"/>
  <c r="BA19" i="1"/>
  <c r="BD19" i="1"/>
  <c r="AZ19" i="1"/>
  <c r="T153" i="10"/>
  <c r="AZ56" i="1"/>
  <c r="P56" i="1"/>
  <c r="AW58" i="1"/>
  <c r="AW49" i="1"/>
  <c r="AW20" i="1"/>
  <c r="AW60" i="1"/>
  <c r="AW57" i="1"/>
  <c r="AW59" i="1"/>
  <c r="AW66" i="1"/>
  <c r="AW69" i="1"/>
  <c r="AW22" i="1"/>
  <c r="AW65" i="1"/>
  <c r="AW52" i="1"/>
  <c r="AW71" i="1"/>
  <c r="AW70" i="1"/>
  <c r="AW21" i="1"/>
  <c r="G97" i="1"/>
  <c r="D100" i="3"/>
  <c r="H14" i="6"/>
  <c r="H15" i="6" s="1"/>
  <c r="G23" i="6"/>
  <c r="G14" i="6"/>
  <c r="G15" i="6" s="1"/>
  <c r="F14" i="6"/>
  <c r="F15" i="6" s="1"/>
  <c r="F23" i="6"/>
  <c r="I23" i="6"/>
  <c r="I14" i="6"/>
  <c r="I15" i="6" s="1"/>
  <c r="L23" i="6"/>
  <c r="E20" i="6"/>
  <c r="E23" i="6" s="1"/>
  <c r="E14" i="6"/>
  <c r="S56" i="1"/>
  <c r="BA57" i="1"/>
  <c r="BA56" i="1" s="1"/>
  <c r="N127" i="2"/>
  <c r="M126" i="2"/>
  <c r="Y65" i="1"/>
  <c r="R54" i="2"/>
  <c r="R53" i="2"/>
  <c r="K102" i="2"/>
  <c r="V57" i="1" s="1"/>
  <c r="Y38" i="14" l="1"/>
  <c r="Y20" i="14"/>
  <c r="Y36" i="14"/>
  <c r="Y21" i="14"/>
  <c r="Y26" i="14"/>
  <c r="Y19" i="14"/>
  <c r="Y33" i="14"/>
  <c r="AC24" i="14"/>
  <c r="T24" i="14"/>
  <c r="H24" i="14"/>
  <c r="R25" i="14"/>
  <c r="Y25" i="14"/>
  <c r="K23" i="6"/>
  <c r="K14" i="6"/>
  <c r="K15" i="6" s="1"/>
  <c r="N23" i="6"/>
  <c r="N14" i="6"/>
  <c r="N15" i="6" s="1"/>
  <c r="H23" i="6"/>
  <c r="H25" i="6" s="1"/>
  <c r="L14" i="6"/>
  <c r="L15" i="6" s="1"/>
  <c r="J23" i="6"/>
  <c r="J14" i="6"/>
  <c r="J15" i="6" s="1"/>
  <c r="O14" i="6"/>
  <c r="O15" i="6" s="1"/>
  <c r="O23" i="6"/>
  <c r="M14" i="6"/>
  <c r="M15" i="6" s="1"/>
  <c r="AW56" i="1"/>
  <c r="AW19" i="1"/>
  <c r="AW67" i="1"/>
  <c r="M23" i="6"/>
  <c r="G25" i="6"/>
  <c r="F25" i="6"/>
  <c r="K25" i="6"/>
  <c r="L25" i="6"/>
  <c r="I25" i="6"/>
  <c r="E15" i="6"/>
  <c r="E25" i="6"/>
  <c r="F56" i="2"/>
  <c r="BB57" i="1"/>
  <c r="BB56" i="1" s="1"/>
  <c r="V56" i="1"/>
  <c r="AB65" i="1"/>
  <c r="BD65" i="1" s="1"/>
  <c r="BD67" i="1" s="1"/>
  <c r="L102" i="2"/>
  <c r="Y57" i="1" s="1"/>
  <c r="O127" i="2"/>
  <c r="N126" i="2"/>
  <c r="BC65" i="1"/>
  <c r="BC67" i="1" s="1"/>
  <c r="R24" i="14" l="1"/>
  <c r="Y24" i="14"/>
  <c r="N25" i="6"/>
  <c r="J25" i="6"/>
  <c r="O25" i="6"/>
  <c r="M25" i="6"/>
  <c r="M102" i="2"/>
  <c r="AB57" i="1" s="1"/>
  <c r="BC57" i="1"/>
  <c r="BC56" i="1" s="1"/>
  <c r="Y56" i="1"/>
  <c r="AE65" i="1"/>
  <c r="BE65" i="1" s="1"/>
  <c r="BE67" i="1" s="1"/>
  <c r="P127" i="2"/>
  <c r="P126" i="2" s="1"/>
  <c r="O126" i="2"/>
  <c r="AK65" i="1" l="1"/>
  <c r="N102" i="2"/>
  <c r="AE57" i="1" s="1"/>
  <c r="R127" i="2"/>
  <c r="R126" i="2" s="1"/>
  <c r="AH65" i="1"/>
  <c r="BF65" i="1" s="1"/>
  <c r="BF67" i="1" s="1"/>
  <c r="BD57" i="1"/>
  <c r="BD56" i="1" s="1"/>
  <c r="AB56" i="1"/>
  <c r="C65" i="1" l="1"/>
  <c r="AN65" i="1"/>
  <c r="R110" i="2"/>
  <c r="R105" i="2"/>
  <c r="R111" i="2"/>
  <c r="R109" i="2"/>
  <c r="O102" i="2"/>
  <c r="AH57" i="1" s="1"/>
  <c r="BE57" i="1"/>
  <c r="BE56" i="1" s="1"/>
  <c r="AE56" i="1"/>
  <c r="BG65" i="1"/>
  <c r="BG67" i="1" s="1"/>
  <c r="R87" i="2" l="1"/>
  <c r="P102" i="2"/>
  <c r="AK57" i="1" s="1"/>
  <c r="R103" i="2"/>
  <c r="BF57" i="1"/>
  <c r="BF56" i="1" s="1"/>
  <c r="AH56" i="1"/>
  <c r="BG57" i="1" l="1"/>
  <c r="BG56" i="1" s="1"/>
  <c r="AK56" i="1"/>
  <c r="P97" i="2" l="1"/>
  <c r="P86" i="2" s="1"/>
  <c r="O97" i="2"/>
  <c r="O86" i="2" s="1"/>
  <c r="N97" i="2"/>
  <c r="N86" i="2" s="1"/>
  <c r="M97" i="2"/>
  <c r="M86" i="2" s="1"/>
  <c r="L97" i="2"/>
  <c r="L86" i="2" s="1"/>
  <c r="K97" i="2"/>
  <c r="K86" i="2" s="1"/>
  <c r="J97" i="2"/>
  <c r="J86" i="2" s="1"/>
  <c r="I97" i="2"/>
  <c r="I86" i="2" s="1"/>
  <c r="H97" i="2"/>
  <c r="H86" i="2" s="1"/>
  <c r="F97" i="2"/>
  <c r="F86" i="2" s="1"/>
  <c r="G97" i="2"/>
  <c r="G86" i="2" s="1"/>
  <c r="H47" i="2" l="1"/>
  <c r="H49" i="2" s="1"/>
  <c r="O47" i="2"/>
  <c r="O49" i="2" s="1"/>
  <c r="G47" i="2"/>
  <c r="G49" i="2" s="1"/>
  <c r="M47" i="2"/>
  <c r="M49" i="2" s="1"/>
  <c r="F47" i="2"/>
  <c r="F49" i="2" s="1"/>
  <c r="F43" i="2" s="1"/>
  <c r="G40" i="1" s="1"/>
  <c r="P47" i="2"/>
  <c r="R47" i="2" s="1"/>
  <c r="I47" i="2"/>
  <c r="I49" i="2" s="1"/>
  <c r="J47" i="2"/>
  <c r="J49" i="2" s="1"/>
  <c r="J36" i="2" s="1"/>
  <c r="S33" i="1" s="1"/>
  <c r="BA33" i="1" s="1"/>
  <c r="L47" i="2"/>
  <c r="L49" i="2" s="1"/>
  <c r="K47" i="2"/>
  <c r="K49" i="2" s="1"/>
  <c r="N47" i="2"/>
  <c r="N49" i="2" s="1"/>
  <c r="AW40" i="1" l="1"/>
  <c r="BJ40" i="1"/>
  <c r="P49" i="2"/>
  <c r="P34" i="2" s="1"/>
  <c r="AK31" i="1" s="1"/>
  <c r="BG31" i="1" s="1"/>
  <c r="I41" i="2"/>
  <c r="P38" i="1" s="1"/>
  <c r="AZ38" i="1" s="1"/>
  <c r="I40" i="2"/>
  <c r="P37" i="1" s="1"/>
  <c r="AZ37" i="1" s="1"/>
  <c r="I38" i="2"/>
  <c r="P35" i="1" s="1"/>
  <c r="AZ35" i="1" s="1"/>
  <c r="O32" i="2"/>
  <c r="AH29" i="1" s="1"/>
  <c r="O44" i="2"/>
  <c r="AH41" i="1" s="1"/>
  <c r="BF41" i="1" s="1"/>
  <c r="O43" i="2"/>
  <c r="AH40" i="1" s="1"/>
  <c r="BF40" i="1" s="1"/>
  <c r="O38" i="2"/>
  <c r="AH35" i="1" s="1"/>
  <c r="BF35" i="1" s="1"/>
  <c r="K33" i="2"/>
  <c r="V30" i="1" s="1"/>
  <c r="BB30" i="1" s="1"/>
  <c r="K45" i="2"/>
  <c r="V42" i="1" s="1"/>
  <c r="BB42" i="1" s="1"/>
  <c r="J37" i="2"/>
  <c r="S34" i="1" s="1"/>
  <c r="BA34" i="1" s="1"/>
  <c r="J42" i="2"/>
  <c r="S39" i="1" s="1"/>
  <c r="BA39" i="1" s="1"/>
  <c r="L44" i="2"/>
  <c r="Y41" i="1" s="1"/>
  <c r="BC41" i="1" s="1"/>
  <c r="L37" i="2"/>
  <c r="Y34" i="1" s="1"/>
  <c r="BC34" i="1" s="1"/>
  <c r="L43" i="2"/>
  <c r="Y40" i="1" s="1"/>
  <c r="BC40" i="1" s="1"/>
  <c r="L45" i="2"/>
  <c r="Y42" i="1" s="1"/>
  <c r="BC42" i="1" s="1"/>
  <c r="L38" i="2"/>
  <c r="Y35" i="1" s="1"/>
  <c r="BC35" i="1" s="1"/>
  <c r="L42" i="2"/>
  <c r="Y39" i="1" s="1"/>
  <c r="BC39" i="1" s="1"/>
  <c r="L34" i="2"/>
  <c r="Y31" i="1" s="1"/>
  <c r="BC31" i="1" s="1"/>
  <c r="L41" i="2"/>
  <c r="Y38" i="1" s="1"/>
  <c r="BC38" i="1" s="1"/>
  <c r="L32" i="2"/>
  <c r="L36" i="2"/>
  <c r="Y33" i="1" s="1"/>
  <c r="BC33" i="1" s="1"/>
  <c r="L39" i="2"/>
  <c r="Y36" i="1" s="1"/>
  <c r="BC36" i="1" s="1"/>
  <c r="L40" i="2"/>
  <c r="Y37" i="1" s="1"/>
  <c r="BC37" i="1" s="1"/>
  <c r="L33" i="2"/>
  <c r="Y30" i="1" s="1"/>
  <c r="BC30" i="1" s="1"/>
  <c r="L35" i="2"/>
  <c r="Y32" i="1" s="1"/>
  <c r="BC32" i="1" s="1"/>
  <c r="N43" i="2"/>
  <c r="AE40" i="1" s="1"/>
  <c r="BE40" i="1" s="1"/>
  <c r="N38" i="2"/>
  <c r="AE35" i="1" s="1"/>
  <c r="BE35" i="1" s="1"/>
  <c r="N34" i="2"/>
  <c r="AE31" i="1" s="1"/>
  <c r="BE31" i="1" s="1"/>
  <c r="N33" i="2"/>
  <c r="AE30" i="1" s="1"/>
  <c r="BE30" i="1" s="1"/>
  <c r="N35" i="2"/>
  <c r="AE32" i="1" s="1"/>
  <c r="BE32" i="1" s="1"/>
  <c r="N44" i="2"/>
  <c r="AE41" i="1" s="1"/>
  <c r="BE41" i="1" s="1"/>
  <c r="N37" i="2"/>
  <c r="AE34" i="1" s="1"/>
  <c r="BE34" i="1" s="1"/>
  <c r="N36" i="2"/>
  <c r="AE33" i="1" s="1"/>
  <c r="BE33" i="1" s="1"/>
  <c r="N40" i="2"/>
  <c r="AE37" i="1" s="1"/>
  <c r="BE37" i="1" s="1"/>
  <c r="N32" i="2"/>
  <c r="N42" i="2"/>
  <c r="AE39" i="1" s="1"/>
  <c r="BE39" i="1" s="1"/>
  <c r="N45" i="2"/>
  <c r="AE42" i="1" s="1"/>
  <c r="BE42" i="1" s="1"/>
  <c r="N41" i="2"/>
  <c r="AE38" i="1" s="1"/>
  <c r="BE38" i="1" s="1"/>
  <c r="N39" i="2"/>
  <c r="AE36" i="1" s="1"/>
  <c r="BE36" i="1" s="1"/>
  <c r="G36" i="2"/>
  <c r="J33" i="1" s="1"/>
  <c r="AX33" i="1" s="1"/>
  <c r="G45" i="2"/>
  <c r="J42" i="1" s="1"/>
  <c r="AX42" i="1" s="1"/>
  <c r="G41" i="2"/>
  <c r="J38" i="1" s="1"/>
  <c r="AX38" i="1" s="1"/>
  <c r="G35" i="2"/>
  <c r="J32" i="1" s="1"/>
  <c r="AX32" i="1" s="1"/>
  <c r="G39" i="2"/>
  <c r="J36" i="1" s="1"/>
  <c r="AX36" i="1" s="1"/>
  <c r="G37" i="2"/>
  <c r="J34" i="1" s="1"/>
  <c r="AX34" i="1" s="1"/>
  <c r="G40" i="2"/>
  <c r="J37" i="1" s="1"/>
  <c r="AX37" i="1" s="1"/>
  <c r="G34" i="2"/>
  <c r="J31" i="1" s="1"/>
  <c r="AX31" i="1" s="1"/>
  <c r="G33" i="2"/>
  <c r="J30" i="1" s="1"/>
  <c r="AX30" i="1" s="1"/>
  <c r="G38" i="2"/>
  <c r="J35" i="1" s="1"/>
  <c r="AX35" i="1" s="1"/>
  <c r="G43" i="2"/>
  <c r="J40" i="1" s="1"/>
  <c r="AX40" i="1" s="1"/>
  <c r="G42" i="2"/>
  <c r="J39" i="1" s="1"/>
  <c r="AX39" i="1" s="1"/>
  <c r="G32" i="2"/>
  <c r="G44" i="2"/>
  <c r="J41" i="1" s="1"/>
  <c r="AX41" i="1" s="1"/>
  <c r="M41" i="2"/>
  <c r="AB38" i="1" s="1"/>
  <c r="BD38" i="1" s="1"/>
  <c r="M33" i="2"/>
  <c r="AB30" i="1" s="1"/>
  <c r="BD30" i="1" s="1"/>
  <c r="M42" i="2"/>
  <c r="AB39" i="1" s="1"/>
  <c r="BD39" i="1" s="1"/>
  <c r="M45" i="2"/>
  <c r="AB42" i="1" s="1"/>
  <c r="BD42" i="1" s="1"/>
  <c r="M34" i="2"/>
  <c r="AB31" i="1" s="1"/>
  <c r="BD31" i="1" s="1"/>
  <c r="M39" i="2"/>
  <c r="AB36" i="1" s="1"/>
  <c r="BD36" i="1" s="1"/>
  <c r="M35" i="2"/>
  <c r="AB32" i="1" s="1"/>
  <c r="BD32" i="1" s="1"/>
  <c r="M37" i="2"/>
  <c r="AB34" i="1" s="1"/>
  <c r="BD34" i="1" s="1"/>
  <c r="M32" i="2"/>
  <c r="M36" i="2"/>
  <c r="AB33" i="1" s="1"/>
  <c r="BD33" i="1" s="1"/>
  <c r="M43" i="2"/>
  <c r="AB40" i="1" s="1"/>
  <c r="BD40" i="1" s="1"/>
  <c r="M44" i="2"/>
  <c r="AB41" i="1" s="1"/>
  <c r="BD41" i="1" s="1"/>
  <c r="M38" i="2"/>
  <c r="AB35" i="1" s="1"/>
  <c r="BD35" i="1" s="1"/>
  <c r="M40" i="2"/>
  <c r="AB37" i="1" s="1"/>
  <c r="BD37" i="1" s="1"/>
  <c r="H41" i="2"/>
  <c r="M38" i="1" s="1"/>
  <c r="AY38" i="1" s="1"/>
  <c r="H33" i="2"/>
  <c r="M30" i="1" s="1"/>
  <c r="AY30" i="1" s="1"/>
  <c r="H42" i="2"/>
  <c r="M39" i="1" s="1"/>
  <c r="AY39" i="1" s="1"/>
  <c r="H36" i="2"/>
  <c r="M33" i="1" s="1"/>
  <c r="AY33" i="1" s="1"/>
  <c r="H45" i="2"/>
  <c r="M42" i="1" s="1"/>
  <c r="AY42" i="1" s="1"/>
  <c r="H34" i="2"/>
  <c r="M31" i="1" s="1"/>
  <c r="AY31" i="1" s="1"/>
  <c r="H38" i="2"/>
  <c r="M35" i="1" s="1"/>
  <c r="AY35" i="1" s="1"/>
  <c r="H35" i="2"/>
  <c r="M32" i="1" s="1"/>
  <c r="AY32" i="1" s="1"/>
  <c r="H43" i="2"/>
  <c r="M40" i="1" s="1"/>
  <c r="AY40" i="1" s="1"/>
  <c r="H39" i="2"/>
  <c r="M36" i="1" s="1"/>
  <c r="AY36" i="1" s="1"/>
  <c r="H40" i="2"/>
  <c r="M37" i="1" s="1"/>
  <c r="AY37" i="1" s="1"/>
  <c r="H32" i="2"/>
  <c r="H37" i="2"/>
  <c r="M34" i="1" s="1"/>
  <c r="AY34" i="1" s="1"/>
  <c r="H44" i="2"/>
  <c r="M41" i="1" s="1"/>
  <c r="AY41" i="1" s="1"/>
  <c r="F33" i="2"/>
  <c r="G30" i="1" s="1"/>
  <c r="J34" i="2"/>
  <c r="S31" i="1" s="1"/>
  <c r="BA31" i="1" s="1"/>
  <c r="J39" i="2"/>
  <c r="S36" i="1" s="1"/>
  <c r="BA36" i="1" s="1"/>
  <c r="J41" i="2"/>
  <c r="S38" i="1" s="1"/>
  <c r="BA38" i="1" s="1"/>
  <c r="K32" i="2"/>
  <c r="K44" i="2"/>
  <c r="V41" i="1" s="1"/>
  <c r="BB41" i="1" s="1"/>
  <c r="K41" i="2"/>
  <c r="V38" i="1" s="1"/>
  <c r="BB38" i="1" s="1"/>
  <c r="F35" i="2"/>
  <c r="G32" i="1" s="1"/>
  <c r="F45" i="2"/>
  <c r="G42" i="1" s="1"/>
  <c r="F37" i="2"/>
  <c r="G34" i="1" s="1"/>
  <c r="F42" i="2"/>
  <c r="F40" i="2"/>
  <c r="G37" i="1" s="1"/>
  <c r="F39" i="2"/>
  <c r="G36" i="1" s="1"/>
  <c r="F44" i="2"/>
  <c r="G41" i="1" s="1"/>
  <c r="F36" i="2"/>
  <c r="G33" i="1" s="1"/>
  <c r="F32" i="2"/>
  <c r="J44" i="2"/>
  <c r="S41" i="1" s="1"/>
  <c r="BA41" i="1" s="1"/>
  <c r="J40" i="2"/>
  <c r="S37" i="1" s="1"/>
  <c r="BA37" i="1" s="1"/>
  <c r="J33" i="2"/>
  <c r="S30" i="1" s="1"/>
  <c r="BA30" i="1" s="1"/>
  <c r="J38" i="2"/>
  <c r="S35" i="1" s="1"/>
  <c r="BA35" i="1" s="1"/>
  <c r="F34" i="2"/>
  <c r="G31" i="1" s="1"/>
  <c r="J35" i="2"/>
  <c r="S32" i="1" s="1"/>
  <c r="BA32" i="1" s="1"/>
  <c r="O33" i="2"/>
  <c r="AH30" i="1" s="1"/>
  <c r="BF30" i="1" s="1"/>
  <c r="O45" i="2"/>
  <c r="AH42" i="1" s="1"/>
  <c r="BF42" i="1" s="1"/>
  <c r="O35" i="2"/>
  <c r="AH32" i="1" s="1"/>
  <c r="BF32" i="1" s="1"/>
  <c r="O40" i="2"/>
  <c r="AH37" i="1" s="1"/>
  <c r="BF37" i="1" s="1"/>
  <c r="O37" i="2"/>
  <c r="AH34" i="1" s="1"/>
  <c r="BF34" i="1" s="1"/>
  <c r="O41" i="2"/>
  <c r="AH38" i="1" s="1"/>
  <c r="BF38" i="1" s="1"/>
  <c r="O42" i="2"/>
  <c r="AH39" i="1" s="1"/>
  <c r="BF39" i="1" s="1"/>
  <c r="J32" i="2"/>
  <c r="J43" i="2"/>
  <c r="S40" i="1" s="1"/>
  <c r="BA40" i="1" s="1"/>
  <c r="I43" i="2"/>
  <c r="P40" i="1" s="1"/>
  <c r="AZ40" i="1" s="1"/>
  <c r="I35" i="2"/>
  <c r="P32" i="1" s="1"/>
  <c r="AZ32" i="1" s="1"/>
  <c r="I39" i="2"/>
  <c r="P36" i="1" s="1"/>
  <c r="AZ36" i="1" s="1"/>
  <c r="I37" i="2"/>
  <c r="P34" i="1" s="1"/>
  <c r="AZ34" i="1" s="1"/>
  <c r="K40" i="2"/>
  <c r="V37" i="1" s="1"/>
  <c r="BB37" i="1" s="1"/>
  <c r="K37" i="2"/>
  <c r="V34" i="1" s="1"/>
  <c r="BB34" i="1" s="1"/>
  <c r="K43" i="2"/>
  <c r="V40" i="1" s="1"/>
  <c r="BB40" i="1" s="1"/>
  <c r="K42" i="2"/>
  <c r="V39" i="1" s="1"/>
  <c r="BB39" i="1" s="1"/>
  <c r="K38" i="2"/>
  <c r="V35" i="1" s="1"/>
  <c r="BB35" i="1" s="1"/>
  <c r="K36" i="2"/>
  <c r="V33" i="1" s="1"/>
  <c r="BB33" i="1" s="1"/>
  <c r="K39" i="2"/>
  <c r="V36" i="1" s="1"/>
  <c r="BB36" i="1" s="1"/>
  <c r="F41" i="2"/>
  <c r="G38" i="1" s="1"/>
  <c r="P37" i="2"/>
  <c r="AK34" i="1" s="1"/>
  <c r="BG34" i="1" s="1"/>
  <c r="I32" i="2"/>
  <c r="O39" i="2"/>
  <c r="AH36" i="1" s="1"/>
  <c r="BF36" i="1" s="1"/>
  <c r="K34" i="2"/>
  <c r="V31" i="1" s="1"/>
  <c r="BB31" i="1" s="1"/>
  <c r="P33" i="2"/>
  <c r="AK30" i="1" s="1"/>
  <c r="BG30" i="1" s="1"/>
  <c r="P36" i="2"/>
  <c r="AK33" i="1" s="1"/>
  <c r="BG33" i="1" s="1"/>
  <c r="P41" i="2"/>
  <c r="AK38" i="1" s="1"/>
  <c r="BG38" i="1" s="1"/>
  <c r="P45" i="2"/>
  <c r="AK42" i="1" s="1"/>
  <c r="BG42" i="1" s="1"/>
  <c r="P40" i="2"/>
  <c r="AK37" i="1" s="1"/>
  <c r="BG37" i="1" s="1"/>
  <c r="P35" i="2"/>
  <c r="AK32" i="1" s="1"/>
  <c r="BG32" i="1" s="1"/>
  <c r="P42" i="2"/>
  <c r="AK39" i="1" s="1"/>
  <c r="BG39" i="1" s="1"/>
  <c r="P44" i="2"/>
  <c r="AK41" i="1" s="1"/>
  <c r="BG41" i="1" s="1"/>
  <c r="I36" i="2"/>
  <c r="P33" i="1" s="1"/>
  <c r="AZ33" i="1" s="1"/>
  <c r="O34" i="2"/>
  <c r="AH31" i="1" s="1"/>
  <c r="BF31" i="1" s="1"/>
  <c r="K35" i="2"/>
  <c r="V32" i="1" s="1"/>
  <c r="BB32" i="1" s="1"/>
  <c r="I42" i="2"/>
  <c r="P39" i="1" s="1"/>
  <c r="AZ39" i="1" s="1"/>
  <c r="P39" i="2"/>
  <c r="AK36" i="1" s="1"/>
  <c r="BG36" i="1" s="1"/>
  <c r="I33" i="2"/>
  <c r="P30" i="1" s="1"/>
  <c r="AZ30" i="1" s="1"/>
  <c r="P38" i="2"/>
  <c r="AK35" i="1" s="1"/>
  <c r="BG35" i="1" s="1"/>
  <c r="I44" i="2"/>
  <c r="P41" i="1" s="1"/>
  <c r="AZ41" i="1" s="1"/>
  <c r="F38" i="2"/>
  <c r="G35" i="1" s="1"/>
  <c r="J45" i="2"/>
  <c r="S42" i="1" s="1"/>
  <c r="BA42" i="1" s="1"/>
  <c r="I34" i="2"/>
  <c r="P31" i="1" s="1"/>
  <c r="AZ31" i="1" s="1"/>
  <c r="O36" i="2"/>
  <c r="AH33" i="1" s="1"/>
  <c r="BF33" i="1" s="1"/>
  <c r="I45" i="2"/>
  <c r="P42" i="1" s="1"/>
  <c r="AZ42" i="1" s="1"/>
  <c r="AW42" i="1" l="1"/>
  <c r="BJ42" i="1"/>
  <c r="AW35" i="1"/>
  <c r="BJ35" i="1"/>
  <c r="AW41" i="1"/>
  <c r="BJ41" i="1"/>
  <c r="AW31" i="1"/>
  <c r="BJ31" i="1"/>
  <c r="AW36" i="1"/>
  <c r="BJ36" i="1"/>
  <c r="AW37" i="1"/>
  <c r="BJ37" i="1"/>
  <c r="AW34" i="1"/>
  <c r="BJ34" i="1"/>
  <c r="AW30" i="1"/>
  <c r="BJ30" i="1"/>
  <c r="AW32" i="1"/>
  <c r="BJ32" i="1"/>
  <c r="AW33" i="1"/>
  <c r="BJ33" i="1"/>
  <c r="AW38" i="1"/>
  <c r="BJ38" i="1"/>
  <c r="P43" i="2"/>
  <c r="AK40" i="1" s="1"/>
  <c r="BG40" i="1" s="1"/>
  <c r="P32" i="2"/>
  <c r="AK29" i="1" s="1"/>
  <c r="BG29" i="1" s="1"/>
  <c r="K31" i="2"/>
  <c r="V29" i="1"/>
  <c r="N31" i="2"/>
  <c r="AE29" i="1"/>
  <c r="G39" i="1"/>
  <c r="M29" i="1"/>
  <c r="H31" i="2"/>
  <c r="M31" i="2"/>
  <c r="AB29" i="1"/>
  <c r="L31" i="2"/>
  <c r="Y29" i="1"/>
  <c r="J31" i="2"/>
  <c r="S29" i="1"/>
  <c r="F31" i="2"/>
  <c r="G29" i="1"/>
  <c r="AH28" i="1"/>
  <c r="BF29" i="1"/>
  <c r="I31" i="2"/>
  <c r="P29" i="1"/>
  <c r="O31" i="2"/>
  <c r="G31" i="2"/>
  <c r="J29" i="1"/>
  <c r="BJ39" i="1" l="1"/>
  <c r="BJ29" i="1"/>
  <c r="BG28" i="1"/>
  <c r="AK28" i="1"/>
  <c r="P31" i="2"/>
  <c r="BF28" i="1"/>
  <c r="AY29" i="1"/>
  <c r="M28" i="1"/>
  <c r="BN28" i="1" s="1"/>
  <c r="V9" i="15" s="1"/>
  <c r="P28" i="1"/>
  <c r="AZ29" i="1"/>
  <c r="BE29" i="1"/>
  <c r="AE28" i="1"/>
  <c r="AW29" i="1"/>
  <c r="G28" i="1"/>
  <c r="BA29" i="1"/>
  <c r="S28" i="1"/>
  <c r="AW39" i="1"/>
  <c r="BC29" i="1"/>
  <c r="Y28" i="1"/>
  <c r="AB28" i="1"/>
  <c r="BD29" i="1"/>
  <c r="AX29" i="1"/>
  <c r="J28" i="1"/>
  <c r="BB29" i="1"/>
  <c r="V28" i="1"/>
  <c r="L18" i="14" l="1"/>
  <c r="BL28" i="1"/>
  <c r="J9" i="15" s="1"/>
  <c r="H18" i="14"/>
  <c r="BJ28" i="1"/>
  <c r="G9" i="15" s="1"/>
  <c r="BD28" i="1"/>
  <c r="BB28" i="1"/>
  <c r="BA28" i="1"/>
  <c r="AY28" i="1"/>
  <c r="AX28" i="1"/>
  <c r="BC28" i="1"/>
  <c r="AW28" i="1"/>
  <c r="AZ28" i="1"/>
  <c r="BE28" i="1"/>
  <c r="AC18" i="14" l="1"/>
  <c r="T18" i="14"/>
  <c r="Y18" i="14"/>
  <c r="R18" i="14"/>
  <c r="E49" i="1"/>
  <c r="BI49" i="1" l="1"/>
  <c r="E11" i="15" s="1"/>
  <c r="AR49" i="1"/>
  <c r="F20" i="14"/>
  <c r="AO49" i="1"/>
  <c r="D153" i="10"/>
  <c r="E51" i="1"/>
  <c r="AR51" i="1" s="1"/>
  <c r="AO51" i="1" l="1"/>
  <c r="BI51" i="1"/>
  <c r="E13" i="15" s="1"/>
  <c r="E26" i="1"/>
  <c r="AR26" i="1" s="1"/>
  <c r="P20" i="14"/>
  <c r="W20" i="14"/>
  <c r="F22" i="14"/>
  <c r="F17" i="14" s="1"/>
  <c r="E53" i="1" l="1"/>
  <c r="AO26" i="1"/>
  <c r="W22" i="14"/>
  <c r="F29" i="14" l="1"/>
  <c r="W17" i="14"/>
  <c r="E62" i="1"/>
  <c r="E54" i="1"/>
  <c r="E63" i="1" l="1"/>
  <c r="E67" i="1"/>
  <c r="W29" i="14"/>
  <c r="F30" i="14"/>
  <c r="E19" i="15" s="1"/>
  <c r="N19" i="15" s="1"/>
  <c r="F34" i="14"/>
  <c r="E72" i="1" l="1"/>
  <c r="E26" i="15" s="1"/>
  <c r="E68" i="1"/>
  <c r="W34" i="14"/>
  <c r="F40" i="14"/>
  <c r="F35" i="14"/>
  <c r="E73" i="1" l="1"/>
  <c r="W40" i="14"/>
  <c r="F41" i="14"/>
  <c r="E20" i="15" s="1"/>
  <c r="F153" i="10" l="1"/>
  <c r="V153" i="10" l="1"/>
  <c r="G51" i="1" l="1"/>
  <c r="G26" i="1" l="1"/>
  <c r="H22" i="14"/>
  <c r="BJ51" i="1"/>
  <c r="G13" i="15" s="1"/>
  <c r="AW51" i="1"/>
  <c r="R22" i="14" l="1"/>
  <c r="Y22" i="14"/>
  <c r="H17" i="14"/>
  <c r="J51" i="1"/>
  <c r="BL51" i="1" l="1"/>
  <c r="J13" i="15" s="1"/>
  <c r="L22" i="14"/>
  <c r="H29" i="14"/>
  <c r="Y17" i="14"/>
  <c r="R17" i="14"/>
  <c r="AX51" i="1"/>
  <c r="AC22" i="14" l="1"/>
  <c r="T22" i="14"/>
  <c r="H34" i="14"/>
  <c r="R29" i="14"/>
  <c r="H30" i="14"/>
  <c r="Y29" i="14"/>
  <c r="M51" i="1"/>
  <c r="BN51" i="1" s="1"/>
  <c r="V13" i="15" s="1"/>
  <c r="G19" i="15" l="1"/>
  <c r="M19" i="15" s="1"/>
  <c r="Y30" i="14"/>
  <c r="R30" i="14"/>
  <c r="H35" i="14"/>
  <c r="R34" i="14"/>
  <c r="H40" i="14"/>
  <c r="Y34" i="14"/>
  <c r="AY51" i="1"/>
  <c r="T40" i="14" l="1"/>
  <c r="H41" i="14"/>
  <c r="G20" i="15" s="1"/>
  <c r="M20" i="15" s="1"/>
  <c r="R40" i="14"/>
  <c r="Y40" i="14"/>
  <c r="R35" i="14"/>
  <c r="Y35" i="14"/>
  <c r="P51" i="1"/>
  <c r="AZ51" i="1" s="1"/>
  <c r="S51" i="1" l="1"/>
  <c r="BA51" i="1" s="1"/>
  <c r="V51" i="1" l="1"/>
  <c r="BB51" i="1" s="1"/>
  <c r="Y51" i="1" l="1"/>
  <c r="BC51" i="1" l="1"/>
  <c r="AB51" i="1" l="1"/>
  <c r="BD51" i="1" l="1"/>
  <c r="AE51" i="1" l="1"/>
  <c r="BE51" i="1" s="1"/>
  <c r="AH51" i="1" l="1"/>
  <c r="BF51" i="1" s="1"/>
  <c r="AK51" i="1" l="1"/>
  <c r="BG51" i="1" l="1"/>
  <c r="E62" i="2" l="1"/>
  <c r="R52" i="2"/>
  <c r="F62" i="2"/>
  <c r="F51" i="2" s="1"/>
  <c r="I62" i="2"/>
  <c r="I51" i="2" s="1"/>
  <c r="P44" i="1" s="1"/>
  <c r="O62" i="2"/>
  <c r="O51" i="2" s="1"/>
  <c r="H62" i="2"/>
  <c r="P62" i="2"/>
  <c r="P51" i="2" s="1"/>
  <c r="G62" i="2"/>
  <c r="G51" i="2" s="1"/>
  <c r="G151" i="2" s="1"/>
  <c r="K62" i="2"/>
  <c r="K51" i="2" s="1"/>
  <c r="L62" i="2"/>
  <c r="L51" i="2" s="1"/>
  <c r="M62" i="2"/>
  <c r="M51" i="2" s="1"/>
  <c r="J62" i="2"/>
  <c r="J51" i="2" s="1"/>
  <c r="S44" i="1" s="1"/>
  <c r="N62" i="2"/>
  <c r="N51" i="2" s="1"/>
  <c r="R62" i="2" l="1"/>
  <c r="K151" i="2"/>
  <c r="V44" i="1"/>
  <c r="AZ44" i="1"/>
  <c r="AZ26" i="1" s="1"/>
  <c r="P26" i="1"/>
  <c r="AK44" i="1"/>
  <c r="P151" i="2"/>
  <c r="M151" i="2"/>
  <c r="AB44" i="1"/>
  <c r="L151" i="2"/>
  <c r="Y44" i="1"/>
  <c r="F151" i="2"/>
  <c r="N151" i="2"/>
  <c r="AE44" i="1"/>
  <c r="BA44" i="1"/>
  <c r="BA26" i="1" s="1"/>
  <c r="S26" i="1"/>
  <c r="AH44" i="1"/>
  <c r="O151" i="2"/>
  <c r="H51" i="2"/>
  <c r="I151" i="2"/>
  <c r="J151" i="2"/>
  <c r="J44" i="1"/>
  <c r="BL44" i="1" l="1"/>
  <c r="J10" i="15" s="1"/>
  <c r="L19" i="14"/>
  <c r="AX44" i="1"/>
  <c r="AX26" i="1" s="1"/>
  <c r="J26" i="1"/>
  <c r="AW44" i="1"/>
  <c r="AW26" i="1" s="1"/>
  <c r="AK26" i="1"/>
  <c r="BG44" i="1"/>
  <c r="BG26" i="1" s="1"/>
  <c r="P53" i="1"/>
  <c r="P98" i="1"/>
  <c r="P101" i="1" s="1"/>
  <c r="P102" i="1" s="1"/>
  <c r="AE26" i="1"/>
  <c r="BE44" i="1"/>
  <c r="BE26" i="1" s="1"/>
  <c r="BC44" i="1"/>
  <c r="BC26" i="1" s="1"/>
  <c r="Y26" i="1"/>
  <c r="AH26" i="1"/>
  <c r="BF44" i="1"/>
  <c r="BF26" i="1" s="1"/>
  <c r="BB44" i="1"/>
  <c r="BB26" i="1" s="1"/>
  <c r="V26" i="1"/>
  <c r="M44" i="1"/>
  <c r="BN44" i="1" s="1"/>
  <c r="V10" i="15" s="1"/>
  <c r="H151" i="2"/>
  <c r="S53" i="1"/>
  <c r="S98" i="1"/>
  <c r="S101" i="1" s="1"/>
  <c r="S102" i="1" s="1"/>
  <c r="AB26" i="1"/>
  <c r="BD44" i="1"/>
  <c r="BD26" i="1" s="1"/>
  <c r="AC19" i="14" l="1"/>
  <c r="T19" i="14"/>
  <c r="L17" i="14"/>
  <c r="AK98" i="1"/>
  <c r="AK101" i="1" s="1"/>
  <c r="AK102" i="1" s="1"/>
  <c r="AK53" i="1"/>
  <c r="G98" i="1"/>
  <c r="G101" i="1" s="1"/>
  <c r="G102" i="1" s="1"/>
  <c r="G53" i="1"/>
  <c r="J98" i="1"/>
  <c r="J101" i="1" s="1"/>
  <c r="J102" i="1" s="1"/>
  <c r="J53" i="1"/>
  <c r="S54" i="1"/>
  <c r="BA53" i="1"/>
  <c r="S62" i="1"/>
  <c r="Y53" i="1"/>
  <c r="Y98" i="1"/>
  <c r="Y101" i="1" s="1"/>
  <c r="Y102" i="1" s="1"/>
  <c r="AE98" i="1"/>
  <c r="AE101" i="1" s="1"/>
  <c r="AE102" i="1" s="1"/>
  <c r="AE53" i="1"/>
  <c r="AB98" i="1"/>
  <c r="AB101" i="1" s="1"/>
  <c r="AB102" i="1" s="1"/>
  <c r="AB53" i="1"/>
  <c r="P54" i="1"/>
  <c r="AZ53" i="1"/>
  <c r="P62" i="1"/>
  <c r="M26" i="1"/>
  <c r="AY44" i="1"/>
  <c r="AY26" i="1" s="1"/>
  <c r="V53" i="1"/>
  <c r="V98" i="1"/>
  <c r="V101" i="1" s="1"/>
  <c r="V102" i="1" s="1"/>
  <c r="AH53" i="1"/>
  <c r="AH98" i="1"/>
  <c r="AH101" i="1" s="1"/>
  <c r="AH102" i="1" s="1"/>
  <c r="AC17" i="14" l="1"/>
  <c r="T17" i="14"/>
  <c r="L29" i="14"/>
  <c r="G54" i="1"/>
  <c r="G62" i="1"/>
  <c r="AW53" i="1"/>
  <c r="BB53" i="1"/>
  <c r="V54" i="1"/>
  <c r="V62" i="1"/>
  <c r="AB54" i="1"/>
  <c r="AB62" i="1"/>
  <c r="BD53" i="1"/>
  <c r="BA62" i="1"/>
  <c r="S67" i="1"/>
  <c r="S99" i="1"/>
  <c r="S100" i="1" s="1"/>
  <c r="S63" i="1"/>
  <c r="AK62" i="1"/>
  <c r="AK54" i="1"/>
  <c r="BG53" i="1"/>
  <c r="M98" i="1"/>
  <c r="M101" i="1" s="1"/>
  <c r="M102" i="1" s="1"/>
  <c r="M53" i="1"/>
  <c r="AE62" i="1"/>
  <c r="BE53" i="1"/>
  <c r="AE54" i="1"/>
  <c r="J62" i="1"/>
  <c r="AX53" i="1"/>
  <c r="J54" i="1"/>
  <c r="BC53" i="1"/>
  <c r="Y62" i="1"/>
  <c r="Y54" i="1"/>
  <c r="AZ62" i="1"/>
  <c r="P67" i="1"/>
  <c r="P99" i="1"/>
  <c r="P100" i="1" s="1"/>
  <c r="P63" i="1"/>
  <c r="AH62" i="1"/>
  <c r="AH54" i="1"/>
  <c r="BF53" i="1"/>
  <c r="L34" i="14" l="1"/>
  <c r="AC29" i="14"/>
  <c r="L30" i="14"/>
  <c r="T29" i="14"/>
  <c r="AB63" i="1"/>
  <c r="BD62" i="1"/>
  <c r="AB99" i="1"/>
  <c r="AB100" i="1" s="1"/>
  <c r="AB67" i="1"/>
  <c r="V67" i="1"/>
  <c r="V63" i="1"/>
  <c r="BB62" i="1"/>
  <c r="V99" i="1"/>
  <c r="V100" i="1" s="1"/>
  <c r="AK67" i="1"/>
  <c r="AK99" i="1"/>
  <c r="AK100" i="1" s="1"/>
  <c r="AK63" i="1"/>
  <c r="BG62" i="1"/>
  <c r="BF62" i="1"/>
  <c r="AH99" i="1"/>
  <c r="AH100" i="1" s="1"/>
  <c r="AH67" i="1"/>
  <c r="AH63" i="1"/>
  <c r="P72" i="1"/>
  <c r="P68" i="1"/>
  <c r="J99" i="1"/>
  <c r="J100" i="1" s="1"/>
  <c r="AX62" i="1"/>
  <c r="J63" i="1"/>
  <c r="J67" i="1"/>
  <c r="BE62" i="1"/>
  <c r="AE99" i="1"/>
  <c r="AE100" i="1" s="1"/>
  <c r="AE63" i="1"/>
  <c r="AE67" i="1"/>
  <c r="S72" i="1"/>
  <c r="S68" i="1"/>
  <c r="Y67" i="1"/>
  <c r="Y63" i="1"/>
  <c r="Y99" i="1"/>
  <c r="Y100" i="1" s="1"/>
  <c r="BC62" i="1"/>
  <c r="M62" i="1"/>
  <c r="AY53" i="1"/>
  <c r="M54" i="1"/>
  <c r="G63" i="1"/>
  <c r="G99" i="1"/>
  <c r="G100" i="1" s="1"/>
  <c r="AW62" i="1"/>
  <c r="G67" i="1"/>
  <c r="K19" i="15" l="1"/>
  <c r="AC30" i="14"/>
  <c r="T30" i="14"/>
  <c r="AC34" i="14"/>
  <c r="L35" i="14"/>
  <c r="L40" i="14"/>
  <c r="T34" i="14"/>
  <c r="J72" i="1"/>
  <c r="J26" i="15" s="1"/>
  <c r="J68" i="1"/>
  <c r="AB68" i="1"/>
  <c r="AB72" i="1"/>
  <c r="Y68" i="1"/>
  <c r="Y72" i="1"/>
  <c r="AE72" i="1"/>
  <c r="AE68" i="1"/>
  <c r="M99" i="1"/>
  <c r="M100" i="1" s="1"/>
  <c r="M67" i="1"/>
  <c r="AY62" i="1"/>
  <c r="M63" i="1"/>
  <c r="I152" i="2"/>
  <c r="I153" i="2" s="1"/>
  <c r="AZ72" i="1"/>
  <c r="M154" i="10"/>
  <c r="M155" i="10" s="1"/>
  <c r="P73" i="1"/>
  <c r="AK68" i="1"/>
  <c r="AK72" i="1"/>
  <c r="V68" i="1"/>
  <c r="V72" i="1"/>
  <c r="S73" i="1"/>
  <c r="N154" i="10"/>
  <c r="N155" i="10" s="1"/>
  <c r="J152" i="2"/>
  <c r="J153" i="2" s="1"/>
  <c r="BA72" i="1"/>
  <c r="G68" i="1"/>
  <c r="G72" i="1"/>
  <c r="G26" i="15" s="1"/>
  <c r="AH72" i="1"/>
  <c r="AH68" i="1"/>
  <c r="M26" i="15" l="1"/>
  <c r="T26" i="15" s="1"/>
  <c r="L41" i="14"/>
  <c r="K20" i="15" s="1"/>
  <c r="N20" i="15" s="1"/>
  <c r="T20" i="15" s="1"/>
  <c r="AC40" i="14"/>
  <c r="AC35" i="14"/>
  <c r="T35" i="14"/>
  <c r="Q154" i="10"/>
  <c r="Q155" i="10" s="1"/>
  <c r="M152" i="2"/>
  <c r="M153" i="2" s="1"/>
  <c r="BD72" i="1"/>
  <c r="AB73" i="1"/>
  <c r="M72" i="1"/>
  <c r="V26" i="15" s="1"/>
  <c r="M68" i="1"/>
  <c r="G152" i="2"/>
  <c r="G153" i="2" s="1"/>
  <c r="J73" i="1"/>
  <c r="J105" i="1"/>
  <c r="AX72" i="1"/>
  <c r="H154" i="10"/>
  <c r="H155" i="10" s="1"/>
  <c r="N152" i="2"/>
  <c r="N153" i="2" s="1"/>
  <c r="BE72" i="1"/>
  <c r="AE73" i="1"/>
  <c r="R154" i="10"/>
  <c r="R155" i="10" s="1"/>
  <c r="O152" i="2"/>
  <c r="O153" i="2" s="1"/>
  <c r="S154" i="10"/>
  <c r="S155" i="10" s="1"/>
  <c r="AH73" i="1"/>
  <c r="BF72" i="1"/>
  <c r="F154" i="10"/>
  <c r="F155" i="10" s="1"/>
  <c r="F152" i="2"/>
  <c r="F153" i="2" s="1"/>
  <c r="AW72" i="1"/>
  <c r="G73" i="1"/>
  <c r="T154" i="10"/>
  <c r="T155" i="10" s="1"/>
  <c r="BG72" i="1"/>
  <c r="P152" i="2"/>
  <c r="P153" i="2" s="1"/>
  <c r="AK73" i="1"/>
  <c r="BB72" i="1"/>
  <c r="O154" i="10"/>
  <c r="O155" i="10" s="1"/>
  <c r="K152" i="2"/>
  <c r="K153" i="2" s="1"/>
  <c r="V73" i="1"/>
  <c r="P154" i="10"/>
  <c r="P155" i="10" s="1"/>
  <c r="L152" i="2"/>
  <c r="L153" i="2" s="1"/>
  <c r="BC72" i="1"/>
  <c r="Y73" i="1"/>
  <c r="M73" i="1" l="1"/>
  <c r="V20" i="15" s="1"/>
  <c r="AY72" i="1"/>
  <c r="H152" i="2"/>
  <c r="H153" i="2" s="1"/>
  <c r="K154" i="10"/>
  <c r="K155" i="10" l="1"/>
  <c r="E132" i="2" l="1"/>
  <c r="R132" i="2" s="1"/>
  <c r="E25" i="2" l="1"/>
  <c r="R25" i="2" s="1"/>
  <c r="E131" i="2"/>
  <c r="E133" i="2"/>
  <c r="R133" i="2" s="1"/>
  <c r="R11" i="2"/>
  <c r="E24" i="2"/>
  <c r="E156" i="2"/>
  <c r="E157" i="2" s="1"/>
  <c r="E158" i="2" s="1"/>
  <c r="E26" i="2" s="1"/>
  <c r="R26" i="2" s="1"/>
  <c r="E22" i="2"/>
  <c r="D4" i="6"/>
  <c r="E23" i="2"/>
  <c r="E66" i="2" l="1"/>
  <c r="R66" i="2" s="1"/>
  <c r="D21" i="1"/>
  <c r="R23" i="2"/>
  <c r="D5" i="6"/>
  <c r="P4" i="6"/>
  <c r="R22" i="2"/>
  <c r="E21" i="2"/>
  <c r="E92" i="2"/>
  <c r="R92" i="2" s="1"/>
  <c r="D20" i="1"/>
  <c r="E107" i="2"/>
  <c r="R107" i="2" s="1"/>
  <c r="E97" i="2"/>
  <c r="R97" i="2" s="1"/>
  <c r="E117" i="2"/>
  <c r="E112" i="2"/>
  <c r="R112" i="2" s="1"/>
  <c r="E96" i="2"/>
  <c r="R96" i="2" s="1"/>
  <c r="E98" i="2"/>
  <c r="R98" i="2" s="1"/>
  <c r="E48" i="2"/>
  <c r="E130" i="2"/>
  <c r="R131" i="2"/>
  <c r="E94" i="2"/>
  <c r="R94" i="2" s="1"/>
  <c r="R24" i="2"/>
  <c r="D22" i="1"/>
  <c r="R8" i="2"/>
  <c r="T103" i="2"/>
  <c r="T110" i="2"/>
  <c r="T104" i="2"/>
  <c r="T108" i="2"/>
  <c r="T90" i="2"/>
  <c r="T100" i="2"/>
  <c r="T109" i="2"/>
  <c r="T99" i="2"/>
  <c r="T91" i="2"/>
  <c r="T87" i="2"/>
  <c r="T105" i="2"/>
  <c r="E106" i="2"/>
  <c r="E89" i="2"/>
  <c r="C22" i="1" l="1"/>
  <c r="AQ22" i="1"/>
  <c r="C21" i="1"/>
  <c r="AQ21" i="1"/>
  <c r="C20" i="1"/>
  <c r="AQ20" i="1"/>
  <c r="E49" i="2"/>
  <c r="R48" i="2"/>
  <c r="R21" i="2"/>
  <c r="R117" i="2"/>
  <c r="R116" i="2" s="1"/>
  <c r="E116" i="2"/>
  <c r="D58" i="1" s="1"/>
  <c r="D10" i="6"/>
  <c r="P5" i="6"/>
  <c r="E69" i="2"/>
  <c r="E68" i="2" s="1"/>
  <c r="D9" i="6"/>
  <c r="D7" i="6"/>
  <c r="P7" i="6" s="1"/>
  <c r="AN22" i="1"/>
  <c r="R89" i="2"/>
  <c r="R86" i="2" s="1"/>
  <c r="E86" i="2"/>
  <c r="D51" i="1" s="1"/>
  <c r="E102" i="2"/>
  <c r="D57" i="1" s="1"/>
  <c r="R106" i="2"/>
  <c r="R102" i="2" s="1"/>
  <c r="R130" i="2"/>
  <c r="D69" i="1"/>
  <c r="AN20" i="1"/>
  <c r="D19" i="1"/>
  <c r="AN21" i="1"/>
  <c r="C57" i="1" l="1"/>
  <c r="AQ57" i="1"/>
  <c r="C69" i="1"/>
  <c r="AQ69" i="1"/>
  <c r="C51" i="1"/>
  <c r="AQ51" i="1"/>
  <c r="C58" i="1"/>
  <c r="AQ58" i="1"/>
  <c r="C19" i="1"/>
  <c r="AQ19" i="1"/>
  <c r="D11" i="6"/>
  <c r="P11" i="6" s="1"/>
  <c r="R68" i="2"/>
  <c r="D46" i="1"/>
  <c r="AN58" i="1"/>
  <c r="D26" i="14"/>
  <c r="D36" i="14"/>
  <c r="AN69" i="1"/>
  <c r="P9" i="6"/>
  <c r="D18" i="6"/>
  <c r="D56" i="1"/>
  <c r="AN57" i="1"/>
  <c r="D25" i="14"/>
  <c r="D47" i="1"/>
  <c r="R69" i="2"/>
  <c r="P10" i="6"/>
  <c r="D19" i="6"/>
  <c r="P19" i="6" s="1"/>
  <c r="AN19" i="1"/>
  <c r="D24" i="1"/>
  <c r="AQ24" i="1" s="1"/>
  <c r="D13" i="14"/>
  <c r="AN51" i="1"/>
  <c r="D22" i="14"/>
  <c r="D12" i="6"/>
  <c r="E35" i="2"/>
  <c r="E45" i="2"/>
  <c r="E41" i="2"/>
  <c r="E36" i="2"/>
  <c r="R49" i="2"/>
  <c r="E38" i="2"/>
  <c r="E40" i="2"/>
  <c r="E44" i="2"/>
  <c r="E37" i="2"/>
  <c r="E32" i="2"/>
  <c r="E43" i="2"/>
  <c r="E33" i="2"/>
  <c r="E42" i="2"/>
  <c r="E34" i="2"/>
  <c r="E39" i="2"/>
  <c r="C56" i="1" l="1"/>
  <c r="AQ56" i="1"/>
  <c r="C47" i="1"/>
  <c r="AQ47" i="1"/>
  <c r="C46" i="1"/>
  <c r="AQ46" i="1"/>
  <c r="BH59" i="1"/>
  <c r="D17" i="15" s="1"/>
  <c r="M17" i="15" s="1"/>
  <c r="BH47" i="1"/>
  <c r="BH57" i="1"/>
  <c r="D15" i="15" s="1"/>
  <c r="M15" i="15" s="1"/>
  <c r="BH39" i="1"/>
  <c r="BH50" i="1"/>
  <c r="D12" i="15" s="1"/>
  <c r="M12" i="15" s="1"/>
  <c r="BH58" i="1"/>
  <c r="D16" i="15" s="1"/>
  <c r="M16" i="15" s="1"/>
  <c r="BH49" i="1"/>
  <c r="D11" i="15" s="1"/>
  <c r="M11" i="15" s="1"/>
  <c r="BH52" i="1"/>
  <c r="D14" i="15" s="1"/>
  <c r="M14" i="15" s="1"/>
  <c r="BH40" i="1"/>
  <c r="BH51" i="1"/>
  <c r="D13" i="15" s="1"/>
  <c r="M13" i="15" s="1"/>
  <c r="BH42" i="1"/>
  <c r="BH36" i="1"/>
  <c r="BH46" i="1"/>
  <c r="AV58" i="1"/>
  <c r="C24" i="1"/>
  <c r="AT58" i="1" s="1"/>
  <c r="D14" i="6"/>
  <c r="D20" i="6"/>
  <c r="AV57" i="1"/>
  <c r="AV51" i="1"/>
  <c r="D15" i="6"/>
  <c r="P14" i="6"/>
  <c r="D35" i="1"/>
  <c r="BH35" i="1" s="1"/>
  <c r="R38" i="2"/>
  <c r="P22" i="14"/>
  <c r="AN56" i="1"/>
  <c r="P26" i="14"/>
  <c r="D31" i="1"/>
  <c r="BH31" i="1" s="1"/>
  <c r="R34" i="2"/>
  <c r="D36" i="1"/>
  <c r="R39" i="2"/>
  <c r="D37" i="1"/>
  <c r="R40" i="2"/>
  <c r="D39" i="1"/>
  <c r="R42" i="2"/>
  <c r="D33" i="1"/>
  <c r="R36" i="2"/>
  <c r="D38" i="1"/>
  <c r="R41" i="2"/>
  <c r="P18" i="6"/>
  <c r="R45" i="2"/>
  <c r="D42" i="1"/>
  <c r="D30" i="1"/>
  <c r="R33" i="2"/>
  <c r="D40" i="1"/>
  <c r="R43" i="2"/>
  <c r="D29" i="1"/>
  <c r="R32" i="2"/>
  <c r="E31" i="2"/>
  <c r="R35" i="2"/>
  <c r="D32" i="1"/>
  <c r="BH32" i="1" s="1"/>
  <c r="P13" i="14"/>
  <c r="D15" i="14"/>
  <c r="D24" i="14"/>
  <c r="P25" i="14"/>
  <c r="R37" i="2"/>
  <c r="D34" i="1"/>
  <c r="BH34" i="1" s="1"/>
  <c r="D41" i="1"/>
  <c r="R44" i="2"/>
  <c r="AV71" i="1"/>
  <c r="AV59" i="1"/>
  <c r="AV60" i="1"/>
  <c r="AV70" i="1"/>
  <c r="AV52" i="1"/>
  <c r="AV49" i="1"/>
  <c r="AV66" i="1"/>
  <c r="AV65" i="1"/>
  <c r="AN24" i="1"/>
  <c r="D97" i="1"/>
  <c r="AV20" i="1"/>
  <c r="AV21" i="1"/>
  <c r="AV22" i="1"/>
  <c r="P36" i="14"/>
  <c r="D21" i="6"/>
  <c r="P12" i="6"/>
  <c r="AV69" i="1"/>
  <c r="P20" i="6"/>
  <c r="E56" i="2"/>
  <c r="R56" i="2" s="1"/>
  <c r="C38" i="1" l="1"/>
  <c r="AQ38" i="1"/>
  <c r="C36" i="1"/>
  <c r="AQ36" i="1"/>
  <c r="C37" i="1"/>
  <c r="AQ37" i="1"/>
  <c r="C29" i="1"/>
  <c r="AQ29" i="1"/>
  <c r="C40" i="1"/>
  <c r="AQ40" i="1"/>
  <c r="C33" i="1"/>
  <c r="AQ33" i="1"/>
  <c r="C31" i="1"/>
  <c r="AQ31" i="1"/>
  <c r="C32" i="1"/>
  <c r="AQ32" i="1"/>
  <c r="C30" i="1"/>
  <c r="AQ30" i="1"/>
  <c r="C41" i="1"/>
  <c r="AQ41" i="1"/>
  <c r="C42" i="1"/>
  <c r="AQ42" i="1"/>
  <c r="C39" i="1"/>
  <c r="AT39" i="1" s="1"/>
  <c r="AQ39" i="1"/>
  <c r="BH41" i="1"/>
  <c r="BH38" i="1"/>
  <c r="BH37" i="1"/>
  <c r="C35" i="1"/>
  <c r="AT35" i="1" s="1"/>
  <c r="AQ35" i="1"/>
  <c r="C34" i="1"/>
  <c r="AT34" i="1" s="1"/>
  <c r="AQ34" i="1"/>
  <c r="BH33" i="1"/>
  <c r="BH30" i="1"/>
  <c r="BH29" i="1"/>
  <c r="R11" i="15"/>
  <c r="R15" i="15"/>
  <c r="R14" i="15"/>
  <c r="R13" i="15"/>
  <c r="R16" i="15"/>
  <c r="R17" i="15"/>
  <c r="R12" i="15"/>
  <c r="U24" i="14"/>
  <c r="AT50" i="1"/>
  <c r="P12" i="15" s="1"/>
  <c r="AT49" i="1"/>
  <c r="U28" i="14"/>
  <c r="U38" i="14"/>
  <c r="U33" i="14"/>
  <c r="U32" i="14"/>
  <c r="U31" i="14"/>
  <c r="U23" i="14"/>
  <c r="U37" i="14"/>
  <c r="U21" i="14"/>
  <c r="U27" i="14"/>
  <c r="U20" i="14"/>
  <c r="U22" i="14"/>
  <c r="U26" i="14"/>
  <c r="U36" i="14"/>
  <c r="U25" i="14"/>
  <c r="AT51" i="1"/>
  <c r="P13" i="15" s="1"/>
  <c r="AV56" i="1"/>
  <c r="AT57" i="1"/>
  <c r="P15" i="15" s="1"/>
  <c r="AV19" i="1"/>
  <c r="AN33" i="1"/>
  <c r="AT33" i="1"/>
  <c r="AV33" i="1"/>
  <c r="P21" i="6"/>
  <c r="P23" i="6" s="1"/>
  <c r="P25" i="6" s="1"/>
  <c r="E55" i="2"/>
  <c r="AT41" i="1"/>
  <c r="AN41" i="1"/>
  <c r="AV41" i="1"/>
  <c r="AN32" i="1"/>
  <c r="AT32" i="1"/>
  <c r="AV32" i="1"/>
  <c r="AN30" i="1"/>
  <c r="AV30" i="1"/>
  <c r="AT30" i="1"/>
  <c r="AV38" i="1"/>
  <c r="AN38" i="1"/>
  <c r="AT38" i="1"/>
  <c r="AV36" i="1"/>
  <c r="AN36" i="1"/>
  <c r="AT36" i="1"/>
  <c r="AN34" i="1"/>
  <c r="AV34" i="1"/>
  <c r="P16" i="15"/>
  <c r="R31" i="2"/>
  <c r="AT42" i="1"/>
  <c r="AN42" i="1"/>
  <c r="AV42" i="1"/>
  <c r="AV31" i="1"/>
  <c r="AT31" i="1"/>
  <c r="AN31" i="1"/>
  <c r="AN29" i="1"/>
  <c r="AT29" i="1"/>
  <c r="AV29" i="1"/>
  <c r="D28" i="1"/>
  <c r="AQ28" i="1" s="1"/>
  <c r="AV39" i="1"/>
  <c r="AN39" i="1"/>
  <c r="AV35" i="1"/>
  <c r="AN35" i="1"/>
  <c r="AV67" i="1"/>
  <c r="P24" i="14"/>
  <c r="P15" i="6"/>
  <c r="AT65" i="1"/>
  <c r="C97" i="1"/>
  <c r="AT66" i="1"/>
  <c r="AT60" i="1"/>
  <c r="AT59" i="1"/>
  <c r="AT52" i="1"/>
  <c r="P14" i="15" s="1"/>
  <c r="AT24" i="1"/>
  <c r="AT70" i="1"/>
  <c r="AT20" i="1"/>
  <c r="AT22" i="1"/>
  <c r="AT21" i="1"/>
  <c r="P15" i="14"/>
  <c r="AV40" i="1"/>
  <c r="AN40" i="1"/>
  <c r="AT40" i="1"/>
  <c r="D23" i="6"/>
  <c r="D25" i="6" s="1"/>
  <c r="AT37" i="1"/>
  <c r="AN37" i="1"/>
  <c r="AV37" i="1"/>
  <c r="AT69" i="1"/>
  <c r="AT28" i="1" l="1"/>
  <c r="AG33" i="14"/>
  <c r="AG38" i="14"/>
  <c r="AG31" i="14"/>
  <c r="AG28" i="14"/>
  <c r="AG32" i="14"/>
  <c r="AG20" i="14"/>
  <c r="AG21" i="14"/>
  <c r="AG26" i="14"/>
  <c r="AG37" i="14"/>
  <c r="AG36" i="14"/>
  <c r="AG22" i="14"/>
  <c r="AG27" i="14"/>
  <c r="AG25" i="14"/>
  <c r="AG23" i="14"/>
  <c r="AG24" i="14"/>
  <c r="C28" i="1"/>
  <c r="BH28" i="1"/>
  <c r="D9" i="15" s="1"/>
  <c r="M9" i="15" s="1"/>
  <c r="P17" i="15"/>
  <c r="D18" i="14"/>
  <c r="AN28" i="1"/>
  <c r="AT19" i="1"/>
  <c r="AV28" i="1"/>
  <c r="E51" i="2"/>
  <c r="D45" i="1"/>
  <c r="R55" i="2"/>
  <c r="AT67" i="1"/>
  <c r="P11" i="15"/>
  <c r="AT56" i="1"/>
  <c r="AQ45" i="1" l="1"/>
  <c r="BH45" i="1"/>
  <c r="R9" i="15"/>
  <c r="U18" i="14"/>
  <c r="D44" i="1"/>
  <c r="AV44" i="1" s="1"/>
  <c r="AV26" i="1" s="1"/>
  <c r="C45" i="1"/>
  <c r="R51" i="2"/>
  <c r="E151" i="2"/>
  <c r="P18" i="14"/>
  <c r="AN44" i="1" l="1"/>
  <c r="BH44" i="1"/>
  <c r="D10" i="15" s="1"/>
  <c r="M10" i="15" s="1"/>
  <c r="AQ44" i="1"/>
  <c r="R10" i="15"/>
  <c r="AG18" i="14"/>
  <c r="D19" i="14"/>
  <c r="P19" i="14" s="1"/>
  <c r="D26" i="1"/>
  <c r="AQ26" i="1" s="1"/>
  <c r="C44" i="1"/>
  <c r="AT44" i="1" s="1"/>
  <c r="AT26" i="1" s="1"/>
  <c r="R151" i="2"/>
  <c r="U19" i="14" l="1"/>
  <c r="D17" i="14"/>
  <c r="U17" i="14" s="1"/>
  <c r="P10" i="15"/>
  <c r="C26" i="1"/>
  <c r="C98" i="1" s="1"/>
  <c r="C101" i="1" s="1"/>
  <c r="C102" i="1" s="1"/>
  <c r="D98" i="1"/>
  <c r="D101" i="1" s="1"/>
  <c r="D102" i="1" s="1"/>
  <c r="AN26" i="1"/>
  <c r="D53" i="1"/>
  <c r="AQ53" i="1" s="1"/>
  <c r="AG19" i="14" l="1"/>
  <c r="P17" i="14"/>
  <c r="D29" i="14"/>
  <c r="U29" i="14" s="1"/>
  <c r="C53" i="1"/>
  <c r="AT53" i="1" s="1"/>
  <c r="D62" i="1"/>
  <c r="AQ62" i="1" s="1"/>
  <c r="AN53" i="1"/>
  <c r="D54" i="1"/>
  <c r="AV53" i="1"/>
  <c r="C54" i="1" l="1"/>
  <c r="AQ54" i="1"/>
  <c r="AG29" i="14"/>
  <c r="P29" i="14"/>
  <c r="D30" i="14"/>
  <c r="D19" i="15" s="1"/>
  <c r="D34" i="14"/>
  <c r="U34" i="14" s="1"/>
  <c r="AN54" i="1"/>
  <c r="C62" i="1"/>
  <c r="D99" i="1"/>
  <c r="D100" i="1" s="1"/>
  <c r="D63" i="1"/>
  <c r="D67" i="1"/>
  <c r="AQ67" i="1" s="1"/>
  <c r="AN62" i="1"/>
  <c r="AV62" i="1"/>
  <c r="C63" i="1" l="1"/>
  <c r="AQ63" i="1"/>
  <c r="P34" i="14"/>
  <c r="U30" i="14"/>
  <c r="AG30" i="14" s="1"/>
  <c r="P30" i="14"/>
  <c r="AG34" i="14"/>
  <c r="D35" i="14"/>
  <c r="D40" i="14"/>
  <c r="U40" i="14" s="1"/>
  <c r="AN63" i="1"/>
  <c r="AT62" i="1"/>
  <c r="P19" i="15" s="1"/>
  <c r="C99" i="1"/>
  <c r="C100" i="1" s="1"/>
  <c r="C67" i="1"/>
  <c r="D72" i="1"/>
  <c r="AQ72" i="1" s="1"/>
  <c r="D68" i="1"/>
  <c r="AN67" i="1"/>
  <c r="C68" i="1" l="1"/>
  <c r="AQ68" i="1"/>
  <c r="R19" i="15"/>
  <c r="S19" i="15"/>
  <c r="U35" i="14"/>
  <c r="P35" i="14"/>
  <c r="AG40" i="14"/>
  <c r="AG35" i="14"/>
  <c r="P40" i="14"/>
  <c r="D41" i="14"/>
  <c r="D20" i="15" s="1"/>
  <c r="T19" i="15"/>
  <c r="AN68" i="1"/>
  <c r="C72" i="1"/>
  <c r="AT72" i="1" s="1"/>
  <c r="P20" i="15" s="1"/>
  <c r="S20" i="15" s="1"/>
  <c r="D154" i="10"/>
  <c r="AV72" i="1"/>
  <c r="E152" i="2"/>
  <c r="D73" i="1"/>
  <c r="AN72" i="1"/>
  <c r="C73" i="1" l="1"/>
  <c r="AQ73" i="1"/>
  <c r="R152" i="2"/>
  <c r="E153" i="2"/>
  <c r="R153" i="2" s="1"/>
  <c r="AN73" i="1"/>
  <c r="D155" i="10"/>
  <c r="V155" i="10" s="1"/>
  <c r="V154" i="10"/>
  <c r="R20" i="15"/>
  <c r="AO10" i="1"/>
  <c r="AO8" i="1" s="1"/>
  <c r="H24" i="1"/>
  <c r="AR24" i="1" l="1"/>
  <c r="BO42" i="1"/>
  <c r="BO38" i="1"/>
  <c r="BO34" i="1"/>
  <c r="BO30" i="1"/>
  <c r="BO33" i="1"/>
  <c r="BO36" i="1"/>
  <c r="BO37" i="1"/>
  <c r="BO40" i="1"/>
  <c r="BO35" i="1"/>
  <c r="BO41" i="1"/>
  <c r="BO29" i="1"/>
  <c r="H24" i="15"/>
  <c r="N24" i="15" s="1"/>
  <c r="BO32" i="1"/>
  <c r="BO39" i="1"/>
  <c r="BO31" i="1"/>
  <c r="BM39" i="1"/>
  <c r="BM35" i="1"/>
  <c r="BM31" i="1"/>
  <c r="BM42" i="1"/>
  <c r="BM38" i="1"/>
  <c r="BM34" i="1"/>
  <c r="BM30" i="1"/>
  <c r="BM36" i="1"/>
  <c r="BM32" i="1"/>
  <c r="BM40" i="1"/>
  <c r="BM41" i="1"/>
  <c r="BM37" i="1"/>
  <c r="BM33" i="1"/>
  <c r="BM29" i="1"/>
  <c r="BK40" i="1"/>
  <c r="BK41" i="1"/>
  <c r="BK42" i="1"/>
  <c r="BK31" i="1"/>
  <c r="BK34" i="1"/>
  <c r="BK38" i="1"/>
  <c r="BK58" i="1"/>
  <c r="H16" i="15" s="1"/>
  <c r="N16" i="15" s="1"/>
  <c r="T16" i="15" s="1"/>
  <c r="BK29" i="1"/>
  <c r="BK33" i="1"/>
  <c r="BK37" i="1"/>
  <c r="BK32" i="1"/>
  <c r="BK35" i="1"/>
  <c r="BK30" i="1"/>
  <c r="BK39" i="1"/>
  <c r="BK52" i="1"/>
  <c r="H14" i="15" s="1"/>
  <c r="N14" i="15" s="1"/>
  <c r="T14" i="15" s="1"/>
  <c r="BK36" i="1"/>
  <c r="BK46" i="1"/>
  <c r="BK45" i="1"/>
  <c r="BK47" i="1"/>
  <c r="BK59" i="1"/>
  <c r="H17" i="15" s="1"/>
  <c r="N17" i="15" s="1"/>
  <c r="T17" i="15" s="1"/>
  <c r="BK28" i="1"/>
  <c r="H9" i="15" s="1"/>
  <c r="N9" i="15" s="1"/>
  <c r="T9" i="15" s="1"/>
  <c r="BK49" i="1"/>
  <c r="H11" i="15" s="1"/>
  <c r="N11" i="15" s="1"/>
  <c r="T11" i="15" s="1"/>
  <c r="BK57" i="1"/>
  <c r="H15" i="15" s="1"/>
  <c r="N15" i="15" s="1"/>
  <c r="T15" i="15" s="1"/>
  <c r="BK51" i="1"/>
  <c r="H13" i="15" s="1"/>
  <c r="N13" i="15" s="1"/>
  <c r="T13" i="15" s="1"/>
  <c r="BK50" i="1"/>
  <c r="H12" i="15" s="1"/>
  <c r="N12" i="15" s="1"/>
  <c r="T12" i="15" s="1"/>
  <c r="BK44" i="1"/>
  <c r="H10" i="15" s="1"/>
  <c r="N10" i="15" s="1"/>
  <c r="T10" i="15" s="1"/>
  <c r="H53" i="1"/>
  <c r="AR53" i="1" s="1"/>
  <c r="AO24" i="1"/>
  <c r="S13" i="15" l="1"/>
  <c r="S15" i="15"/>
  <c r="S9" i="15"/>
  <c r="S16" i="15"/>
  <c r="S11" i="15"/>
  <c r="S14" i="15"/>
  <c r="S10" i="15"/>
  <c r="S17" i="15"/>
  <c r="S12" i="15"/>
  <c r="H62" i="1"/>
  <c r="AR62" i="1" s="1"/>
  <c r="AO53" i="1"/>
  <c r="H54" i="1"/>
  <c r="AR54" i="1" s="1"/>
  <c r="AO54" i="1" l="1"/>
  <c r="H63" i="1"/>
  <c r="AR63" i="1" s="1"/>
  <c r="H67" i="1"/>
  <c r="AR67" i="1" s="1"/>
  <c r="AO62" i="1"/>
  <c r="H72" i="1" l="1"/>
  <c r="AO67" i="1"/>
  <c r="H68" i="1"/>
  <c r="AR68" i="1" s="1"/>
  <c r="AO63" i="1"/>
  <c r="AR72" i="1" l="1"/>
  <c r="H26" i="15"/>
  <c r="N26" i="15" s="1"/>
  <c r="AO68" i="1"/>
  <c r="AO72" i="1"/>
  <c r="H73" i="1"/>
  <c r="AR73" i="1" s="1"/>
  <c r="AO7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tc={42851D8A-E242-4234-86E0-FAD4C893A2D2}</author>
    <author>tc={0474AEF5-16D2-4017-8935-44AEF448BB56}</author>
    <author>tc={A0875436-89A1-4137-8C48-CC0ED5DE1992}</author>
  </authors>
  <commentList>
    <comment ref="K19" authorId="0" shapeId="0" xr:uid="{706FE076-9846-4B96-9356-B32527F81575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Aguadando Apuração para lançamento</t>
        </r>
      </text>
    </comment>
    <comment ref="N19" authorId="0" shapeId="0" xr:uid="{A885013B-1441-4612-8543-96A8FE6A7D53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Aguadando Apuração para lançamento</t>
        </r>
      </text>
    </comment>
    <comment ref="E52" authorId="1" shapeId="0" xr:uid="{42851D8A-E242-4234-86E0-FAD4C893A2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24k Piso 10
12k Mão de Obra Terceiros</t>
      </text>
    </comment>
    <comment ref="A56" authorId="2" shapeId="0" xr:uid="{0474AEF5-16D2-4017-8935-44AEF448BB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Despesas de Vendas, Gerais e Administrativas </t>
      </text>
    </comment>
    <comment ref="E58" authorId="3" shapeId="0" xr:uid="{A0875436-89A1-4137-8C48-CC0ED5DE19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23K GUIGA E LEO NÃO PREVISTO
22K INFLUENCER
5K MIDIA MADONNA
50K TOTAL</t>
      </text>
    </comment>
    <comment ref="A71" authorId="0" shapeId="0" xr:uid="{927E3F36-7C92-418B-AA60-FFC0989356DD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Lançamento trimestral Apuração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H54" authorId="0" shapeId="0" xr:uid="{D8619CD6-BE68-4DCD-94A2-8B67673788C1}">
      <text>
        <r>
          <rPr>
            <b/>
            <sz val="11"/>
            <color indexed="81"/>
            <rFont val="Segoe UI"/>
            <family val="2"/>
          </rPr>
          <t>Lenovo:
13,5k acordo Leonardo e Samuel.
25k Rescisões</t>
        </r>
      </text>
    </comment>
    <comment ref="H58" authorId="0" shapeId="0" xr:uid="{A8BCF33E-726F-414D-B612-31698FF89578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Novos Funcionários Contratados</t>
        </r>
      </text>
    </comment>
    <comment ref="K58" authorId="0" shapeId="0" xr:uid="{F0EA1887-E790-4B89-B79D-E654ED1FBF01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Tivemos R$2.493,68 novos colaboradores
</t>
        </r>
      </text>
    </comment>
    <comment ref="H62" authorId="0" shapeId="0" xr:uid="{4BAE61D9-34EA-40D4-93C1-718247DA46EE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Aquisições de novos uniformes
</t>
        </r>
      </text>
    </comment>
    <comment ref="F63" authorId="0" shapeId="0" xr:uid="{7B8BC6C3-7D8F-4BF8-AB6A-68B406D48624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9k combinado
total extra 17k</t>
        </r>
      </text>
    </comment>
    <comment ref="H63" authorId="0" shapeId="0" xr:uid="{E5A54FE5-99C2-4880-AB0B-41984D701654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9k Acordo dobra garçom
total 15k Extra
</t>
        </r>
      </text>
    </comment>
    <comment ref="B66" authorId="0" shapeId="0" xr:uid="{4A393878-3DE9-424F-B7EA-D41133DF1265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Valor Referente a retenção dos PJs
</t>
        </r>
      </text>
    </comment>
    <comment ref="D67" authorId="0" shapeId="0" xr:uid="{D069B9BE-FEC0-4682-89AA-E9300BDD2001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Gorjeta baixa devido ao fechamento op. 22/12/25 a 04/01/26</t>
        </r>
      </text>
    </comment>
    <comment ref="D77" authorId="0" shapeId="0" xr:uid="{26C972BB-6C3F-4480-8569-B2CF9A84DA92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IPTU a partir de Fev. 10 Meses</t>
        </r>
      </text>
    </comment>
    <comment ref="H81" authorId="0" shapeId="0" xr:uid="{E9F6D38E-1F22-472E-A2FB-34FE749C637B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Conta do Meet foi feito um desconto integral indevido ao pagamento de dezembro em abatimento de março aproximadamente 10k</t>
        </r>
      </text>
    </comment>
    <comment ref="D84" authorId="0" shapeId="0" xr:uid="{E4EB5FD1-8564-40F5-B63B-D421750328C9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24k Piso 10
12k Mão de Obra Terceiros</t>
        </r>
      </text>
    </comment>
    <comment ref="F85" authorId="0" shapeId="0" xr:uid="{0FD433E5-6937-402D-9C9F-70F29952F887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Decoração da nova entrada</t>
        </r>
      </text>
    </comment>
    <comment ref="D90" authorId="0" shapeId="0" xr:uid="{A1315773-FFA0-4788-8794-075BA29970A8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menos dias de abertura em janeiro consequentemente quantidade menor de policiais</t>
        </r>
      </text>
    </comment>
    <comment ref="F103" authorId="0" shapeId="0" xr:uid="{B10D275C-4952-4D61-86EB-AEB0BA408442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-12k carlos Mkt, não teve serv. No mês</t>
        </r>
      </text>
    </comment>
    <comment ref="H103" authorId="0" shapeId="0" xr:uid="{B6128E85-6BD6-45D5-813D-8F22014EBF9C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12k Rescisão Carlos
4k Ajuste Karine
Total 28k 
</t>
        </r>
      </text>
    </comment>
    <comment ref="H106" authorId="0" shapeId="0" xr:uid="{6934B29A-94C8-4B1A-B613-8B796EDDD646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Adicional com escrítorio novo HOS
</t>
        </r>
      </text>
    </comment>
    <comment ref="H108" authorId="0" shapeId="0" xr:uid="{557A16DE-146E-42B5-98CC-B51559AA5590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Adicional Escritório novo HOS</t>
        </r>
      </text>
    </comment>
    <comment ref="D117" authorId="0" shapeId="0" xr:uid="{4C2E06A6-5F6C-4EB8-9B85-ED01E2C19731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Honorarios mais Reembolso
</t>
        </r>
      </text>
    </comment>
    <comment ref="B133" authorId="0" shapeId="0" xr:uid="{2431D854-7D31-4185-8192-F9D0A5989C66}">
      <text>
        <r>
          <rPr>
            <b/>
            <sz val="11"/>
            <color indexed="81"/>
            <rFont val="Segoe UI"/>
            <family val="2"/>
          </rPr>
          <t>Lenovo:</t>
        </r>
        <r>
          <rPr>
            <sz val="11"/>
            <color indexed="81"/>
            <rFont val="Segoe UI"/>
            <family val="2"/>
          </rPr>
          <t xml:space="preserve">
Em revisão conforme Extrato Bancário</t>
        </r>
      </text>
    </comment>
  </commentList>
</comments>
</file>

<file path=xl/sharedStrings.xml><?xml version="1.0" encoding="utf-8"?>
<sst xmlns="http://schemas.openxmlformats.org/spreadsheetml/2006/main" count="23880" uniqueCount="2656">
  <si>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</si>
  <si>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</si>
  <si>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</si>
  <si>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</si>
  <si>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</si>
  <si>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</si>
  <si>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</si>
  <si>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</si>
  <si>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</si>
  <si>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</si>
  <si>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</si>
  <si>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</si>
  <si>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CLIENTES</t>
  </si>
  <si>
    <t>Ticket Médio - R$M</t>
  </si>
  <si>
    <t>Faturamento Bruto</t>
  </si>
  <si>
    <t>Dinheiro</t>
  </si>
  <si>
    <t>Cartão de Débito</t>
  </si>
  <si>
    <t>Cartão de Crédito</t>
  </si>
  <si>
    <t>Evento Faturado</t>
  </si>
  <si>
    <t>Delivery</t>
  </si>
  <si>
    <t>Impostos sobre Vendas</t>
  </si>
  <si>
    <t>ICMS</t>
  </si>
  <si>
    <t>COFINS</t>
  </si>
  <si>
    <t>PIS</t>
  </si>
  <si>
    <t>Receita Líquida</t>
  </si>
  <si>
    <t>CUSTOS/DESPESAS</t>
  </si>
  <si>
    <t>CMV</t>
  </si>
  <si>
    <t>Carnes Bovina</t>
  </si>
  <si>
    <t>Vinhos/Espumantes</t>
  </si>
  <si>
    <t>Bebidas Alcoólicas</t>
  </si>
  <si>
    <t>Hortifruti</t>
  </si>
  <si>
    <t>Bebidas não Alcoolicas</t>
  </si>
  <si>
    <t>Pescados</t>
  </si>
  <si>
    <t>Estoque Final</t>
  </si>
  <si>
    <t>Estoque Inicial</t>
  </si>
  <si>
    <t>(-) Reclassificação CMV</t>
  </si>
  <si>
    <t>Pessoal</t>
  </si>
  <si>
    <t>Ocupação</t>
  </si>
  <si>
    <t>Operação</t>
  </si>
  <si>
    <t>Lucro Bruto</t>
  </si>
  <si>
    <t>SG&amp;A</t>
  </si>
  <si>
    <t>Administrativa</t>
  </si>
  <si>
    <t>Marketing</t>
  </si>
  <si>
    <t>Taxa Cartão Crédito</t>
  </si>
  <si>
    <t>Royalties</t>
  </si>
  <si>
    <t>Depreciação</t>
  </si>
  <si>
    <t>Amortização</t>
  </si>
  <si>
    <t>Despesas Financeiras</t>
  </si>
  <si>
    <t>Rec/Desp não Operacionais</t>
  </si>
  <si>
    <t>Impostos (IRPJ/CSLL)</t>
  </si>
  <si>
    <t>Resultado Operacional</t>
  </si>
  <si>
    <t>MARGEM LÍQUIDA</t>
  </si>
  <si>
    <t>CHECK</t>
  </si>
  <si>
    <t>DESPESAS OPERACIONAIS</t>
  </si>
  <si>
    <t>EBITDA</t>
  </si>
  <si>
    <t>Margem EBITDA</t>
  </si>
  <si>
    <t>Lucro Líquido</t>
  </si>
  <si>
    <t>Margem LL</t>
  </si>
  <si>
    <t>DESCRIÇÃO</t>
  </si>
  <si>
    <t>CONTA</t>
  </si>
  <si>
    <t>MAIO</t>
  </si>
  <si>
    <t>TOTAL</t>
  </si>
  <si>
    <t>x.x.x.xx.xxxxx</t>
  </si>
  <si>
    <t>TICKET MEDIO</t>
  </si>
  <si>
    <t>Rec.Venda no Merc.Int.de Prod.Fabr.Próp.</t>
  </si>
  <si>
    <t>3.1.1.01.00004</t>
  </si>
  <si>
    <t>FATURAMENTO</t>
  </si>
  <si>
    <t xml:space="preserve">IMPOSTOS </t>
  </si>
  <si>
    <t>%</t>
  </si>
  <si>
    <t>(-) ICMS</t>
  </si>
  <si>
    <t>3.1.1.02.00002</t>
  </si>
  <si>
    <t>(-) Cofins</t>
  </si>
  <si>
    <t>3.1.1.02.00003</t>
  </si>
  <si>
    <t>(-) PIS/Pasep</t>
  </si>
  <si>
    <t>3.1.1.02.00004</t>
  </si>
  <si>
    <t>(-) ICMS Diferencial Aliquota Simples</t>
  </si>
  <si>
    <t>5.4.1.03.00035</t>
  </si>
  <si>
    <t>IRPJ</t>
  </si>
  <si>
    <t>6.1.1.01.00001</t>
  </si>
  <si>
    <t>CSSL</t>
  </si>
  <si>
    <t>6.1.1.01.00002</t>
  </si>
  <si>
    <t>4.1.2.04.00002</t>
  </si>
  <si>
    <t>CSLL</t>
  </si>
  <si>
    <t>4.1.2.04.00001</t>
  </si>
  <si>
    <t>CUSTOS DOS PRODUTOS VENDIDOS</t>
  </si>
  <si>
    <t>5.4.1.01.00002</t>
  </si>
  <si>
    <t>5.4.1.01.00003</t>
  </si>
  <si>
    <t>5.4.1.01.00006</t>
  </si>
  <si>
    <t>5.4.1.01.00007</t>
  </si>
  <si>
    <t>5.4.1.01.00008</t>
  </si>
  <si>
    <t>5.4.1.01.00009</t>
  </si>
  <si>
    <t>5.4.1.01.00010</t>
  </si>
  <si>
    <t>5.4.1.01.00011</t>
  </si>
  <si>
    <t>5.4.1.01.00012</t>
  </si>
  <si>
    <t>5.4.1.01.00013</t>
  </si>
  <si>
    <t>5.4.1.01.00015</t>
  </si>
  <si>
    <t>5.4.1.01.00016</t>
  </si>
  <si>
    <t>5.4.1.01.00001</t>
  </si>
  <si>
    <t>5.4.1.01.00017</t>
  </si>
  <si>
    <t>ÍNDICE</t>
  </si>
  <si>
    <t>RECEITA LÍQUIDA</t>
  </si>
  <si>
    <t>PESSOAL</t>
  </si>
  <si>
    <t>Salários e Ordenados</t>
  </si>
  <si>
    <t>5.4.1.02.00001</t>
  </si>
  <si>
    <t>13º Salário</t>
  </si>
  <si>
    <t>5.4.1.02.00004</t>
  </si>
  <si>
    <t>Férias</t>
  </si>
  <si>
    <t>5.4.1.02.00005</t>
  </si>
  <si>
    <t>INSS</t>
  </si>
  <si>
    <t>5.4.1.02.00006</t>
  </si>
  <si>
    <t>FGTS</t>
  </si>
  <si>
    <t>5.4.1.02.00007</t>
  </si>
  <si>
    <t>Indenizações e Aviso Prévio</t>
  </si>
  <si>
    <t>5.4.1.02.00008</t>
  </si>
  <si>
    <t>Assistência Médica e Social</t>
  </si>
  <si>
    <t>5.4.1.02.00009</t>
  </si>
  <si>
    <t>Horas Extras</t>
  </si>
  <si>
    <t>5.4.1.02.00010</t>
  </si>
  <si>
    <t>Banco de Horas</t>
  </si>
  <si>
    <t>5.4.1.02.00011</t>
  </si>
  <si>
    <t>Vale Transporte</t>
  </si>
  <si>
    <t>5.4.1.02.00012</t>
  </si>
  <si>
    <t>5.4.1.02.00013</t>
  </si>
  <si>
    <t>5.4.1.02.00014</t>
  </si>
  <si>
    <t>Contribuição Sindical</t>
  </si>
  <si>
    <t>5.4.1.02.00016</t>
  </si>
  <si>
    <t>5.4.1.02.00017</t>
  </si>
  <si>
    <t>Seguro De Vida</t>
  </si>
  <si>
    <t>5.4.1.02.00018</t>
  </si>
  <si>
    <t>5.4.1.02.00019</t>
  </si>
  <si>
    <t>Uniforme</t>
  </si>
  <si>
    <t>5.4.1.02.00020</t>
  </si>
  <si>
    <t>5.4.1.02.00021</t>
  </si>
  <si>
    <t>Treinamento</t>
  </si>
  <si>
    <t>5.4.1.02.00022</t>
  </si>
  <si>
    <t>Auxilios</t>
  </si>
  <si>
    <t>5.4.1.02.00026</t>
  </si>
  <si>
    <t>Adicional Noturno</t>
  </si>
  <si>
    <t>5.4.1.02.00027</t>
  </si>
  <si>
    <t>5.4.1.02.00028</t>
  </si>
  <si>
    <t>Gorjetas Pagas</t>
  </si>
  <si>
    <t>5.4.1.02.00031</t>
  </si>
  <si>
    <t>Gratificações</t>
  </si>
  <si>
    <t>3.1.1.03.00008</t>
  </si>
  <si>
    <t>Gorjetas Recebidas</t>
  </si>
  <si>
    <t>3.1.1.03.00009</t>
  </si>
  <si>
    <t>Sindicato</t>
  </si>
  <si>
    <t>4.1.1.01.00026</t>
  </si>
  <si>
    <t>DSR</t>
  </si>
  <si>
    <t>GRATIFICAÇÃO -  INSS</t>
  </si>
  <si>
    <t>GRATIFICAÇÃO 13. SALÁRIO</t>
  </si>
  <si>
    <t>GRATIFICAÇÃO FGTS</t>
  </si>
  <si>
    <t>GRATIFICAÇÃO FÉRIAS</t>
  </si>
  <si>
    <t>OCUPAÇÃO</t>
  </si>
  <si>
    <t>Aluguéis</t>
  </si>
  <si>
    <t>4.1.1.02.00002</t>
  </si>
  <si>
    <t>4.1.1.02.00003</t>
  </si>
  <si>
    <t>IPTU</t>
  </si>
  <si>
    <t>4.1.1.02.00004</t>
  </si>
  <si>
    <t>4.1.1.02.00006</t>
  </si>
  <si>
    <t>3.1.2.01.00005</t>
  </si>
  <si>
    <t>OPERAÇÃO</t>
  </si>
  <si>
    <t>Água e Esgoto</t>
  </si>
  <si>
    <t>5.4.1.03.00001</t>
  </si>
  <si>
    <t>Aluguel de Maquinas</t>
  </si>
  <si>
    <t>5.4.1.03.00002</t>
  </si>
  <si>
    <t>Assessoria Nutricional</t>
  </si>
  <si>
    <t>5.4.1.03.00003</t>
  </si>
  <si>
    <t>5.4.1.03.00004</t>
  </si>
  <si>
    <t>Carvão</t>
  </si>
  <si>
    <t>5.4.1.03.00005</t>
  </si>
  <si>
    <t>Serviços de Gastronomia</t>
  </si>
  <si>
    <t>5.4.1.03.00007</t>
  </si>
  <si>
    <t>Decoração e Paisagismo</t>
  </si>
  <si>
    <t>5.4.1.03.00008</t>
  </si>
  <si>
    <t>Dedetização</t>
  </si>
  <si>
    <t>5.4.1.03.00009</t>
  </si>
  <si>
    <t>Despesas com Segurança</t>
  </si>
  <si>
    <t>5.4.1.03.00016</t>
  </si>
  <si>
    <t>Direitos Autorais - ECAD</t>
  </si>
  <si>
    <t>5.4.1.03.00018</t>
  </si>
  <si>
    <t>Embalagens</t>
  </si>
  <si>
    <t>5.4.1.03.00019</t>
  </si>
  <si>
    <t>Energia Elétrica</t>
  </si>
  <si>
    <t>5.4.1.03.00020</t>
  </si>
  <si>
    <t>Estacionamento</t>
  </si>
  <si>
    <t>5.4.1.03.00021</t>
  </si>
  <si>
    <t>Fretes e Carretos</t>
  </si>
  <si>
    <t>5.4.1.03.00022</t>
  </si>
  <si>
    <t>Gás Encanado</t>
  </si>
  <si>
    <t>5.4.1.03.00023</t>
  </si>
  <si>
    <t>Gelo</t>
  </si>
  <si>
    <t>5.4.1.03.00024</t>
  </si>
  <si>
    <t>Lavanderia</t>
  </si>
  <si>
    <t>5.4.1.03.00026</t>
  </si>
  <si>
    <t>Manutenção e Conservação</t>
  </si>
  <si>
    <t>5.4.1.03.00027</t>
  </si>
  <si>
    <t>Material de limpeza</t>
  </si>
  <si>
    <t>5.4.1.03.00028</t>
  </si>
  <si>
    <t>Músicos</t>
  </si>
  <si>
    <t>5.4.1.03.00029</t>
  </si>
  <si>
    <t>Outras Despesas</t>
  </si>
  <si>
    <t>5.4.1.03.00030</t>
  </si>
  <si>
    <t>5.4.1.03.00033</t>
  </si>
  <si>
    <t>5.4.1.03.00034</t>
  </si>
  <si>
    <t>Armazém</t>
  </si>
  <si>
    <t>5.4.1.03.00037</t>
  </si>
  <si>
    <t>Despesas de Seguros</t>
  </si>
  <si>
    <t>4.1.1.03.00011</t>
  </si>
  <si>
    <t>ADMINISTRATIVA</t>
  </si>
  <si>
    <t>4.1.1.03.00009</t>
  </si>
  <si>
    <t>4.1.1.03.00013</t>
  </si>
  <si>
    <t>Telefone e Internet</t>
  </si>
  <si>
    <t>4.1.1.03.00018</t>
  </si>
  <si>
    <t>Material de Escritório</t>
  </si>
  <si>
    <t>4.1.1.03.00024</t>
  </si>
  <si>
    <t>Material de Copa e Limpeza</t>
  </si>
  <si>
    <t>4.1.1.03.00025</t>
  </si>
  <si>
    <t>Informática</t>
  </si>
  <si>
    <t>4.1.1.03.00030</t>
  </si>
  <si>
    <t>5.4.1.03.00025</t>
  </si>
  <si>
    <t>Contabilidade</t>
  </si>
  <si>
    <t>4.1.1.03.00031</t>
  </si>
  <si>
    <t>Consultoria</t>
  </si>
  <si>
    <t>4.1.1.03.00033</t>
  </si>
  <si>
    <t>Honorarios Advocaticios</t>
  </si>
  <si>
    <t>4.1.1.03.00034</t>
  </si>
  <si>
    <t>Cartório/Protestos</t>
  </si>
  <si>
    <t>4.1.1.03.00041</t>
  </si>
  <si>
    <t>4.1.1.04.00003</t>
  </si>
  <si>
    <t>MARKETING</t>
  </si>
  <si>
    <t>Propaganda, Publicidade e Patrocínio</t>
  </si>
  <si>
    <t>4.1.1.04.00001</t>
  </si>
  <si>
    <t>TAXAS CARTÃO DE CRÉDITO</t>
  </si>
  <si>
    <t>Taxas Financeiras Diversas</t>
  </si>
  <si>
    <t>4.1.1.05.00004</t>
  </si>
  <si>
    <t>Agencias de Delivery</t>
  </si>
  <si>
    <t>4.1.1.05.00006</t>
  </si>
  <si>
    <t>Outras</t>
  </si>
  <si>
    <t>DEPRECIAÇÃO</t>
  </si>
  <si>
    <t>Encargos de Depreciação e Amortização</t>
  </si>
  <si>
    <t>4.1.1.03.00099</t>
  </si>
  <si>
    <t>DESPESAS FINANCEIRAS</t>
  </si>
  <si>
    <t>Encargos Bancarios</t>
  </si>
  <si>
    <t>4.1.1.05.00001</t>
  </si>
  <si>
    <t>Juros</t>
  </si>
  <si>
    <t>4.1.1.05.00002</t>
  </si>
  <si>
    <t>Multas</t>
  </si>
  <si>
    <t>4.1.1.03.00006</t>
  </si>
  <si>
    <t>ROYALTIES</t>
  </si>
  <si>
    <t>4.1.1.03.00002</t>
  </si>
  <si>
    <t>DESPESAS PRÉ-OPERACIONAIS</t>
  </si>
  <si>
    <t>Despesas Pré Operacionais</t>
  </si>
  <si>
    <t>5.4.1.03.00006</t>
  </si>
  <si>
    <t>Corporativos</t>
  </si>
  <si>
    <t>Remun.a Dirigentes e a Conselho de Adm.</t>
  </si>
  <si>
    <t>4.1.1.01.00001</t>
  </si>
  <si>
    <t>Prêmios e Gratificações</t>
  </si>
  <si>
    <t>5.4.1.02.00003</t>
  </si>
  <si>
    <t>Doações</t>
  </si>
  <si>
    <t>4.1.2.01.00008</t>
  </si>
  <si>
    <t>CÁLCULO DO IR ADICIONAL</t>
  </si>
  <si>
    <t>Lucro presumido</t>
  </si>
  <si>
    <t>Base cálculo líquida</t>
  </si>
  <si>
    <t>Imposto adicional</t>
  </si>
  <si>
    <t>DIAS MÊS</t>
  </si>
  <si>
    <t>10H - 100%</t>
  </si>
  <si>
    <t>#</t>
  </si>
  <si>
    <t>NOME</t>
  </si>
  <si>
    <t>FUNÇÃO</t>
  </si>
  <si>
    <t>DIVISÃO</t>
  </si>
  <si>
    <t>ADMISSÃO</t>
  </si>
  <si>
    <t>AJ. DE CUSTO</t>
  </si>
  <si>
    <t>SALÁRIO</t>
  </si>
  <si>
    <t>AD. NOTURNO</t>
  </si>
  <si>
    <t>HORA EXTRA</t>
  </si>
  <si>
    <t>FÉRIAS</t>
  </si>
  <si>
    <t>13º</t>
  </si>
  <si>
    <t>SAÚDE</t>
  </si>
  <si>
    <t>SEG. DE VIDA</t>
  </si>
  <si>
    <t>UNIFORME</t>
  </si>
  <si>
    <t>V.A</t>
  </si>
  <si>
    <t>CLT</t>
  </si>
  <si>
    <t>HOSTESS</t>
  </si>
  <si>
    <t>INVESTIMENTO</t>
  </si>
  <si>
    <t>SERVIÇOS CONTRATADOS VO</t>
  </si>
  <si>
    <t>BD25</t>
  </si>
  <si>
    <t xml:space="preserve">RAZÃO SOCIAL </t>
  </si>
  <si>
    <t xml:space="preserve">DESCRIÇÃO </t>
  </si>
  <si>
    <t>VALOR TUAL</t>
  </si>
  <si>
    <t>COD. CONTÁBIL</t>
  </si>
  <si>
    <t>TIPO</t>
  </si>
  <si>
    <t>INICIO DO CONTRATO</t>
  </si>
  <si>
    <t>VIGÊNCIA DO CONTRATO</t>
  </si>
  <si>
    <t>RENOVAÇÃO</t>
  </si>
  <si>
    <t>REAJUSTE</t>
  </si>
  <si>
    <t xml:space="preserve">RESTOCLEAN BRASIL </t>
  </si>
  <si>
    <t>ALUGUEL DE MAQUINAS</t>
  </si>
  <si>
    <t>AUTOMÁTICA</t>
  </si>
  <si>
    <t>IPCA</t>
  </si>
  <si>
    <t>CHECKLIST FACIL S/A</t>
  </si>
  <si>
    <t>SISTEMA NUTRICIONISTA</t>
  </si>
  <si>
    <t>INDETERMINADO</t>
  </si>
  <si>
    <t>NERI DOMINGOS LOPES</t>
  </si>
  <si>
    <t>SUPORTE TECNICO INFORMATICA (TEKNISA E TI)</t>
  </si>
  <si>
    <t>INTERSISTEMAS INFORMATICA LTDA (NETLOGIC)</t>
  </si>
  <si>
    <t>SUPORTE TECNICO INFORMATICA (TI)</t>
  </si>
  <si>
    <t>TEKNISA SERVICE LTDA</t>
  </si>
  <si>
    <t xml:space="preserve">SISTEMA </t>
  </si>
  <si>
    <t>ALCIR CID BONI JUNIOR 31284975835</t>
  </si>
  <si>
    <t>HOSPEDAGEM SITE (POBREJUAN.COM.BR)</t>
  </si>
  <si>
    <t>ITCAPITAL SERVICOS DE TECNOLOGIA LTDA.</t>
  </si>
  <si>
    <t>SUPORTE TÉCNICO (REDE DELIVERY NA INTERNET)</t>
  </si>
  <si>
    <t>SANTODIGITAL DISTRIBUICAO E CONSULTORIA</t>
  </si>
  <si>
    <t>E-MAIL</t>
  </si>
  <si>
    <t>MONTANA INSTALACOES DE AR CONDICIONADO LTDA ME</t>
  </si>
  <si>
    <t xml:space="preserve">MANUTENÇÃO E LIMPEZAS </t>
  </si>
  <si>
    <t>N/D</t>
  </si>
  <si>
    <t>DIEGO FARIAS DA COSTA</t>
  </si>
  <si>
    <t>MANUTENÇAO PREVENTIVA E CORRETIVA</t>
  </si>
  <si>
    <t>MULTISERVICE HIGIENIZACAO PRODUTOS E SERVICOS EIRELI</t>
  </si>
  <si>
    <t xml:space="preserve">PREVENTIVA MENSAL </t>
  </si>
  <si>
    <t>ANDRE LUIS MAGRO</t>
  </si>
  <si>
    <t xml:space="preserve">MUSICO </t>
  </si>
  <si>
    <t>VELOCITY DELIVERY EIRELI</t>
  </si>
  <si>
    <t xml:space="preserve">FRETE E CARRETO </t>
  </si>
  <si>
    <t>LALAMOVE TECNOLOGIA LTDA</t>
  </si>
  <si>
    <t>TRANSPORTADORA (FRETES E CARRETO)</t>
  </si>
  <si>
    <t>MULLER E BITTENCOURT CONSULTORIA LTDA</t>
  </si>
  <si>
    <t>NUTRICIONISTA (CONSULTORIA EM SEGURANÇA DE ALIMENTOS)</t>
  </si>
  <si>
    <t>4R AMBIENTAL LOCAÇÃO DE EQUIPAMENTOS LTDA</t>
  </si>
  <si>
    <t xml:space="preserve">COLETA DE LIXO </t>
  </si>
  <si>
    <t>CRYSTALMIXGAS COM DE MATERIAIS E EQUIP DE GAS LTDA</t>
  </si>
  <si>
    <t>LOCACAO DE CILINDRO (GÁS - CHOPP)</t>
  </si>
  <si>
    <t>TORCHTECH LOCAÇÃO DE EQUIPAMENTOS DE INFO LTDA COM DE EQUIP DE INFORMATICA LTDA</t>
  </si>
  <si>
    <t xml:space="preserve">LOCAÇÃO DE IMPRESSORAS </t>
  </si>
  <si>
    <t>ASTORIA DISTRIBUIDORA DE MAQUINAS S.A</t>
  </si>
  <si>
    <t xml:space="preserve">LOCAÇÃO - MAQUINA DE CAFÉ </t>
  </si>
  <si>
    <t>DR MACHINES PRIME MANUTENÇÃO E AUTOMOÇÃO LTDA</t>
  </si>
  <si>
    <t>LOCAÇÃO EQUIPAMENTOS (LAVA LOUÇAS)</t>
  </si>
  <si>
    <t xml:space="preserve">CLARO </t>
  </si>
  <si>
    <t>TELEFONIA / INTERNET</t>
  </si>
  <si>
    <t xml:space="preserve">PORTO SEGURO </t>
  </si>
  <si>
    <t>SEGURO EMPRESARIAL</t>
  </si>
  <si>
    <t>LM VENTURES GESTAO EMPRESARIAL LTDA</t>
  </si>
  <si>
    <t>LOCAÇÃO EQUIPAMENTOS (PAGERS ELETRÔNICOS - SENHAS)</t>
  </si>
  <si>
    <t>ALGAR SOLUÇOES S.A</t>
  </si>
  <si>
    <t xml:space="preserve">ALUGUEL ANTENAS </t>
  </si>
  <si>
    <t>BAK CONTABILIDADE LTDA</t>
  </si>
  <si>
    <t>CONTABILIDADE</t>
  </si>
  <si>
    <t>SOLIDES TECNOLOGIA S/A</t>
  </si>
  <si>
    <t>SOFTWARE MAPEAMENTO DE PERFIL DE CANDIDATOS (RH)</t>
  </si>
  <si>
    <t>MR AUDITORIA E CONTABILIDADE</t>
  </si>
  <si>
    <t>CONSULTORIA (AUDITORIA E CONTABILIDADE)</t>
  </si>
  <si>
    <t xml:space="preserve">ABRASEL </t>
  </si>
  <si>
    <t>ASSOCIAÇÃO BRAS. DE BARES E REST.</t>
  </si>
  <si>
    <t>BOBSON SÃO PAULO HIGIENE LTDA</t>
  </si>
  <si>
    <t>LOCAÇÃO EQUIPAMENTOS (DESODORIZADOR DE AMBIENTES)</t>
  </si>
  <si>
    <t>DIAS E PAMPLONA ADVOGADOS</t>
  </si>
  <si>
    <t>HONORARIOS ADVOCATICIOS</t>
  </si>
  <si>
    <t>GET IN TECNOLOGIA</t>
  </si>
  <si>
    <t>PLATAFORMA DE RESERVA E MENU DIGITAL</t>
  </si>
  <si>
    <t>SERBOM ARMAZENS GERAIS LTDA</t>
  </si>
  <si>
    <t>SERVIÇO DE ARMAZENAGEM</t>
  </si>
  <si>
    <t>VERISURE BRASIL MONITORAMENTO</t>
  </si>
  <si>
    <t>SERVIÇOS DE MONITORAMENTO (ALARMES)</t>
  </si>
  <si>
    <t>MUNDIVOX NETWORKS LTDA</t>
  </si>
  <si>
    <t>MARCO A. H. MICHALUATE</t>
  </si>
  <si>
    <t>PROPAGANDA E PUBLICIDADE</t>
  </si>
  <si>
    <t xml:space="preserve">TURMA DO TOMATE </t>
  </si>
  <si>
    <t xml:space="preserve">EVENTOS </t>
  </si>
  <si>
    <t xml:space="preserve">SM SEGURANÇA </t>
  </si>
  <si>
    <t>SEGURANÇA</t>
  </si>
  <si>
    <t xml:space="preserve">ABRILSAN </t>
  </si>
  <si>
    <t>ALLUGG LOCACOES LTDA</t>
  </si>
  <si>
    <t>SOFTWARE PACOTE OFFCER</t>
  </si>
  <si>
    <t>JEFFERSON CESARIO</t>
  </si>
  <si>
    <t xml:space="preserve">FELIPE A DE S FARIAS LAVANDERIA </t>
  </si>
  <si>
    <t>LAVANDERIA</t>
  </si>
  <si>
    <t>SOFTPLAN S.A</t>
  </si>
  <si>
    <t xml:space="preserve">SOFTWARE </t>
  </si>
  <si>
    <t>NINFA</t>
  </si>
  <si>
    <t>MA</t>
  </si>
  <si>
    <t>CURUPIRA S/A</t>
  </si>
  <si>
    <t>KADURA POWER BANK COM.ELETR.LTDA</t>
  </si>
  <si>
    <t>MG GERADORES</t>
  </si>
  <si>
    <t>GERADOR 165KVAS</t>
  </si>
  <si>
    <t>MAM</t>
  </si>
  <si>
    <t>DEDETIZAÇÃO</t>
  </si>
  <si>
    <t>Prestação De Serviço Pessoa Jurídica</t>
  </si>
  <si>
    <t>Paisagismo</t>
  </si>
  <si>
    <t>Eventos / Recreação</t>
  </si>
  <si>
    <t>Propaganda, Publicidade E Patrocínio</t>
  </si>
  <si>
    <t>Xerox E Cópias</t>
  </si>
  <si>
    <t>Check</t>
  </si>
  <si>
    <t>GORJETA RECEBIDA</t>
  </si>
  <si>
    <t>GORJETA PAGA</t>
  </si>
  <si>
    <t>RETENÇÃO</t>
  </si>
  <si>
    <t>XX</t>
  </si>
  <si>
    <t>GRUPO</t>
  </si>
  <si>
    <t>Descrição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</si>
  <si>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</si>
  <si>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</si>
  <si>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</si>
  <si>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</si>
  <si>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</si>
  <si>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</si>
  <si>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</si>
  <si>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</si>
  <si>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</si>
  <si>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</si>
  <si>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</si>
  <si>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</si>
  <si>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PESCADOS</t>
  </si>
  <si>
    <t>BD26 - BASE DE DADOS</t>
  </si>
  <si>
    <t>INVESTIMENTO (2026)</t>
  </si>
  <si>
    <t>PLANEJAMENTO FATURAMENTO 2026</t>
  </si>
  <si>
    <t>RESTAURANTE MEET (S/ EVENTOS)</t>
  </si>
  <si>
    <t>Restaurante</t>
  </si>
  <si>
    <t>Mês</t>
  </si>
  <si>
    <t>2022 (R$)</t>
  </si>
  <si>
    <t>2023 (R$)</t>
  </si>
  <si>
    <t>Variação
2023 x 2022</t>
  </si>
  <si>
    <t>2024 (R$)</t>
  </si>
  <si>
    <t>Variação
2024 x 2023</t>
  </si>
  <si>
    <t>2025 (R$)</t>
  </si>
  <si>
    <t>Variação
2025 x 2024</t>
  </si>
  <si>
    <t>2026 (R$)</t>
  </si>
  <si>
    <t>Variação
2026 x 2025</t>
  </si>
  <si>
    <t>—</t>
  </si>
  <si>
    <t>Total Anual</t>
  </si>
  <si>
    <t>CRESCIMENTO</t>
  </si>
  <si>
    <r>
      <rPr>
        <b/>
        <sz val="11"/>
        <color rgb="FF0000CC"/>
        <rFont val="Arial"/>
        <family val="2"/>
        <scheme val="minor"/>
      </rPr>
      <t>MEMÓRIA DE CÁLCULO</t>
    </r>
    <r>
      <rPr>
        <sz val="11"/>
        <color rgb="FF0000CC"/>
        <rFont val="Arial"/>
        <family val="2"/>
        <scheme val="minor"/>
      </rPr>
      <t xml:space="preserve">
Faturamento Restaurante = Extraido das vendas do Lorean, baseado no caixa
Faturamento Eventos = Extraido da planilha do Financeiro</t>
    </r>
  </si>
  <si>
    <t>EVENTOS</t>
  </si>
  <si>
    <t>RESTAURANTE + EVENTOS</t>
  </si>
  <si>
    <t>Carnes e Aves</t>
  </si>
  <si>
    <t>Paes, Massas e Salgados</t>
  </si>
  <si>
    <t>Secos - Mercearia</t>
  </si>
  <si>
    <t>Enlatados e Conservas</t>
  </si>
  <si>
    <t>EBIT</t>
  </si>
  <si>
    <t>TOTAL PASS</t>
  </si>
  <si>
    <t>BD(2026)</t>
  </si>
  <si>
    <t>MARGEM EBITDA</t>
  </si>
  <si>
    <t>MARGEM EBIT</t>
  </si>
  <si>
    <t>Ações (Eventos com Funcionários)</t>
  </si>
  <si>
    <t>Casa de Apoio</t>
  </si>
  <si>
    <t>Quant Pes</t>
  </si>
  <si>
    <t>TK</t>
  </si>
  <si>
    <t xml:space="preserve">Flavio Gonçalves </t>
  </si>
  <si>
    <t xml:space="preserve">Joao Marcos Vieira de Sousa </t>
  </si>
  <si>
    <t>Maria Cleide de Lima</t>
  </si>
  <si>
    <t>Rosangela Aparecida da Cruz Anselmo</t>
  </si>
  <si>
    <t>vaga</t>
  </si>
  <si>
    <t xml:space="preserve">José Angel Vegas Gutierrez </t>
  </si>
  <si>
    <t>Llineida Ramona Mota Figueira</t>
  </si>
  <si>
    <t>Nilson Pereira Freire</t>
  </si>
  <si>
    <t xml:space="preserve">Francisco Allan Souza Oliveira </t>
  </si>
  <si>
    <t>Reinam Santos de Jesus</t>
  </si>
  <si>
    <t>Sivanildo Ribeiro Maceno</t>
  </si>
  <si>
    <t xml:space="preserve">Henrique Damasceno dos Santos </t>
  </si>
  <si>
    <t>Jhenefer Estefane Santana da Silva</t>
  </si>
  <si>
    <t xml:space="preserve">Kaylan Lima Ushoa </t>
  </si>
  <si>
    <t>Wallace de Jesus Silva</t>
  </si>
  <si>
    <t>Jonatas Figueredo dos Santos</t>
  </si>
  <si>
    <t>Gelson Fernandes Lopes da Silva</t>
  </si>
  <si>
    <t>Lucieldo Cardoso de Cerqueira</t>
  </si>
  <si>
    <t xml:space="preserve">Raoni Moura dos Santos </t>
  </si>
  <si>
    <t>Jose Douglas Bezerra</t>
  </si>
  <si>
    <t>Joyce Caroline Carneiro Gomes</t>
  </si>
  <si>
    <t>Natalia de Oliveira Silva</t>
  </si>
  <si>
    <t>Thais dos Santos de Oliveira</t>
  </si>
  <si>
    <t xml:space="preserve">Raul Vitor Virgens Santos </t>
  </si>
  <si>
    <t>Willian Santos Melo Silva</t>
  </si>
  <si>
    <t>Adriano de Melo Ravasi</t>
  </si>
  <si>
    <t>Antonio Carlos Pereira da Silva</t>
  </si>
  <si>
    <t>Esterfania Maria da Silva</t>
  </si>
  <si>
    <t>Hildevaldo Alves Pereira</t>
  </si>
  <si>
    <t>Janaina Rodrigues de Araujo</t>
  </si>
  <si>
    <t>José Diego Nobrega de Farias</t>
  </si>
  <si>
    <t xml:space="preserve">Karina Francisca de Souza </t>
  </si>
  <si>
    <t>Cleiton Bezerra Guerra</t>
  </si>
  <si>
    <t>Gabriel Augusto Jacomini de Almeida</t>
  </si>
  <si>
    <t>Anderson Roy Calle Williams Mamani</t>
  </si>
  <si>
    <t>Daniel Messias de Araujo</t>
  </si>
  <si>
    <t>Francisco Holanda Ribeiro</t>
  </si>
  <si>
    <t>Henrique Pimenta Fontes</t>
  </si>
  <si>
    <t>Josiel de Carvalho Ramos</t>
  </si>
  <si>
    <t>Moises da Costa Pacheco</t>
  </si>
  <si>
    <t>Tamiris Felipe dos Santos</t>
  </si>
  <si>
    <t xml:space="preserve">Yasmin Soares Lima </t>
  </si>
  <si>
    <t xml:space="preserve">Fabio Junior Silvestre Nascimento </t>
  </si>
  <si>
    <t>Rafael Donizete Venceslau Martins</t>
  </si>
  <si>
    <t>Bruno Igor Ribeiro de Souza</t>
  </si>
  <si>
    <t>Eder de Jesus Silva</t>
  </si>
  <si>
    <t>Henrique da Silva Santos</t>
  </si>
  <si>
    <t>Jocimar Eloi de Oliveir</t>
  </si>
  <si>
    <t xml:space="preserve">José Danilo da Silva Rodrigues </t>
  </si>
  <si>
    <t xml:space="preserve">Leandro Araujo Lima </t>
  </si>
  <si>
    <t xml:space="preserve">Leandro dos Santos de Carvalho </t>
  </si>
  <si>
    <t>Mellanny Dourado Azevedo</t>
  </si>
  <si>
    <t>Regilene Ribeiro de Santana</t>
  </si>
  <si>
    <t>Reginaldo Saturnino Silva</t>
  </si>
  <si>
    <t>Thiago de Queiroz Souza</t>
  </si>
  <si>
    <t>Thomas Cardoso dos Reis</t>
  </si>
  <si>
    <t>Fernando Molas da Costa</t>
  </si>
  <si>
    <t>Flavio de Sousa Pereira</t>
  </si>
  <si>
    <t>Josenilton Batista dos Santos</t>
  </si>
  <si>
    <t xml:space="preserve">Lucas Caiafa Vieira </t>
  </si>
  <si>
    <t>Luis Miguel Silvestre Rocha</t>
  </si>
  <si>
    <t>Tiago Bispo de Siqueira</t>
  </si>
  <si>
    <t>Antonio Wallisson Barbosa Silva</t>
  </si>
  <si>
    <t>Francisco Lamarque da Silva Ferreira</t>
  </si>
  <si>
    <t xml:space="preserve">Fernanda Barbosa Soares </t>
  </si>
  <si>
    <t>Victoria Amaral Ribeiro</t>
  </si>
  <si>
    <t>Antonio Rodrigues da Silva</t>
  </si>
  <si>
    <t xml:space="preserve">Genario Barbosa de Noronha </t>
  </si>
  <si>
    <t xml:space="preserve">Marcio Fernandes de Moura </t>
  </si>
  <si>
    <t>Ajudante de Cozinha</t>
  </si>
  <si>
    <t>Auxiliar de Limpeza</t>
  </si>
  <si>
    <t xml:space="preserve">Barback </t>
  </si>
  <si>
    <t>Chefe de Fila</t>
  </si>
  <si>
    <t xml:space="preserve">Cozinheiro Lider </t>
  </si>
  <si>
    <t>Cumim</t>
  </si>
  <si>
    <t>Estoquista</t>
  </si>
  <si>
    <t>Lider de Almoxarifado</t>
  </si>
  <si>
    <t>Lider de bar</t>
  </si>
  <si>
    <t>Maitre</t>
  </si>
  <si>
    <t>Operadora de Caixa</t>
  </si>
  <si>
    <t>Bartender I</t>
  </si>
  <si>
    <t>Bartender II</t>
  </si>
  <si>
    <t>Bartender III</t>
  </si>
  <si>
    <t>Confeiteiro I</t>
  </si>
  <si>
    <t>Confeiteiro II</t>
  </si>
  <si>
    <t>Confeiteiro III</t>
  </si>
  <si>
    <t>Cozinheiro I</t>
  </si>
  <si>
    <t>Cozinheiro II</t>
  </si>
  <si>
    <t>Cozinheiro III</t>
  </si>
  <si>
    <t>Garçom I</t>
  </si>
  <si>
    <t>Garçom II</t>
  </si>
  <si>
    <t>Parrileiro II</t>
  </si>
  <si>
    <t>Parrilleiro I</t>
  </si>
  <si>
    <t>FÉRIAS +1/3 (11,11%)</t>
  </si>
  <si>
    <t>VALE TRANSPORTE</t>
  </si>
  <si>
    <t>VL. REFEIÇAO</t>
  </si>
  <si>
    <t>Colaborador Extra</t>
  </si>
  <si>
    <t>Pro-Labore</t>
  </si>
  <si>
    <t>Prestação de Serviço Pessoa Jurídica OP</t>
  </si>
  <si>
    <t>Prestação de Serviço Pessoa Jurídica ADM</t>
  </si>
  <si>
    <t>Voucher</t>
  </si>
  <si>
    <t>F</t>
  </si>
  <si>
    <t>V</t>
  </si>
  <si>
    <t>Utensílios</t>
  </si>
  <si>
    <t>Transporte/Fretes</t>
  </si>
  <si>
    <t>Serviços de Informatica/TI</t>
  </si>
  <si>
    <t>Comissões Eventos</t>
  </si>
  <si>
    <t>COZINHA</t>
  </si>
  <si>
    <t>LIMPEZA</t>
  </si>
  <si>
    <t>BAR</t>
  </si>
  <si>
    <t>SALAO</t>
  </si>
  <si>
    <t>PRODUÇÃO</t>
  </si>
  <si>
    <t>ADM</t>
  </si>
  <si>
    <t>LIDERANÇA</t>
  </si>
  <si>
    <t>CAIXA</t>
  </si>
  <si>
    <t xml:space="preserve">Lucas Sousa </t>
  </si>
  <si>
    <t>Amanda Zanchett</t>
  </si>
  <si>
    <t>ESTAGIO</t>
  </si>
  <si>
    <t>Auxiliar de limpeza</t>
  </si>
  <si>
    <t xml:space="preserve">Auxiliar de limpeza </t>
  </si>
  <si>
    <t>Estagiária de RH</t>
  </si>
  <si>
    <t>Comprador Jr</t>
  </si>
  <si>
    <t>Estagiária de MKT</t>
  </si>
  <si>
    <t>13/01/2026</t>
  </si>
  <si>
    <t>Pontuação</t>
  </si>
  <si>
    <t>FGTS 8%</t>
  </si>
  <si>
    <t>13º (8,33%)</t>
  </si>
  <si>
    <t>2026 ACUM.</t>
  </si>
  <si>
    <t>2026 PART%</t>
  </si>
  <si>
    <t>S/ Imposto Competência</t>
  </si>
  <si>
    <t>C/ Imposto Financeiro</t>
  </si>
  <si>
    <t>2025
%</t>
  </si>
  <si>
    <t>2025
R$</t>
  </si>
  <si>
    <t>4,3%</t>
  </si>
  <si>
    <t>96k</t>
  </si>
  <si>
    <t>5,4%</t>
  </si>
  <si>
    <t>122k</t>
  </si>
  <si>
    <t>-3,4%</t>
  </si>
  <si>
    <t>-76k</t>
  </si>
  <si>
    <t>-1,7%</t>
  </si>
  <si>
    <t>-38k</t>
  </si>
  <si>
    <t>8,2%</t>
  </si>
  <si>
    <t>2026
%</t>
  </si>
  <si>
    <t>2026
R$</t>
  </si>
  <si>
    <t>PERFORMANCE DRE 2025 X 2026</t>
  </si>
  <si>
    <t>Conceito</t>
  </si>
  <si>
    <r>
      <rPr>
        <sz val="10"/>
        <color rgb="FF000000"/>
        <rFont val="Arial"/>
        <family val="2"/>
        <scheme val="minor"/>
      </rPr>
      <t xml:space="preserve">S/ Imposto Financeiro </t>
    </r>
    <r>
      <rPr>
        <b/>
        <sz val="10"/>
        <color rgb="FF000000"/>
        <rFont val="Arial"/>
        <family val="2"/>
        <scheme val="minor"/>
      </rPr>
      <t>(Atual)</t>
    </r>
  </si>
  <si>
    <t>12,1%</t>
  </si>
  <si>
    <t>3,3M</t>
  </si>
  <si>
    <t>2,0M</t>
  </si>
  <si>
    <r>
      <rPr>
        <sz val="10"/>
        <color rgb="FF000000"/>
        <rFont val="Arial"/>
        <family val="2"/>
        <scheme val="minor"/>
      </rPr>
      <t xml:space="preserve">S/ Imposto Competência </t>
    </r>
    <r>
      <rPr>
        <b/>
        <sz val="10"/>
        <color rgb="FF000000"/>
        <rFont val="Arial"/>
        <family val="2"/>
        <scheme val="minor"/>
      </rPr>
      <t>(Gerencial)</t>
    </r>
  </si>
  <si>
    <r>
      <rPr>
        <sz val="10"/>
        <color rgb="FF000000"/>
        <rFont val="Arial"/>
        <family val="2"/>
        <scheme val="minor"/>
      </rPr>
      <t xml:space="preserve">C/ Imposto Competência </t>
    </r>
    <r>
      <rPr>
        <b/>
        <sz val="10"/>
        <color rgb="FF000000"/>
        <rFont val="Arial"/>
        <family val="2"/>
        <scheme val="minor"/>
      </rPr>
      <t>(Fiscal)</t>
    </r>
  </si>
  <si>
    <t>Obs 1: Financeiro = Recebimento caixa</t>
  </si>
  <si>
    <t>Obs 2: Competência = Faturamento</t>
  </si>
  <si>
    <t>DFC</t>
  </si>
  <si>
    <t>DRE</t>
  </si>
  <si>
    <t>AGENCIA PUBLICIDADE</t>
  </si>
  <si>
    <t>ALIMENTACAO FUNCIONARIOS</t>
  </si>
  <si>
    <t>AVALIACAO DE MERCADO</t>
  </si>
  <si>
    <t>BEBIDAS ALCOOLICAS</t>
  </si>
  <si>
    <t>BEBIDAS NAO ALCOOLICAS</t>
  </si>
  <si>
    <t>CARNES E AVES</t>
  </si>
  <si>
    <t>CARVAO</t>
  </si>
  <si>
    <t>CERVEJA</t>
  </si>
  <si>
    <t>Compra</t>
  </si>
  <si>
    <t>DEDETIZACAO</t>
  </si>
  <si>
    <t>DESPESAS JUDICIAIS</t>
  </si>
  <si>
    <t>EMBALAGENS</t>
  </si>
  <si>
    <t>ENLATADOS E CONSERVAS</t>
  </si>
  <si>
    <t>FRIOS E CONGELADOS</t>
  </si>
  <si>
    <t>GAS</t>
  </si>
  <si>
    <t>GELO</t>
  </si>
  <si>
    <t>HORTIFRUTI</t>
  </si>
  <si>
    <t>INFLUENCER</t>
  </si>
  <si>
    <t>ISS</t>
  </si>
  <si>
    <t>LATICINIOS / OVOS</t>
  </si>
  <si>
    <t>LIMPEZA E CONSERVACAO</t>
  </si>
  <si>
    <t>MANUTENCAO DE EQUIPAMENTOS</t>
  </si>
  <si>
    <t>MANUTENCAO PREDIAL</t>
  </si>
  <si>
    <t>MATERIAIS DE CONSTRUCAO E REPAROS</t>
  </si>
  <si>
    <t>MATERIAL DE ESCRITORIO</t>
  </si>
  <si>
    <t>MATERIAL DE HIGIENE</t>
  </si>
  <si>
    <t>MATERIAL DE LIMPEZA</t>
  </si>
  <si>
    <t>MIDIA</t>
  </si>
  <si>
    <t>NUTRICIONISTA</t>
  </si>
  <si>
    <t>PAES, MASSAS E SALGADOS</t>
  </si>
  <si>
    <t>PIS/COFINS/CSLL</t>
  </si>
  <si>
    <t>REFORMAS E MANUTENCAO</t>
  </si>
  <si>
    <t>SECOS - MERCEARIA</t>
  </si>
  <si>
    <t>SERVICO TI</t>
  </si>
  <si>
    <t>SISTEMA E SOFTWARE</t>
  </si>
  <si>
    <t>SONORIZACAO / AMBIENTACAO</t>
  </si>
  <si>
    <t>UNIFORMES</t>
  </si>
  <si>
    <t>VINHOS</t>
  </si>
  <si>
    <t>FERIAS</t>
  </si>
  <si>
    <t>RESCISOES TRABALHISTAS</t>
  </si>
  <si>
    <t>IRRF</t>
  </si>
  <si>
    <t>VALE COMBUSTIVEL</t>
  </si>
  <si>
    <t>CURSOS E TREINAMENTOS / DESENVOLVIMENTO DE PESSOAS</t>
  </si>
  <si>
    <t>GRRF - GUIA RECOLHIMENTO RESCISORIO FGTS</t>
  </si>
  <si>
    <t>ADIANTAMENTO</t>
  </si>
  <si>
    <t>EMPRESTIMOS</t>
  </si>
  <si>
    <t>SALARIOS</t>
  </si>
  <si>
    <t>PLANO DE SAUDE</t>
  </si>
  <si>
    <t>EXAMES MEDICOS</t>
  </si>
  <si>
    <t>Emprestimos Funcionários</t>
  </si>
  <si>
    <t>Rescisões Trabalhistas</t>
  </si>
  <si>
    <t>IR/INSS</t>
  </si>
  <si>
    <t>Beneficios</t>
  </si>
  <si>
    <t>LOCACAO DE EQUIPAMENTOS</t>
  </si>
  <si>
    <t>MULTA E JUROS</t>
  </si>
  <si>
    <t>PROMOTER / RP</t>
  </si>
  <si>
    <t>TELEFONE E INTERNET</t>
  </si>
  <si>
    <t>CONSULTORIA OPERACIONAL</t>
  </si>
  <si>
    <t>LOCACAO DE ENXOVAL</t>
  </si>
  <si>
    <t>LOCACAO DE IMOVEL</t>
  </si>
  <si>
    <t>EXTRAS MEET</t>
  </si>
  <si>
    <t>TAXA ANTECIPACAO RECEBIVEIS</t>
  </si>
  <si>
    <t>TARIFAS BANCARIAS</t>
  </si>
  <si>
    <t>SERVICOS ADMINISTRATIVOS</t>
  </si>
  <si>
    <t>MAO DE OBRA - PJ</t>
  </si>
  <si>
    <t>TAXA ADMINISTRATIVA</t>
  </si>
  <si>
    <t>MAQUINAS E EQUIPAMENTOS</t>
  </si>
  <si>
    <t>OUTRAS DESPESAS</t>
  </si>
  <si>
    <t>Descontos financeiros concedidos</t>
  </si>
  <si>
    <t>COMISSAO S/ VENDAS</t>
  </si>
  <si>
    <t>ENERGIA ELETRICA</t>
  </si>
  <si>
    <t>DOCUMENTACAO</t>
  </si>
  <si>
    <t>AUDIO E VISUAL</t>
  </si>
  <si>
    <t xml:space="preserve">REEMBOLSO </t>
  </si>
  <si>
    <t>TRANSPORTE / FRETE</t>
  </si>
  <si>
    <t>FREE LANCER LIMPEZA</t>
  </si>
  <si>
    <t>BONIFICAÇÃO</t>
  </si>
  <si>
    <t>ATIVO IMOBILIZADO OPEX</t>
  </si>
  <si>
    <t>(-) ISS</t>
  </si>
  <si>
    <t>ATIVO FIXO</t>
  </si>
  <si>
    <t>Data de competência</t>
  </si>
  <si>
    <t>Origem do lançamento</t>
  </si>
  <si>
    <t>Quantidade de recorrência</t>
  </si>
  <si>
    <t>Nome do fornecedor/cliente</t>
  </si>
  <si>
    <t>01/01/2026</t>
  </si>
  <si>
    <t>Lançamento Financeiro</t>
  </si>
  <si>
    <t/>
  </si>
  <si>
    <t xml:space="preserve">FERIAS COLETIVA REF AO PERIODO DE 09/02/2026 A 28/02/2026  </t>
  </si>
  <si>
    <t>NATALIA DE OLIVEIRA SILVA</t>
  </si>
  <si>
    <t>COMPRA DE ALUGUEL</t>
  </si>
  <si>
    <t>ACQUALOCALE</t>
  </si>
  <si>
    <t>Debito Aut. Telefone Celular CLARO MOVEL</t>
  </si>
  <si>
    <t>CLARO</t>
  </si>
  <si>
    <t>LÉO VENDITTO</t>
  </si>
  <si>
    <t>VENDITTO EMPREENDIMENTOS E PARTICIPACOES</t>
  </si>
  <si>
    <t>TELEFONE MOVEL REF AO PERIODO DE</t>
  </si>
  <si>
    <t>DAVI HENRIQUE ITNER DE MEDEIROS (ALEXANDRE)</t>
  </si>
  <si>
    <t>GUIGA</t>
  </si>
  <si>
    <t>GUILHERME VIZONI SOARES</t>
  </si>
  <si>
    <t>VERBAS RESCISORIAS</t>
  </si>
  <si>
    <t>MESSIAS SOUZA DA SILVA</t>
  </si>
  <si>
    <t>IRRF - REINAM SANTOS DE JESUS</t>
  </si>
  <si>
    <t>MINISTERIO DA FAZENDA</t>
  </si>
  <si>
    <t>Compra de serviço Série:SN / NFS-e:23339</t>
  </si>
  <si>
    <t>DANT INTERAMBIENTAL CONTROLE DE VETORES E PRAGAS</t>
  </si>
  <si>
    <t>BENEFICIO VALE TRANSPORTE / VALE COMBUSTIVEL</t>
  </si>
  <si>
    <t>BENEFICIO CERTO</t>
  </si>
  <si>
    <t>LARISSA MIRANDA DA CRUZ SANTOS</t>
  </si>
  <si>
    <t>LOCACAO DE EXOVAL REF AO PERIODO DE 01/12/2025 A 30/12/2025 NFe: 11993</t>
  </si>
  <si>
    <t>DESIGN TEXTIL</t>
  </si>
  <si>
    <t>02/01/2026</t>
  </si>
  <si>
    <t>1/12</t>
  </si>
  <si>
    <t>LOCACAO DE IMOVEL - RUA CEL. JOAQUIM FERREIRA LOBO, 357 - VILA NOVA CONCEIÇÃO (Daniela Pahim Rasi  Cpf: 308.819.588-32  Banco Itaú  Ag: 6374 C/c: 14.550-3  Fabiana Silva Pahim  Cpf: 174.037.018-01 Banco Itaú  Ag: 7068 C/c: 36.127-3  Carolina Pahim Seferian  Cpf: 302.769.358-10 Banco Itaú  Ag: 4086 C/c: 31.783-3  Maria Aparecida da Silva Pahim  Cpf: 113.346.728-81 Banco Itaú  Ag: 0742 C/c: 05370-5</t>
  </si>
  <si>
    <t>DANIELA PAHIM RASI</t>
  </si>
  <si>
    <t>Compra de serviço Série:C / NFS-e:127103493</t>
  </si>
  <si>
    <t>FACEBOOK SERVICOS ONLINE DO BRASIL LTDA.</t>
  </si>
  <si>
    <t>Compra de serviço Série:1 / NFS-e:53255</t>
  </si>
  <si>
    <t>SUFLEX TECNOLOGIA LTDA.</t>
  </si>
  <si>
    <t>Compra de serviço Série:1 / NFS-e:55213</t>
  </si>
  <si>
    <t>Compra de serviço Série:1 / NFS-e:91480851</t>
  </si>
  <si>
    <t>VR BENEFICIOS E SERVICOS DE PROCESSAMENTO S.A</t>
  </si>
  <si>
    <t>03/01/2026</t>
  </si>
  <si>
    <t>Compra 314 (NFe 1257-1)</t>
  </si>
  <si>
    <t>MAV HORTIFRUTI LTDA</t>
  </si>
  <si>
    <t>04/01/2026</t>
  </si>
  <si>
    <t>pagamento Extra</t>
  </si>
  <si>
    <t>Compra de serviço Série:NFSE / NFS-e:1736</t>
  </si>
  <si>
    <t>TIIS COMERCIO VAREJISTA DE PECAS  EQUIPAMENTOS E SERVICOS DE</t>
  </si>
  <si>
    <t>05/01/2026</t>
  </si>
  <si>
    <t>Mastercard</t>
  </si>
  <si>
    <t>GetNet</t>
  </si>
  <si>
    <t>Compra 324 (NFe 196080-1)</t>
  </si>
  <si>
    <t>EMPORIO TARTUFI IMPORTACAO E EXPORTACAO DE ALIMENTOS LTDA</t>
  </si>
  <si>
    <t>Compra 331 (NFe 489762-1)</t>
  </si>
  <si>
    <t>EMPORIO MEL COMERCIO DE ALIMENTOS E BEBIDAS</t>
  </si>
  <si>
    <t>Compra 315 (NFe 3748-1)</t>
  </si>
  <si>
    <t>ARMAZEM SPECIALLI LTDA</t>
  </si>
  <si>
    <t>Compra de serviço Série:SN / NFS-e:4059</t>
  </si>
  <si>
    <t>FF ASSESSORIA NUTRICIONAL E SANITARIA</t>
  </si>
  <si>
    <t>Visa</t>
  </si>
  <si>
    <t>Compra 330 (NFe 401548-1)</t>
  </si>
  <si>
    <t>ERVAS FINAS HORTICULTURA</t>
  </si>
  <si>
    <t>GETNET</t>
  </si>
  <si>
    <t>Compra 316 (NFe 43157-1)</t>
  </si>
  <si>
    <t>G.E. WADA</t>
  </si>
  <si>
    <t>Compra 323 (NFe 39715-1)</t>
  </si>
  <si>
    <t>COMERCIO DE CARVAO SAO JOSELTDA-EPP</t>
  </si>
  <si>
    <t>Compra 376 (NFe 66370-1)</t>
  </si>
  <si>
    <t>S E M BRANCO CASA DE CARNES LTDA - ME</t>
  </si>
  <si>
    <t>Amex</t>
  </si>
  <si>
    <t>SESSOES DE PSICOTERAPIA REALIZADAS NO MES DE NOVEMBRO /2025</t>
  </si>
  <si>
    <t>INSTITUTO PSYRICH</t>
  </si>
  <si>
    <t>Tarifa Avulsa Envio Pix</t>
  </si>
  <si>
    <t>BANCO SANTANDER</t>
  </si>
  <si>
    <t>CONSULTORIA</t>
  </si>
  <si>
    <t>JOSE EDUARDO GUIMARAES</t>
  </si>
  <si>
    <t>PRESTACAO DE SERVICOS GERENTE DE PLANTÃO REF AO MES DE NOV/2025</t>
  </si>
  <si>
    <t>WILTON FERREIRA DA SILVA</t>
  </si>
  <si>
    <t>Compra de serviço Série:SN / NFS-e:8275</t>
  </si>
  <si>
    <t>G F DO A MILANI REPRODUCAO MUSICAL - ME</t>
  </si>
  <si>
    <t>Compra 318 (NFe 90857-1)</t>
  </si>
  <si>
    <t>ICE4PROS FABRICA DE GELO LTDA.</t>
  </si>
  <si>
    <t>Compra 321 (NFe 2560545-1)</t>
  </si>
  <si>
    <t>NOVA MIX INDL. E COML. DE ALIMENTOS LTDA.</t>
  </si>
  <si>
    <t>Compra 377 (NFe 66402-1)</t>
  </si>
  <si>
    <t>Compra 320 (NFe 367319-1)</t>
  </si>
  <si>
    <t>DISTRIBUIDORA LHL LTDA</t>
  </si>
  <si>
    <t>Compra 328 (NFe 67904-1)</t>
  </si>
  <si>
    <t>HASHI SEKI COM DE UTENS DE COZ LTDA</t>
  </si>
  <si>
    <t>Compra 319 (NFe 4485-0)</t>
  </si>
  <si>
    <t>ADDERE COMERCIO DE PRODUTOS DESCARTAVEIS LTDA</t>
  </si>
  <si>
    <t>Compra 332 (NFe 7554-1)</t>
  </si>
  <si>
    <t>GISELE DE SOUZA SIMOES ME</t>
  </si>
  <si>
    <t>Compra 327 (NFe 5819-1)</t>
  </si>
  <si>
    <t>DI MARINO MAGAZINE</t>
  </si>
  <si>
    <t>Compra 333 (NFe 131495-1)</t>
  </si>
  <si>
    <t>HNK BR BEBIDAS LTDA</t>
  </si>
  <si>
    <t>Compra 329 (NFe 367520-1)</t>
  </si>
  <si>
    <t>Compra 322 (NFe 2560594-1)</t>
  </si>
  <si>
    <t>Compra 325 (NFe 6225833-5)</t>
  </si>
  <si>
    <t>NESTLE BRASIL LTDA</t>
  </si>
  <si>
    <t>ASSINATURA DIGITAL NFS-e 0426569</t>
  </si>
  <si>
    <t>TOTVS</t>
  </si>
  <si>
    <t>Compra 378 (NFe 66404-1)</t>
  </si>
  <si>
    <t>GRRF FGTS RESCISORIO - Larissa Miranda da Cruz Santos</t>
  </si>
  <si>
    <t>CAIXA ECONOMICA FEDERAL</t>
  </si>
  <si>
    <t>FREE LANCER IGOR CARVALHO,RAFAEL DONIZETE,FERNANDA BARBOZA,GERALDO FERREIRA,FABIO ROBERTO,FLAVIO GANÇALVEZ</t>
  </si>
  <si>
    <t>MEET RESTAURANTE E BAR LTDA</t>
  </si>
  <si>
    <t>Compra 317 (NFe 1259-1)</t>
  </si>
  <si>
    <t>Compra 326 (NFe 31789-1)</t>
  </si>
  <si>
    <t>CRYSTALMIXX-GAS COMERCIO E MANUTENCAO DE EQUIPAMENTOS DE GAS</t>
  </si>
  <si>
    <t>Compra de serviço Série:SN / NFS-e:6459</t>
  </si>
  <si>
    <t>GINA VON HERTWIG ASSESSORIA DE IMPRENSA E PLAN COMUNICACAO</t>
  </si>
  <si>
    <t>06/01/2026</t>
  </si>
  <si>
    <t>Compra 344 (NFe 411518-1)</t>
  </si>
  <si>
    <t>B. B. DISTRIBUIDORA DE CARNES LTDA</t>
  </si>
  <si>
    <t>Compra 334 (NFe 43183-1)</t>
  </si>
  <si>
    <t>Compra 347 (NFe 53434-1)</t>
  </si>
  <si>
    <t>INDUSTRIA DE MASSAS DIAS E DIAS LTDA.</t>
  </si>
  <si>
    <t>Compra 335 (NFe 33581-3)</t>
  </si>
  <si>
    <t>STORM COMERCIO DE ALIMENTOS E BEBIDAS LTDA</t>
  </si>
  <si>
    <t>VPJ COMERCIO DE PRODUTOS ALIMENTICIOS LTDA</t>
  </si>
  <si>
    <t>Compra 339 (NFe 1779643-1)</t>
  </si>
  <si>
    <t>OESA COMERCIO E REPRESENTACOES SA</t>
  </si>
  <si>
    <t>Compra 341 (NFe 19260-1)</t>
  </si>
  <si>
    <t>BARBOSA COMERCIO DE PESCADOS EIRELI</t>
  </si>
  <si>
    <t>Compra 336 (NFe 4070662-1)</t>
  </si>
  <si>
    <t>DISTRIB. E IMP. IRMAOS AVELINO S.A</t>
  </si>
  <si>
    <t>Compra 350 (NFe 490084-1)</t>
  </si>
  <si>
    <t>INTERNET REF AO PERIODO DE 01/08/2025 A 31/08/2025</t>
  </si>
  <si>
    <t>Compra de serviço Série:1 / NFS-e:55596</t>
  </si>
  <si>
    <t>Compra 338 (NFe 1260-1)</t>
  </si>
  <si>
    <t>Tarifa Pix Recebido Qr Checkout 05/01/2026</t>
  </si>
  <si>
    <t>PAGAMENTO EXTRA</t>
  </si>
  <si>
    <t>NATALIA DE OLIVEIRA,FLAVIO GONÇALVES,TARCISIO GABRIEL MORAES,GERALDO FERREIRA,FERANANDABARBOSA,NATHALIA ARÁUJO</t>
  </si>
  <si>
    <t>Compra 345 (NFe 64950-1)</t>
  </si>
  <si>
    <t>INDUSTRIA DE BEBIDAS IGARASSU LTDA</t>
  </si>
  <si>
    <t>Compra 349 (NFe 2015-1)</t>
  </si>
  <si>
    <t>FAMIGERADA COMERCIO E EXPORTACAO DE BEBIDAS LTDA</t>
  </si>
  <si>
    <t>Compra 342 (NFe 83704-1)</t>
  </si>
  <si>
    <t>KHADUN BARBOSA LIMA</t>
  </si>
  <si>
    <t>Compra 343 (NFe 12942-1)</t>
  </si>
  <si>
    <t>BATARD PADARIA ARTESANAL</t>
  </si>
  <si>
    <t>Compra 337 (NFe 59440-1)</t>
  </si>
  <si>
    <t>DTK COMERCIO DE ALIMENTOS LTDA</t>
  </si>
  <si>
    <t>Compra 346 (NFe 304998-1)</t>
  </si>
  <si>
    <t>LATICINIOS AURICCHIO LTDA</t>
  </si>
  <si>
    <t>Compra 348 (NFe 2548757-5)</t>
  </si>
  <si>
    <t>PRODUTOS ALIMENTICIOS CEFER</t>
  </si>
  <si>
    <t>Compra 340 (NFe 1646-1)</t>
  </si>
  <si>
    <t>POPO PESCADOS E DISTRIBUIDORA LTDA</t>
  </si>
  <si>
    <t>07/01/2026</t>
  </si>
  <si>
    <t>Compra 356 (NFe 2562506-1)</t>
  </si>
  <si>
    <t>Compra 353 (NFe 12951-1)</t>
  </si>
  <si>
    <t>Compra 638 (NFe 441778-1)</t>
  </si>
  <si>
    <t>CALIMP IMP. EXP. LTDA</t>
  </si>
  <si>
    <t>Compra 554 (NFe 107847-1)</t>
  </si>
  <si>
    <t>KHALIL YEPES HOJEIJE E OUTROS</t>
  </si>
  <si>
    <t>Compra 357 (NFe 2562508-1)</t>
  </si>
  <si>
    <t>Compra 351 (NFe 12545-1)</t>
  </si>
  <si>
    <t>CHEFON ECOMMERCE DE UTENSILIOS PARA GASTRONOMIA LTDA</t>
  </si>
  <si>
    <t xml:space="preserve">Compra 302 </t>
  </si>
  <si>
    <t>WASHINGTON DE OLIVEIRA GONCALVES</t>
  </si>
  <si>
    <t>GRRF FGTS RESCISORIO - AGUINALDO APARECIDO DIAS</t>
  </si>
  <si>
    <t xml:space="preserve">Compra 300 </t>
  </si>
  <si>
    <t>VISITANDO EM CASAL (NATHALIA)</t>
  </si>
  <si>
    <t>Compra 352 (NFe 183-1)</t>
  </si>
  <si>
    <t>EMPORIO MAFIDO LTDA</t>
  </si>
  <si>
    <t>Pagamento Extra</t>
  </si>
  <si>
    <t>Compra 354 (NFe 90968-1)</t>
  </si>
  <si>
    <t>Compra 387 (NFe 308021-1)</t>
  </si>
  <si>
    <t>MGA IMPORTACAO IND. E COM. DE ALIM.LTDA</t>
  </si>
  <si>
    <t>Compra 355 (NFe 160909-1)</t>
  </si>
  <si>
    <t>FAZENDA MARINHA OSTRAVAGANTE LTDA</t>
  </si>
  <si>
    <t>Gestão de tráfego pago nas redes Meta e Google</t>
  </si>
  <si>
    <t>08/01/2026</t>
  </si>
  <si>
    <t>Elo</t>
  </si>
  <si>
    <t>NFe 295</t>
  </si>
  <si>
    <t>ABNER SILVA DE JESUS</t>
  </si>
  <si>
    <t>NFe 18</t>
  </si>
  <si>
    <t>GABRIEL RIBEIRO DA SILVA</t>
  </si>
  <si>
    <t>Compra 384 (NFe 126067-1)</t>
  </si>
  <si>
    <t>PISO 10 MATERIAIS P/ CONSTRUCAO</t>
  </si>
  <si>
    <t>Compra 360 (NFe 1262-1)</t>
  </si>
  <si>
    <t xml:space="preserve">Compra 313 </t>
  </si>
  <si>
    <t>RODRIGO DE SOUZA PEREIRA</t>
  </si>
  <si>
    <t>Compra 361 (NFe 677616-3)</t>
  </si>
  <si>
    <t>Compra 363 (NFe 786674-1)</t>
  </si>
  <si>
    <t>FRONT BEBIDAS LTDA</t>
  </si>
  <si>
    <t xml:space="preserve">Compra 310 </t>
  </si>
  <si>
    <t>POLI SOLUCOES DIGITAIS LTDA</t>
  </si>
  <si>
    <t>Compra 362 (NFe 19896-1)</t>
  </si>
  <si>
    <t>JOG COMERCIO DE CARNES E DERIVADOS LTDA</t>
  </si>
  <si>
    <t>Compra 370 (NFe 490915-2)</t>
  </si>
  <si>
    <t>WEW IMPORTACAO E EXPORTACAO LTDA</t>
  </si>
  <si>
    <t>Compra 359 (NFe 43252-1)</t>
  </si>
  <si>
    <t>Compra 367 (NFe 392367-1)</t>
  </si>
  <si>
    <t>N S A COMERCIO VAREJISTA E DISTRIBUICAO LTDA</t>
  </si>
  <si>
    <t>Compra 368 (NFe 401882-1)</t>
  </si>
  <si>
    <t>Tarifa Pix Recebido Qr Checkout</t>
  </si>
  <si>
    <t>Compra 365 (NFe 305301-1)</t>
  </si>
  <si>
    <t>Compra de serviço Série:L1 / NFS-e:97014312</t>
  </si>
  <si>
    <t>TICKET SERVICOS</t>
  </si>
  <si>
    <t xml:space="preserve">Compra 309 </t>
  </si>
  <si>
    <t>CHECKBITS</t>
  </si>
  <si>
    <t xml:space="preserve">Compra 303 </t>
  </si>
  <si>
    <t>TAGME SISTEMAS P/ RESTAURANTES</t>
  </si>
  <si>
    <t>Compra 511 (NFe 3876-1)</t>
  </si>
  <si>
    <t>MR VACUO COMERCIO DE EMBALAGENS E MAQUINAS EIRELI</t>
  </si>
  <si>
    <t>Compra 383 (NFe 126068-1)</t>
  </si>
  <si>
    <t>Compra de serviço Série:1 / NFS-e:91766811</t>
  </si>
  <si>
    <t xml:space="preserve">Compra 306 </t>
  </si>
  <si>
    <t>Compra 369 (NFe 368275-1)</t>
  </si>
  <si>
    <t>Compra 364 (NFe 48278-1)</t>
  </si>
  <si>
    <t>QUALIVE IMPORTACAO E COM.DE ALIMENTOS LTDA</t>
  </si>
  <si>
    <t xml:space="preserve">Compra 307 </t>
  </si>
  <si>
    <t>MARILETE MAMEDE DINIZ</t>
  </si>
  <si>
    <t xml:space="preserve">Compra 304 </t>
  </si>
  <si>
    <t>ACOM SISTEMAS</t>
  </si>
  <si>
    <t>09/01/2026</t>
  </si>
  <si>
    <t>Compra 375 (NFe 4074253-1)</t>
  </si>
  <si>
    <t xml:space="preserve">CREDITO NESSE VALOR </t>
  </si>
  <si>
    <t>LEPOK DISTRIBUICAO E LOGISTICA LTDA</t>
  </si>
  <si>
    <t>Compra e instalação de equipamentos de ar-condicionado central.</t>
  </si>
  <si>
    <t>PONTO MIX</t>
  </si>
  <si>
    <t>Compra 389 (NFe 967-1)</t>
  </si>
  <si>
    <t>FREEZE ALIMENTOS SAUDAVEIS LTDA</t>
  </si>
  <si>
    <t>Compra 374 (NFe 2753109-3)</t>
  </si>
  <si>
    <t>DINIZ COM ATAC DE PROD ALIM LTDA</t>
  </si>
  <si>
    <t xml:space="preserve">ALEXSANDRO AFO PAGAMENTO VIA PIX </t>
  </si>
  <si>
    <t>TATIANA ROSA,GERALDO FERREIRA,ALEX MARCONE,FABIO ROBERTO</t>
  </si>
  <si>
    <t>Compra 372 (NFe 59996-1)</t>
  </si>
  <si>
    <t>MANUTENÇÃO</t>
  </si>
  <si>
    <t>RODRIGO OLIVEIRA COSTA</t>
  </si>
  <si>
    <t>LOCAÇÃO RADIOS REF AO MES DE OUTUBRO/2024</t>
  </si>
  <si>
    <t>SILVIO CARLOS LOPES</t>
  </si>
  <si>
    <t>Compra 388 (NFe 390181-1)</t>
  </si>
  <si>
    <t>INDUSTRIA DE ALIMENTACAO MONJOLINHO LTDA</t>
  </si>
  <si>
    <t>Compra 373 (NFe 34423-3)</t>
  </si>
  <si>
    <t xml:space="preserve">Compra 385 </t>
  </si>
  <si>
    <t>Compra 371 (NFe 1386-1)</t>
  </si>
  <si>
    <t>OCEANICA SCS COMERCIO DE FRUTOS DO MAR</t>
  </si>
  <si>
    <t>10/01/2026</t>
  </si>
  <si>
    <t>11/01/2026</t>
  </si>
  <si>
    <t>Master Débito 11/01/2026</t>
  </si>
  <si>
    <t>12/01/2026</t>
  </si>
  <si>
    <t>Compra 409 (NFe 66516-1)</t>
  </si>
  <si>
    <t>Compra 400 (NFe 2556365-5)</t>
  </si>
  <si>
    <t>Compra 396 (NFe 2564639-1)</t>
  </si>
  <si>
    <t>Compra de serviço Série:SN / NFS-e:338</t>
  </si>
  <si>
    <t>CINQ CLIMATIZA</t>
  </si>
  <si>
    <t>Compra de serviço Série:SN / NFS-e:232</t>
  </si>
  <si>
    <t>AGENCIA L. KAMMERSLTDA</t>
  </si>
  <si>
    <t>KEVIN FARLEY DOS SANTOS / KEVIN FARLEY DOS SANTOS</t>
  </si>
  <si>
    <t>Compra 399 (NFe 143460-1)</t>
  </si>
  <si>
    <t>EDUARDO J. SILVA DIST. PROD.ALIMENTICIOS</t>
  </si>
  <si>
    <t>Compra 398 (NFe 402202-1)</t>
  </si>
  <si>
    <t>Compra 404 (NFe 17359-1)</t>
  </si>
  <si>
    <t>CABANHA INTERLAGOS GOURMET LTDA</t>
  </si>
  <si>
    <t>GRRF FGTS RESCISORIO - MESSIAS SOUZA DA SILVA</t>
  </si>
  <si>
    <t>Compra 394 (NFe 4526-0)</t>
  </si>
  <si>
    <t>Compra 392 (NFe 1265-1)</t>
  </si>
  <si>
    <t>Compra 408 (NFe 66515-1)</t>
  </si>
  <si>
    <t>Compra 393 (NFe 91172-1)</t>
  </si>
  <si>
    <t>Compra 410 (NFe 66554-1)</t>
  </si>
  <si>
    <t>Compra 391 (NFe 43356-1)</t>
  </si>
  <si>
    <t>Compra 390 (NFe 24020-1)</t>
  </si>
  <si>
    <t>EMBUTIDOS SPECIALLI LTDA</t>
  </si>
  <si>
    <t>Compra 397 (NFe 368652-1)</t>
  </si>
  <si>
    <t>Compra 395 (NFe 24579-1)</t>
  </si>
  <si>
    <t>ARENA VIP DISTRIBUIDORA DE BEBIDAS LTDA</t>
  </si>
  <si>
    <t>LOREAN COMP DEZEMBRO/2025</t>
  </si>
  <si>
    <t>LOREAN</t>
  </si>
  <si>
    <t>INTERNET RUA CEL. JOAQUIM FERREIRA LOBO, 357 - VILA NOVA CONCEIÇÃO</t>
  </si>
  <si>
    <t>VIVO</t>
  </si>
  <si>
    <t>COMISSAO REF AO MES DE NOV/2024</t>
  </si>
  <si>
    <t>ARTHUR MUNIZ DE FARIAS</t>
  </si>
  <si>
    <t>Compra 414 (NFe 491538-2)</t>
  </si>
  <si>
    <t>Compra 402 (NFe 35164-3)</t>
  </si>
  <si>
    <t>Compra 413 (NFe 731887-1)</t>
  </si>
  <si>
    <t>FG7 COMERCIO E DISTRIBUICAO DE BEBIDAS</t>
  </si>
  <si>
    <t>Compra 406 (NFe 305670-1)</t>
  </si>
  <si>
    <t>Compra 418 (NFe 66567-1)</t>
  </si>
  <si>
    <t>LOCACAO DE PURIFICADORES DE AGUA REF AO PERIODO:  01/11/25 30/11/25</t>
  </si>
  <si>
    <t>WHIRLPOOL - SANTA EMILIA</t>
  </si>
  <si>
    <t>Compra de serviço Série:SN / NFS-e:65</t>
  </si>
  <si>
    <t>CLIKI SERVICOS DIGITAIS</t>
  </si>
  <si>
    <t>Compra de serviço Série:1 / NFS-e:17624794</t>
  </si>
  <si>
    <t>VERISURE BRASIL MONITORAMENTO DE ALARMES S.A</t>
  </si>
  <si>
    <t>Compra 401 (NFe 60194-1)</t>
  </si>
  <si>
    <t>Compra 412 (NFe 43371-1)</t>
  </si>
  <si>
    <t>Compra 407 (NFe 91281-1)</t>
  </si>
  <si>
    <t>Compra de serviço Série:1 / NFS-e:17621573</t>
  </si>
  <si>
    <t>Compra 405 (NFe 39764-1)</t>
  </si>
  <si>
    <t>Compra 411 (NFe 9989-1)</t>
  </si>
  <si>
    <t>WINE &amp; FOODS COMERCIAL LTDA</t>
  </si>
  <si>
    <t>Compra 403 (NFe 4076314-1)</t>
  </si>
  <si>
    <t>14/01/2026</t>
  </si>
  <si>
    <t xml:space="preserve">GRRF FGTS RESCISORIO -TACISO </t>
  </si>
  <si>
    <t>Compra de serviço Série:SN / NFS-e:1888</t>
  </si>
  <si>
    <t>GEBARA E DIAS - SOCIEDADE DE ADVOGADOS</t>
  </si>
  <si>
    <t>Compra 415 (NFe 136759-1)</t>
  </si>
  <si>
    <t>Compra 420 (NFe 763607-0)</t>
  </si>
  <si>
    <t>MISTRAL IMPORTADORA (GUARULHOS)</t>
  </si>
  <si>
    <t>Compra 419 (NFe 161143-1)</t>
  </si>
  <si>
    <t>Compra 416 (NFe 16367983-16)</t>
  </si>
  <si>
    <t>SPAL INDUSTRIA BRASILEIRA DE BEBIDAS S/A</t>
  </si>
  <si>
    <t>Compra 417 (NFe 1661-1)</t>
  </si>
  <si>
    <t>Compra de serviço Série:SN / NFS-e:18</t>
  </si>
  <si>
    <t>MARINKOVIC CONSULTORIA CURSOS E PALESTRAS LTDA</t>
  </si>
  <si>
    <t>15/01/2026</t>
  </si>
  <si>
    <t>Compra 426 (NFe 1267-1)</t>
  </si>
  <si>
    <t>Compra 430 (NFe 402575-1)</t>
  </si>
  <si>
    <t>Compra 432 (NFe 25282-1)</t>
  </si>
  <si>
    <t xml:space="preserve">Compra 424 </t>
  </si>
  <si>
    <t>ANDERSON DOS SANTOS MOURA</t>
  </si>
  <si>
    <t>Tarifa Avulsa Envio Pix 14/01/2026</t>
  </si>
  <si>
    <t>Compra 421 (NFe 491692-2)</t>
  </si>
  <si>
    <t>Compra 428 (NFe 32054-1)</t>
  </si>
  <si>
    <t>Compra 431 (NFe 369469-1)</t>
  </si>
  <si>
    <t>Compra 427 (NFe 286820-1)</t>
  </si>
  <si>
    <t>EAU DISTRIBUIDORA DE AGUA MINERAL EIRELI</t>
  </si>
  <si>
    <t xml:space="preserve">Compra 423 </t>
  </si>
  <si>
    <t>CRISTIANE FERREIRA DE SOUZA DOLNICK</t>
  </si>
  <si>
    <t>Compra 429 (NFe 306141-1)</t>
  </si>
  <si>
    <t>Compra 422 (NFe 13018-1)</t>
  </si>
  <si>
    <t>Compra 433 (NFe 491714-1)</t>
  </si>
  <si>
    <t>Compra 437 (NFe 26543-1)</t>
  </si>
  <si>
    <t>CHOOP FAST DISTRIBUIDORA DE BEBIDAS</t>
  </si>
  <si>
    <t>Compra 425 (NFe 43454-1)</t>
  </si>
  <si>
    <t>Compra de serviço Série:1 / NFS-e:92087883</t>
  </si>
  <si>
    <t>16/01/2026</t>
  </si>
  <si>
    <t>Compra 440 (NFe 4079693-1)</t>
  </si>
  <si>
    <t xml:space="preserve">Compra 435 </t>
  </si>
  <si>
    <t>VICTORIA LONGO KONRATH</t>
  </si>
  <si>
    <t>PAGAMENTO DE VT  ESTAGIÁRIA</t>
  </si>
  <si>
    <t>Amanda Zanchett Barros</t>
  </si>
  <si>
    <t xml:space="preserve">Compra 434 </t>
  </si>
  <si>
    <t>VORTEX LIMPCOIFA SISTEMAS DE VENTILACAO  LTDA</t>
  </si>
  <si>
    <t>Compra 438 (NFe 36025-3)</t>
  </si>
  <si>
    <t>Compra 439 (NFe 60991-1)</t>
  </si>
  <si>
    <t>Compra 443 (NFe 491954-2)</t>
  </si>
  <si>
    <t xml:space="preserve">Compra 436 </t>
  </si>
  <si>
    <t>DANILO PIMENTEL FRANCESCHI SIMOES</t>
  </si>
  <si>
    <t>17/01/2026</t>
  </si>
  <si>
    <t>Pagamento Extra,00</t>
  </si>
  <si>
    <t>18/01/2026</t>
  </si>
  <si>
    <t>19/01/2026</t>
  </si>
  <si>
    <t>Compra 478 (NFe 66693-1)</t>
  </si>
  <si>
    <t>Compra 455 (NFe 48805-1)</t>
  </si>
  <si>
    <t>Compra 451 (NFe 369828-1)</t>
  </si>
  <si>
    <t xml:space="preserve">Compra 441 </t>
  </si>
  <si>
    <t>SND DISTRIBUICAO DE PRODUTOS DE INFORMATICA</t>
  </si>
  <si>
    <t>Compra 444 (NFe 43526-1)</t>
  </si>
  <si>
    <t>Compra 453 (NFe 75111-1)</t>
  </si>
  <si>
    <t>SORVETERIA AL DUOMO LTDA</t>
  </si>
  <si>
    <t>Compra 446 (NFe 91501-1)</t>
  </si>
  <si>
    <t>Compra 450 (NFe 2563178-5)</t>
  </si>
  <si>
    <t>Compra 448 (NFe 49147-1)</t>
  </si>
  <si>
    <t>Compra 477 (NFe 66678-1)</t>
  </si>
  <si>
    <t>Compra 449 (NFe 287146-1)</t>
  </si>
  <si>
    <t>Compra 456 (NFe 3455-1)</t>
  </si>
  <si>
    <t>JLD</t>
  </si>
  <si>
    <t>Compra 482 (NFe 1270-1)</t>
  </si>
  <si>
    <t>ENERGIA ELETRICA - RUA CORONEL JOAQUIM FERREIRA LOBO, 357 - VL NOVA CONCEICAO</t>
  </si>
  <si>
    <t>ENEL DISTRIBUICAO SAO PAULO</t>
  </si>
  <si>
    <t>Compra 452 (NFe 402952-1)</t>
  </si>
  <si>
    <t>Compra 447 (NFe 161266-1)</t>
  </si>
  <si>
    <t>Compra 479 (NFe 66698-1)</t>
  </si>
  <si>
    <t>Compra 445 (NFe 4565-0)</t>
  </si>
  <si>
    <t>NFe- 237</t>
  </si>
  <si>
    <t>Compra 454 (NFe 492096-1)</t>
  </si>
  <si>
    <t>FORNECIMENTO DE GAS NATURAL - RUA CEL. JOAQUIM FERREIRA LOBO, 357</t>
  </si>
  <si>
    <t>COMGAS</t>
  </si>
  <si>
    <t>20/01/2026</t>
  </si>
  <si>
    <t>Compra 469 (NFe 306626-1)</t>
  </si>
  <si>
    <t>Compra 457 (NFe 735170-1)</t>
  </si>
  <si>
    <t>Compra 465 (NFe 75128-1)</t>
  </si>
  <si>
    <t>ADIANTAMENTO SALARIAL</t>
  </si>
  <si>
    <t>ITAU UNIBANCO</t>
  </si>
  <si>
    <t>Compra 458 (NFe 61270-1)</t>
  </si>
  <si>
    <t>Compra 510 (NFe 492219-2)</t>
  </si>
  <si>
    <t>Compra 462 (NFe 12657-1)</t>
  </si>
  <si>
    <t>Compra 467 (NFe 91586-1)</t>
  </si>
  <si>
    <t>Compra 463 (NFe 1670-1)</t>
  </si>
  <si>
    <t>Compra 459 (NFe 4081726-1)</t>
  </si>
  <si>
    <t>Compra 468 (NFe 43561-1)</t>
  </si>
  <si>
    <t>Compra 470 (NFe 4284-0)</t>
  </si>
  <si>
    <t>CARMELITA COM. BOBINAS E ETIQUETAS LTDA.</t>
  </si>
  <si>
    <t>Compra 466 (NFe 259-1)</t>
  </si>
  <si>
    <t>ARMAZEM CEREALISTA POMPEIA COMERCIO DE PRODUTO NATURAIS LTDA</t>
  </si>
  <si>
    <t>Compra 460 (NFe 84207-1)</t>
  </si>
  <si>
    <t>Compra 464 (NFe 39808-1)</t>
  </si>
  <si>
    <t>Compra 461 (NFe 110270-1)</t>
  </si>
  <si>
    <t>I.M.P.COMERCIO DE ALIMENTOS LTDA</t>
  </si>
  <si>
    <t>21/01/2026</t>
  </si>
  <si>
    <t>Compra 472 (NFe 1672-1)</t>
  </si>
  <si>
    <t>Compra 473 (NFe 1401-1)</t>
  </si>
  <si>
    <t>Compra 471 (NFe 4082859-1)</t>
  </si>
  <si>
    <t xml:space="preserve">INFLUENCE </t>
  </si>
  <si>
    <t>NAVEGANDO SP</t>
  </si>
  <si>
    <t xml:space="preserve">Compra 480 </t>
  </si>
  <si>
    <t>EAT MARKETING EIRELI</t>
  </si>
  <si>
    <t>Compra 476 (NFe 13069-1)</t>
  </si>
  <si>
    <t>Compra 475 (NFe 53627-1)</t>
  </si>
  <si>
    <t>Compra 474 (NFe 788428-1)</t>
  </si>
  <si>
    <t>22/01/2026</t>
  </si>
  <si>
    <t xml:space="preserve">Compra 487 </t>
  </si>
  <si>
    <t xml:space="preserve">Compra 483 </t>
  </si>
  <si>
    <t>LUCAS TADEU BATISTA SILVA</t>
  </si>
  <si>
    <t>Compra 492 (NFe 161388-1)</t>
  </si>
  <si>
    <t>Compra 501 (NFe 26153-1)</t>
  </si>
  <si>
    <t>Compra 499 (NFe 48979-1)</t>
  </si>
  <si>
    <t>Compra 493 (NFe 287980-1)</t>
  </si>
  <si>
    <t>Compra 481 (NFe 31639-1)</t>
  </si>
  <si>
    <t>GUIDARA INDUSTRIA E COMERCIO DE ALIMENTOS LTDA</t>
  </si>
  <si>
    <t>Compra 494 (NFe 32234-1)</t>
  </si>
  <si>
    <t>Compra 500 (NFe 403361-1)</t>
  </si>
  <si>
    <t>Compra 490 (NFe 306941-1)</t>
  </si>
  <si>
    <t xml:space="preserve">Compra 484 </t>
  </si>
  <si>
    <t>YAGO MARTINS DA SILVA</t>
  </si>
  <si>
    <t xml:space="preserve">Compra 485 </t>
  </si>
  <si>
    <t xml:space="preserve">SALAROS </t>
  </si>
  <si>
    <t>Compra 491 (NFe 395308-1)</t>
  </si>
  <si>
    <t>Compra 502 (NFe 370679-1)</t>
  </si>
  <si>
    <t>Compra 495 (NFe 4579-0)</t>
  </si>
  <si>
    <t>Compra 497 (NFe 21749-1)</t>
  </si>
  <si>
    <t>COLIBRI COMERCIO DE PRODUTOS ALIMENTICIOS LTDA</t>
  </si>
  <si>
    <t>Compra 489 (NFe 1272-1)</t>
  </si>
  <si>
    <t>Compra 488 (NFe 10022-1)</t>
  </si>
  <si>
    <t>Compra 506 (NFe 492746-2)</t>
  </si>
  <si>
    <t>Compra 505 (NFe 492737-2)</t>
  </si>
  <si>
    <t xml:space="preserve">SALAROS COMBINADOS </t>
  </si>
  <si>
    <t xml:space="preserve">Compra 486 </t>
  </si>
  <si>
    <t>Compra 496 (NFe 143839-1)</t>
  </si>
  <si>
    <t>Compra 504 (NFe 765205-0)</t>
  </si>
  <si>
    <t>Compra 577 (NFe 66766-1)</t>
  </si>
  <si>
    <t>Compra 498 (NFe 20037-1)</t>
  </si>
  <si>
    <t>Compra 503 (NFe 49319-1)</t>
  </si>
  <si>
    <t>23/01/2026</t>
  </si>
  <si>
    <t>Compra 507 (NFe 62013-1)</t>
  </si>
  <si>
    <t>Compra 509 (NFe 4084796-1)</t>
  </si>
  <si>
    <t>Compra 508 (NFe 737723-1)</t>
  </si>
  <si>
    <t>Compra 512 (NFe 6286745-5)</t>
  </si>
  <si>
    <t xml:space="preserve">CERTIFICADO DIGITAL </t>
  </si>
  <si>
    <t>NEW TECH</t>
  </si>
  <si>
    <t>SERVIÇOS ADM FINANCEIROS COMP JAN/2025</t>
  </si>
  <si>
    <t>ANA PAULA MARTINS</t>
  </si>
  <si>
    <t>24/01/2026</t>
  </si>
  <si>
    <t>25/01/2026</t>
  </si>
  <si>
    <t>Compra 513 (NFe 8064-1)</t>
  </si>
  <si>
    <t>ALMAFUERTE ALIMENTOS LTDA</t>
  </si>
  <si>
    <t>26/01/2026</t>
  </si>
  <si>
    <t>Compra 521 (NFe 288253-1)</t>
  </si>
  <si>
    <t>Compra 528 (NFe 673976-1)</t>
  </si>
  <si>
    <t>REAL COMERCIAL LTDA</t>
  </si>
  <si>
    <t>Compra 522 (NFe 197782-1)</t>
  </si>
  <si>
    <t>Compra 526 (NFe 84444-1)</t>
  </si>
  <si>
    <t>Compra 520 (NFe 49400-1)</t>
  </si>
  <si>
    <t>Compra 523 (NFe 17468-1)</t>
  </si>
  <si>
    <t>PRESTACAO DE SERVICOS FOTOGRAFIA REF AO MES DE JAN/202 NFes 28</t>
  </si>
  <si>
    <t>AMANDA FRANCELINO</t>
  </si>
  <si>
    <t>Compra 524 (NFe 2570880-5)</t>
  </si>
  <si>
    <t>Compra 579 (NFe 66828-1)</t>
  </si>
  <si>
    <t>Compra 529 (NFe 371008-1)</t>
  </si>
  <si>
    <t>Compra 517 (NFe 43718-1)</t>
  </si>
  <si>
    <t>Compra 578 (NFe 66817-1)</t>
  </si>
  <si>
    <t>Compra 525 (NFe 32276-1)</t>
  </si>
  <si>
    <t>Compra 532 (NFe 10184-1)</t>
  </si>
  <si>
    <t>JK COM. DE GEN. ALIMENTICIOS LTDA</t>
  </si>
  <si>
    <t>Compra 519 (NFe 4591-0)</t>
  </si>
  <si>
    <t>Compra 527 (NFe 1320-1)</t>
  </si>
  <si>
    <t>22.659.214 ORLANDO DE JESUS RIBEIRO</t>
  </si>
  <si>
    <t>Compra 530 (NFe 403745-1)</t>
  </si>
  <si>
    <t>Compra 518 (NFe 1275-1)</t>
  </si>
  <si>
    <t>Compra 531 (NFe 12716-1)</t>
  </si>
  <si>
    <t>Compra 514 (NFe 91771-1)</t>
  </si>
  <si>
    <t>NF 74097</t>
  </si>
  <si>
    <t>ELEVADORES ZENIT EIRELI</t>
  </si>
  <si>
    <t>NF 237</t>
  </si>
  <si>
    <t>27/01/2026</t>
  </si>
  <si>
    <t>Compra 534 (NFe 4086848-1)</t>
  </si>
  <si>
    <t>Compra 536 (NFe 43752-1)</t>
  </si>
  <si>
    <t>Compra 545 (NFe 2574777-1)</t>
  </si>
  <si>
    <t>Compra 538 (NFe 1678-1)</t>
  </si>
  <si>
    <t>Compra 548 (NFe 3944-1)</t>
  </si>
  <si>
    <t>Compra 549 (NFe 7017-1)</t>
  </si>
  <si>
    <t>IDEAL WK-COMERCIO E DISTRIBUICAO LTDA</t>
  </si>
  <si>
    <t>Compra 540 (NFe 39850-1)</t>
  </si>
  <si>
    <t>Compra 546 (NFe 49180-1)</t>
  </si>
  <si>
    <t>Compra 537 (NFe 62361-1)</t>
  </si>
  <si>
    <t>Compra 535 (NFe 738749-1)</t>
  </si>
  <si>
    <t>Compra 542 (NFe 22460-1)</t>
  </si>
  <si>
    <t>A Casa do Produtor Ltda.</t>
  </si>
  <si>
    <t>Compra 543 (NFe 91904-1)</t>
  </si>
  <si>
    <t>Compra 544 (NFe 84517-1)</t>
  </si>
  <si>
    <t>Compra 547 (NFe 2574840-1)</t>
  </si>
  <si>
    <t>Compra 551 (NFe 53736-1)</t>
  </si>
  <si>
    <t>Compra 677 (NFe 126724-1)</t>
  </si>
  <si>
    <t>Compra 541 (NFe 307342-1)</t>
  </si>
  <si>
    <t>Compra 539 (NFe 309206-1)</t>
  </si>
  <si>
    <t>Compra 550 (NFe 493665-1)</t>
  </si>
  <si>
    <t>Compra 533 (NFe 4086847-1)</t>
  </si>
  <si>
    <t>28/01/2026</t>
  </si>
  <si>
    <t>Compra 553 (NFe 161549-1)</t>
  </si>
  <si>
    <t>Compra 581 (NFe 66898-1)</t>
  </si>
  <si>
    <t>Compra 556 (NFe 1076530-1)</t>
  </si>
  <si>
    <t>Compra 575 (NFe 107905-1)</t>
  </si>
  <si>
    <t>Compra 552 (NFe 16398800-16)</t>
  </si>
  <si>
    <t>Compra 555 (NFe 1076515-1)</t>
  </si>
  <si>
    <t>Compra 580 (NFe 66877-1)</t>
  </si>
  <si>
    <t>29/01/2026</t>
  </si>
  <si>
    <t>Compra 568 (NFe 494108-1)</t>
  </si>
  <si>
    <t>Compra 565 (NFe 32362-1)</t>
  </si>
  <si>
    <t>Compra 566 (NFe 404183-1)</t>
  </si>
  <si>
    <t>Compra 561 (NFe 1277-1)</t>
  </si>
  <si>
    <t xml:space="preserve">LOCAÇÃO 1 MR0400 </t>
  </si>
  <si>
    <t>Compra 582 (NFe 66924-1)</t>
  </si>
  <si>
    <t xml:space="preserve">TV, INTERNET, TELEFONE FIXO REF AO MES JANEIRO </t>
  </si>
  <si>
    <t>CLARO NXT</t>
  </si>
  <si>
    <t>Compra 559 (NFe 13147-1)</t>
  </si>
  <si>
    <t>Compra 563 (NFe 307795-1)</t>
  </si>
  <si>
    <t>Compra 562 (NFe 13157-1)</t>
  </si>
  <si>
    <t>Compra 676 (NFe 1280-1)</t>
  </si>
  <si>
    <t>Compra 560 (NFe 43842-1)</t>
  </si>
  <si>
    <t>Compra 564 (NFe 49508-1)</t>
  </si>
  <si>
    <t>Compra 567 (NFe 371855-1)</t>
  </si>
  <si>
    <t>Compra 569 (NFe 493657-2)</t>
  </si>
  <si>
    <t>Compra 557 (NFe 493567-2)</t>
  </si>
  <si>
    <t>Compra 558 (NFe 681684-3)</t>
  </si>
  <si>
    <t>ASSINATURA DIGITAL NFS-e 04346025</t>
  </si>
  <si>
    <t>30/01/2026</t>
  </si>
  <si>
    <t>CÉSAR SABESP</t>
  </si>
  <si>
    <t>CESAR DE OLIVEIRA GUIMARAES NETO</t>
  </si>
  <si>
    <t>PAGAMENTO GOOGLE</t>
  </si>
  <si>
    <t>GOOGLE CLOUD BRASIL COMPUTACAO E SERVICOS DE DADOS LTDA.</t>
  </si>
  <si>
    <t>Compra 595 (NFe 43862-1)</t>
  </si>
  <si>
    <t>Compra 591 (NFe 493949-2)</t>
  </si>
  <si>
    <t>SULAMERICA</t>
  </si>
  <si>
    <t>FERIAS REF AO PERIODO 02/02/2026 A 21/02/2026 = 20 Dias</t>
  </si>
  <si>
    <t>RAONI MOURA DOS SANTOS</t>
  </si>
  <si>
    <t>UBER COMPRAS</t>
  </si>
  <si>
    <t>CÉSAR CHAVEIRO</t>
  </si>
  <si>
    <t>Compra 589 (NFe 493935-2)</t>
  </si>
  <si>
    <t xml:space="preserve">FUNDO DE GARANTIA COMP. CONSIGNADO </t>
  </si>
  <si>
    <t>Compra de Mouse</t>
  </si>
  <si>
    <t>JOHNNY MATOS BORGES</t>
  </si>
  <si>
    <t>BONIFICAÇÃO SALÃO</t>
  </si>
  <si>
    <t>ANDERSON DA SILVA</t>
  </si>
  <si>
    <t>JOSIEL DE CARVALHO RAMOS</t>
  </si>
  <si>
    <t>REFERENTE A IMPRESSORA DA PARRILA</t>
  </si>
  <si>
    <t>DIOGO SCHIAVINATO SAMPAIO</t>
  </si>
  <si>
    <t>COMPRA DE MOUSE</t>
  </si>
  <si>
    <t>NATALIA APARECIDA DE JESUS BRANDÃO</t>
  </si>
  <si>
    <t>Compra 573 (NFe 3648-1)</t>
  </si>
  <si>
    <t>PESCADOS POPO LTDA</t>
  </si>
  <si>
    <t>SERVICO ADMINISTRATIVOS CEO</t>
  </si>
  <si>
    <t>HENRIQUE ROISIN GUIMARAES</t>
  </si>
  <si>
    <t>Compra 572 (NFe 4090156-1)</t>
  </si>
  <si>
    <t>Compra 576 (NFe 10046-1)</t>
  </si>
  <si>
    <t>PROMOTER REF AOS DIAS 06,16,20,23 E 27/11/2025</t>
  </si>
  <si>
    <t>RAPHAELA SIRENA ELIAS</t>
  </si>
  <si>
    <t>Compra 571 (NFe 63132-1)</t>
  </si>
  <si>
    <t>Compra 570 (NFe 741359-1)</t>
  </si>
  <si>
    <t>Compra 574 (NFe 3369-1)</t>
  </si>
  <si>
    <t>DENIS COSTA COMERCIO DE FRUTOS DO MAR</t>
  </si>
  <si>
    <t>Compra 592 (NFe 493951-2)</t>
  </si>
  <si>
    <t>FERIAS REF AO PERIODO 02/02/2026 A 14/02/2026 = 12,5 Dias</t>
  </si>
  <si>
    <t>JOSE DIEGO NOBREGA DE FARIAS</t>
  </si>
  <si>
    <t>UBER DIA NEYMAR - FÁBIO</t>
  </si>
  <si>
    <t>FERIAS REF AO PERIODO02/02/2026 A 21/02/2026 = 20 Dias</t>
  </si>
  <si>
    <t>RAFAEL DONIZETE VENCESLAU MARTINS</t>
  </si>
  <si>
    <t>LUCAS SOUZA - VT - PARRILLA</t>
  </si>
  <si>
    <t>Compra 590 (NFe 493947-2)</t>
  </si>
  <si>
    <t>2/12</t>
  </si>
  <si>
    <t>LOCACAO DE IMOVEL - RUA RAMOS BATISTA, 433 - VILA OLIMPIA, SAO PAULO/SP -A partir de janeiro/2026</t>
  </si>
  <si>
    <t>PRISCILLA CLETO MARQUES</t>
  </si>
  <si>
    <t xml:space="preserve">EXAME MEDICO </t>
  </si>
  <si>
    <t>MESO SEGURANCA E MEDICINA DO TRABALHO</t>
  </si>
  <si>
    <t>FERIAS REF AO PERIODO 02/02/2026 A 19/02/2026 = 17,5 Dias</t>
  </si>
  <si>
    <t>ROSANGELA APARECIDA DA CRUZ ANSELMO</t>
  </si>
  <si>
    <t>Categoria 1</t>
  </si>
  <si>
    <t>Valor na Categoria 1</t>
  </si>
  <si>
    <t>MÊS PAGTO</t>
  </si>
  <si>
    <t>ANO PAGAMENTO</t>
  </si>
  <si>
    <t>CLASSIFICACAO DRE</t>
  </si>
  <si>
    <t>TIPO DESPESA</t>
  </si>
  <si>
    <t>Tipo</t>
  </si>
  <si>
    <t>Despesa</t>
  </si>
  <si>
    <t>Ativo Fixo</t>
  </si>
  <si>
    <t>HONORARIOS</t>
  </si>
  <si>
    <t>Honorários dos administradores</t>
  </si>
  <si>
    <t>COLABORADOR EXTRA</t>
  </si>
  <si>
    <t>JAN 2026</t>
  </si>
  <si>
    <t>FEV 2026</t>
  </si>
  <si>
    <t>MAR 2026</t>
  </si>
  <si>
    <t>ABR 2026</t>
  </si>
  <si>
    <t>MAIO 2026</t>
  </si>
  <si>
    <t>JUN 2026</t>
  </si>
  <si>
    <t>JUL 2026</t>
  </si>
  <si>
    <t>AGO 2026</t>
  </si>
  <si>
    <t>SET 2026</t>
  </si>
  <si>
    <t>OUT 2026</t>
  </si>
  <si>
    <t>NOV 2026</t>
  </si>
  <si>
    <t>DEZ 2026</t>
  </si>
  <si>
    <t>Receitas Movimento</t>
  </si>
  <si>
    <t>Conta</t>
  </si>
  <si>
    <t>BANDEIRA</t>
  </si>
  <si>
    <t>DATA</t>
  </si>
  <si>
    <t>VALOR</t>
  </si>
  <si>
    <t>PIX</t>
  </si>
  <si>
    <t>CLASSIFICAÇÃO</t>
  </si>
  <si>
    <t>Dinheiro/Pix</t>
  </si>
  <si>
    <t>Honorários dos Administradores</t>
  </si>
  <si>
    <t>DINHEIRO</t>
  </si>
  <si>
    <t>SIND.EMPR.COM.HOT.SIMILARES DE SAO PAULO</t>
  </si>
  <si>
    <t>INDICES</t>
  </si>
  <si>
    <t>Ticket Médio FB</t>
  </si>
  <si>
    <t xml:space="preserve">Depreciação &amp; Amortização </t>
  </si>
  <si>
    <t>Despesas Pré-Operacionais</t>
  </si>
  <si>
    <t>Impostos (ICMS/PIS/COFINS)</t>
  </si>
  <si>
    <t>LAJIDA</t>
  </si>
  <si>
    <t>LAIR</t>
  </si>
  <si>
    <t>Clientes</t>
  </si>
  <si>
    <t>IRPJ/CSLL</t>
  </si>
  <si>
    <t>INDICADORES DE PERFORMANCE</t>
  </si>
  <si>
    <t>INDICADORES</t>
  </si>
  <si>
    <t>RESULTADO LÍQUIDO</t>
  </si>
  <si>
    <t xml:space="preserve"> 2026 X META</t>
  </si>
  <si>
    <t>PAULISTANA</t>
  </si>
  <si>
    <t>SABESP</t>
  </si>
  <si>
    <t>AGUA E ESGOTO</t>
  </si>
  <si>
    <t>SEGURANÇA ARMADA</t>
  </si>
  <si>
    <t>EMERSON</t>
  </si>
  <si>
    <t>DESPESA COM SEGURANÇA</t>
  </si>
  <si>
    <t>PROJETADO</t>
  </si>
  <si>
    <t>REALIZADO</t>
  </si>
  <si>
    <t>RECEITA FEDERAL</t>
  </si>
  <si>
    <t>CSRF</t>
  </si>
  <si>
    <t>PRESTADORES DE SERVIÇO PJ ADM</t>
  </si>
  <si>
    <t>DIRETOR OPERACIONAL REF AO MES DE JAN/26</t>
  </si>
  <si>
    <t>COLABORADOR EXTRA'</t>
  </si>
  <si>
    <t>Seguro de Vida</t>
  </si>
  <si>
    <t xml:space="preserve">PLANO DE SAUDE REF AO PERIODO  </t>
  </si>
  <si>
    <t xml:space="preserve">PLANO DE SAUDE REF AO PERIODO </t>
  </si>
  <si>
    <t>SEGURO DE VIDA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</si>
  <si>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</si>
  <si>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</si>
  <si>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</si>
  <si>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</si>
  <si>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</si>
  <si>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</si>
  <si>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</si>
  <si>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</si>
  <si>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</si>
  <si>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</si>
  <si>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</si>
  <si>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</si>
  <si>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</si>
  <si>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</si>
  <si>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</si>
  <si>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</si>
  <si>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</si>
  <si>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</si>
  <si>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</si>
  <si>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</si>
  <si>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</si>
  <si>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</si>
  <si>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</si>
  <si>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</si>
  <si>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</si>
  <si>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</si>
  <si>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 xml:space="preserve">LOCAÇÃO </t>
  </si>
  <si>
    <t>NFe 36</t>
  </si>
  <si>
    <t xml:space="preserve">TELEFONE MOVEL REF AO PERIODO </t>
  </si>
  <si>
    <t>NFe 56235</t>
  </si>
  <si>
    <t>Pagamento Bonificação -  Final do Ano - Confraternização Josiel (Cumim) - R$150,00 Raoni (Chefe de Fila) - R$150,00 Anderson (Cumim) -R$150,00</t>
  </si>
  <si>
    <t>NFe 58268</t>
  </si>
  <si>
    <t>Iof Imposto Operacoes Financeiras PERIODO: 01/01 A 31/01/26</t>
  </si>
  <si>
    <t>Compra 615 (NFe 10489-1)</t>
  </si>
  <si>
    <t>Compra 608 (NFe 2578790-5)</t>
  </si>
  <si>
    <t>Compra 601 (NFe 494323-1)</t>
  </si>
  <si>
    <t>Compra 597 (NFe 43919-1)</t>
  </si>
  <si>
    <t>Compra 611 (NFe 372247-1)</t>
  </si>
  <si>
    <t>Compra 634 (NFe 67017-1)</t>
  </si>
  <si>
    <t>Iof Adicional - Automatico PERIODO: 01/01 A 31/01/26</t>
  </si>
  <si>
    <t>Compra 596 (NFe 10052-1)</t>
  </si>
  <si>
    <t>Compra 605 (NFe 32414-1)</t>
  </si>
  <si>
    <t>DIRETOR OPERACIONAL REF AO MES DE DEZ/2025</t>
  </si>
  <si>
    <t xml:space="preserve">Compra 587 </t>
  </si>
  <si>
    <t>Compra 614 (NFe 494523-1)</t>
  </si>
  <si>
    <t>Compra 604 (NFe 161665-1)</t>
  </si>
  <si>
    <t>Compra 612 (NFe 397548-1)</t>
  </si>
  <si>
    <t>Compra 599 (NFe 1283-1)</t>
  </si>
  <si>
    <t>Compra 602 (NFe 8083-1)</t>
  </si>
  <si>
    <t>Compra 598 (NFe 43933-1)</t>
  </si>
  <si>
    <t>Compra 613 (NFe 404605-1)</t>
  </si>
  <si>
    <t>Compra 606 (NFe 49616-1)</t>
  </si>
  <si>
    <t>Compra 600 (NFe 92117-1)</t>
  </si>
  <si>
    <t>NFe 1748</t>
  </si>
  <si>
    <t>Compra 603 (NFe 6317700-5)</t>
  </si>
  <si>
    <t>Compra 607 (NFe 289376-1)</t>
  </si>
  <si>
    <t>Pix Enviado PIX Marketplace</t>
  </si>
  <si>
    <t>Compra 609 (NFe 4632-0)</t>
  </si>
  <si>
    <t>Compra 610 (NFe 39900-1)</t>
  </si>
  <si>
    <t>Compra 616 (NFe 1803651-1)</t>
  </si>
  <si>
    <t>Compra 622 (NFe 260-1)</t>
  </si>
  <si>
    <t>Compra 633 (NFe 43959-1)</t>
  </si>
  <si>
    <t>Compra 619 (NFe 84753-1)</t>
  </si>
  <si>
    <t>Compra 627 (NFe 494274-2)</t>
  </si>
  <si>
    <t>Compra 621 (NFe 12778-1)</t>
  </si>
  <si>
    <t>Compra 625 (NFe 494243-2)</t>
  </si>
  <si>
    <t>SEGURO DE VIDA EM GRUPO REF AO MES DE DEZEMBRO/2025</t>
  </si>
  <si>
    <t>CONTRIBUICAO ASSISTENCIAL COMP. DEZ/2025</t>
  </si>
  <si>
    <t>Compra 626 (NFe 2579385-1)</t>
  </si>
  <si>
    <t>Compra 822 (NFe 196-1)</t>
  </si>
  <si>
    <t>Compra 628 (NFe 5868-1)</t>
  </si>
  <si>
    <t>Compra 623 (NFe 308197-1)</t>
  </si>
  <si>
    <t>Compra 635 (NFe 67018-1)</t>
  </si>
  <si>
    <t>Compra 629 (NFe 164686-1)</t>
  </si>
  <si>
    <t>Compra 624 (NFe 92205-1)</t>
  </si>
  <si>
    <t>Compra 666 (NFe 126939-1)</t>
  </si>
  <si>
    <t>Compra 630 (NFe 2579469-1)</t>
  </si>
  <si>
    <t>Compra 617 (NFe 63453-1)</t>
  </si>
  <si>
    <t>LOREAN COMP FEVEREIRO /2026</t>
  </si>
  <si>
    <t>Compra 618 (NFe 4091997-1)</t>
  </si>
  <si>
    <t>Compra 636 (NFe 3978-1)</t>
  </si>
  <si>
    <t>Compra 639 (NFe 743743-1)</t>
  </si>
  <si>
    <t>Compra 631 (NFe 16412378-16)</t>
  </si>
  <si>
    <t>Tarifa Avulsa Envio Pix 03/02/2026</t>
  </si>
  <si>
    <t>Compra 637 (NFe 24271-1)</t>
  </si>
  <si>
    <t>Compra 644 (NFe 107918-1)</t>
  </si>
  <si>
    <t>Compra 632 (NFe 790454-1)</t>
  </si>
  <si>
    <t>Compra 641 (NFe 12687-1)</t>
  </si>
  <si>
    <t>FORNECIMENTO DE GAS NATURAL - RUA RAMOS BATISTA, 443 - VILA OLIMPIA</t>
  </si>
  <si>
    <t>INTERNET REF AO PERIODO</t>
  </si>
  <si>
    <t>KELVIN CALLIGARIS</t>
  </si>
  <si>
    <t>Compra 655 (NFe 10074-1)</t>
  </si>
  <si>
    <t>Compra 667 (NFe 373220-1)</t>
  </si>
  <si>
    <t xml:space="preserve">Compra 654 </t>
  </si>
  <si>
    <t>Compra 664 (NFe 49691-1)</t>
  </si>
  <si>
    <t xml:space="preserve">MANUTENÇÃO </t>
  </si>
  <si>
    <t xml:space="preserve">MERCADO LIVRE </t>
  </si>
  <si>
    <t xml:space="preserve">Compra 650 </t>
  </si>
  <si>
    <t>Compra 661 (NFe 49731-1)</t>
  </si>
  <si>
    <t>Compra 651 (NFe 494568-2)</t>
  </si>
  <si>
    <t>Compra 656 (NFe 44029-1)</t>
  </si>
  <si>
    <t>Compra 662 (NFe 767699-0)</t>
  </si>
  <si>
    <t>Compra 643 (NFe 13209-1)</t>
  </si>
  <si>
    <t>Compra 663 (NFe 290401-1)</t>
  </si>
  <si>
    <t>Compra 649 (NFe 6328925-5)</t>
  </si>
  <si>
    <t xml:space="preserve">Compra 646 </t>
  </si>
  <si>
    <t>METTA INDUSTRIA</t>
  </si>
  <si>
    <t>Compra 665 (NFe 405057-1)</t>
  </si>
  <si>
    <t>Compra 659 (NFe 309954-1)</t>
  </si>
  <si>
    <t>Compra 647 (NFe 308690-1)</t>
  </si>
  <si>
    <t>Compra 642 (NFe 41009-1)</t>
  </si>
  <si>
    <t xml:space="preserve">Compra 652 </t>
  </si>
  <si>
    <t>Pagamento de Extra</t>
  </si>
  <si>
    <t>Compra 668 (NFe 494751-2)</t>
  </si>
  <si>
    <t>Compra 648 (NFe 161800-1)</t>
  </si>
  <si>
    <t>Compra 660 (NFe 11529-1)</t>
  </si>
  <si>
    <t xml:space="preserve">Compra 653 </t>
  </si>
  <si>
    <t>Compra 658 (NFe 1286-1)</t>
  </si>
  <si>
    <t>Compra 678 (NFe 7888-1)</t>
  </si>
  <si>
    <t>Compra 675 (NFe 75558-1)</t>
  </si>
  <si>
    <t>Compra 670 (NFe 745252-1)</t>
  </si>
  <si>
    <t xml:space="preserve">COMISÃO </t>
  </si>
  <si>
    <t>Compra 669 (NFe 494753-2)</t>
  </si>
  <si>
    <t>Compra 674 (NFe 3381-1)</t>
  </si>
  <si>
    <t>Compra 673 (NFe 3654-1)</t>
  </si>
  <si>
    <t>Compra 671 (NFe 64154-1)</t>
  </si>
  <si>
    <t>Compra 672 (NFe 4095577-1)</t>
  </si>
  <si>
    <t>REEMBOLSO (LUMINARIAS, CALHA FECHAMENTO, ACABAMENTOS TOMADA)</t>
  </si>
  <si>
    <t>Compra 679 (NFe 683325-3)</t>
  </si>
  <si>
    <t>Compra 680 (NFe 3658-1)</t>
  </si>
  <si>
    <t>Compra 688 (NFe 39950-1)</t>
  </si>
  <si>
    <t>Compra 685 (NFe 290694-1)</t>
  </si>
  <si>
    <t xml:space="preserve">VALE TRANSPORTE </t>
  </si>
  <si>
    <t xml:space="preserve">RESCISÃO TRABALHISTA </t>
  </si>
  <si>
    <t>Compra 682 (NFSe 1891-1891)</t>
  </si>
  <si>
    <t>NFe 248</t>
  </si>
  <si>
    <t>Compra 689 (NFe 495040-2)</t>
  </si>
  <si>
    <t>Compra 691 (NFe 373663-1)</t>
  </si>
  <si>
    <t>Compra 692 (NFe 49855-1)</t>
  </si>
  <si>
    <t xml:space="preserve">INFLUENCER </t>
  </si>
  <si>
    <t>Compra 683 (NFe 1290-1)</t>
  </si>
  <si>
    <t>Compra 687 (NFe 4665-0)</t>
  </si>
  <si>
    <t>Compra 693 (NFe 49859-1)</t>
  </si>
  <si>
    <t>Compra 694 (NFe 373944-1)</t>
  </si>
  <si>
    <t>Compra 684 (NFe 92441-1)</t>
  </si>
  <si>
    <t>Compra 690 (NFe 405461-1)</t>
  </si>
  <si>
    <t>Compra 695 (NFe 495730-1)</t>
  </si>
  <si>
    <t>Compra 686 (NFe 49849-1)</t>
  </si>
  <si>
    <t xml:space="preserve">Compra 704 </t>
  </si>
  <si>
    <t>Pagamento De Boleto Outros Bancos CRYSTALMIXX-GAS COMERCIO</t>
  </si>
  <si>
    <t>Compra 697 (NFe 1809726-1)</t>
  </si>
  <si>
    <t>Compra 699 (NFe 1700-1)</t>
  </si>
  <si>
    <t>Compra 705 (NFe 2589230-5)</t>
  </si>
  <si>
    <t>Compra 701 (NFe 683934-3)</t>
  </si>
  <si>
    <t>Compra 823 (NFe 2642-5)</t>
  </si>
  <si>
    <t>EXTRAS - TESTE RH</t>
  </si>
  <si>
    <t>Compra 712 (NFe 44141-1)</t>
  </si>
  <si>
    <t>Compra 700 (NFe 791393-1)</t>
  </si>
  <si>
    <t>Compra 707 (NFe 67183-1)</t>
  </si>
  <si>
    <t>Compra 698 (NFe 4097709-1)</t>
  </si>
  <si>
    <t>Compra 703 (NFe 4005-1)</t>
  </si>
  <si>
    <t>MELLANY - VT - AJUDA DE CUSTO</t>
  </si>
  <si>
    <t>Compra 713 (NFe 67194-1)</t>
  </si>
  <si>
    <t>Compra 702 (NFe 683935-3)</t>
  </si>
  <si>
    <t>Compra 696 (NFe 746385-1)</t>
  </si>
  <si>
    <t>Compra 706 (NFe 92542-1)</t>
  </si>
  <si>
    <t>Compra 709 (NFe 495366-2)</t>
  </si>
  <si>
    <t>Compra 710 (NFe 2482-1)</t>
  </si>
  <si>
    <t>Compra 716 (NFe 17674-1)</t>
  </si>
  <si>
    <t>Compra 711 (NFe 10094-1)</t>
  </si>
  <si>
    <t>Pagamento Fornecedor</t>
  </si>
  <si>
    <t>Compra 824 (NFe 1827-1)</t>
  </si>
  <si>
    <t>Compra 708 (NFe 16428520-16)</t>
  </si>
  <si>
    <t>Compra 714 (NFe 495465-2)</t>
  </si>
  <si>
    <t xml:space="preserve">PAGAMENTO DE EXTRAS SEMANA </t>
  </si>
  <si>
    <t>Compra 715 (NFe 768807-0)</t>
  </si>
  <si>
    <t>Compra 740 (NFe 67245-1)</t>
  </si>
  <si>
    <t>Compra 730 (NFe 405868-1)</t>
  </si>
  <si>
    <t>Compra 725 (NFe 13287-1)</t>
  </si>
  <si>
    <t>Compra 724 (NFe 748454-1)</t>
  </si>
  <si>
    <t>Compra 731 (NFe 374507-1)</t>
  </si>
  <si>
    <t>Compra 727 (NFe 309642-1)</t>
  </si>
  <si>
    <t>NFe 21</t>
  </si>
  <si>
    <t>Compra 726 (NFe 49997-1)</t>
  </si>
  <si>
    <t>Compra 729 (NFe 495752-2)</t>
  </si>
  <si>
    <t>Compra 739 (NFe 1294-1)</t>
  </si>
  <si>
    <t>Compra 728 (NFe 75720-1)</t>
  </si>
  <si>
    <t>Compra 732 (NFe 496470-1)</t>
  </si>
  <si>
    <t xml:space="preserve">DECORAÇÃO </t>
  </si>
  <si>
    <t>Compra 736 (NFe 3393-1)</t>
  </si>
  <si>
    <t>Tarifa Avulsa Envio Pix 12/02/2026</t>
  </si>
  <si>
    <t>Compra 737 (NFe 68588-1)</t>
  </si>
  <si>
    <t>Compra 742 (NFe 261-1)</t>
  </si>
  <si>
    <t>Compra 743 (NFe 262-1)</t>
  </si>
  <si>
    <t>Compra 734 (NFe 65176-1)</t>
  </si>
  <si>
    <t>Compra 735 (NFe 4101424-1)</t>
  </si>
  <si>
    <t>Compra 733 (NFe 749488-1)</t>
  </si>
  <si>
    <t>Compra 741 (NFe 374659-1)</t>
  </si>
  <si>
    <t>Compra 744 (NFe 684833-3)</t>
  </si>
  <si>
    <t>Compra 745 (NFe 1297-1)</t>
  </si>
  <si>
    <t>Compra 746 (NFe 39995-1)</t>
  </si>
  <si>
    <t>Compra 748 (NFe 44304-1)</t>
  </si>
  <si>
    <t>LOCACAO DE EXOVAL REF AO PERIODO FEV/2026</t>
  </si>
  <si>
    <t>Compra 749 (NFe 309982-1)</t>
  </si>
  <si>
    <t>Compra 753 (NFe 67304-1)</t>
  </si>
  <si>
    <t>Compra 747 (NFe 44299-1)</t>
  </si>
  <si>
    <t>Compra 750 (NFe 24398-1)</t>
  </si>
  <si>
    <t>Compra 751 (NFe 40012-1)</t>
  </si>
  <si>
    <t>NFe 1918</t>
  </si>
  <si>
    <t>Compra 752 (NFe 3507-1)</t>
  </si>
  <si>
    <t>Compra 767 (NFe 307829-101)</t>
  </si>
  <si>
    <t>Compra 759 (NFe 44351-1)</t>
  </si>
  <si>
    <t>Compra 782 (NFe 67337-1)</t>
  </si>
  <si>
    <t>Compra 768 (NFe 992-1)</t>
  </si>
  <si>
    <t>Compra 756 (NFe 92775-1)</t>
  </si>
  <si>
    <t>Compra 766 (NFe 292525-1)</t>
  </si>
  <si>
    <t>Compra 754 (NFe 685600-3)</t>
  </si>
  <si>
    <t>Compra 772 (NFe 497233-1)</t>
  </si>
  <si>
    <t>Compra 771 (NFe 497212-1)</t>
  </si>
  <si>
    <t>Compra 769 (NFe 406531-1)</t>
  </si>
  <si>
    <t>Tarifa Avulsa Envio Pix 18/02/2026</t>
  </si>
  <si>
    <t xml:space="preserve">Compra 757 </t>
  </si>
  <si>
    <t>Compra 761 (NFe 1299-1)</t>
  </si>
  <si>
    <t>Compra 774 (NFe 496616-2)</t>
  </si>
  <si>
    <t>Compra 783 (NFe 67348-1)</t>
  </si>
  <si>
    <t>Compra 762 (NFe 310241-1)</t>
  </si>
  <si>
    <t>Compra 760 (NFe 751715-1)</t>
  </si>
  <si>
    <t>Compra 758 (NFe 10126-1)</t>
  </si>
  <si>
    <t>Compra 755 (NFe 13328-1)</t>
  </si>
  <si>
    <t>Compra 770 (NFe 2588310-1)</t>
  </si>
  <si>
    <t>Compra 763 (NFe 4715-0)</t>
  </si>
  <si>
    <t>Compra 773 (NFe 496582-2)</t>
  </si>
  <si>
    <t>Compra 764 (NFe 75877-1)</t>
  </si>
  <si>
    <t>Compra 765 (NFe 50129-1)</t>
  </si>
  <si>
    <t>Compra 775 (NFe 16446549-16)</t>
  </si>
  <si>
    <t>Compra 780 (NFe 54055-1)</t>
  </si>
  <si>
    <t>Compra 779 (NFe 3404-1)</t>
  </si>
  <si>
    <t>Compra 778 (NFe 5635880-1)</t>
  </si>
  <si>
    <t>Compra 776 (NFe 4104975-1)</t>
  </si>
  <si>
    <t xml:space="preserve"> BARMAN</t>
  </si>
  <si>
    <t>Compra 777 (NFe 65946-1)</t>
  </si>
  <si>
    <t>Compra 781 (NFe 375559-1)</t>
  </si>
  <si>
    <t>Compra 785 (NFe 44405-1)</t>
  </si>
  <si>
    <t>Compra 787 (NFe 6374168-5)</t>
  </si>
  <si>
    <t>Compra 786 (NFe 686031-3)</t>
  </si>
  <si>
    <t>AGUA E/OU ESGOTO - RUA CORONEL JOAQUIM FERREIRA LOBO, 357</t>
  </si>
  <si>
    <t>Compra 801 (NFe 1111932-1)</t>
  </si>
  <si>
    <t>Compra 805 (NFe 67419-1)</t>
  </si>
  <si>
    <t>Compra 793 (NFe 75940-1)</t>
  </si>
  <si>
    <t>Compra 790 (NFe 44460-1)</t>
  </si>
  <si>
    <t>Compra 792 (NFe 162198-1)</t>
  </si>
  <si>
    <t>Compra 789 (NFe 159-1)</t>
  </si>
  <si>
    <t>Compra 797 (NFe 8145-1)</t>
  </si>
  <si>
    <t>Compra 798 (NFe 40050-1)</t>
  </si>
  <si>
    <t>Compra 791 (NFe 92946-1)</t>
  </si>
  <si>
    <t>Reembolso Henrique; 1 teste delivery 2 teste bebida</t>
  </si>
  <si>
    <t>Compra 794 (NFe 200026-1)</t>
  </si>
  <si>
    <t>Compra 796 (NFe 2603444-5)</t>
  </si>
  <si>
    <t>Compra 800 (NFe 144894-1)</t>
  </si>
  <si>
    <t>Compra 847 (NFe 1304-1)</t>
  </si>
  <si>
    <t>Compra 795 (NFe 4728-0)</t>
  </si>
  <si>
    <t>Compra 799 (NFe 375891-1)</t>
  </si>
  <si>
    <t>Compra 803 (NFe 407051-1)</t>
  </si>
  <si>
    <t>Compra 802 (NFe 293114-1)</t>
  </si>
  <si>
    <t>Compra 788 (NFe 10137-1)</t>
  </si>
  <si>
    <t>Compra 806 (NFe 67423-1)</t>
  </si>
  <si>
    <t>NFe 57</t>
  </si>
  <si>
    <t>NFe 174</t>
  </si>
  <si>
    <t>NFe 132</t>
  </si>
  <si>
    <t xml:space="preserve">Compra 808 </t>
  </si>
  <si>
    <t xml:space="preserve">Vale transporte: R$ 106,00 reais. ( período 19/02 á 28/02)  </t>
  </si>
  <si>
    <t>Compra 819 (NFe 753656-1)</t>
  </si>
  <si>
    <t>FERIAS REF AO PERIODO DE  02/03 A 21/03/2026</t>
  </si>
  <si>
    <t>NFe 58305</t>
  </si>
  <si>
    <t>Compra 816 (NFe 2822-1)</t>
  </si>
  <si>
    <t>Compra 818 (NFe 44483-1)</t>
  </si>
  <si>
    <t>Compra 807 (NFe 93059-1)</t>
  </si>
  <si>
    <t xml:space="preserve">Compra 814 </t>
  </si>
  <si>
    <t xml:space="preserve">Compra 812 </t>
  </si>
  <si>
    <t>NFe 321360</t>
  </si>
  <si>
    <t>Compra 815 (NFe 310737-1)</t>
  </si>
  <si>
    <t>Compra 804 (NFe 66242-1)</t>
  </si>
  <si>
    <t>Compra 829 (NFe 107974-1)</t>
  </si>
  <si>
    <t>Compra 820 (NFe 69471-1)</t>
  </si>
  <si>
    <t>MAITRE COMP FEV/2026</t>
  </si>
  <si>
    <t>GERENCIA OPERACIONAL COMP FEV/2026</t>
  </si>
  <si>
    <t>CHEFE EXECUTIVO REF AO MES DE FEV/2026</t>
  </si>
  <si>
    <t>PRESTACAO DE SERVICOS NA COZINHA REF AO MES DE FEV/2026</t>
  </si>
  <si>
    <t>SUB CHEFE DE COZINHA  REF AO MES DE FEV/2026</t>
  </si>
  <si>
    <t>Compra 848 (NFe 7923-1)</t>
  </si>
  <si>
    <t>PRESTACAO DE SERVICOS MANUTENCAO REF AO MES DE FEV/2026</t>
  </si>
  <si>
    <t>SERVICOS ADMINISTRATIVOS (RECURSOS HUMANOS) REF AO MES DE FEV/2026</t>
  </si>
  <si>
    <t>SERVICOS OPERACIONAL REF AO MES DE FEV/2026</t>
  </si>
  <si>
    <t>CONSULTORIA OPERACIONAL REF AO MES DE JAN/2025</t>
  </si>
  <si>
    <t>DECORAÇÃO</t>
  </si>
  <si>
    <t>Compra 821 (NFe 13390-1)</t>
  </si>
  <si>
    <t>SOMMELIER COMP FEV/2026</t>
  </si>
  <si>
    <t>SERVICOS ADMINISTRATIVOS (RECURSOS HUMANOS) REF FEV/2026</t>
  </si>
  <si>
    <t>PRESTACAO DE SERVICOS COORDENADOR MANUTENCAO REF AO MES DE FEV/2026</t>
  </si>
  <si>
    <t>Compra 827 (NFe 10153-1)</t>
  </si>
  <si>
    <t>Compra 828 (NFe 772146-0)</t>
  </si>
  <si>
    <t>SERVICOS ADMINISTRATIVOS (FINANCEIRO) REF AO MES DE FEV/2026</t>
  </si>
  <si>
    <t>PRESTACAO DE SERVICOS SUBCHEFE PARRILLA REF AO MES DE FEV/2026</t>
  </si>
  <si>
    <t>SERVICOS ADMINISTRATIVOS (COMPRAS) REF AO MES DE FEV/2026</t>
  </si>
  <si>
    <t>SERVICOS OPERACIONAL REF AO MES DE FEV/2026 -  ALEX MARCONDE CARLOS DA SILVA FILHO</t>
  </si>
  <si>
    <t>Compra 853 (NFe 67491-1)</t>
  </si>
  <si>
    <t>Compra 837 (NFe 32899-1)</t>
  </si>
  <si>
    <t>Compra 831 (NFe 6390149-5)</t>
  </si>
  <si>
    <t>Compra 830 (NFe 76051-1)</t>
  </si>
  <si>
    <t>Compra 835 (NFe 1306-1)</t>
  </si>
  <si>
    <t>Compra 836 (NFe 311257-1)</t>
  </si>
  <si>
    <t>Compra 832 (NFe 82718-1)</t>
  </si>
  <si>
    <t>Compra 834 (NFe 755493-1)</t>
  </si>
  <si>
    <t xml:space="preserve">DEDETIZAÇÃO CASA DE APOIO </t>
  </si>
  <si>
    <t>Compra 840 (NFe 497561-2)</t>
  </si>
  <si>
    <t>Compra 838 (NFe 498547-1)</t>
  </si>
  <si>
    <t>Compra 841 (NFe 3417-1)</t>
  </si>
  <si>
    <t>Compra 833 (NFe 44584-1)</t>
  </si>
  <si>
    <t>Compra 839 (NFe 497554-2)</t>
  </si>
  <si>
    <t>Compra 846 (NFe 3665-1)</t>
  </si>
  <si>
    <t>Compra 856 (NFe 266-1)</t>
  </si>
  <si>
    <t>Compra 852 (NFe 2593171-1)</t>
  </si>
  <si>
    <t xml:space="preserve">VALE TRANSPORTE NOVOS COLABORADORES </t>
  </si>
  <si>
    <t>Compra 842 (NFe 69917-1)</t>
  </si>
  <si>
    <t>Compra 851 (NFe 393228-1)</t>
  </si>
  <si>
    <t>Compra 857 (NFe 773384-0)</t>
  </si>
  <si>
    <t>Compra 845 (NFe 67123-1)</t>
  </si>
  <si>
    <t>Compra 850 (NFe 376814-1)</t>
  </si>
  <si>
    <t>Compra 844 (NFe 4110837-1)</t>
  </si>
  <si>
    <t>Compra 849 (NFe 12930-1)</t>
  </si>
  <si>
    <t>Compra 843 (NFe 5648588-1)</t>
  </si>
  <si>
    <t>Compra 858 (NFe 497766-2)</t>
  </si>
  <si>
    <t>Compra 859 (NFe 687311-3)</t>
  </si>
  <si>
    <t>JELF SELF STORAGE LTDA</t>
  </si>
  <si>
    <t>PAULISTANA GESTAO EMPRESARIAL</t>
  </si>
  <si>
    <t>LUDWING MARX POZO NEMER</t>
  </si>
  <si>
    <t>PREFEITURA SAO PAULO</t>
  </si>
  <si>
    <t>MERCADO LIVRE</t>
  </si>
  <si>
    <t>SINDICATO DOS EMPREGADOS NO COMERCIO HOTELEIRO E SIMILARES DE SAO PAULO</t>
  </si>
  <si>
    <t>Alvorada-Serv Comercio E Distribuicao Ltda</t>
  </si>
  <si>
    <t>CALEBE EQUIPAMENTOS INDUSTRIAIS</t>
  </si>
  <si>
    <t>Gina Von Hertwig Assessoria De Imprensa E Planejamento De Comunicacao Limitada</t>
  </si>
  <si>
    <t>SOLUCOES EM SOFTWARE E SERVICOS TTS</t>
  </si>
  <si>
    <t>Rental Facility Locações</t>
  </si>
  <si>
    <t>METTA CONFORT</t>
  </si>
  <si>
    <t>ELETRIX SERVICOS</t>
  </si>
  <si>
    <t>BCN SERVICOS E COMERCIO VIRTUAL DE BEBIDAS E ALIMENTOS LTDA</t>
  </si>
  <si>
    <t>Brangus Carnes E Frios Ltda</t>
  </si>
  <si>
    <t>VICTORIA AMARAL RIBEIRO</t>
  </si>
  <si>
    <t>GRIGORI CONSTRUCOES</t>
  </si>
  <si>
    <t>Francisca Alves de Oliveira</t>
  </si>
  <si>
    <t>FERNANDA BARBOSA SOARES</t>
  </si>
  <si>
    <t>ONDE IR EM SP LTDA</t>
  </si>
  <si>
    <t>BATALHA FABRICA DE PAES LTDA</t>
  </si>
  <si>
    <t>JAILSON J DA SILVA SERVICOS</t>
  </si>
  <si>
    <t>PEROLAS COMERCIO DE CAVIAR LTDA</t>
  </si>
  <si>
    <t>COMERCIO DE ALIMENTOS SANTA BARBARA LTDA</t>
  </si>
  <si>
    <t>KARINA FRANCISCA DE SOUZA</t>
  </si>
  <si>
    <t>MARCONE MARMORARIA</t>
  </si>
  <si>
    <t>FLOR ARTE</t>
  </si>
  <si>
    <t>QUALIMPOR IMP. EXP. DE PRODS. ALIM. LTDA</t>
  </si>
  <si>
    <t>PAMA COMERCIO DE GENEROS ALIMENTICIOS LTDA</t>
  </si>
  <si>
    <t>MARINKOVIC COQUETELARIA</t>
  </si>
  <si>
    <t>SPVAC</t>
  </si>
  <si>
    <t>MIRI AR BR REFRIGERACAO LTDA</t>
  </si>
  <si>
    <t>HYDRO SERVICE SOLUCOES DESENTUPIDORA E DEDETIZADORA EIRELI</t>
  </si>
  <si>
    <t>Carvalho da Silva</t>
  </si>
  <si>
    <t>LEANDRO DOS SANTOS DE CARVALHO</t>
  </si>
  <si>
    <t>LLINEIDA RAMONA MOTA FIGUEIRA</t>
  </si>
  <si>
    <t>RAMIRO EQUIPAMENTOS GASTRONOMICOS LTDA</t>
  </si>
  <si>
    <t>MELLANNY DOURADO AZEVEDO</t>
  </si>
  <si>
    <t>JONATAS FIGUEREDO DOS SANTOS</t>
  </si>
  <si>
    <t>CLOVIS DA SILVA SANTOS</t>
  </si>
  <si>
    <t>BETINHO RODRIGUES</t>
  </si>
  <si>
    <t>REINALDO VICENTE DA SILVA PINTENHO</t>
  </si>
  <si>
    <t>BRUNO BATTISTEL ACESSORIA GASTRONOMICA LTDA</t>
  </si>
  <si>
    <t>PAES LEME PARAFUSOS FERRAGENS E SERVICOS LTDA</t>
  </si>
  <si>
    <t>MACIEL JOSE SILVA</t>
  </si>
  <si>
    <t>CRISLANE SOARES</t>
  </si>
  <si>
    <t>TATIANE FEITOSA DE SOUSA</t>
  </si>
  <si>
    <t>JOSE ANDRE CAVALCANTE</t>
  </si>
  <si>
    <t>NANTES CONSULTORIA EMPRESARIAL LTDA</t>
  </si>
  <si>
    <t>Mistral Importadora (Guarulhos)</t>
  </si>
  <si>
    <t>FELIPPE SANTOS DE ALMEIDA</t>
  </si>
  <si>
    <t>DIANA SANTOS PORTO QUERIDO</t>
  </si>
  <si>
    <t>KARINE CORREA</t>
  </si>
  <si>
    <t>NORONHA DISTRIBUIDORA DE ALIMENTOS E BEBIDAS LTDA</t>
  </si>
  <si>
    <t>IOF</t>
  </si>
  <si>
    <t>OUTROS UTENSILIOS</t>
  </si>
  <si>
    <t>ASSESSORIA DE IMPRENSA</t>
  </si>
  <si>
    <t>MOVEIS</t>
  </si>
  <si>
    <t>MATERIAL DE USO E CONSUMO</t>
  </si>
  <si>
    <t>DECORACAO</t>
  </si>
  <si>
    <t>IMOBILIZADO</t>
  </si>
  <si>
    <t>CONSULTORIA OPERACIONAL REF AO MES FEV/2026</t>
  </si>
  <si>
    <t>ANDERSON DO SANTOS SOARES</t>
  </si>
  <si>
    <t>CARLOS CAVALCANTE</t>
  </si>
  <si>
    <t>Consultoria OP</t>
  </si>
  <si>
    <t>Consultoria ADM</t>
  </si>
  <si>
    <t>UTILIDADES/ CONSUMO</t>
  </si>
  <si>
    <t>Utilidades/ Consumo</t>
  </si>
  <si>
    <t>xxx</t>
  </si>
  <si>
    <t>GORJETA ADIANTAMENTO</t>
  </si>
  <si>
    <t>GORJETAS PAGAS</t>
  </si>
  <si>
    <t>Salários e Encargos</t>
  </si>
  <si>
    <t>RESULTADO OPERACIONAL</t>
  </si>
  <si>
    <t>SISTEMA E SOFTWARE OP</t>
  </si>
  <si>
    <t>SISTEMA E SOFTWARE ADM</t>
  </si>
  <si>
    <t>Sistema e Software OP</t>
  </si>
  <si>
    <t>Sistema e Software ADM</t>
  </si>
  <si>
    <t>Retenção de Gorjetas</t>
  </si>
  <si>
    <t>FATURAMENTO Liquido de Gorjeta</t>
  </si>
  <si>
    <t>CHAVEIRO</t>
  </si>
  <si>
    <t>Limpeza e Conservação</t>
  </si>
  <si>
    <t>Impacto</t>
  </si>
  <si>
    <t>MANUTENÇÃO E CONSERVAS</t>
  </si>
  <si>
    <t>BD JAN'26</t>
  </si>
  <si>
    <t xml:space="preserve">REAL JAN'26 </t>
  </si>
  <si>
    <t>PARTICIPAÇÃO</t>
  </si>
  <si>
    <t>PART% REAL</t>
  </si>
  <si>
    <t>PART% BD</t>
  </si>
  <si>
    <t>COMPARATIVO REAL VS ORÇAMENTO 2026</t>
  </si>
  <si>
    <t>2026 MÉDIA ANUAL</t>
  </si>
  <si>
    <t>REAL</t>
  </si>
  <si>
    <t>BD</t>
  </si>
  <si>
    <t>TX CARTÕES</t>
  </si>
  <si>
    <t>Taxa Cartões</t>
  </si>
  <si>
    <t>BD JAN.26</t>
  </si>
  <si>
    <t>REAL JAN.26</t>
  </si>
  <si>
    <t>BENEFICIO CONVENIO MÉDICO</t>
  </si>
  <si>
    <t>AMIL</t>
  </si>
  <si>
    <t xml:space="preserve">IPTU MEET - PARC. MEET </t>
  </si>
  <si>
    <t>BD FEV'26</t>
  </si>
  <si>
    <t xml:space="preserve">REAL FEV'26 </t>
  </si>
  <si>
    <t>JAN'26</t>
  </si>
  <si>
    <t>FEV'26</t>
  </si>
  <si>
    <t>BD FEV.26</t>
  </si>
  <si>
    <t>REAL FEV.26</t>
  </si>
  <si>
    <t>META GLOB</t>
  </si>
  <si>
    <t>RL x BD_Jan'26</t>
  </si>
  <si>
    <t>RL x BD_Fev'26</t>
  </si>
  <si>
    <t>Resumo</t>
  </si>
  <si>
    <t>FORNECEDOR</t>
  </si>
  <si>
    <t>CATEGORIA</t>
  </si>
  <si>
    <t>DESPESAS MANUTENÇÃO JANEIRO/2026</t>
  </si>
  <si>
    <t>DESPESAS MANUTENÇÃO FEVEREIRO/2026</t>
  </si>
  <si>
    <t>PRESTADORES DE SERVIÇOS OP JANEIRO/2026</t>
  </si>
  <si>
    <t>PRESTADORES DE SERVIÇOS OP FEVEREIRO/2026</t>
  </si>
  <si>
    <t>PJ OP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</si>
  <si>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</si>
  <si>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</si>
  <si>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</si>
  <si>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</si>
  <si>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</si>
  <si>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</si>
  <si>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</si>
  <si>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</si>
  <si>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</si>
  <si>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</si>
  <si>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</si>
  <si>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</si>
  <si>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</si>
  <si>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</si>
  <si>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</si>
  <si>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</si>
  <si>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</si>
  <si>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</si>
  <si>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</si>
  <si>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</si>
  <si>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</si>
  <si>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24/03/2026</t>
  </si>
  <si>
    <t>25/03/2026</t>
  </si>
  <si>
    <t>26/03/2026</t>
  </si>
  <si>
    <t>27/03/2026</t>
  </si>
  <si>
    <t>28/03/2026</t>
  </si>
  <si>
    <t>30/03/2026</t>
  </si>
  <si>
    <t>31/03/2026</t>
  </si>
  <si>
    <t>Compra de serviço Série:1 / NFS-e:61310</t>
  </si>
  <si>
    <t>INTERNET RUA RAMOS BATISTA, 443 - VILA OLIMPIA</t>
  </si>
  <si>
    <t>Compra 871 (NFe 1370-1)</t>
  </si>
  <si>
    <t>Compra 875 (NFe 498942-1)</t>
  </si>
  <si>
    <t>Dobras referentes ao mês de fevereiro, que será realizado em dinheiro.</t>
  </si>
  <si>
    <t>Compra 882 (NFe 67550-1)</t>
  </si>
  <si>
    <t xml:space="preserve">Compra 855 </t>
  </si>
  <si>
    <t>Compra 877 (NFe 34177-0)</t>
  </si>
  <si>
    <t>PAGAMENTO DE BOLETO OUTROS BANCOS ICE SERVICES COMERCIO SER</t>
  </si>
  <si>
    <t>Compra 863 (NFe 162424-1)</t>
  </si>
  <si>
    <t>Compra 870 (NFe 50863-1)</t>
  </si>
  <si>
    <t>NFe 261</t>
  </si>
  <si>
    <t>Compra 872 (NFe 377163-1)</t>
  </si>
  <si>
    <t>Compra 874 (NFe 2594802-1)</t>
  </si>
  <si>
    <t>Compra 864 (NFe 1310-1)</t>
  </si>
  <si>
    <t xml:space="preserve">Compra 862 </t>
  </si>
  <si>
    <t>Compra 865 (NFe 40106-1)</t>
  </si>
  <si>
    <t>Compra 878 (NFe 407922-1)</t>
  </si>
  <si>
    <t>Compra 860 (NFe 16466800-16)</t>
  </si>
  <si>
    <t xml:space="preserve">  SABESP - AGUA E/OU ESGOTO - RUA RAMOS BATISTA,443 - VL OLIMPIA</t>
  </si>
  <si>
    <t>Compra 861 (NFe 93310-1)</t>
  </si>
  <si>
    <t>Compra 883 (NFe 67564-1)</t>
  </si>
  <si>
    <t>Compra 873 (NFe 2594782-1)</t>
  </si>
  <si>
    <t>Compra 866 (NFe 50500-1)</t>
  </si>
  <si>
    <t>Compra 876 (NFe 76104-1)</t>
  </si>
  <si>
    <t>FERIAS REF AO PERIODO DE  06/04/2026 A 25/04/2026</t>
  </si>
  <si>
    <t>Compra 868 (NFe 4770-0)</t>
  </si>
  <si>
    <t>Compra 867 (NFe 294027-1)</t>
  </si>
  <si>
    <t>Compra 890 (NFe 13456-1)</t>
  </si>
  <si>
    <t>Compra 880 (NFe 1828235-1)</t>
  </si>
  <si>
    <t>Compra 879 (NFe 497910-2)</t>
  </si>
  <si>
    <t>Compra 886 (NFe 311699-1)</t>
  </si>
  <si>
    <t>Compra 904 (NFe 44689-1)</t>
  </si>
  <si>
    <t>Compra 885 (NFe 4113348-1)</t>
  </si>
  <si>
    <t>ASSINATURA DIGITAL NFS-e 4404945</t>
  </si>
  <si>
    <t xml:space="preserve">ASSINATURA DIGITAL NFS-e </t>
  </si>
  <si>
    <t>Compra 884 (NFe 757089-1)</t>
  </si>
  <si>
    <t>TV, INTERNET, TELEFONE FIXO REF AO PERIODO</t>
  </si>
  <si>
    <t>Compra 889 (NFe 308492-101)</t>
  </si>
  <si>
    <t>Compra 881 (NFe 687684-3)</t>
  </si>
  <si>
    <t>Compra 888 (NFe 93434-1)</t>
  </si>
  <si>
    <t>Compra 887 (NFe 2613308-5)</t>
  </si>
  <si>
    <t>Compra 891 (NFe 1008-1)</t>
  </si>
  <si>
    <t>Compra 893 (NFe 170126-1)</t>
  </si>
  <si>
    <t>Compra 896 (NFe 67588-1)</t>
  </si>
  <si>
    <t>Compra 892 (NFe 170121-1)</t>
  </si>
  <si>
    <t>Compra 901 (NFe 54231-1)</t>
  </si>
  <si>
    <t>Compra 894 (NFe 42716-1)</t>
  </si>
  <si>
    <t>Compra 895 (NFe 70123-1)</t>
  </si>
  <si>
    <t>Compra 899 (NFe 5655408-1)</t>
  </si>
  <si>
    <t>Compra 898 (NFe 67740-1)</t>
  </si>
  <si>
    <t>Compra 900 (NFe 4114342-1)</t>
  </si>
  <si>
    <t>Compra 897 (NFe 10172-1)</t>
  </si>
  <si>
    <t>Compra 903 (NFe 5939-1)</t>
  </si>
  <si>
    <t>Compra 906 (NFe 498221-2)</t>
  </si>
  <si>
    <t>Compra 905 (NFe 775128-0)</t>
  </si>
  <si>
    <t>Compra 902 (NFe 30539-5)</t>
  </si>
  <si>
    <t>SERVICO DE MARKETING REF. RESCISÃO 22</t>
  </si>
  <si>
    <t>Compra 911 (NFe 145374-1)</t>
  </si>
  <si>
    <t>Compra 916 (NFe 1312-1)</t>
  </si>
  <si>
    <t>Compra 912 (NFe 312085-1)</t>
  </si>
  <si>
    <t>Compra 917 (NFe 378062-1)</t>
  </si>
  <si>
    <t>Compra 914 (NFe 11801-1)</t>
  </si>
  <si>
    <t>Compra 910 (NFe 7927-1)</t>
  </si>
  <si>
    <t>Compra 909 (NFe 6414863-5)</t>
  </si>
  <si>
    <t>Compra 919 (NFe 498522-2)</t>
  </si>
  <si>
    <t>Compra 918 (NFe 408407-1)</t>
  </si>
  <si>
    <t xml:space="preserve">IPTU RUA RAMOS BATISTA, 443 - VL OLIMPIA 01/10 </t>
  </si>
  <si>
    <t>Compra 907 (NFe 4115365-1)</t>
  </si>
  <si>
    <t>Compra 913 (NFe 8983-1)</t>
  </si>
  <si>
    <t>Compra 908 (NFe 688222-3)</t>
  </si>
  <si>
    <t>Compra 915 (NFe 44762-1)</t>
  </si>
  <si>
    <t>Compra 928 (NFe 67639-1)</t>
  </si>
  <si>
    <t xml:space="preserve">Compra 929 </t>
  </si>
  <si>
    <t>Compra 921 (NFe 70506-1)</t>
  </si>
  <si>
    <t>Compra 922 (NFe 759498-1)</t>
  </si>
  <si>
    <t>Compra 926 (NFe 3433-1)</t>
  </si>
  <si>
    <t>Compra 925 (NFe 3668-1)</t>
  </si>
  <si>
    <t>Compra 920 (NFe 16476525-16)</t>
  </si>
  <si>
    <t>Compra 923 (NFe 5660961-1)</t>
  </si>
  <si>
    <t xml:space="preserve">REFORMA </t>
  </si>
  <si>
    <t>Compra 927 (NFe 4116808-1)</t>
  </si>
  <si>
    <t>Compra 924 (NFe 68324-1)</t>
  </si>
  <si>
    <t>ADEGA - Alex Junior de Moraes Santos</t>
  </si>
  <si>
    <t>Compra 931 (NFe 688482-3)</t>
  </si>
  <si>
    <t>Compra 932 (NFe 688483-3)</t>
  </si>
  <si>
    <t>Compra 954 (NFe 67731-1)</t>
  </si>
  <si>
    <t>Compra 955 (NFe 67743-1)</t>
  </si>
  <si>
    <t>Compra 944 (NFe 408872-1)</t>
  </si>
  <si>
    <t>Compra 941 (NFe 2619371-5)</t>
  </si>
  <si>
    <t>Reembolso Henrique - pesquisa de mercado - NB STEAK</t>
  </si>
  <si>
    <t>Compra 946 (NFe 3570-1)</t>
  </si>
  <si>
    <t>Compra 938 (NFe 6427599-5)</t>
  </si>
  <si>
    <t>Compra 936 (NFe 4793-0)</t>
  </si>
  <si>
    <t>Compra 939 (NFe 50706-1)</t>
  </si>
  <si>
    <t>Compra 933 (NFe 93655-1)</t>
  </si>
  <si>
    <t>Compra 935 (NFe 1316-1)</t>
  </si>
  <si>
    <t>Compra 942 (NFe 795132-1)</t>
  </si>
  <si>
    <t>Compra 947 (NFe 174588-1)</t>
  </si>
  <si>
    <t>Compra 937 (NFe 162622-1)</t>
  </si>
  <si>
    <t>Compra 940 (NFe 40163-1)</t>
  </si>
  <si>
    <t>Compra 943 (NFe 378443-1)</t>
  </si>
  <si>
    <t>Compra 945 (NFe 8183-1)</t>
  </si>
  <si>
    <t xml:space="preserve">Compra 930 </t>
  </si>
  <si>
    <t>Compra 934 (NFe 44848-1)</t>
  </si>
  <si>
    <t>Compra 952 (NFe 295542-1)</t>
  </si>
  <si>
    <t>Compra 962 (NFe 312240-1)</t>
  </si>
  <si>
    <t>Compra 956 (NFe 10200-1)</t>
  </si>
  <si>
    <t>Compra 959 (NFe 312530-1)</t>
  </si>
  <si>
    <t>Compra 950 (NFe 68938-1)</t>
  </si>
  <si>
    <t>Compra 960 (NFe 688284-1)</t>
  </si>
  <si>
    <t>Compra 949 (NFe 3435-1)</t>
  </si>
  <si>
    <t>Compra 964 (NFe 499034-2)</t>
  </si>
  <si>
    <t>Compra 963 (NFe 13539-1)</t>
  </si>
  <si>
    <t>Compra 957 (NFe 44888-1)</t>
  </si>
  <si>
    <t>Compra 958 (NFe 761570-1)</t>
  </si>
  <si>
    <t>Compra 948 (NFe 4118487-1)</t>
  </si>
  <si>
    <t>Compra 961 (NFe 2599081-1)</t>
  </si>
  <si>
    <t>Compra 951 (NFe 111953-1)</t>
  </si>
  <si>
    <t>Compra 953 (NFe 93736-1)</t>
  </si>
  <si>
    <t>Compra 970 (NFe 54342-1)</t>
  </si>
  <si>
    <t>Compra 966 (NFe 43968-2)</t>
  </si>
  <si>
    <t>Compra 968 (NFe 5667838-1)</t>
  </si>
  <si>
    <t>Compra 969 (NFe 13203-1)</t>
  </si>
  <si>
    <t xml:space="preserve">Compra 972 </t>
  </si>
  <si>
    <t>Compra 967 (NFe 2848578-3)</t>
  </si>
  <si>
    <t>Compra 965 (NFe 16485446-16)</t>
  </si>
  <si>
    <t xml:space="preserve">Compra 971 </t>
  </si>
  <si>
    <t>Compra 974 (NFe 308920-101)</t>
  </si>
  <si>
    <t>Compra 982 (NFe 145729-1)</t>
  </si>
  <si>
    <t>Compra 980 (NFe 296126-1)</t>
  </si>
  <si>
    <t xml:space="preserve">COMPRA DE ALUGUEL REF MARÇO </t>
  </si>
  <si>
    <t>Compra 975 (NFe 312979-1)</t>
  </si>
  <si>
    <t>Compra 985 (NFe 1318-1)</t>
  </si>
  <si>
    <t>Compra 991 (NFe 777888-0)</t>
  </si>
  <si>
    <t>Compra 977 (NFe 50821-1)</t>
  </si>
  <si>
    <t>Compra 984 (NFe 272-1)</t>
  </si>
  <si>
    <t xml:space="preserve">Compra 973 </t>
  </si>
  <si>
    <t>COMISSAO REF AO MES DE  Fev/2026</t>
  </si>
  <si>
    <t>Compra 988 (NFe 379405-1)</t>
  </si>
  <si>
    <t>Compra 981 (NFe 44987-1)</t>
  </si>
  <si>
    <t>Compra 995 (NFe 67816-1)</t>
  </si>
  <si>
    <t>Compra 976 (NFe 50820-1)</t>
  </si>
  <si>
    <t>Compra 979 (NFe 201777-1)</t>
  </si>
  <si>
    <t>Compra 987 (NFe 38051-1)</t>
  </si>
  <si>
    <t>Compra 990 (NFe 501202-1)</t>
  </si>
  <si>
    <t>Compra 989 (NFe 409349-1)</t>
  </si>
  <si>
    <t>Compra 983 (NFe 763023-1)</t>
  </si>
  <si>
    <t>Compra 986 (NFe 3441-1)</t>
  </si>
  <si>
    <t>Compra 978 (NFe 12158-1)</t>
  </si>
  <si>
    <t>Compra 992 (NFe 43350-1)</t>
  </si>
  <si>
    <t>Compra 994 (NFe 4122473-1)</t>
  </si>
  <si>
    <t>Compra 993 (NFe 69488-1)</t>
  </si>
  <si>
    <t>Compra 998 (NFe 778155-0)</t>
  </si>
  <si>
    <t>Compra 996 (NFe 13565-1)</t>
  </si>
  <si>
    <t>IR/ INSS</t>
  </si>
  <si>
    <t>Compra 999 (NFe 45033-1)</t>
  </si>
  <si>
    <t>Compra 997 (NFe 689852-3)</t>
  </si>
  <si>
    <t>Compra 1000 (NFe 16495246-16)</t>
  </si>
  <si>
    <t>Compra 1015 (NFe 796106-1)</t>
  </si>
  <si>
    <t>PLANO DE SAUDE FUNCIONARIOS COMP. DEZEMBRO/2025</t>
  </si>
  <si>
    <t>Compra 1018 (NFe 409804-1)</t>
  </si>
  <si>
    <t>Compra 1011 (NFe 296493-1)</t>
  </si>
  <si>
    <t>Compra 1009 (NFe 40220-1)</t>
  </si>
  <si>
    <t>Compra 1022 (NFe 76511-1)</t>
  </si>
  <si>
    <t>Compra 1003 (NFe 45068-1)</t>
  </si>
  <si>
    <t>Compra 1034 (NFe 764497-1)</t>
  </si>
  <si>
    <t>Compra 1014 (NFe 379782-1)</t>
  </si>
  <si>
    <t>Compra 1010 (NFe 33221-1)</t>
  </si>
  <si>
    <t>Compra 1013 (NFe 2602073-1)</t>
  </si>
  <si>
    <t>Compra 1005 (NFe 764493-1)</t>
  </si>
  <si>
    <t>Compra 1023 (NFe 3444-1)</t>
  </si>
  <si>
    <t>Compra 1001 (NFe 45056-1)</t>
  </si>
  <si>
    <t>Compra 1033 (NFe 67897-1)</t>
  </si>
  <si>
    <t>Compra 1008 (NFe 4835-0)</t>
  </si>
  <si>
    <t>Compra 1017 (NFe 2627642-5)</t>
  </si>
  <si>
    <t>Compra 1006 (NFe 1322-1)</t>
  </si>
  <si>
    <t>Compra 1016 (NFe 1387-1)</t>
  </si>
  <si>
    <t>Compra 1032 (NFe 67896-1)</t>
  </si>
  <si>
    <t>Compra 1012 (NFe 2602050-1)</t>
  </si>
  <si>
    <t>Compra 1007 (NFe 94046-1)</t>
  </si>
  <si>
    <t>Compra 1019 (NFe 51667-1)</t>
  </si>
  <si>
    <t>Compra 1004 (NFe 24577-1)</t>
  </si>
  <si>
    <t>Compra 1002 (NFe 84700-1)</t>
  </si>
  <si>
    <t>Compra 1038 (NFe 313437-1)</t>
  </si>
  <si>
    <t>Compra 1048 (NFe 45096-1)</t>
  </si>
  <si>
    <t>Compra 1031 (NFe 1741-1)</t>
  </si>
  <si>
    <t>Compra de serviço Série:SN / NFS-e:209</t>
  </si>
  <si>
    <t>Compra 1050 (NFe 765389-1)</t>
  </si>
  <si>
    <t>Referente à parcela do empréstimo consignado do GOV</t>
  </si>
  <si>
    <t>Compra 1044 (NFe 1137626-1)</t>
  </si>
  <si>
    <t>Compra 1036 (NFe 13585-1)</t>
  </si>
  <si>
    <t>Compra 1041 (NFe 6457620-5)</t>
  </si>
  <si>
    <t>Compra 1049 (NFe 23973-1)</t>
  </si>
  <si>
    <t>Compra 1045 (NFe 180207-1)</t>
  </si>
  <si>
    <t xml:space="preserve">Compra 1021 </t>
  </si>
  <si>
    <t>Compra 1029 (NFe 690171-3)</t>
  </si>
  <si>
    <t xml:space="preserve">Compra 1028 </t>
  </si>
  <si>
    <t>Compra 1059 (NFe 108020-1)</t>
  </si>
  <si>
    <t>Compra 1042 (NFe 34573-0)</t>
  </si>
  <si>
    <t>Compra 1024 (NFe 499830-2)</t>
  </si>
  <si>
    <t xml:space="preserve">Compra 1026 </t>
  </si>
  <si>
    <t>Compra 1037 (NFe 15-1)</t>
  </si>
  <si>
    <t>Compra 1030 (NFe 4124568-1)</t>
  </si>
  <si>
    <t>Compra 1051 (NFe 1011-1)</t>
  </si>
  <si>
    <t>Compra 1043 (NFe 86480-1)</t>
  </si>
  <si>
    <t>LOCACAO DE EXOVAL REF AO PERIODO MARÇ/2026</t>
  </si>
  <si>
    <t>Compra 1040 (NFe 13247-1)</t>
  </si>
  <si>
    <t xml:space="preserve">Compra 1035 </t>
  </si>
  <si>
    <t>Compra 1027 (NFe 69933-1)</t>
  </si>
  <si>
    <t>Compra 1039 (NFe 94160-1)</t>
  </si>
  <si>
    <t>Compra 1056 (NFe 45136-1)</t>
  </si>
  <si>
    <t>Compra 1052 (NFe 500068-2)</t>
  </si>
  <si>
    <t>Compra 1055 (NFe 10242-1)</t>
  </si>
  <si>
    <t>Compra 1053 (NFe 779677-0)</t>
  </si>
  <si>
    <t>Compra 1131 (NFe 500059-2)</t>
  </si>
  <si>
    <t xml:space="preserve">4x paea </t>
  </si>
  <si>
    <t>Compra 1057 (NFe 67966-1)</t>
  </si>
  <si>
    <t>Compra 1046 (NFe 71516-1)</t>
  </si>
  <si>
    <t>Compra 1047 (NFe 5681181-1)</t>
  </si>
  <si>
    <t>Compra 1067 (NFe 410270-1)</t>
  </si>
  <si>
    <t>Compra 1065 (NFe 13634-1)</t>
  </si>
  <si>
    <t>Compra 1058 (NFe 23977-1)</t>
  </si>
  <si>
    <t>Compra 1061 (NFe 502463-1)</t>
  </si>
  <si>
    <t>Compra 1060 (NFe 313861-1)</t>
  </si>
  <si>
    <t>Compra 1130 (NFe 1325-1)</t>
  </si>
  <si>
    <t>Compra 1071 (NFe 68008-1)</t>
  </si>
  <si>
    <t>Compra 1062 (NFe 45176-1)</t>
  </si>
  <si>
    <t>Compra 1054 (NFe 690829-3)</t>
  </si>
  <si>
    <t>Compra 1066 (NFe 380684-1)</t>
  </si>
  <si>
    <t>Compra 1063 (NFe 766718-1)</t>
  </si>
  <si>
    <t>Compra 1068 (NFe 796918-1)</t>
  </si>
  <si>
    <t>Compra 1074 (NFe 3690-1)</t>
  </si>
  <si>
    <t>Compra 1073 (NFe 3450-1)</t>
  </si>
  <si>
    <t>Compra de serviço Série:148 / NFS-e:148</t>
  </si>
  <si>
    <t>Compra 1078 (NFe 2874-1)</t>
  </si>
  <si>
    <t>Compra 1070 (NFe 70608-1)</t>
  </si>
  <si>
    <t>Compra de serviço Série:SN / NFS-e:306</t>
  </si>
  <si>
    <t>Compra 1069 (NFe 16507070-16)</t>
  </si>
  <si>
    <t>Compra 1072 (NFe 68010-1)</t>
  </si>
  <si>
    <t>Compra 1077 (NFe 3687-1)</t>
  </si>
  <si>
    <t>Compra 1081 (NFe 45258-1)</t>
  </si>
  <si>
    <t>Compra 1079 (NFe 4128512-1)</t>
  </si>
  <si>
    <t>Compra 1080 (NFe 4128511-1)</t>
  </si>
  <si>
    <t>Compra 1093 (NFe 86722-1)</t>
  </si>
  <si>
    <t>Compra 1095 (NFe 502960-1)</t>
  </si>
  <si>
    <t>Compra 1091 (NFe 381083-1)</t>
  </si>
  <si>
    <t>Compra 1084 (NFe 24637-1)</t>
  </si>
  <si>
    <t>Telegrama - IGOR CARVALHO DA SILVA</t>
  </si>
  <si>
    <t>Compra 1106 (NFe 68078-1)</t>
  </si>
  <si>
    <t>Compra 1092 (NFe 2635249-5)</t>
  </si>
  <si>
    <t>Compra 1086 (NFe 297736-1)</t>
  </si>
  <si>
    <t>Compra 1096 (NFe 797248-1)</t>
  </si>
  <si>
    <t xml:space="preserve">Compra 1075 </t>
  </si>
  <si>
    <t>Compra 1085 (NFe 94371-1)</t>
  </si>
  <si>
    <t>Compra 1087 (NFe 13640-1)</t>
  </si>
  <si>
    <t>Compra 1107 (NFe 68084-1)</t>
  </si>
  <si>
    <t>Compra 1089 (NFe 4870-0)</t>
  </si>
  <si>
    <t>Compra 1090 (NFe 40294-1)</t>
  </si>
  <si>
    <t>Telegrama - NATALIA DE OLIVEIRA SILVA</t>
  </si>
  <si>
    <t>Compra 1094 (NFe 410714-1)</t>
  </si>
  <si>
    <t>Compra 1088 (NFe 33360-1)</t>
  </si>
  <si>
    <t>Reembolso Henrique - Pesquisa de mercado restaurante</t>
  </si>
  <si>
    <t>Compra 1100 (NFe 5691044-1)</t>
  </si>
  <si>
    <t>Compra 1110 (NFe 2156-1)</t>
  </si>
  <si>
    <t>Compra 1105 (NFe 94502-1)</t>
  </si>
  <si>
    <t>Compra 1109 (NFe 501018-2)</t>
  </si>
  <si>
    <t>Compra 1104 (NFe 51170-1)</t>
  </si>
  <si>
    <t xml:space="preserve">Compra 1076 </t>
  </si>
  <si>
    <t>Compra 1097 (NFe 70938-1)</t>
  </si>
  <si>
    <t>Compra 1101 (NFe 1755-1)</t>
  </si>
  <si>
    <t xml:space="preserve">RP </t>
  </si>
  <si>
    <t>Compra 1099 (NFe 146160-1)</t>
  </si>
  <si>
    <t xml:space="preserve">Compra 1082 </t>
  </si>
  <si>
    <t>Compra 1103 (NFe 314335-1)</t>
  </si>
  <si>
    <t>Telegrama - JOÃO MARCOS VIEIRA DE SOUSA</t>
  </si>
  <si>
    <t>Compra 1108 (NFe 45321-1)</t>
  </si>
  <si>
    <t>Compra 1102 (NFe 3457-1)</t>
  </si>
  <si>
    <t>Compra 1098 (NFe 4129676-1)</t>
  </si>
  <si>
    <t>NFe 09</t>
  </si>
  <si>
    <t>Compra 1111 (NFe 16516417-16)</t>
  </si>
  <si>
    <t>CONFEITARIA COMP MARÇ/2026</t>
  </si>
  <si>
    <t>SERVIÇOS ADM FINANCEIROS COMP MARÇ/2025</t>
  </si>
  <si>
    <t>Compra 1114 (NFe 13679-1)</t>
  </si>
  <si>
    <t>PRESTACAO DE SERVICOS SUBCHEFE PARRILLA REF AO MES DE MARÇ/2026</t>
  </si>
  <si>
    <t>SERVICOS OPERACIONAL REF AO MES DE MARÇ/2026</t>
  </si>
  <si>
    <t>Compra 1123 (NFe 68114-1)</t>
  </si>
  <si>
    <t>CONSULTORIA OPERACIONAL REF AO MES MARÇ/2026</t>
  </si>
  <si>
    <t>SOMMELIER COMP MARÇ/2026</t>
  </si>
  <si>
    <t>Compra 1113 (NFe 10266-1)</t>
  </si>
  <si>
    <t>Compra 1115 (NFe 782146-0)</t>
  </si>
  <si>
    <t>PRESTACAO DE SERVICOS NA COZINHA REF AO MES DE FEV/2026 - VALOR 6.000,00 ALEX</t>
  </si>
  <si>
    <t>PRESTACAO DE SERVICOS COORDENADOR MANUTENCAO REF AO MES DE MARÇ/2026</t>
  </si>
  <si>
    <t>MAITRE COMP MARÇ/2026</t>
  </si>
  <si>
    <t>Compra 1112 (NFe 44143-1)</t>
  </si>
  <si>
    <t>SUB CHEFE DE COZINHA  REF AO MES DE MARÇ/2026</t>
  </si>
  <si>
    <t>GERENCIA OPERACIONAL COMP MARÇ/2026</t>
  </si>
  <si>
    <t>PRESTACAO DE SERVICOS MANUTENCAO REF AO MES DE MARÇ/2026</t>
  </si>
  <si>
    <t>Compra 1121 (NFe 298709-1)</t>
  </si>
  <si>
    <t>Compra 1124 (NFe 8243-1)</t>
  </si>
  <si>
    <t>Compra 1122 (NFe 203090-1)</t>
  </si>
  <si>
    <t>Compra 1119 (NFe 692166-3)</t>
  </si>
  <si>
    <t>Fechamento de vidro nos vãos de vidros fixos com estruturas em alumínio.</t>
  </si>
  <si>
    <t>Compra 1139 (NFe 68160-1)</t>
  </si>
  <si>
    <t>Compra 1127 (NFe 411195-1)</t>
  </si>
  <si>
    <t xml:space="preserve"> Pagamento do segurança (China) do trabalho semanal via Pix. 11983293093</t>
  </si>
  <si>
    <t>Compra 1129 (NFe 45395-1)</t>
  </si>
  <si>
    <t>Compra 1133 (NFe 503843-1)</t>
  </si>
  <si>
    <t>Compra 1117 (NFe 769792-1)</t>
  </si>
  <si>
    <t>Compra 1140 (NFe 770113-1)</t>
  </si>
  <si>
    <t>Compra 1126 (NFe 52262-1)</t>
  </si>
  <si>
    <t>Compra 1134 (NFe 501495-2)</t>
  </si>
  <si>
    <t>Compra 1120 (NFe 12294-1)</t>
  </si>
  <si>
    <t>Compra 1125 (NFe 382044-1)</t>
  </si>
  <si>
    <t>Compra 1128 (NFe 45390-1)</t>
  </si>
  <si>
    <t>Compra 1116 (NFe 54553-1)</t>
  </si>
  <si>
    <t>Compra 1118 (NFe 10270-1)</t>
  </si>
  <si>
    <t>Compra 1132 (NFe 314878-1)</t>
  </si>
  <si>
    <t>ENERGIA ELETRICA - RUA RAMOS BATISTA 443 - VILA OLIMPIA</t>
  </si>
  <si>
    <t>Compra 1138 (NFe 3465-1)</t>
  </si>
  <si>
    <t>REF MARÇO</t>
  </si>
  <si>
    <t>Compra 1143 (NFe 2609393-1)</t>
  </si>
  <si>
    <t>Compra 1137 (NFe 4133460-1)</t>
  </si>
  <si>
    <t>Compra 1135 (NFe 71721-1)</t>
  </si>
  <si>
    <t>Compra 1175 (NFe 1331-1)</t>
  </si>
  <si>
    <t>Compra 1142 (NFe 2609366-1)</t>
  </si>
  <si>
    <t>Compra 1136 (NFe 5699968-1)</t>
  </si>
  <si>
    <t>Compra de serviço Série:SN / NFS-e:2142</t>
  </si>
  <si>
    <t>Compra 1141 (NFe 24009-1)</t>
  </si>
  <si>
    <t>Compra 1145 (NFe 13497-1)</t>
  </si>
  <si>
    <t>Compra 1144 (NFe 692525-3)</t>
  </si>
  <si>
    <t>Compra 1164 (NFe 504217-1)</t>
  </si>
  <si>
    <t>Compra 1152 (NFe 45500-1)</t>
  </si>
  <si>
    <t>Compra 1147 (NFe 94712-1)</t>
  </si>
  <si>
    <t xml:space="preserve">Compra 1146 </t>
  </si>
  <si>
    <t>Compra 1162 (NFe 2610191-1)</t>
  </si>
  <si>
    <t>Rose Limpeza (Extra)</t>
  </si>
  <si>
    <t>Compra 1165 (NFe 68226-1)</t>
  </si>
  <si>
    <t>Compra 1154 (NFe 40364-1)</t>
  </si>
  <si>
    <t>Compra 1157 (NFe 4910-0)</t>
  </si>
  <si>
    <t>Compra 1149 (NFe 270-1)</t>
  </si>
  <si>
    <t>Extra Tati (sábado e domingo 27 e 29 manhã) - Autorizado Henrique</t>
  </si>
  <si>
    <t>Compra 1156 (NFe 695575-1)</t>
  </si>
  <si>
    <t>Uber Audiência/ Chave Escr</t>
  </si>
  <si>
    <t>Compra 1159 (NFe 51343-1)</t>
  </si>
  <si>
    <t>Compra 1158 (NFe 2643822-5)</t>
  </si>
  <si>
    <t>Compra 1155 (NFe 6494006-5)</t>
  </si>
  <si>
    <t>Compra 1150 (NFe 76883-1)</t>
  </si>
  <si>
    <t>Compra 1161 (NFe 2610136-1)</t>
  </si>
  <si>
    <t>Compra 1163 (NFe 382576-1)</t>
  </si>
  <si>
    <t>Compra 1174 (NFe 1336-1)</t>
  </si>
  <si>
    <t>Compra 1209 (NFe 128979-1)</t>
  </si>
  <si>
    <t>Compra 1148 (NFe 33486-1)</t>
  </si>
  <si>
    <t>Compra 1151 (NFe 313678-1)</t>
  </si>
  <si>
    <t>Mellany Azevedo (ajuda de custo VT)</t>
  </si>
  <si>
    <t>EXTRA EXTRA</t>
  </si>
  <si>
    <t>Compra 1160 (NFe 51342-1)</t>
  </si>
  <si>
    <t>Compra 1153 (NFe 771395-1)</t>
  </si>
  <si>
    <t>Compra 1181 (NFe 10300-1)</t>
  </si>
  <si>
    <t>Compra 1179 (NFe 45511-1)</t>
  </si>
  <si>
    <t>Compra 1173 (NFe 94838-1)</t>
  </si>
  <si>
    <t>Compra 1171 (NFe 68229-1)</t>
  </si>
  <si>
    <t>Compra 1177 (NFe 7071-1)</t>
  </si>
  <si>
    <t>ACORDO TRABALHISTA - SAMUEL PIRES DE JESUS PEREIRA</t>
  </si>
  <si>
    <t>Compra 1182 (NFe 108051-1)</t>
  </si>
  <si>
    <t>Compra 1170 (NFe 3472-1)</t>
  </si>
  <si>
    <t>Compra 1167 (NFe 5703264-1)</t>
  </si>
  <si>
    <t>Compra 1168 (NFe 72128-1)</t>
  </si>
  <si>
    <t>Compra 1172 (NFe 315227-1)</t>
  </si>
  <si>
    <t>Compra 1169 (NFe 4135845-1)</t>
  </si>
  <si>
    <t>Compra 1166 (NFe 16530042-16)</t>
  </si>
  <si>
    <t>Compra 1176 (NFe 21-1)</t>
  </si>
  <si>
    <t>REGINALDO SATURNINO SILVA</t>
  </si>
  <si>
    <t>FABIO JUNIOR SILVESTRE NASCIMENTO</t>
  </si>
  <si>
    <t>ALIANCA COM. BOB. FIT E ET LTDA. EPP</t>
  </si>
  <si>
    <t>CIA DO GELO</t>
  </si>
  <si>
    <t>JOSE DANILO DA SILVA RODRIGUES</t>
  </si>
  <si>
    <t>ESTERFANIA MARIA DA SILVA</t>
  </si>
  <si>
    <t>TIAGO DE QUEIROZ SOUZA</t>
  </si>
  <si>
    <t>MARCIO FERNANDES DE MOURA</t>
  </si>
  <si>
    <t>JOCIMAR ELOI DE OLIVEIRA</t>
  </si>
  <si>
    <t>GENARIO BARBOSA DE NORONHA</t>
  </si>
  <si>
    <t>LEANDRO ARAUJO LIMA</t>
  </si>
  <si>
    <t>BWC BRASIL COMERCIO E IMPORTACAO LTDA</t>
  </si>
  <si>
    <t>DISLAR  CENTRAL DE PROD PARA O LAR LTDA</t>
  </si>
  <si>
    <t>CORREIOS</t>
  </si>
  <si>
    <t>EQUIPAMENTO P/ COZINHA</t>
  </si>
  <si>
    <t>Compra de serviço Série:1 / Nfe - 994557</t>
  </si>
  <si>
    <t>Compra de serviço Série:SN</t>
  </si>
  <si>
    <t>DIRETOR OPERACIONAL REF AO MES DE Mar/26</t>
  </si>
  <si>
    <t>Reinaldo Reembolso Loja de Doce</t>
  </si>
  <si>
    <t>Locação de Espaço</t>
  </si>
  <si>
    <t>LOCAÇÃO DE ESPAÇO</t>
  </si>
  <si>
    <t>ATIVO IMOBIIZADO</t>
  </si>
  <si>
    <t>REEMBOLSO (PAGAMENTO DE CARTÃO)</t>
  </si>
  <si>
    <t>Correio/Cartório/Protestos</t>
  </si>
  <si>
    <t>REEMBOLSO CESAR</t>
  </si>
  <si>
    <t>Mar'26</t>
  </si>
  <si>
    <t>BD MAR26</t>
  </si>
  <si>
    <t>V' RE X BD MAR/26</t>
  </si>
  <si>
    <t>V' RE X BD JAN/26</t>
  </si>
  <si>
    <t>BD X MAR'26</t>
  </si>
  <si>
    <t>BD MAR.26</t>
  </si>
  <si>
    <t>REAL MAR.26</t>
  </si>
  <si>
    <t>JAN/MAR</t>
  </si>
  <si>
    <t>CHEFE EXECUTIVO REF AO MES DE MAR/2026</t>
  </si>
  <si>
    <t>SERVICOS ADMINISTRATIVOS (RECURSOS HUMANOS) REF MAR/2026</t>
  </si>
  <si>
    <t>SERVICOS ADMINISTRATIVOS (FINANCEIRO) REF AO MES DE MAR/2026</t>
  </si>
  <si>
    <t>SERVIÇOS ADM FINANCEIROS COMP MAR/2025</t>
  </si>
  <si>
    <t>ALEX</t>
  </si>
  <si>
    <t>KARINE</t>
  </si>
  <si>
    <t>JULIANA FARIAS DE MELO</t>
  </si>
  <si>
    <t>ACORDO TRABALHISTA- LEONARDO</t>
  </si>
  <si>
    <t>RESCISÃO TRABALHISTA Natalia</t>
  </si>
  <si>
    <t>VERBAS RESCISORIAS RAUL</t>
  </si>
  <si>
    <t>VERBAS RESCISORIAS JOYCE</t>
  </si>
  <si>
    <t>VERBAS RESCISORIAS AGUINALDO</t>
  </si>
  <si>
    <t>VERBAS RESCISORIAS FRANCISCA ALVES</t>
  </si>
  <si>
    <t>VERBAS RESCISORIAS JANAINA</t>
  </si>
  <si>
    <t>Coleta de Lixo</t>
  </si>
  <si>
    <t>COLETA DE LIXO</t>
  </si>
  <si>
    <t>Hostess</t>
  </si>
  <si>
    <t>CONSULTORIA OPERACIONAL REF AO MES JAN/2026</t>
  </si>
  <si>
    <t>MEDIA REAL</t>
  </si>
  <si>
    <t>Prestação de Servço Informatica</t>
  </si>
  <si>
    <t>PRESTAÇÃO DE SERVIÇOS DE INFORMATICA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</si>
  <si>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</si>
  <si>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</si>
  <si>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</si>
  <si>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</si>
  <si>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</si>
  <si>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</si>
  <si>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</si>
  <si>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</si>
  <si>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</si>
  <si>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</si>
  <si>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</si>
  <si>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</si>
  <si>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</si>
  <si>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</si>
  <si>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</si>
  <si>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</si>
  <si>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</si>
  <si>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</si>
  <si>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</si>
  <si>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</si>
  <si>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</si>
  <si>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</si>
  <si>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</si>
  <si>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</si>
  <si>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</si>
  <si>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</si>
  <si>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</si>
  <si>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Compra 1193 (NFe 1151897-1)</t>
  </si>
  <si>
    <t>Compra 1192 (NFe 299850-1)</t>
  </si>
  <si>
    <t>Iof Adicional - Automatico PERIODO: 01/03 A 31/03/26</t>
  </si>
  <si>
    <t>Compra 1198 (NFe 13203-1)</t>
  </si>
  <si>
    <t>Compra 1196 (NFe 383225-1)</t>
  </si>
  <si>
    <t>Compra 1185 (NFe 5706603-1)</t>
  </si>
  <si>
    <t xml:space="preserve">Compra 1183 </t>
  </si>
  <si>
    <t>Compra 1187 (NFe 54630-1)</t>
  </si>
  <si>
    <t>Compra de serviço Série:1 / NFS-e:75217</t>
  </si>
  <si>
    <t>Compra de serviço Série:SN / NFS-e:6616</t>
  </si>
  <si>
    <t>Juros Saldo Utiliz Ate Limite PERIODO: 01/03 A 31/03/26</t>
  </si>
  <si>
    <t>Compra 1189 (NFe 102197-1)</t>
  </si>
  <si>
    <t xml:space="preserve">Compra 1184 </t>
  </si>
  <si>
    <t xml:space="preserve">SEGURANCA ARMARDA REF AO PERIODO: </t>
  </si>
  <si>
    <t>Compra 1188 (NFe 146540-1)</t>
  </si>
  <si>
    <t>Iof Imposto Operacoes Financeiras PERIODO: 01/03 A 31/03/26</t>
  </si>
  <si>
    <t>Compra 1190 (NFe 4928-0)</t>
  </si>
  <si>
    <t>Compra 1197 (NFe 51417-1)</t>
  </si>
  <si>
    <t>Compra 1186 (NFe 1769-1)</t>
  </si>
  <si>
    <t>Compra 1178 (NFe 502066-2)</t>
  </si>
  <si>
    <t>VORTEX LIMPCOIFA</t>
  </si>
  <si>
    <t>Seguro Cheque Protegido PERIODO: 01/03 A 31/03/26</t>
  </si>
  <si>
    <t>Compra 1195 (NFe 783822-0)</t>
  </si>
  <si>
    <t>Compra 1203 (NFe 68291-1)</t>
  </si>
  <si>
    <t>Compra 1194 (NFe 13747-1)</t>
  </si>
  <si>
    <t>Compra 1200 (NFe 72799-1)</t>
  </si>
  <si>
    <t>Pix Agendado SAFE2PAY</t>
  </si>
  <si>
    <t>Compra de serviço Série:SN / NFS-e:4273</t>
  </si>
  <si>
    <t>Compra 1207 (NFe 412145-1)</t>
  </si>
  <si>
    <t>Compra 1205 (NFe 66461-5)</t>
  </si>
  <si>
    <t>Compra 1202 (NFe 4138662-1)</t>
  </si>
  <si>
    <t>Compra 1204 (NFe 69378-1)</t>
  </si>
  <si>
    <t>Compra 1211 (NFe 1338-1)</t>
  </si>
  <si>
    <t>REF MES ABRIL</t>
  </si>
  <si>
    <t>Compra 1199 (NFe 59255-3)</t>
  </si>
  <si>
    <t>Compra 1201 (NFe 3478-1)</t>
  </si>
  <si>
    <t>Compra 1208 (NFe 45572-1)</t>
  </si>
  <si>
    <t>Compra 1206 (NFe 13760-1)</t>
  </si>
  <si>
    <t>Compra 1213 (NFe 6509503-5)</t>
  </si>
  <si>
    <t>Compra 1212 (NFe 24038-1)</t>
  </si>
  <si>
    <t>Compra 1222 (NFe 51541-1)</t>
  </si>
  <si>
    <t>Compra 1223 (NFe 87360-1)</t>
  </si>
  <si>
    <t>Compra 1219 (NFe 40428-1)</t>
  </si>
  <si>
    <t>Tarifa Avulsa Envio Pix 02/04/2026</t>
  </si>
  <si>
    <t>Compra 1215 (NFe 95011-1)</t>
  </si>
  <si>
    <t>Compra 1229 (NFe 129190-1)</t>
  </si>
  <si>
    <t>Compra 1217 (NFe 68348-1)</t>
  </si>
  <si>
    <t>Compra 1224 (NFe 412443-1)</t>
  </si>
  <si>
    <t>Compra de serviço Série:SN / NFS-e:35</t>
  </si>
  <si>
    <t>Compra 1218 (NFe 5989-1)</t>
  </si>
  <si>
    <t>PLANO DE SAUDE REF AO PERIODO</t>
  </si>
  <si>
    <t>Compra de serviço Série:SN / NFS-e:279</t>
  </si>
  <si>
    <t>Compra 1221 (NFe 383577-1)</t>
  </si>
  <si>
    <t>Compra 1220 (NFe 2652374-5)</t>
  </si>
  <si>
    <t>Compra 1225 (NFe 68365-1)</t>
  </si>
  <si>
    <t>Compra 1216 (NFe 4942-0)</t>
  </si>
  <si>
    <t>Compra 1214 (NFe 1343-1)</t>
  </si>
  <si>
    <t>Compra 1228 (NFe 87395-1)</t>
  </si>
  <si>
    <t xml:space="preserve">SALARIO </t>
  </si>
  <si>
    <t>Compra 1230 (NFe 86-2)</t>
  </si>
  <si>
    <t>Compra 1226 (NFe 73376-1)</t>
  </si>
  <si>
    <t>Compra 1233 (NFe 502759-2)</t>
  </si>
  <si>
    <t>Compra 1232 (NFe 502736-2)</t>
  </si>
  <si>
    <t>Compra 1231 (NFe 95133-1)</t>
  </si>
  <si>
    <t>Compra de serviço Série:SN / NFS-e:2</t>
  </si>
  <si>
    <t>GRRF FGTS RESCISORIO -  Hildevaldo Alves Pereira 2025/2026</t>
  </si>
  <si>
    <t>Compra de serviço Série:NFSE / NFS-e:1779</t>
  </si>
  <si>
    <t>MANUTENÇÃO GELADEIRA</t>
  </si>
  <si>
    <t>Compra 1227 (NFe 4140870-1)</t>
  </si>
  <si>
    <t xml:space="preserve">REF. MÊS MARÇO </t>
  </si>
  <si>
    <t xml:space="preserve">REF. MARÇO </t>
  </si>
  <si>
    <t>Compra 1236 (NFe 24834-1)</t>
  </si>
  <si>
    <t>Compra 1237 (NFe 785244-0)</t>
  </si>
  <si>
    <t>Compra 1234 (NFe 54728-1)</t>
  </si>
  <si>
    <t>Compra 1235 (NFe 10315-1)</t>
  </si>
  <si>
    <t>Compra 1439 (NFe 73800-1)</t>
  </si>
  <si>
    <t>Compra 1240 (NFe 77159-1)</t>
  </si>
  <si>
    <t>Compra de serviço Série:1 / NFS-e:18474841</t>
  </si>
  <si>
    <t xml:space="preserve">KIT ANIVERSARIANTE DO MES </t>
  </si>
  <si>
    <t>Compra 1241 (NFe 316527-1)</t>
  </si>
  <si>
    <t>Compra 1242 (NFe 4967-0)</t>
  </si>
  <si>
    <t>Compra 1246 (NFe 384565-1)</t>
  </si>
  <si>
    <t>Compra 1255 (NFe 129332-1)</t>
  </si>
  <si>
    <t>Compra 1238 (NFe 1862252-1)</t>
  </si>
  <si>
    <t>Compra 1257 (NFe 68464-1)</t>
  </si>
  <si>
    <t>Compra 1245 (NFe 33706-1)</t>
  </si>
  <si>
    <t>Compra 1244 (NFe 6526919-5)</t>
  </si>
  <si>
    <t>Compra 1256 (NFe 68446-1)</t>
  </si>
  <si>
    <t>Compra 1247 (NFe 799724-1)</t>
  </si>
  <si>
    <t>Compra 1239 (NFe 1345-1)</t>
  </si>
  <si>
    <t>Compra 1243 (NFe 301014-1)</t>
  </si>
  <si>
    <t>Compra 1440 (NFe 195827-1)</t>
  </si>
  <si>
    <t>Compra 1252 (NFe 503233-2)</t>
  </si>
  <si>
    <t>Compra 1249 (NFe 1863257-1)</t>
  </si>
  <si>
    <t>Compra de serviço Série:1 / NFS-e:18480576</t>
  </si>
  <si>
    <t xml:space="preserve">vinhos </t>
  </si>
  <si>
    <t>Compra 1264 (NFe 68492-1)</t>
  </si>
  <si>
    <t xml:space="preserve">MIDIA </t>
  </si>
  <si>
    <t>COMISSAO REF AO MES DE  ABRI/2026</t>
  </si>
  <si>
    <t>Compra 1253 (NFe 74114-1)</t>
  </si>
  <si>
    <t>Compra 1250 (NFe 5724195-1)</t>
  </si>
  <si>
    <t>Compra 1251 (NFe 62256-3)</t>
  </si>
  <si>
    <t>Compra 1258 (NFe 8282-1)</t>
  </si>
  <si>
    <t>Compra 1254 (NFe 4144361-1)</t>
  </si>
  <si>
    <t>Compra 1248 (NFe 16552381-16)</t>
  </si>
  <si>
    <t>Compra 1259 (NFe 62817-3)</t>
  </si>
  <si>
    <t>Compra 1260 (NFe 32-55)</t>
  </si>
  <si>
    <t>Compra 1262 (NFe 3703-1)</t>
  </si>
  <si>
    <t>Compra 1265 (NFe 68498-1)</t>
  </si>
  <si>
    <t>Compra 1278 (NFe 1349-1)</t>
  </si>
  <si>
    <t>Compra 1269 (NFe 2660307-5)</t>
  </si>
  <si>
    <t>Compra 1279 (NFe 51742-1)</t>
  </si>
  <si>
    <t>Compra de serviço Série:SN / NFS-e:1979</t>
  </si>
  <si>
    <t>Compra 1268 (NFe 33762-1)</t>
  </si>
  <si>
    <t>Compra 1276 (NFe 68568-1)</t>
  </si>
  <si>
    <t xml:space="preserve">PREVISÃO DE MARMITA -  FUNCIONARIO </t>
  </si>
  <si>
    <t>Compra 1274 (NFe 800110-1)</t>
  </si>
  <si>
    <t>Compra 1275 (NFe 46591-2)</t>
  </si>
  <si>
    <t>Compra 1271 (NFe 13839-1)</t>
  </si>
  <si>
    <t>Compra 1267 (NFe 13686-1)</t>
  </si>
  <si>
    <t>Compra 1266 (NFe 4977-0)</t>
  </si>
  <si>
    <t>Compra 1273 (NFe 413363-1)</t>
  </si>
  <si>
    <t>Compra 1438 (NFe 342-1)</t>
  </si>
  <si>
    <t>Compra 1272 (NFe 384886-1)</t>
  </si>
  <si>
    <t>Compra 1270 (NFe 77262-1)</t>
  </si>
  <si>
    <t>Compra 1261 (NFe 95350-1)</t>
  </si>
  <si>
    <t>Compra 1280 (NFe 301617-1)</t>
  </si>
  <si>
    <t>Compra 1286 (NFe 1791-1)</t>
  </si>
  <si>
    <t>Compra 1289 (NFe 95473-1)</t>
  </si>
  <si>
    <t>Compra 1291 (NFe 503741-2)</t>
  </si>
  <si>
    <t>Compra 1281 (NFe 63427-3)</t>
  </si>
  <si>
    <t>Compra 1283 (NFe 4146212-1)</t>
  </si>
  <si>
    <t>Compra 1284 (NFe 87697-1)</t>
  </si>
  <si>
    <t>Compra 1285 (NFe 3493-1)</t>
  </si>
  <si>
    <t>Compra 1288 (NFe 316925-1)</t>
  </si>
  <si>
    <t>Compra 1287 (NFe 40485-1)</t>
  </si>
  <si>
    <t>Compra 1290 (NFe 51794-1)</t>
  </si>
  <si>
    <t>Compra 1282 (NFe 74423-1)</t>
  </si>
  <si>
    <t>Compra 1296 (NFe 54815-1)</t>
  </si>
  <si>
    <t>Pix Enviado EMPRESA BRASILEIRA DE COR</t>
  </si>
  <si>
    <t>Compra 1294 (NFe 695565-3)</t>
  </si>
  <si>
    <t>Compra 1292 (NFe 16562806-16)</t>
  </si>
  <si>
    <t>Compra 1293 (NFe 5730710-1)</t>
  </si>
  <si>
    <t>Compra 1300 (NFe 24903-1)</t>
  </si>
  <si>
    <t>Compra 1299 (NFe 10333-1)</t>
  </si>
  <si>
    <t>Compra 1301 (NFe 308441-0)</t>
  </si>
  <si>
    <t>Compra 1298 (NFe 108090-1)</t>
  </si>
  <si>
    <t>Compra 1297 (NFe 13865-1)</t>
  </si>
  <si>
    <t>Compra 1310 (NFe 385915-1)</t>
  </si>
  <si>
    <t>Compra 1313 (NFe 68656-1)</t>
  </si>
  <si>
    <t>Compra 1307 (NFe 5001-0)</t>
  </si>
  <si>
    <t>Compra 1306 (NFe 504065-2)</t>
  </si>
  <si>
    <t>Compra 1305 (NFe 302286-1)</t>
  </si>
  <si>
    <t>Compra 1309 (NFe 53382-1)</t>
  </si>
  <si>
    <t>Compra 1303 (NFe 786931-0)</t>
  </si>
  <si>
    <t>Compra 1308 (NFe 53363-1)</t>
  </si>
  <si>
    <t>Compra 1302 (NFe 10338-1)</t>
  </si>
  <si>
    <t>Compra 1321 (NFe 1352-1)</t>
  </si>
  <si>
    <t>Compra 1304 (NFe 317466-1)</t>
  </si>
  <si>
    <t>Compra 1311 (NFe 413844-1)</t>
  </si>
  <si>
    <t>Compra 1314 (NFe 74578-1)</t>
  </si>
  <si>
    <t>Compra 1312 (NFe 504198-2)</t>
  </si>
  <si>
    <t>Sinal 50% restante na retirada</t>
  </si>
  <si>
    <t>Compra 1317 (NFe 4149955-1)</t>
  </si>
  <si>
    <t>Compra 1315 (NFe 200922-1)</t>
  </si>
  <si>
    <t xml:space="preserve">SOLUCOES EM SOFTWARE </t>
  </si>
  <si>
    <t>Compra 1322 (NFe 6552297-5)</t>
  </si>
  <si>
    <t>Compra 1316 (NFe 75213-1)</t>
  </si>
  <si>
    <t>Compra 1320 (NFe 396128-1)</t>
  </si>
  <si>
    <t>Compra 1325 (NFe 129712-1)</t>
  </si>
  <si>
    <t xml:space="preserve">ADIANTAMENTO </t>
  </si>
  <si>
    <t>Compra 1318 (NFe 3498-1)</t>
  </si>
  <si>
    <t>Compra 1319 (NFe 13944-1)</t>
  </si>
  <si>
    <t>Compra 1323 (NFe 787380-0)</t>
  </si>
  <si>
    <t>Compra 1324 (NFe 65308-3)</t>
  </si>
  <si>
    <t>Compra 1334 (NFe 14101-1)</t>
  </si>
  <si>
    <t xml:space="preserve">DIFERENÇA </t>
  </si>
  <si>
    <t>CRISTIAN FERNANDES DE BARROS</t>
  </si>
  <si>
    <t xml:space="preserve">Reembolso Midia </t>
  </si>
  <si>
    <t>FGTS 04/2026</t>
  </si>
  <si>
    <t>Compra 1327 (NFe 95707-1)</t>
  </si>
  <si>
    <t>Compra 1331 (NFe 504481-2)</t>
  </si>
  <si>
    <t>Compra 1386 (NFe 800968-1)</t>
  </si>
  <si>
    <t>Compra 1330 (NFe 2669286-5)</t>
  </si>
  <si>
    <t>Compra 1336 (NFe 8316-1)</t>
  </si>
  <si>
    <t>Compra 1335 (NFe 53558-1)</t>
  </si>
  <si>
    <t>Compra 1329 (NFe 40524-1)</t>
  </si>
  <si>
    <t>Compra 1326 (NFe 1356-1)</t>
  </si>
  <si>
    <t>Compra 1332 (NFe 386251-1)</t>
  </si>
  <si>
    <t>Compra 1337 (NFe 3676-1)</t>
  </si>
  <si>
    <t>Compra 1328 (NFe 33872-1)</t>
  </si>
  <si>
    <t>Compra 1333 (NFe 386324-1)</t>
  </si>
  <si>
    <t>Compra 1344 (NFe 66115-3)</t>
  </si>
  <si>
    <t>Compra 1340 (NFe 696698-3)</t>
  </si>
  <si>
    <t>Compra 1345 (NFe 16577061-16)</t>
  </si>
  <si>
    <t>Compra 1342 (NFe 414331-1)</t>
  </si>
  <si>
    <t>Compra 1343 (NFe 13915-1)</t>
  </si>
  <si>
    <t>Compra 1339 (NFe 696657-3)</t>
  </si>
  <si>
    <t>Compra 1338 (NFe 75642-1)</t>
  </si>
  <si>
    <t>Compra 1358 (NFe 68737-1)</t>
  </si>
  <si>
    <t>Compra 1341 (NFe 317861-1)</t>
  </si>
  <si>
    <t>Compra 1351 (NFe 5017-0)</t>
  </si>
  <si>
    <t xml:space="preserve">SITEMA </t>
  </si>
  <si>
    <t>Compra 1352 (NFe 26-1)</t>
  </si>
  <si>
    <t>Compra 1355 (NFe 7658-1)</t>
  </si>
  <si>
    <t>Compra 1354 (NFe 371-2)</t>
  </si>
  <si>
    <t>Compra 1350 (NFe 95762-1)</t>
  </si>
  <si>
    <t>Compra 1349 (NFe 1872475-1)</t>
  </si>
  <si>
    <t>Compra de serviço Série:SN / NFS-e:10</t>
  </si>
  <si>
    <t>Compra 1347 (NFe 10369-1)</t>
  </si>
  <si>
    <t>Compra 1353 (NFe 2622217-1)</t>
  </si>
  <si>
    <t>Compra 1346 (NFe 4151438-1)</t>
  </si>
  <si>
    <t>Compra 1348 (NFe 5743333-1)</t>
  </si>
  <si>
    <t>Compra 1357 (NFe 697026-3)</t>
  </si>
  <si>
    <t>Compra 1375 (NFe 203434-1)</t>
  </si>
  <si>
    <t>Compra 1371 (NFe 414701-1)</t>
  </si>
  <si>
    <t>Compra de serviço Série:SN / NFS-e:155</t>
  </si>
  <si>
    <t>Compra 1361 (NFe 318225-1)</t>
  </si>
  <si>
    <t>Compra 1356 (NFe 74756-1)</t>
  </si>
  <si>
    <t>Compra 1370 (NFe 387046-1)</t>
  </si>
  <si>
    <t>Compra 1373 (NFe 505028-2)</t>
  </si>
  <si>
    <t>Compra 1360 (NFe 703173-1)</t>
  </si>
  <si>
    <t>Compra 1368 (NFe 14265-1)</t>
  </si>
  <si>
    <t>Compra 1367 (NFe 77582-1)</t>
  </si>
  <si>
    <t>Compra 1377 (NFe 68800-1)</t>
  </si>
  <si>
    <t>Compra 1363 (NFe 504813-2)</t>
  </si>
  <si>
    <t>Compra 1362 (NFe 1169029-1)</t>
  </si>
  <si>
    <t>Compra 1369 (NFe 788681-0)</t>
  </si>
  <si>
    <t>Compra 1366 (NFe 1358-1)</t>
  </si>
  <si>
    <t>Compra 1374 (NFe 801508-1)</t>
  </si>
  <si>
    <t>Compra 1376 (NFe 203437-1)</t>
  </si>
  <si>
    <t>Compra de serviço Série:SN / NFS-e:156</t>
  </si>
  <si>
    <t>Compra 1365 (NFe 303396-1)</t>
  </si>
  <si>
    <t>Compra 1364 (NFe 14246-1)</t>
  </si>
  <si>
    <t>Compra 1372 (NFe 504969-2)</t>
  </si>
  <si>
    <t>Compra 1359 (NFe 147323-1)</t>
  </si>
  <si>
    <t>PRESTACAO DE SERVICOS FOTOGRAFIA REF AO MES DE MARÇO/202 NFes 28</t>
  </si>
  <si>
    <t>SERVIÇO PRESTADO REF AO MES DE ABRIL/2026</t>
  </si>
  <si>
    <t>CHEFE EXECUTIVO REF AO MES DE MARÇ/2026</t>
  </si>
  <si>
    <t>Compra 1406 (NFe 3570-1)</t>
  </si>
  <si>
    <t>Compra 1379 (NFe 76180-1)</t>
  </si>
  <si>
    <t>Compra 1387 (NFe 129947-1)</t>
  </si>
  <si>
    <t>CONSULTORIA OPERACIONAL REF AO MES DE ABRIL/2026</t>
  </si>
  <si>
    <t>Compra 1383 (NFe 3505-1)</t>
  </si>
  <si>
    <t>PAULISTANA GESTA</t>
  </si>
  <si>
    <t>SERVIÇO PRESTADO REF ABRIL/2026</t>
  </si>
  <si>
    <t>Compra 1378 (NFe 75038-1)</t>
  </si>
  <si>
    <t>Compra 1380 (NFe 67682-3)</t>
  </si>
  <si>
    <t>Compra 1384 (NFe 5040-0)</t>
  </si>
  <si>
    <t>05/05/2026 A 24/05/2026 = 20 Dias</t>
  </si>
  <si>
    <t>PRESTACAO DE SERVICOS COORDENADOR MANUTENCAO REF AO MES DE ABRIL/2026</t>
  </si>
  <si>
    <t>PRESTACAO DE SERVICOS MANUTENCAO REF AO MES DE ABRIL/2026</t>
  </si>
  <si>
    <t>4R AMBIENTAL LOCAÇÃO DE EQUIPAM</t>
  </si>
  <si>
    <t>Compra 1382 (NFe 5749747-1)</t>
  </si>
  <si>
    <t>Compra 1381 (NFe 4154310-1)</t>
  </si>
  <si>
    <t>Compra 1385 (NFe 1287-2)</t>
  </si>
  <si>
    <t>04/05/2026 A 23/05/2026 = 20 Dias</t>
  </si>
  <si>
    <t>PRESTACAO DE SERVICOS SUBCHEFE PARRILLA REF AO MES DE ABRIL /2026</t>
  </si>
  <si>
    <t>MAITRE COMP ABEIL/2026</t>
  </si>
  <si>
    <t>Compra 1388 (NFe 4154834-1)</t>
  </si>
  <si>
    <t>Pix Enviado FLV VIDA</t>
  </si>
  <si>
    <t>Compra 1391 (NFe 6577179-5)</t>
  </si>
  <si>
    <t>Compra 1396 (NFe 415154-1)</t>
  </si>
  <si>
    <t>Compra 1394 (NFe 387454-1)</t>
  </si>
  <si>
    <t>Compra 1395 (NFe 387588-1)</t>
  </si>
  <si>
    <t>Compra 1390 (NFe 96035-1)</t>
  </si>
  <si>
    <t xml:space="preserve">INTERNET </t>
  </si>
  <si>
    <t>Compra 1398 (NFe 68890-1)</t>
  </si>
  <si>
    <t>Compra de serviço Série:SN / NFS-e:292</t>
  </si>
  <si>
    <t>Compra 1389 (NFe 1362-1)</t>
  </si>
  <si>
    <t>SERVIÇO REF ABRIL /</t>
  </si>
  <si>
    <t>Compra 1393 (NFe 2677690-5)</t>
  </si>
  <si>
    <t>Compra de serviço Série:SN / NFS-e:141</t>
  </si>
  <si>
    <t>Compra 1392 (NFe 5056-0)</t>
  </si>
  <si>
    <t xml:space="preserve">RESCISÃO AMANDA </t>
  </si>
  <si>
    <t>SERVIÇO PRETADO REF ABRIL/2026</t>
  </si>
  <si>
    <t>Compra 1403 (NFe 697816-3)</t>
  </si>
  <si>
    <t>Compra 1417 (NFe 206543-1)</t>
  </si>
  <si>
    <t xml:space="preserve">REEMBOLSO 2 LANCHE </t>
  </si>
  <si>
    <t>Compra 1400 (NFe 76836-1)</t>
  </si>
  <si>
    <t>Compra 1402 (NFe 697815-3)</t>
  </si>
  <si>
    <t>Compra 1411 (NFe 467-2)</t>
  </si>
  <si>
    <t>Compra 1409 (NFe 318668-1)</t>
  </si>
  <si>
    <t>Compra 1413 (NFe 53945-1)</t>
  </si>
  <si>
    <t>Compra 1397 (NFe 68818-3)</t>
  </si>
  <si>
    <t>Compra 1401 (NFe 3511-1)</t>
  </si>
  <si>
    <t>Compra 1416 (NFe 505474-2)</t>
  </si>
  <si>
    <t>Compra 1399 (NFe 4156113-1)</t>
  </si>
  <si>
    <t>Compra 1410 (NFe 277-1)</t>
  </si>
  <si>
    <t>Compra 1421 (NFe 108116-1)</t>
  </si>
  <si>
    <t>Compra 1414 (NFe 96165-1)</t>
  </si>
  <si>
    <t>Compra 1415 (NFe 4526-0)</t>
  </si>
  <si>
    <t>Compra 1412 (NFe 113775-1)</t>
  </si>
  <si>
    <t>Compra 1408 (NFe 40591-1)</t>
  </si>
  <si>
    <t>Compra 1407 (NFe 10423-1)</t>
  </si>
  <si>
    <t>Compra 1424 (NFe 789888-0)</t>
  </si>
  <si>
    <t>Compra 1420 (NFe 1806-1)</t>
  </si>
  <si>
    <t>Compra 1419 (NFe 505609-2)</t>
  </si>
  <si>
    <t>Compra 1423 (NFe 55001-1)</t>
  </si>
  <si>
    <t>Compra 1422 (NFe 13985-1)</t>
  </si>
  <si>
    <t>Compra 1418 (NFe 75547-1)</t>
  </si>
  <si>
    <t>Compra 1425 (NFe 2626914-1)</t>
  </si>
  <si>
    <t>Compra de serviço Série:SN / NFS-e:11</t>
  </si>
  <si>
    <t xml:space="preserve">Sistema </t>
  </si>
  <si>
    <t xml:space="preserve">Locação </t>
  </si>
  <si>
    <t>Compra 1431 (NFe 1364-1)</t>
  </si>
  <si>
    <t>Compra 1437 (NFe 68972-1)</t>
  </si>
  <si>
    <t>Compra 1427 (NFe 5082-0)</t>
  </si>
  <si>
    <t>Compra 1429 (NFe 319187-1)</t>
  </si>
  <si>
    <t>Compra 1430 (NFe 1050-2)</t>
  </si>
  <si>
    <t>Compra 1432 (NFe 415664-1)</t>
  </si>
  <si>
    <t>Compra 1426 (NFe 4159176-1)</t>
  </si>
  <si>
    <t>Compra 1428 (NFe 388411-1)</t>
  </si>
  <si>
    <t>REF. MES DE ABRIL/2026</t>
  </si>
  <si>
    <t>Compra 1436 (NFe 13796-1)</t>
  </si>
  <si>
    <t>FSW COMERCIO DE CARNES LTDA</t>
  </si>
  <si>
    <t>EMERSON LEANDRO DE LIMA</t>
  </si>
  <si>
    <t>UNIPESC DISTRIBUIDORA DE ALIMENTOS LTDA-EPP</t>
  </si>
  <si>
    <t>SUGERINDO SAO PAULO PROMOCOES E PUBLICIDADE LTDA</t>
  </si>
  <si>
    <t>THAIS DOS SANTOS OLIVEIRA</t>
  </si>
  <si>
    <t>RIBEIROS TECH LTDA</t>
  </si>
  <si>
    <t>THOMAS CARDOSO DOS REIS</t>
  </si>
  <si>
    <t>RODRIGO OLIVEIRA</t>
  </si>
  <si>
    <t>JOSE RINALDO DE MENEZES</t>
  </si>
  <si>
    <t>JOSE MARCELO GUIMARAES ALVES</t>
  </si>
  <si>
    <t>Masj Alimentos Ltda</t>
  </si>
  <si>
    <t>MATCH POINT SPORT BAR</t>
  </si>
  <si>
    <t>MULT BEV DISTRIBUICAO LTDA</t>
  </si>
  <si>
    <t>EMPRESA BRASILEIRA DE COR</t>
  </si>
  <si>
    <t>MOET HENNESSY DO BRASIL VINHOS E DESTILADOS LTDA</t>
  </si>
  <si>
    <t>PLASTICBOOL</t>
  </si>
  <si>
    <t>AMIL ASSISTENCIA MEDICA INTERNACIONAL S.A.</t>
  </si>
  <si>
    <t>PROVISAO FINANCEIRA</t>
  </si>
  <si>
    <t>BRAZILIAN BIOTECH BEEF LTDA</t>
  </si>
  <si>
    <t>BRAZA &amp; MAR</t>
  </si>
  <si>
    <t>C A PETRONE CIA LTDA</t>
  </si>
  <si>
    <t>ALEX RIBEIRO PEREIRA</t>
  </si>
  <si>
    <t>BENEFICIO DIGITAL</t>
  </si>
  <si>
    <t>FLASH APP</t>
  </si>
  <si>
    <t>EDELWEISS INDUSTRIA E COMERCIO DE ALIMENTOS LTDA</t>
  </si>
  <si>
    <t>LUIS MIGUEL SILVESTRE ROCHA</t>
  </si>
  <si>
    <t>HOS CONSULTORIA EMPRESARIAL LTDA</t>
  </si>
  <si>
    <t>DANIELA MENDES DE SOUZA</t>
  </si>
  <si>
    <t>LUCAS FIGUEIREDO GRANA</t>
  </si>
  <si>
    <t>CRISTIANE HASEGAWA PESCADOS EPP</t>
  </si>
  <si>
    <t>DIRETORIA DISTRIBUIDORA DE BEBIDAS LTDA</t>
  </si>
  <si>
    <t>VITRUS GLASSWARE LTDA</t>
  </si>
  <si>
    <t>(-) COFINS</t>
  </si>
  <si>
    <t>IMPOSTO</t>
  </si>
  <si>
    <t xml:space="preserve">CONTRIBUICAO ASSISTENCIAL COMP. </t>
  </si>
  <si>
    <t>CONTRIBUICAO ASSISTENCIAL COMP.</t>
  </si>
  <si>
    <t>Colaborador Extra Dobra</t>
  </si>
  <si>
    <t>LOCACAO DE EXOVAL REF AO PERIODO ABRIL/2026</t>
  </si>
  <si>
    <t>SERVICOS ADMINISTRATIVOS (FINANCEIRO) REF AO MES DE ABRIL/2026</t>
  </si>
  <si>
    <t>SERVICOS ADMINISTRATIVOS (COMPRAS) REF AO MES DE ABRIL/2026</t>
  </si>
  <si>
    <t>SERVICOS ADMINISTRATIVOS (RECURSOS HUMANOS) REF ABRIL/2026</t>
  </si>
  <si>
    <t>RODRIGO OLIVEIRA COSTA 22</t>
  </si>
  <si>
    <t>Influencer</t>
  </si>
  <si>
    <t>Midias Sociais</t>
  </si>
  <si>
    <t>REALIZADO/26 - BASE DE DADOS</t>
  </si>
  <si>
    <t>AV</t>
  </si>
  <si>
    <t>JAN-MAR</t>
  </si>
  <si>
    <t>MEDIA BD</t>
  </si>
  <si>
    <t>GAP 1°TRI</t>
  </si>
  <si>
    <t>COMPARATIVOS</t>
  </si>
  <si>
    <t>BUDGET</t>
  </si>
  <si>
    <t>Total. BD Tri</t>
  </si>
  <si>
    <t>Total Real Tri</t>
  </si>
  <si>
    <t>1º TRI</t>
  </si>
  <si>
    <t>Resultado Líquido BD x REAL</t>
  </si>
  <si>
    <t>BD ABR.26</t>
  </si>
  <si>
    <t>REAL ABR.26</t>
  </si>
  <si>
    <t>Apolice Seguro</t>
  </si>
  <si>
    <t>HDI EMPRESARIAL - ASSESSORIAS SP Apólice 01.107.425.008298</t>
  </si>
  <si>
    <t>DESPESA COM SEGURO</t>
  </si>
  <si>
    <t>LOREAN COMP MAR /2026</t>
  </si>
  <si>
    <t>LOREAN COMP ABRIL /2026</t>
  </si>
  <si>
    <t>Total Geral</t>
  </si>
  <si>
    <t>Rótulos de Linha</t>
  </si>
  <si>
    <t>Soma de Valor na Categoria 1</t>
  </si>
  <si>
    <t>Rótulos de Coluna</t>
  </si>
  <si>
    <t xml:space="preserve">Compra de serviço Série:SN </t>
  </si>
  <si>
    <t xml:space="preserve">Compra de serviço Série:1 </t>
  </si>
  <si>
    <t>Manutenção</t>
  </si>
  <si>
    <t>POLY</t>
  </si>
  <si>
    <t>SERVICOS OPERACIONAL REF AO MES DE ABRIL/2026 -  ALEX MARCONDE CARLOS DA SILVA FILHO</t>
  </si>
  <si>
    <t>SERVICOS OPERACIONAL REF AO MES DE ABRIL/2026</t>
  </si>
  <si>
    <t>SOMMELIER COMP ABRIL/2026</t>
  </si>
  <si>
    <t xml:space="preserve">PRESTACAO DE SERVICOS NA COZINHA REF AO MES DE ABRIL/2026 50% DA NOTA </t>
  </si>
  <si>
    <t>janeiro 2026</t>
  </si>
  <si>
    <t>fevereiro 2026</t>
  </si>
  <si>
    <t>março 2026</t>
  </si>
  <si>
    <t>abril 2026</t>
  </si>
  <si>
    <t xml:space="preserve">Mês Março tivemos a inclusão da Julinana 2k, Junho rescisão do Reinaldo, inclusão do Gui 8k </t>
  </si>
  <si>
    <t>Mês Março tivemos a inclusão da Julinana 2k, Junho rescisão do Reinaldo, inclusão do Gui 8k;</t>
  </si>
  <si>
    <t>Mês de Março tivemos a rescisãodo Carlos Cavalcante e mês de Abril reajuste Johnny;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</si>
</sst>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  <numFmt numFmtId="166" formatCode="0.0%"/>
    <numFmt numFmtId="167" formatCode="_(* #,##0.0000_);_(* \(#,##0.0000\);_(* &quot;-&quot;??_);_(@_)"/>
    <numFmt numFmtId="168" formatCode="#,##0_ ;\-#,##0\ "/>
    <numFmt numFmtId="169" formatCode="_([$R$ -416]* #,##0.00_);_([$R$ -416]* \(#,##0.00\);_([$R$ -416]* &quot;-&quot;??_);_(@_)"/>
    <numFmt numFmtId="170" formatCode="_-* #,##0_-;\-* #,##0_-;_-* &quot;-&quot;??_-;_-@"/>
    <numFmt numFmtId="171" formatCode="[$-416]mmm\-yy"/>
    <numFmt numFmtId="172" formatCode="_-* #,##0.00_-;\-* #,##0.00_-;_-* &quot;-&quot;??_-;_-@"/>
    <numFmt numFmtId="173" formatCode="_-* #,##0_-;\-* #,##0_-;_-* &quot;-&quot;??_-;_-@_-"/>
    <numFmt numFmtId="174" formatCode="0.0"/>
    <numFmt numFmtId="175" formatCode="_-* #,##0.0_-;\-* #,##0.0_-;_-* &quot;-&quot;?_-;_-@_-"/>
    <numFmt numFmtId="176" formatCode="_(* #,##0.0_);_(* \(#,##0.0\);_(* &quot;-&quot;??_);_(@_)"/>
    <numFmt numFmtId="177" formatCode="_(* #,##0.0_);_(* \(#,##0.0\);_(* &quot;-&quot;?_);_(@_)"/>
    <numFmt numFmtId="178" formatCode="#,###,##0.00"/>
  </numFmts>
  <fonts count="95">
    <font>
      <sz val="10"/>
      <color rgb="FF000000"/>
      <name val="Arial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b/>
      <sz val="10"/>
      <color rgb="FF333399"/>
      <name val="Arial"/>
      <family val="2"/>
    </font>
    <font>
      <i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i/>
      <sz val="12"/>
      <color rgb="FF0000FF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sz val="12"/>
      <color rgb="FF0000FF"/>
      <name val="Arial"/>
      <family val="2"/>
    </font>
    <font>
      <i/>
      <sz val="12"/>
      <color theme="1"/>
      <name val="Arial"/>
      <family val="2"/>
    </font>
    <font>
      <b/>
      <i/>
      <sz val="12"/>
      <color rgb="FF0432FF"/>
      <name val="Arial"/>
      <family val="2"/>
    </font>
    <font>
      <b/>
      <i/>
      <sz val="12"/>
      <color rgb="FF33CCCC"/>
      <name val="Arial"/>
      <family val="2"/>
    </font>
    <font>
      <b/>
      <sz val="10"/>
      <color theme="1"/>
      <name val="Arial"/>
      <family val="2"/>
    </font>
    <font>
      <b/>
      <sz val="12"/>
      <color rgb="FF0432FF"/>
      <name val="Arial"/>
      <family val="2"/>
    </font>
    <font>
      <b/>
      <sz val="10"/>
      <color rgb="FF0432FF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0"/>
      <color rgb="FF969696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i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i/>
      <sz val="10"/>
      <color theme="4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10"/>
      <color rgb="FF0000CC"/>
      <name val="Arial"/>
      <family val="2"/>
      <scheme val="minor"/>
    </font>
    <font>
      <b/>
      <sz val="9"/>
      <color theme="1"/>
      <name val="Arial"/>
      <family val="2"/>
      <scheme val="minor"/>
    </font>
    <font>
      <i/>
      <sz val="9"/>
      <color rgb="FF0000CC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CC"/>
      <name val="Arial"/>
      <family val="2"/>
      <scheme val="minor"/>
    </font>
    <font>
      <b/>
      <sz val="11"/>
      <color rgb="FF0000CC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0"/>
      <color rgb="FF180CF5"/>
      <name val="Arial"/>
      <family val="2"/>
      <scheme val="minor"/>
    </font>
    <font>
      <b/>
      <sz val="10"/>
      <color rgb="FF180CF5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.5"/>
      <color rgb="FF575757"/>
      <name val="Ping Pong"/>
    </font>
    <font>
      <sz val="10"/>
      <name val="Montserrat"/>
    </font>
    <font>
      <b/>
      <sz val="10"/>
      <color theme="1"/>
      <name val="Segoe UI"/>
      <family val="2"/>
    </font>
    <font>
      <sz val="8"/>
      <color rgb="FF434551"/>
      <name val="Verdana"/>
      <family val="2"/>
    </font>
    <font>
      <sz val="8"/>
      <color rgb="FFC83737"/>
      <name val="Verdana"/>
      <family val="2"/>
    </font>
    <font>
      <b/>
      <i/>
      <sz val="10"/>
      <color theme="1"/>
      <name val="Arial"/>
      <family val="2"/>
    </font>
    <font>
      <sz val="8"/>
      <color rgb="FF434551"/>
      <name val="Verdana"/>
      <family val="2"/>
    </font>
    <font>
      <sz val="10"/>
      <color rgb="FF953734"/>
      <name val="Arial"/>
      <family val="2"/>
    </font>
    <font>
      <b/>
      <i/>
      <sz val="10"/>
      <color rgb="FF0432FF"/>
      <name val="Arial"/>
      <family val="2"/>
    </font>
    <font>
      <b/>
      <sz val="10"/>
      <color rgb="FF953734"/>
      <name val="Arial"/>
      <family val="2"/>
    </font>
    <font>
      <i/>
      <sz val="10"/>
      <color rgb="FF000000"/>
      <name val="Arial"/>
      <family val="2"/>
    </font>
    <font>
      <b/>
      <i/>
      <sz val="10"/>
      <color rgb="FF953734"/>
      <name val="Arial"/>
      <family val="2"/>
    </font>
    <font>
      <b/>
      <sz val="16"/>
      <color rgb="FFE36C09"/>
      <name val="Arial"/>
      <family val="2"/>
    </font>
    <font>
      <b/>
      <sz val="10"/>
      <color rgb="FF0F243E"/>
      <name val="Calibri"/>
      <family val="2"/>
    </font>
    <font>
      <b/>
      <sz val="10"/>
      <color rgb="FF548DD4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F243E"/>
      <name val="Arial"/>
      <family val="2"/>
    </font>
    <font>
      <b/>
      <sz val="10"/>
      <color rgb="FF0F243E"/>
      <name val="Arial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8"/>
      <color rgb="FF002060"/>
      <name val="Arial"/>
      <family val="2"/>
    </font>
    <font>
      <b/>
      <i/>
      <sz val="10"/>
      <color rgb="FF000000"/>
      <name val="Arial"/>
      <family val="2"/>
    </font>
    <font>
      <i/>
      <sz val="10"/>
      <color rgb="FF953734"/>
      <name val="Arial"/>
      <family val="2"/>
    </font>
    <font>
      <b/>
      <i/>
      <sz val="12"/>
      <color rgb="FF0000FF"/>
      <name val="Arial"/>
      <family val="2"/>
    </font>
    <font>
      <i/>
      <sz val="12"/>
      <color theme="0"/>
      <name val="Arial"/>
      <family val="2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  <font>
      <i/>
      <sz val="9"/>
      <color theme="1"/>
      <name val="Arial"/>
      <family val="2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432FF"/>
      <name val="Arial"/>
      <family val="2"/>
    </font>
    <font>
      <sz val="9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1"/>
      <color indexed="81"/>
      <name val="Segoe UI"/>
      <family val="2"/>
    </font>
    <font>
      <b/>
      <sz val="11"/>
      <color indexed="81"/>
      <name val="Segoe UI"/>
      <family val="2"/>
    </font>
    <font>
      <b/>
      <strike/>
      <sz val="10"/>
      <color theme="0"/>
      <name val="Arial"/>
      <family val="2"/>
    </font>
    <font>
      <b/>
      <sz val="10"/>
      <name val="Montserrat"/>
    </font>
  </fonts>
  <fills count="57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FDE9D9"/>
        <bgColor rgb="FFFDE9D9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366092"/>
        <bgColor rgb="FF366092"/>
      </patternFill>
    </fill>
    <fill>
      <patternFill patternType="solid">
        <fgColor rgb="FFDAEEF3"/>
        <bgColor rgb="FFDAEEF3"/>
      </patternFill>
    </fill>
    <fill>
      <patternFill patternType="solid">
        <fgColor rgb="FF95B3D7"/>
        <bgColor rgb="FF95B3D7"/>
      </patternFill>
    </fill>
    <fill>
      <patternFill patternType="solid">
        <fgColor theme="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rgb="FFDBE5F1"/>
      </patternFill>
    </fill>
    <fill>
      <patternFill patternType="solid">
        <fgColor theme="4" tint="-0.499984740745262"/>
        <bgColor rgb="FFDBE5F1"/>
      </patternFill>
    </fill>
    <fill>
      <patternFill patternType="solid">
        <fgColor theme="4" tint="-0.499984740745262"/>
        <bgColor rgb="FFC6D9F0"/>
      </patternFill>
    </fill>
    <fill>
      <patternFill patternType="solid">
        <fgColor theme="4" tint="-0.499984740745262"/>
        <bgColor rgb="FFB8CCE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B8CCE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rgb="FFDDDDDD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DDDDDD"/>
      </patternFill>
    </fill>
    <fill>
      <patternFill patternType="solid">
        <fgColor theme="4"/>
        <bgColor rgb="FFC6D9F0"/>
      </patternFill>
    </fill>
    <fill>
      <patternFill patternType="solid">
        <fgColor theme="4"/>
        <bgColor rgb="FFB8CCE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DDDDD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rgb="FFDBE5F1"/>
      </patternFill>
    </fill>
    <fill>
      <patternFill patternType="solid">
        <fgColor rgb="FFFFFF00"/>
        <bgColor rgb="FFF2F2F2"/>
      </patternFill>
    </fill>
    <fill>
      <patternFill patternType="solid">
        <fgColor theme="0"/>
        <bgColor rgb="FFC6D9F0"/>
      </patternFill>
    </fill>
    <fill>
      <patternFill patternType="solid">
        <fgColor theme="4" tint="0.59999389629810485"/>
        <bgColor rgb="FFC6D9F0"/>
      </patternFill>
    </fill>
    <fill>
      <patternFill patternType="solid">
        <fgColor theme="4" tint="0.39997558519241921"/>
        <bgColor rgb="FFC6D9F0"/>
      </patternFill>
    </fill>
  </fills>
  <borders count="12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0" tint="-0.2499465926084170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 style="thin">
        <color theme="1"/>
      </right>
      <top style="thin">
        <color theme="0" tint="-0.2499465926084170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theme="0" tint="-0.24994659260841701"/>
      </bottom>
      <diagonal/>
    </border>
    <border>
      <left style="thin">
        <color auto="1"/>
      </left>
      <right style="thin">
        <color theme="1"/>
      </right>
      <top style="medium">
        <color rgb="FF000000"/>
      </top>
      <bottom style="thin">
        <color theme="0" tint="-0.2499465926084170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theme="0" tint="-0.24994659260841701"/>
      </bottom>
      <diagonal/>
    </border>
    <border>
      <left style="medium">
        <color rgb="FF000000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medium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00"/>
      </left>
      <right style="thin">
        <color indexed="64"/>
      </right>
      <top style="thin">
        <color theme="0" tint="-0.24994659260841701"/>
      </top>
      <bottom style="medium">
        <color rgb="FF000000"/>
      </bottom>
      <diagonal/>
    </border>
    <border>
      <left style="thin">
        <color auto="1"/>
      </left>
      <right style="thin">
        <color theme="1"/>
      </right>
      <top style="thin">
        <color theme="0" tint="-0.2499465926084170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theme="0" tint="-0.24994659260841701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</borders>
  <cellStyleXfs count="3">
    <xf numFmtId="0" fontId="0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90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6" fillId="0" borderId="0" xfId="0" applyNumberFormat="1" applyFont="1"/>
    <xf numFmtId="164" fontId="3" fillId="0" borderId="0" xfId="0" applyNumberFormat="1" applyFont="1"/>
    <xf numFmtId="0" fontId="7" fillId="0" borderId="0" xfId="0" applyFont="1" applyAlignment="1">
      <alignment vertical="center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6" fillId="3" borderId="1" xfId="0" applyNumberFormat="1" applyFont="1" applyFill="1" applyBorder="1"/>
    <xf numFmtId="164" fontId="3" fillId="3" borderId="1" xfId="0" applyNumberFormat="1" applyFont="1" applyFill="1" applyBorder="1"/>
    <xf numFmtId="0" fontId="8" fillId="0" borderId="0" xfId="0" applyFont="1" applyAlignment="1">
      <alignment horizontal="right" vertical="center"/>
    </xf>
    <xf numFmtId="0" fontId="9" fillId="0" borderId="0" xfId="0" applyFont="1"/>
    <xf numFmtId="164" fontId="10" fillId="0" borderId="0" xfId="0" applyNumberFormat="1" applyFont="1"/>
    <xf numFmtId="164" fontId="11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right"/>
    </xf>
    <xf numFmtId="166" fontId="3" fillId="3" borderId="1" xfId="0" applyNumberFormat="1" applyFont="1" applyFill="1" applyBorder="1"/>
    <xf numFmtId="0" fontId="8" fillId="0" borderId="0" xfId="0" applyFont="1" applyAlignment="1">
      <alignment horizontal="right"/>
    </xf>
    <xf numFmtId="166" fontId="11" fillId="0" borderId="0" xfId="0" applyNumberFormat="1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164" fontId="13" fillId="0" borderId="0" xfId="0" applyNumberFormat="1" applyFont="1"/>
    <xf numFmtId="166" fontId="3" fillId="0" borderId="0" xfId="0" applyNumberFormat="1" applyFont="1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164" fontId="6" fillId="0" borderId="2" xfId="0" applyNumberFormat="1" applyFont="1" applyBorder="1"/>
    <xf numFmtId="164" fontId="3" fillId="0" borderId="2" xfId="0" applyNumberFormat="1" applyFont="1" applyBorder="1"/>
    <xf numFmtId="166" fontId="3" fillId="0" borderId="2" xfId="0" applyNumberFormat="1" applyFont="1" applyBorder="1"/>
    <xf numFmtId="0" fontId="4" fillId="0" borderId="0" xfId="0" applyFont="1" applyAlignment="1">
      <alignment horizontal="right" vertical="center"/>
    </xf>
    <xf numFmtId="164" fontId="14" fillId="0" borderId="0" xfId="0" applyNumberFormat="1" applyFont="1"/>
    <xf numFmtId="166" fontId="14" fillId="0" borderId="0" xfId="0" applyNumberFormat="1" applyFont="1"/>
    <xf numFmtId="164" fontId="11" fillId="4" borderId="1" xfId="0" applyNumberFormat="1" applyFont="1" applyFill="1" applyBorder="1"/>
    <xf numFmtId="164" fontId="5" fillId="0" borderId="0" xfId="0" applyNumberFormat="1" applyFont="1"/>
    <xf numFmtId="164" fontId="4" fillId="3" borderId="1" xfId="0" applyNumberFormat="1" applyFont="1" applyFill="1" applyBorder="1"/>
    <xf numFmtId="166" fontId="4" fillId="3" borderId="1" xfId="0" applyNumberFormat="1" applyFont="1" applyFill="1" applyBorder="1"/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166" fontId="15" fillId="0" borderId="0" xfId="0" applyNumberFormat="1" applyFont="1"/>
    <xf numFmtId="166" fontId="16" fillId="0" borderId="0" xfId="0" applyNumberFormat="1" applyFont="1"/>
    <xf numFmtId="164" fontId="13" fillId="0" borderId="2" xfId="0" applyNumberFormat="1" applyFont="1" applyBorder="1"/>
    <xf numFmtId="166" fontId="3" fillId="3" borderId="3" xfId="0" applyNumberFormat="1" applyFont="1" applyFill="1" applyBorder="1"/>
    <xf numFmtId="0" fontId="15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right"/>
    </xf>
    <xf numFmtId="166" fontId="15" fillId="0" borderId="2" xfId="0" applyNumberFormat="1" applyFont="1" applyBorder="1"/>
    <xf numFmtId="166" fontId="16" fillId="0" borderId="2" xfId="0" applyNumberFormat="1" applyFont="1" applyBorder="1"/>
    <xf numFmtId="166" fontId="5" fillId="0" borderId="0" xfId="0" applyNumberFormat="1" applyFont="1"/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/>
    <xf numFmtId="164" fontId="6" fillId="5" borderId="1" xfId="0" applyNumberFormat="1" applyFont="1" applyFill="1" applyBorder="1"/>
    <xf numFmtId="164" fontId="5" fillId="5" borderId="1" xfId="0" applyNumberFormat="1" applyFont="1" applyFill="1" applyBorder="1"/>
    <xf numFmtId="166" fontId="5" fillId="5" borderId="1" xfId="0" applyNumberFormat="1" applyFont="1" applyFill="1" applyBorder="1"/>
    <xf numFmtId="0" fontId="5" fillId="0" borderId="2" xfId="0" applyFont="1" applyBorder="1" applyAlignment="1">
      <alignment vertical="center"/>
    </xf>
    <xf numFmtId="0" fontId="5" fillId="0" borderId="2" xfId="0" applyFont="1" applyBorder="1"/>
    <xf numFmtId="164" fontId="11" fillId="0" borderId="2" xfId="0" applyNumberFormat="1" applyFont="1" applyBorder="1"/>
    <xf numFmtId="166" fontId="11" fillId="0" borderId="2" xfId="0" applyNumberFormat="1" applyFont="1" applyBorder="1"/>
    <xf numFmtId="165" fontId="2" fillId="0" borderId="0" xfId="0" applyNumberFormat="1" applyFont="1"/>
    <xf numFmtId="167" fontId="2" fillId="0" borderId="0" xfId="0" applyNumberFormat="1" applyFont="1"/>
    <xf numFmtId="164" fontId="17" fillId="0" borderId="0" xfId="0" applyNumberFormat="1" applyFont="1"/>
    <xf numFmtId="0" fontId="18" fillId="0" borderId="0" xfId="0" applyFont="1" applyAlignment="1">
      <alignment vertical="center"/>
    </xf>
    <xf numFmtId="0" fontId="19" fillId="0" borderId="0" xfId="0" applyFont="1"/>
    <xf numFmtId="166" fontId="19" fillId="0" borderId="0" xfId="0" applyNumberFormat="1" applyFont="1"/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165" fontId="17" fillId="2" borderId="4" xfId="0" applyNumberFormat="1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0" fontId="2" fillId="0" borderId="4" xfId="0" quotePrefix="1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3" fontId="17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0" fontId="2" fillId="6" borderId="11" xfId="0" applyFont="1" applyFill="1" applyBorder="1" applyAlignment="1">
      <alignment horizontal="left" vertical="center"/>
    </xf>
    <xf numFmtId="164" fontId="2" fillId="6" borderId="5" xfId="0" applyNumberFormat="1" applyFont="1" applyFill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2" fillId="6" borderId="12" xfId="0" applyFont="1" applyFill="1" applyBorder="1" applyAlignment="1">
      <alignment horizontal="left" vertical="center"/>
    </xf>
    <xf numFmtId="3" fontId="2" fillId="6" borderId="12" xfId="0" quotePrefix="1" applyNumberFormat="1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3" fontId="2" fillId="0" borderId="7" xfId="0" quotePrefix="1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7" fillId="2" borderId="4" xfId="0" quotePrefix="1" applyFont="1" applyFill="1" applyBorder="1" applyAlignment="1">
      <alignment horizontal="left" vertical="center"/>
    </xf>
    <xf numFmtId="0" fontId="2" fillId="6" borderId="16" xfId="0" quotePrefix="1" applyFont="1" applyFill="1" applyBorder="1" applyAlignment="1">
      <alignment horizontal="right" vertical="center"/>
    </xf>
    <xf numFmtId="10" fontId="2" fillId="6" borderId="16" xfId="0" quotePrefix="1" applyNumberFormat="1" applyFont="1" applyFill="1" applyBorder="1" applyAlignment="1">
      <alignment horizontal="center" vertical="center"/>
    </xf>
    <xf numFmtId="164" fontId="2" fillId="6" borderId="16" xfId="0" applyNumberFormat="1" applyFont="1" applyFill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/>
    </xf>
    <xf numFmtId="0" fontId="2" fillId="6" borderId="13" xfId="0" quotePrefix="1" applyFont="1" applyFill="1" applyBorder="1" applyAlignment="1">
      <alignment horizontal="right" vertical="center"/>
    </xf>
    <xf numFmtId="10" fontId="2" fillId="6" borderId="13" xfId="0" quotePrefix="1" applyNumberFormat="1" applyFont="1" applyFill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0" fontId="2" fillId="6" borderId="12" xfId="0" quotePrefix="1" applyFont="1" applyFill="1" applyBorder="1" applyAlignment="1">
      <alignment horizontal="right" vertical="center"/>
    </xf>
    <xf numFmtId="10" fontId="2" fillId="6" borderId="12" xfId="0" quotePrefix="1" applyNumberFormat="1" applyFont="1" applyFill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9" fontId="20" fillId="0" borderId="0" xfId="0" applyNumberFormat="1" applyFont="1"/>
    <xf numFmtId="0" fontId="2" fillId="6" borderId="7" xfId="0" quotePrefix="1" applyFont="1" applyFill="1" applyBorder="1" applyAlignment="1">
      <alignment horizontal="right" vertical="center"/>
    </xf>
    <xf numFmtId="10" fontId="2" fillId="6" borderId="7" xfId="0" quotePrefix="1" applyNumberFormat="1" applyFont="1" applyFill="1" applyBorder="1" applyAlignment="1">
      <alignment horizontal="center" vertical="center"/>
    </xf>
    <xf numFmtId="164" fontId="2" fillId="6" borderId="7" xfId="0" applyNumberFormat="1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7" fillId="2" borderId="4" xfId="0" applyNumberFormat="1" applyFont="1" applyFill="1" applyBorder="1" applyAlignment="1">
      <alignment horizontal="center" vertical="center"/>
    </xf>
    <xf numFmtId="0" fontId="2" fillId="6" borderId="16" xfId="0" quotePrefix="1" applyFont="1" applyFill="1" applyBorder="1" applyAlignment="1">
      <alignment horizontal="left" vertical="center"/>
    </xf>
    <xf numFmtId="0" fontId="2" fillId="6" borderId="16" xfId="0" quotePrefix="1" applyFont="1" applyFill="1" applyBorder="1" applyAlignment="1">
      <alignment horizontal="center" vertical="center"/>
    </xf>
    <xf numFmtId="0" fontId="2" fillId="6" borderId="13" xfId="0" quotePrefix="1" applyFont="1" applyFill="1" applyBorder="1" applyAlignment="1">
      <alignment horizontal="left" vertical="center"/>
    </xf>
    <xf numFmtId="0" fontId="2" fillId="6" borderId="13" xfId="0" quotePrefix="1" applyFont="1" applyFill="1" applyBorder="1" applyAlignment="1">
      <alignment horizontal="center" vertical="center"/>
    </xf>
    <xf numFmtId="0" fontId="2" fillId="6" borderId="7" xfId="0" quotePrefix="1" applyFont="1" applyFill="1" applyBorder="1" applyAlignment="1">
      <alignment horizontal="left" vertical="center"/>
    </xf>
    <xf numFmtId="0" fontId="2" fillId="6" borderId="7" xfId="0" quotePrefix="1" applyFont="1" applyFill="1" applyBorder="1" applyAlignment="1">
      <alignment horizontal="center" vertical="center"/>
    </xf>
    <xf numFmtId="0" fontId="20" fillId="0" borderId="4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0" fontId="2" fillId="7" borderId="1" xfId="0" applyFont="1" applyFill="1" applyBorder="1"/>
    <xf numFmtId="0" fontId="26" fillId="0" borderId="0" xfId="0" applyFont="1"/>
    <xf numFmtId="0" fontId="2" fillId="4" borderId="13" xfId="0" applyFont="1" applyFill="1" applyBorder="1" applyAlignment="1">
      <alignment horizontal="left" vertical="center"/>
    </xf>
    <xf numFmtId="0" fontId="2" fillId="4" borderId="5" xfId="0" quotePrefix="1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17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5" xfId="0" quotePrefix="1" applyFont="1" applyBorder="1" applyAlignment="1">
      <alignment horizontal="left" vertical="center"/>
    </xf>
    <xf numFmtId="0" fontId="2" fillId="0" borderId="15" xfId="0" quotePrefix="1" applyFont="1" applyBorder="1" applyAlignment="1">
      <alignment horizontal="center" vertical="center"/>
    </xf>
    <xf numFmtId="0" fontId="2" fillId="7" borderId="5" xfId="0" quotePrefix="1" applyFont="1" applyFill="1" applyBorder="1" applyAlignment="1">
      <alignment horizontal="center" vertical="center"/>
    </xf>
    <xf numFmtId="164" fontId="2" fillId="7" borderId="13" xfId="0" applyNumberFormat="1" applyFont="1" applyFill="1" applyBorder="1" applyAlignment="1">
      <alignment horizontal="center" vertical="center"/>
    </xf>
    <xf numFmtId="164" fontId="2" fillId="7" borderId="5" xfId="0" applyNumberFormat="1" applyFont="1" applyFill="1" applyBorder="1" applyAlignment="1">
      <alignment horizontal="center" vertical="center"/>
    </xf>
    <xf numFmtId="0" fontId="26" fillId="7" borderId="1" xfId="0" applyFont="1" applyFill="1" applyBorder="1"/>
    <xf numFmtId="0" fontId="2" fillId="7" borderId="13" xfId="0" quotePrefix="1" applyFont="1" applyFill="1" applyBorder="1" applyAlignment="1">
      <alignment horizontal="left" vertical="center"/>
    </xf>
    <xf numFmtId="0" fontId="2" fillId="7" borderId="13" xfId="0" quotePrefix="1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6" borderId="5" xfId="0" quotePrefix="1" applyFont="1" applyFill="1" applyBorder="1" applyAlignment="1">
      <alignment horizontal="left" vertical="center"/>
    </xf>
    <xf numFmtId="0" fontId="2" fillId="6" borderId="5" xfId="0" quotePrefix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0" fontId="2" fillId="7" borderId="13" xfId="0" applyFont="1" applyFill="1" applyBorder="1" applyAlignment="1">
      <alignment horizontal="left" vertical="center"/>
    </xf>
    <xf numFmtId="165" fontId="2" fillId="7" borderId="13" xfId="0" applyNumberFormat="1" applyFont="1" applyFill="1" applyBorder="1" applyAlignment="1">
      <alignment horizontal="center" vertical="center"/>
    </xf>
    <xf numFmtId="0" fontId="29" fillId="10" borderId="4" xfId="0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164" fontId="29" fillId="12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 vertical="center"/>
    </xf>
    <xf numFmtId="3" fontId="2" fillId="0" borderId="26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28" xfId="0" applyNumberFormat="1" applyFont="1" applyBorder="1" applyAlignment="1">
      <alignment horizontal="center" vertical="center"/>
    </xf>
    <xf numFmtId="3" fontId="2" fillId="0" borderId="27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7" fillId="16" borderId="30" xfId="0" applyFont="1" applyFill="1" applyBorder="1"/>
    <xf numFmtId="0" fontId="2" fillId="16" borderId="31" xfId="0" applyFont="1" applyFill="1" applyBorder="1" applyAlignment="1">
      <alignment horizontal="left" vertical="center"/>
    </xf>
    <xf numFmtId="3" fontId="17" fillId="16" borderId="31" xfId="0" applyNumberFormat="1" applyFont="1" applyFill="1" applyBorder="1" applyAlignment="1">
      <alignment horizontal="center" vertical="center"/>
    </xf>
    <xf numFmtId="164" fontId="17" fillId="16" borderId="31" xfId="0" applyNumberFormat="1" applyFont="1" applyFill="1" applyBorder="1" applyAlignment="1">
      <alignment horizontal="center" vertical="center"/>
    </xf>
    <xf numFmtId="0" fontId="2" fillId="0" borderId="14" xfId="0" applyFont="1" applyBorder="1"/>
    <xf numFmtId="3" fontId="17" fillId="16" borderId="4" xfId="0" applyNumberFormat="1" applyFont="1" applyFill="1" applyBorder="1" applyAlignment="1">
      <alignment horizontal="center" vertical="center"/>
    </xf>
    <xf numFmtId="0" fontId="17" fillId="0" borderId="0" xfId="0" applyFont="1"/>
    <xf numFmtId="0" fontId="30" fillId="0" borderId="0" xfId="0" applyFont="1" applyAlignment="1">
      <alignment horizontal="right" vertical="center"/>
    </xf>
    <xf numFmtId="3" fontId="25" fillId="0" borderId="0" xfId="0" applyNumberFormat="1" applyFont="1" applyAlignment="1">
      <alignment horizontal="center" vertical="center"/>
    </xf>
    <xf numFmtId="0" fontId="29" fillId="12" borderId="32" xfId="0" applyFont="1" applyFill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68" fontId="2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center" vertical="center"/>
    </xf>
    <xf numFmtId="0" fontId="29" fillId="7" borderId="32" xfId="0" applyFont="1" applyFill="1" applyBorder="1" applyAlignment="1">
      <alignment horizontal="center" vertical="center"/>
    </xf>
    <xf numFmtId="168" fontId="29" fillId="12" borderId="3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169" fontId="2" fillId="0" borderId="0" xfId="0" applyNumberFormat="1" applyFont="1"/>
    <xf numFmtId="0" fontId="17" fillId="0" borderId="33" xfId="0" applyFont="1" applyBorder="1" applyAlignment="1">
      <alignment horizontal="center" vertical="center"/>
    </xf>
    <xf numFmtId="0" fontId="2" fillId="0" borderId="34" xfId="0" applyFont="1" applyBorder="1"/>
    <xf numFmtId="0" fontId="17" fillId="0" borderId="0" xfId="0" applyFont="1" applyAlignment="1">
      <alignment horizontal="center"/>
    </xf>
    <xf numFmtId="169" fontId="17" fillId="0" borderId="0" xfId="0" applyNumberFormat="1" applyFont="1" applyAlignment="1">
      <alignment horizontal="center"/>
    </xf>
    <xf numFmtId="0" fontId="17" fillId="7" borderId="13" xfId="0" applyFont="1" applyFill="1" applyBorder="1" applyAlignment="1">
      <alignment horizontal="left"/>
    </xf>
    <xf numFmtId="0" fontId="2" fillId="0" borderId="17" xfId="0" applyFont="1" applyBorder="1"/>
    <xf numFmtId="170" fontId="2" fillId="7" borderId="13" xfId="0" applyNumberFormat="1" applyFont="1" applyFill="1" applyBorder="1"/>
    <xf numFmtId="0" fontId="2" fillId="7" borderId="13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left" vertical="center"/>
    </xf>
    <xf numFmtId="171" fontId="2" fillId="7" borderId="13" xfId="0" applyNumberFormat="1" applyFont="1" applyFill="1" applyBorder="1" applyAlignment="1">
      <alignment horizontal="center"/>
    </xf>
    <xf numFmtId="170" fontId="2" fillId="7" borderId="5" xfId="0" applyNumberFormat="1" applyFont="1" applyFill="1" applyBorder="1" applyAlignment="1">
      <alignment horizontal="center"/>
    </xf>
    <xf numFmtId="170" fontId="2" fillId="0" borderId="0" xfId="0" applyNumberFormat="1" applyFont="1"/>
    <xf numFmtId="0" fontId="2" fillId="0" borderId="35" xfId="0" applyFont="1" applyBorder="1"/>
    <xf numFmtId="0" fontId="31" fillId="0" borderId="0" xfId="0" applyFont="1"/>
    <xf numFmtId="0" fontId="17" fillId="7" borderId="7" xfId="0" applyFont="1" applyFill="1" applyBorder="1" applyAlignment="1">
      <alignment horizontal="left"/>
    </xf>
    <xf numFmtId="0" fontId="2" fillId="0" borderId="7" xfId="0" applyFont="1" applyBorder="1"/>
    <xf numFmtId="169" fontId="2" fillId="7" borderId="7" xfId="0" applyNumberFormat="1" applyFont="1" applyFill="1" applyBorder="1"/>
    <xf numFmtId="0" fontId="2" fillId="7" borderId="9" xfId="0" applyFont="1" applyFill="1" applyBorder="1" applyAlignment="1">
      <alignment horizontal="left" vertical="center"/>
    </xf>
    <xf numFmtId="172" fontId="2" fillId="0" borderId="7" xfId="0" applyNumberFormat="1" applyFont="1" applyBorder="1"/>
    <xf numFmtId="172" fontId="2" fillId="7" borderId="7" xfId="0" applyNumberFormat="1" applyFont="1" applyFill="1" applyBorder="1" applyAlignment="1">
      <alignment horizontal="right"/>
    </xf>
    <xf numFmtId="171" fontId="2" fillId="7" borderId="7" xfId="0" applyNumberFormat="1" applyFont="1" applyFill="1" applyBorder="1" applyAlignment="1">
      <alignment horizontal="center"/>
    </xf>
    <xf numFmtId="170" fontId="2" fillId="7" borderId="4" xfId="0" applyNumberFormat="1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172" fontId="17" fillId="18" borderId="36" xfId="0" applyNumberFormat="1" applyFont="1" applyFill="1" applyBorder="1" applyAlignment="1">
      <alignment horizontal="left"/>
    </xf>
    <xf numFmtId="172" fontId="17" fillId="18" borderId="37" xfId="0" applyNumberFormat="1" applyFont="1" applyFill="1" applyBorder="1" applyAlignment="1">
      <alignment horizontal="left"/>
    </xf>
    <xf numFmtId="172" fontId="17" fillId="18" borderId="38" xfId="0" applyNumberFormat="1" applyFont="1" applyFill="1" applyBorder="1" applyAlignment="1">
      <alignment horizontal="left"/>
    </xf>
    <xf numFmtId="170" fontId="17" fillId="18" borderId="36" xfId="0" applyNumberFormat="1" applyFont="1" applyFill="1" applyBorder="1" applyAlignment="1">
      <alignment horizontal="left"/>
    </xf>
    <xf numFmtId="170" fontId="17" fillId="18" borderId="37" xfId="0" applyNumberFormat="1" applyFont="1" applyFill="1" applyBorder="1" applyAlignment="1">
      <alignment horizontal="left"/>
    </xf>
    <xf numFmtId="170" fontId="17" fillId="18" borderId="38" xfId="0" applyNumberFormat="1" applyFont="1" applyFill="1" applyBorder="1" applyAlignment="1">
      <alignment horizontal="left"/>
    </xf>
    <xf numFmtId="169" fontId="26" fillId="0" borderId="0" xfId="0" applyNumberFormat="1" applyFont="1"/>
    <xf numFmtId="0" fontId="26" fillId="0" borderId="0" xfId="0" applyFont="1" applyAlignment="1">
      <alignment horizontal="left" vertical="center"/>
    </xf>
    <xf numFmtId="172" fontId="26" fillId="0" borderId="0" xfId="0" applyNumberFormat="1" applyFont="1"/>
    <xf numFmtId="0" fontId="2" fillId="9" borderId="39" xfId="0" applyFont="1" applyFill="1" applyBorder="1" applyAlignment="1">
      <alignment horizontal="left" vertical="center"/>
    </xf>
    <xf numFmtId="172" fontId="2" fillId="0" borderId="40" xfId="0" applyNumberFormat="1" applyFont="1" applyBorder="1" applyAlignment="1">
      <alignment horizontal="left"/>
    </xf>
    <xf numFmtId="172" fontId="2" fillId="0" borderId="41" xfId="0" applyNumberFormat="1" applyFont="1" applyBorder="1" applyAlignment="1">
      <alignment horizontal="left"/>
    </xf>
    <xf numFmtId="0" fontId="2" fillId="9" borderId="42" xfId="0" applyFont="1" applyFill="1" applyBorder="1" applyAlignment="1">
      <alignment horizontal="left" vertical="center"/>
    </xf>
    <xf numFmtId="172" fontId="2" fillId="0" borderId="5" xfId="0" applyNumberFormat="1" applyFont="1" applyBorder="1" applyAlignment="1">
      <alignment horizontal="left"/>
    </xf>
    <xf numFmtId="172" fontId="2" fillId="0" borderId="43" xfId="0" applyNumberFormat="1" applyFont="1" applyBorder="1" applyAlignment="1">
      <alignment horizontal="left"/>
    </xf>
    <xf numFmtId="0" fontId="2" fillId="9" borderId="44" xfId="0" applyFont="1" applyFill="1" applyBorder="1" applyAlignment="1">
      <alignment horizontal="left" vertical="center"/>
    </xf>
    <xf numFmtId="172" fontId="17" fillId="18" borderId="45" xfId="0" applyNumberFormat="1" applyFont="1" applyFill="1" applyBorder="1" applyAlignment="1">
      <alignment horizontal="left"/>
    </xf>
    <xf numFmtId="172" fontId="17" fillId="18" borderId="46" xfId="0" applyNumberFormat="1" applyFont="1" applyFill="1" applyBorder="1" applyAlignment="1">
      <alignment horizontal="left"/>
    </xf>
    <xf numFmtId="172" fontId="17" fillId="18" borderId="47" xfId="0" applyNumberFormat="1" applyFont="1" applyFill="1" applyBorder="1" applyAlignment="1">
      <alignment horizontal="left"/>
    </xf>
    <xf numFmtId="172" fontId="2" fillId="0" borderId="0" xfId="0" applyNumberFormat="1" applyFont="1"/>
    <xf numFmtId="0" fontId="2" fillId="15" borderId="39" xfId="0" applyFont="1" applyFill="1" applyBorder="1" applyAlignment="1">
      <alignment horizontal="center"/>
    </xf>
    <xf numFmtId="0" fontId="2" fillId="0" borderId="48" xfId="0" applyFont="1" applyBorder="1" applyAlignment="1">
      <alignment horizontal="left" vertical="center"/>
    </xf>
    <xf numFmtId="170" fontId="2" fillId="0" borderId="40" xfId="0" applyNumberFormat="1" applyFont="1" applyBorder="1"/>
    <xf numFmtId="170" fontId="2" fillId="0" borderId="41" xfId="0" applyNumberFormat="1" applyFont="1" applyBorder="1"/>
    <xf numFmtId="0" fontId="2" fillId="15" borderId="42" xfId="0" applyFont="1" applyFill="1" applyBorder="1" applyAlignment="1">
      <alignment horizontal="center"/>
    </xf>
    <xf numFmtId="0" fontId="2" fillId="0" borderId="49" xfId="0" applyFont="1" applyBorder="1" applyAlignment="1">
      <alignment horizontal="left" vertical="center"/>
    </xf>
    <xf numFmtId="170" fontId="2" fillId="0" borderId="13" xfId="0" applyNumberFormat="1" applyFont="1" applyBorder="1"/>
    <xf numFmtId="170" fontId="2" fillId="0" borderId="50" xfId="0" applyNumberFormat="1" applyFont="1" applyBorder="1"/>
    <xf numFmtId="0" fontId="2" fillId="15" borderId="42" xfId="0" quotePrefix="1" applyFont="1" applyFill="1" applyBorder="1" applyAlignment="1">
      <alignment horizontal="center"/>
    </xf>
    <xf numFmtId="0" fontId="2" fillId="15" borderId="51" xfId="0" applyFont="1" applyFill="1" applyBorder="1" applyAlignment="1">
      <alignment horizontal="center"/>
    </xf>
    <xf numFmtId="0" fontId="2" fillId="0" borderId="52" xfId="0" applyFont="1" applyBorder="1" applyAlignment="1">
      <alignment horizontal="left" vertical="center"/>
    </xf>
    <xf numFmtId="0" fontId="2" fillId="15" borderId="53" xfId="0" applyFont="1" applyFill="1" applyBorder="1" applyAlignment="1">
      <alignment horizontal="center"/>
    </xf>
    <xf numFmtId="0" fontId="2" fillId="15" borderId="44" xfId="0" applyFont="1" applyFill="1" applyBorder="1" applyAlignment="1">
      <alignment horizontal="center"/>
    </xf>
    <xf numFmtId="0" fontId="2" fillId="0" borderId="54" xfId="0" applyFont="1" applyBorder="1" applyAlignment="1">
      <alignment horizontal="left" vertical="center"/>
    </xf>
    <xf numFmtId="170" fontId="2" fillId="0" borderId="55" xfId="0" applyNumberFormat="1" applyFont="1" applyBorder="1"/>
    <xf numFmtId="170" fontId="2" fillId="0" borderId="56" xfId="0" applyNumberFormat="1" applyFont="1" applyBorder="1"/>
    <xf numFmtId="170" fontId="17" fillId="18" borderId="45" xfId="0" applyNumberFormat="1" applyFont="1" applyFill="1" applyBorder="1" applyAlignment="1">
      <alignment horizontal="left"/>
    </xf>
    <xf numFmtId="0" fontId="12" fillId="0" borderId="0" xfId="0" applyFont="1"/>
    <xf numFmtId="10" fontId="2" fillId="0" borderId="23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9" fontId="2" fillId="0" borderId="2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9" fontId="17" fillId="6" borderId="57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17" fillId="6" borderId="58" xfId="0" applyNumberFormat="1" applyFont="1" applyFill="1" applyBorder="1" applyAlignment="1">
      <alignment horizontal="center" vertical="center"/>
    </xf>
    <xf numFmtId="10" fontId="2" fillId="0" borderId="27" xfId="0" applyNumberFormat="1" applyFont="1" applyBorder="1" applyAlignment="1">
      <alignment horizontal="center" vertical="center"/>
    </xf>
    <xf numFmtId="0" fontId="17" fillId="6" borderId="57" xfId="0" applyFont="1" applyFill="1" applyBorder="1" applyAlignment="1">
      <alignment horizontal="center" vertical="center"/>
    </xf>
    <xf numFmtId="9" fontId="32" fillId="0" borderId="22" xfId="0" applyNumberFormat="1" applyFont="1" applyBorder="1" applyAlignment="1">
      <alignment horizontal="center" vertical="center"/>
    </xf>
    <xf numFmtId="9" fontId="32" fillId="0" borderId="29" xfId="0" applyNumberFormat="1" applyFont="1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164" fontId="17" fillId="8" borderId="25" xfId="0" applyNumberFormat="1" applyFont="1" applyFill="1" applyBorder="1" applyAlignment="1">
      <alignment horizontal="left" vertical="center"/>
    </xf>
    <xf numFmtId="164" fontId="17" fillId="8" borderId="59" xfId="0" applyNumberFormat="1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left" vertical="center"/>
    </xf>
    <xf numFmtId="164" fontId="17" fillId="8" borderId="58" xfId="0" applyNumberFormat="1" applyFont="1" applyFill="1" applyBorder="1" applyAlignment="1">
      <alignment horizontal="left" vertical="center"/>
    </xf>
    <xf numFmtId="0" fontId="17" fillId="8" borderId="60" xfId="0" applyFont="1" applyFill="1" applyBorder="1" applyAlignment="1">
      <alignment horizontal="center"/>
    </xf>
    <xf numFmtId="164" fontId="17" fillId="8" borderId="60" xfId="0" applyNumberFormat="1" applyFont="1" applyFill="1" applyBorder="1" applyAlignment="1">
      <alignment horizontal="left" vertical="center"/>
    </xf>
    <xf numFmtId="164" fontId="17" fillId="8" borderId="61" xfId="0" applyNumberFormat="1" applyFont="1" applyFill="1" applyBorder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0" fontId="17" fillId="19" borderId="31" xfId="0" applyFont="1" applyFill="1" applyBorder="1" applyAlignment="1">
      <alignment horizontal="center"/>
    </xf>
    <xf numFmtId="164" fontId="17" fillId="19" borderId="31" xfId="0" applyNumberFormat="1" applyFont="1" applyFill="1" applyBorder="1" applyAlignment="1">
      <alignment horizontal="left" vertical="center"/>
    </xf>
    <xf numFmtId="164" fontId="17" fillId="19" borderId="62" xfId="0" applyNumberFormat="1" applyFont="1" applyFill="1" applyBorder="1" applyAlignment="1">
      <alignment horizontal="left" vertical="center"/>
    </xf>
    <xf numFmtId="0" fontId="29" fillId="20" borderId="1" xfId="0" applyFont="1" applyFill="1" applyBorder="1" applyAlignment="1">
      <alignment horizontal="center"/>
    </xf>
    <xf numFmtId="0" fontId="0" fillId="23" borderId="68" xfId="0" applyFill="1" applyBorder="1"/>
    <xf numFmtId="9" fontId="38" fillId="23" borderId="69" xfId="2" applyFont="1" applyFill="1" applyBorder="1" applyAlignment="1">
      <alignment horizontal="right" vertical="center" wrapText="1"/>
    </xf>
    <xf numFmtId="0" fontId="34" fillId="0" borderId="72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 wrapText="1"/>
    </xf>
    <xf numFmtId="0" fontId="39" fillId="0" borderId="74" xfId="0" applyFont="1" applyBorder="1" applyAlignment="1">
      <alignment horizontal="center" vertical="center" wrapText="1"/>
    </xf>
    <xf numFmtId="0" fontId="0" fillId="0" borderId="75" xfId="0" applyBorder="1" applyAlignment="1">
      <alignment vertical="center" wrapText="1"/>
    </xf>
    <xf numFmtId="173" fontId="0" fillId="0" borderId="75" xfId="1" applyNumberFormat="1" applyFont="1" applyBorder="1" applyAlignment="1">
      <alignment horizontal="center" vertical="center" wrapText="1"/>
    </xf>
    <xf numFmtId="173" fontId="0" fillId="0" borderId="76" xfId="1" applyNumberFormat="1" applyFont="1" applyBorder="1" applyAlignment="1">
      <alignment vertical="center" wrapText="1"/>
    </xf>
    <xf numFmtId="9" fontId="40" fillId="0" borderId="77" xfId="2" applyFont="1" applyBorder="1" applyAlignment="1">
      <alignment horizontal="right" vertical="center" wrapText="1"/>
    </xf>
    <xf numFmtId="173" fontId="0" fillId="0" borderId="75" xfId="1" applyNumberFormat="1" applyFont="1" applyBorder="1" applyAlignment="1">
      <alignment vertical="center" wrapText="1"/>
    </xf>
    <xf numFmtId="0" fontId="34" fillId="0" borderId="78" xfId="0" applyFont="1" applyBorder="1" applyAlignment="1">
      <alignment vertical="center" wrapText="1"/>
    </xf>
    <xf numFmtId="173" fontId="34" fillId="0" borderId="78" xfId="1" applyNumberFormat="1" applyFont="1" applyBorder="1" applyAlignment="1">
      <alignment vertical="center" wrapText="1"/>
    </xf>
    <xf numFmtId="173" fontId="34" fillId="0" borderId="79" xfId="1" applyNumberFormat="1" applyFont="1" applyBorder="1" applyAlignment="1">
      <alignment vertical="center" wrapText="1"/>
    </xf>
    <xf numFmtId="9" fontId="40" fillId="0" borderId="80" xfId="2" applyFont="1" applyBorder="1" applyAlignment="1">
      <alignment horizontal="right" vertical="center" wrapText="1"/>
    </xf>
    <xf numFmtId="0" fontId="41" fillId="0" borderId="0" xfId="0" applyFont="1" applyAlignment="1">
      <alignment horizontal="right"/>
    </xf>
    <xf numFmtId="9" fontId="40" fillId="23" borderId="77" xfId="2" applyFont="1" applyFill="1" applyBorder="1" applyAlignment="1">
      <alignment horizontal="right" vertical="center" wrapText="1"/>
    </xf>
    <xf numFmtId="9" fontId="40" fillId="24" borderId="77" xfId="2" applyFont="1" applyFill="1" applyBorder="1" applyAlignment="1">
      <alignment horizontal="right" vertical="center" wrapText="1"/>
    </xf>
    <xf numFmtId="9" fontId="40" fillId="24" borderId="80" xfId="2" applyFont="1" applyFill="1" applyBorder="1" applyAlignment="1">
      <alignment horizontal="right" vertical="center" wrapText="1"/>
    </xf>
    <xf numFmtId="10" fontId="0" fillId="0" borderId="0" xfId="0" applyNumberFormat="1"/>
    <xf numFmtId="9" fontId="0" fillId="0" borderId="0" xfId="0" applyNumberFormat="1"/>
    <xf numFmtId="0" fontId="45" fillId="0" borderId="0" xfId="0" applyFont="1" applyAlignment="1">
      <alignment vertical="center"/>
    </xf>
    <xf numFmtId="0" fontId="44" fillId="14" borderId="1" xfId="0" applyFont="1" applyFill="1" applyBorder="1" applyAlignment="1">
      <alignment horizontal="center" vertical="center"/>
    </xf>
    <xf numFmtId="0" fontId="44" fillId="13" borderId="1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46" fillId="26" borderId="4" xfId="0" applyFont="1" applyFill="1" applyBorder="1" applyAlignment="1">
      <alignment horizontal="left" vertical="center"/>
    </xf>
    <xf numFmtId="0" fontId="46" fillId="26" borderId="4" xfId="0" applyFont="1" applyFill="1" applyBorder="1" applyAlignment="1">
      <alignment horizontal="center" vertical="center"/>
    </xf>
    <xf numFmtId="164" fontId="46" fillId="26" borderId="4" xfId="0" applyNumberFormat="1" applyFont="1" applyFill="1" applyBorder="1" applyAlignment="1">
      <alignment horizontal="center" vertical="center"/>
    </xf>
    <xf numFmtId="165" fontId="46" fillId="26" borderId="4" xfId="0" applyNumberFormat="1" applyFont="1" applyFill="1" applyBorder="1" applyAlignment="1">
      <alignment horizontal="center" vertical="center"/>
    </xf>
    <xf numFmtId="0" fontId="46" fillId="26" borderId="9" xfId="0" applyFont="1" applyFill="1" applyBorder="1" applyAlignment="1">
      <alignment horizontal="center" vertical="center"/>
    </xf>
    <xf numFmtId="10" fontId="46" fillId="27" borderId="4" xfId="0" applyNumberFormat="1" applyFont="1" applyFill="1" applyBorder="1" applyAlignment="1">
      <alignment horizontal="center" vertical="center"/>
    </xf>
    <xf numFmtId="0" fontId="46" fillId="26" borderId="4" xfId="0" quotePrefix="1" applyFont="1" applyFill="1" applyBorder="1" applyAlignment="1">
      <alignment horizontal="left" vertical="center"/>
    </xf>
    <xf numFmtId="10" fontId="46" fillId="26" borderId="4" xfId="0" applyNumberFormat="1" applyFont="1" applyFill="1" applyBorder="1" applyAlignment="1">
      <alignment horizontal="center" vertical="center"/>
    </xf>
    <xf numFmtId="9" fontId="46" fillId="26" borderId="4" xfId="2" applyFont="1" applyFill="1" applyBorder="1" applyAlignment="1">
      <alignment horizontal="center" vertical="center"/>
    </xf>
    <xf numFmtId="9" fontId="48" fillId="26" borderId="5" xfId="0" applyNumberFormat="1" applyFont="1" applyFill="1" applyBorder="1" applyAlignment="1">
      <alignment horizontal="center" vertical="center"/>
    </xf>
    <xf numFmtId="9" fontId="48" fillId="26" borderId="7" xfId="0" applyNumberFormat="1" applyFont="1" applyFill="1" applyBorder="1" applyAlignment="1">
      <alignment horizontal="center" vertical="center"/>
    </xf>
    <xf numFmtId="0" fontId="46" fillId="28" borderId="4" xfId="0" quotePrefix="1" applyFont="1" applyFill="1" applyBorder="1" applyAlignment="1">
      <alignment horizontal="left" vertical="center"/>
    </xf>
    <xf numFmtId="0" fontId="46" fillId="28" borderId="4" xfId="0" applyFont="1" applyFill="1" applyBorder="1" applyAlignment="1">
      <alignment horizontal="center" vertical="center"/>
    </xf>
    <xf numFmtId="164" fontId="46" fillId="28" borderId="4" xfId="0" applyNumberFormat="1" applyFont="1" applyFill="1" applyBorder="1" applyAlignment="1">
      <alignment horizontal="center" vertical="center"/>
    </xf>
    <xf numFmtId="10" fontId="46" fillId="28" borderId="4" xfId="0" applyNumberFormat="1" applyFont="1" applyFill="1" applyBorder="1" applyAlignment="1">
      <alignment horizontal="center" vertical="center"/>
    </xf>
    <xf numFmtId="0" fontId="48" fillId="26" borderId="4" xfId="0" applyFont="1" applyFill="1" applyBorder="1" applyAlignment="1">
      <alignment horizontal="center" vertical="center"/>
    </xf>
    <xf numFmtId="0" fontId="48" fillId="26" borderId="11" xfId="0" applyFont="1" applyFill="1" applyBorder="1" applyAlignment="1">
      <alignment horizontal="center" vertical="center"/>
    </xf>
    <xf numFmtId="9" fontId="17" fillId="0" borderId="5" xfId="0" applyNumberFormat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left" vertical="center"/>
    </xf>
    <xf numFmtId="165" fontId="17" fillId="0" borderId="12" xfId="0" applyNumberFormat="1" applyFont="1" applyBorder="1" applyAlignment="1">
      <alignment horizontal="center" vertical="center"/>
    </xf>
    <xf numFmtId="9" fontId="17" fillId="0" borderId="7" xfId="0" applyNumberFormat="1" applyFont="1" applyBorder="1" applyAlignment="1">
      <alignment horizontal="center" vertical="center"/>
    </xf>
    <xf numFmtId="0" fontId="46" fillId="25" borderId="4" xfId="0" quotePrefix="1" applyFont="1" applyFill="1" applyBorder="1" applyAlignment="1">
      <alignment horizontal="left" vertical="center"/>
    </xf>
    <xf numFmtId="0" fontId="17" fillId="30" borderId="21" xfId="0" applyFont="1" applyFill="1" applyBorder="1" applyAlignment="1">
      <alignment horizontal="center" vertical="center"/>
    </xf>
    <xf numFmtId="165" fontId="2" fillId="30" borderId="0" xfId="0" applyNumberFormat="1" applyFont="1" applyFill="1" applyAlignment="1">
      <alignment horizontal="center" vertical="center"/>
    </xf>
    <xf numFmtId="0" fontId="48" fillId="31" borderId="4" xfId="0" applyFont="1" applyFill="1" applyBorder="1"/>
    <xf numFmtId="0" fontId="49" fillId="30" borderId="0" xfId="0" applyFont="1" applyFill="1"/>
    <xf numFmtId="0" fontId="35" fillId="6" borderId="13" xfId="0" applyFont="1" applyFill="1" applyBorder="1" applyAlignment="1">
      <alignment horizontal="left" vertical="center"/>
    </xf>
    <xf numFmtId="0" fontId="35" fillId="0" borderId="13" xfId="0" quotePrefix="1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50" fillId="32" borderId="1" xfId="0" applyFont="1" applyFill="1" applyBorder="1"/>
    <xf numFmtId="0" fontId="50" fillId="32" borderId="1" xfId="0" applyFont="1" applyFill="1" applyBorder="1" applyAlignment="1">
      <alignment horizontal="left"/>
    </xf>
    <xf numFmtId="0" fontId="50" fillId="0" borderId="1" xfId="0" applyFont="1" applyBorder="1" applyAlignment="1">
      <alignment horizontal="left"/>
    </xf>
    <xf numFmtId="0" fontId="50" fillId="0" borderId="1" xfId="0" applyFont="1" applyBorder="1"/>
    <xf numFmtId="0" fontId="51" fillId="32" borderId="1" xfId="0" applyFont="1" applyFill="1" applyBorder="1" applyAlignment="1">
      <alignment horizontal="left" vertical="center"/>
    </xf>
    <xf numFmtId="0" fontId="50" fillId="33" borderId="1" xfId="0" applyFont="1" applyFill="1" applyBorder="1" applyAlignment="1">
      <alignment horizontal="left"/>
    </xf>
    <xf numFmtId="0" fontId="50" fillId="33" borderId="1" xfId="0" applyFont="1" applyFill="1" applyBorder="1"/>
    <xf numFmtId="0" fontId="50" fillId="32" borderId="1" xfId="0" applyFont="1" applyFill="1" applyBorder="1" applyAlignment="1">
      <alignment horizontal="left" vertical="center"/>
    </xf>
    <xf numFmtId="3" fontId="17" fillId="34" borderId="88" xfId="0" applyNumberFormat="1" applyFont="1" applyFill="1" applyBorder="1" applyAlignment="1">
      <alignment horizontal="center" vertical="center"/>
    </xf>
    <xf numFmtId="3" fontId="17" fillId="34" borderId="86" xfId="0" applyNumberFormat="1" applyFont="1" applyFill="1" applyBorder="1" applyAlignment="1">
      <alignment horizontal="center" vertical="center"/>
    </xf>
    <xf numFmtId="0" fontId="50" fillId="34" borderId="1" xfId="0" applyFont="1" applyFill="1" applyBorder="1" applyAlignment="1">
      <alignment horizontal="center"/>
    </xf>
    <xf numFmtId="0" fontId="50" fillId="24" borderId="1" xfId="0" applyFont="1" applyFill="1" applyBorder="1" applyAlignment="1">
      <alignment horizontal="center"/>
    </xf>
    <xf numFmtId="0" fontId="50" fillId="34" borderId="1" xfId="0" applyFont="1" applyFill="1" applyBorder="1" applyAlignment="1">
      <alignment horizontal="center" vertical="center"/>
    </xf>
    <xf numFmtId="0" fontId="50" fillId="24" borderId="1" xfId="0" applyFont="1" applyFill="1" applyBorder="1" applyAlignment="1">
      <alignment horizontal="center" vertical="center"/>
    </xf>
    <xf numFmtId="0" fontId="51" fillId="34" borderId="1" xfId="0" applyFont="1" applyFill="1" applyBorder="1" applyAlignment="1">
      <alignment horizontal="center" vertical="center"/>
    </xf>
    <xf numFmtId="43" fontId="50" fillId="0" borderId="1" xfId="1" applyFont="1" applyBorder="1"/>
    <xf numFmtId="166" fontId="2" fillId="0" borderId="27" xfId="0" applyNumberFormat="1" applyFont="1" applyBorder="1" applyAlignment="1">
      <alignment horizontal="center" vertical="center"/>
    </xf>
    <xf numFmtId="43" fontId="0" fillId="0" borderId="0" xfId="1" applyFont="1"/>
    <xf numFmtId="0" fontId="35" fillId="6" borderId="12" xfId="0" applyFont="1" applyFill="1" applyBorder="1" applyAlignment="1">
      <alignment horizontal="left" vertical="center"/>
    </xf>
    <xf numFmtId="0" fontId="35" fillId="6" borderId="13" xfId="0" quotePrefix="1" applyFont="1" applyFill="1" applyBorder="1" applyAlignment="1">
      <alignment horizontal="left" vertical="center"/>
    </xf>
    <xf numFmtId="0" fontId="35" fillId="0" borderId="7" xfId="0" quotePrefix="1" applyFont="1" applyBorder="1" applyAlignment="1">
      <alignment horizontal="left" vertical="center"/>
    </xf>
    <xf numFmtId="0" fontId="2" fillId="35" borderId="5" xfId="0" quotePrefix="1" applyFont="1" applyFill="1" applyBorder="1" applyAlignment="1">
      <alignment horizontal="left" vertical="center"/>
    </xf>
    <xf numFmtId="0" fontId="2" fillId="36" borderId="16" xfId="0" quotePrefix="1" applyFont="1" applyFill="1" applyBorder="1" applyAlignment="1">
      <alignment horizontal="left" vertical="center"/>
    </xf>
    <xf numFmtId="0" fontId="2" fillId="36" borderId="13" xfId="0" quotePrefix="1" applyFont="1" applyFill="1" applyBorder="1" applyAlignment="1">
      <alignment horizontal="left" vertical="center"/>
    </xf>
    <xf numFmtId="0" fontId="2" fillId="35" borderId="13" xfId="0" quotePrefix="1" applyFont="1" applyFill="1" applyBorder="1" applyAlignment="1">
      <alignment horizontal="left" vertical="center"/>
    </xf>
    <xf numFmtId="10" fontId="2" fillId="0" borderId="92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165" fontId="2" fillId="0" borderId="17" xfId="0" applyNumberFormat="1" applyFont="1" applyBorder="1" applyAlignment="1">
      <alignment horizontal="center" vertical="center"/>
    </xf>
    <xf numFmtId="0" fontId="2" fillId="0" borderId="93" xfId="0" applyFont="1" applyBorder="1" applyAlignment="1">
      <alignment horizontal="left" vertical="center"/>
    </xf>
    <xf numFmtId="0" fontId="2" fillId="0" borderId="93" xfId="0" quotePrefix="1" applyFont="1" applyBorder="1" applyAlignment="1">
      <alignment horizontal="center" vertical="center"/>
    </xf>
    <xf numFmtId="0" fontId="29" fillId="26" borderId="11" xfId="0" quotePrefix="1" applyFont="1" applyFill="1" applyBorder="1" applyAlignment="1">
      <alignment horizontal="left" vertical="center"/>
    </xf>
    <xf numFmtId="164" fontId="2" fillId="0" borderId="93" xfId="0" applyNumberFormat="1" applyFont="1" applyBorder="1" applyAlignment="1">
      <alignment horizontal="center" vertical="center"/>
    </xf>
    <xf numFmtId="164" fontId="46" fillId="26" borderId="11" xfId="0" applyNumberFormat="1" applyFont="1" applyFill="1" applyBorder="1" applyAlignment="1">
      <alignment horizontal="center" vertical="center"/>
    </xf>
    <xf numFmtId="0" fontId="35" fillId="36" borderId="92" xfId="0" quotePrefix="1" applyFont="1" applyFill="1" applyBorder="1" applyAlignment="1">
      <alignment horizontal="left" vertical="center"/>
    </xf>
    <xf numFmtId="0" fontId="2" fillId="6" borderId="92" xfId="0" quotePrefix="1" applyFont="1" applyFill="1" applyBorder="1" applyAlignment="1">
      <alignment horizontal="center" vertical="center"/>
    </xf>
    <xf numFmtId="164" fontId="2" fillId="6" borderId="92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0" borderId="62" xfId="0" quotePrefix="1" applyNumberFormat="1" applyFont="1" applyBorder="1" applyAlignment="1">
      <alignment horizontal="center" vertical="center"/>
    </xf>
    <xf numFmtId="3" fontId="2" fillId="6" borderId="15" xfId="0" quotePrefix="1" applyNumberFormat="1" applyFont="1" applyFill="1" applyBorder="1" applyAlignment="1">
      <alignment horizontal="center" vertical="center"/>
    </xf>
    <xf numFmtId="10" fontId="2" fillId="6" borderId="17" xfId="0" quotePrefix="1" applyNumberFormat="1" applyFont="1" applyFill="1" applyBorder="1" applyAlignment="1">
      <alignment horizontal="center" vertical="center"/>
    </xf>
    <xf numFmtId="10" fontId="2" fillId="6" borderId="15" xfId="0" quotePrefix="1" applyNumberFormat="1" applyFont="1" applyFill="1" applyBorder="1" applyAlignment="1">
      <alignment horizontal="center" vertical="center"/>
    </xf>
    <xf numFmtId="0" fontId="2" fillId="6" borderId="17" xfId="0" quotePrefix="1" applyFont="1" applyFill="1" applyBorder="1" applyAlignment="1">
      <alignment horizontal="center" vertical="center"/>
    </xf>
    <xf numFmtId="0" fontId="2" fillId="4" borderId="17" xfId="0" quotePrefix="1" applyFont="1" applyFill="1" applyBorder="1" applyAlignment="1">
      <alignment horizontal="center" vertical="center"/>
    </xf>
    <xf numFmtId="0" fontId="48" fillId="26" borderId="20" xfId="0" applyFont="1" applyFill="1" applyBorder="1" applyAlignment="1">
      <alignment horizontal="center" vertical="center"/>
    </xf>
    <xf numFmtId="0" fontId="17" fillId="30" borderId="1" xfId="0" applyFont="1" applyFill="1" applyBorder="1" applyAlignment="1">
      <alignment horizontal="center" vertical="center"/>
    </xf>
    <xf numFmtId="165" fontId="17" fillId="0" borderId="15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right"/>
    </xf>
    <xf numFmtId="0" fontId="2" fillId="6" borderId="17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92" xfId="0" applyFont="1" applyFill="1" applyBorder="1" applyAlignment="1">
      <alignment horizontal="left" vertical="center"/>
    </xf>
    <xf numFmtId="0" fontId="2" fillId="6" borderId="92" xfId="0" applyFont="1" applyFill="1" applyBorder="1" applyAlignment="1">
      <alignment horizontal="center" vertical="center"/>
    </xf>
    <xf numFmtId="164" fontId="2" fillId="6" borderId="17" xfId="0" applyNumberFormat="1" applyFont="1" applyFill="1" applyBorder="1" applyAlignment="1">
      <alignment horizontal="center"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3" fontId="2" fillId="0" borderId="57" xfId="0" applyNumberFormat="1" applyFont="1" applyBorder="1" applyAlignment="1">
      <alignment horizontal="center" vertical="center"/>
    </xf>
    <xf numFmtId="0" fontId="53" fillId="0" borderId="89" xfId="0" applyFont="1" applyBorder="1" applyAlignment="1">
      <alignment horizontal="center"/>
    </xf>
    <xf numFmtId="0" fontId="53" fillId="0" borderId="89" xfId="0" applyFont="1" applyBorder="1" applyAlignment="1">
      <alignment horizontal="center" vertical="center"/>
    </xf>
    <xf numFmtId="0" fontId="53" fillId="37" borderId="89" xfId="0" applyFont="1" applyFill="1" applyBorder="1" applyAlignment="1">
      <alignment horizontal="center" vertical="center"/>
    </xf>
    <xf numFmtId="3" fontId="17" fillId="34" borderId="91" xfId="0" applyNumberFormat="1" applyFont="1" applyFill="1" applyBorder="1" applyAlignment="1">
      <alignment horizontal="center" vertical="center"/>
    </xf>
    <xf numFmtId="0" fontId="53" fillId="0" borderId="90" xfId="0" applyFont="1" applyBorder="1" applyAlignment="1">
      <alignment horizontal="center"/>
    </xf>
    <xf numFmtId="0" fontId="53" fillId="0" borderId="87" xfId="0" applyFont="1" applyBorder="1" applyAlignment="1">
      <alignment horizontal="center"/>
    </xf>
    <xf numFmtId="14" fontId="2" fillId="0" borderId="0" xfId="0" applyNumberFormat="1" applyFont="1"/>
    <xf numFmtId="173" fontId="50" fillId="0" borderId="1" xfId="1" applyNumberFormat="1" applyFont="1" applyBorder="1"/>
    <xf numFmtId="44" fontId="0" fillId="0" borderId="1" xfId="0" applyNumberFormat="1" applyBorder="1"/>
    <xf numFmtId="44" fontId="0" fillId="24" borderId="1" xfId="0" applyNumberFormat="1" applyFill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7" fillId="16" borderId="31" xfId="0" applyFont="1" applyFill="1" applyBorder="1"/>
    <xf numFmtId="164" fontId="17" fillId="16" borderId="30" xfId="0" applyNumberFormat="1" applyFont="1" applyFill="1" applyBorder="1" applyAlignment="1">
      <alignment horizontal="center" vertical="center"/>
    </xf>
    <xf numFmtId="164" fontId="17" fillId="16" borderId="62" xfId="0" applyNumberFormat="1" applyFont="1" applyFill="1" applyBorder="1" applyAlignment="1">
      <alignment horizontal="center" vertical="center"/>
    </xf>
    <xf numFmtId="174" fontId="0" fillId="0" borderId="0" xfId="0" applyNumberFormat="1"/>
    <xf numFmtId="0" fontId="25" fillId="6" borderId="13" xfId="0" applyFont="1" applyFill="1" applyBorder="1" applyAlignment="1">
      <alignment horizontal="center" vertical="center"/>
    </xf>
    <xf numFmtId="164" fontId="28" fillId="6" borderId="13" xfId="0" applyNumberFormat="1" applyFont="1" applyFill="1" applyBorder="1" applyAlignment="1">
      <alignment horizontal="center" vertical="center"/>
    </xf>
    <xf numFmtId="0" fontId="47" fillId="26" borderId="1" xfId="0" applyFont="1" applyFill="1" applyBorder="1" applyAlignment="1">
      <alignment horizontal="center" wrapText="1"/>
    </xf>
    <xf numFmtId="0" fontId="47" fillId="26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6" fontId="47" fillId="26" borderId="0" xfId="0" applyNumberFormat="1" applyFont="1" applyFill="1" applyAlignment="1">
      <alignment horizontal="center" wrapText="1"/>
    </xf>
    <xf numFmtId="173" fontId="0" fillId="0" borderId="76" xfId="1" applyNumberFormat="1" applyFont="1" applyBorder="1" applyAlignment="1">
      <alignment horizontal="center" vertical="center" wrapText="1"/>
    </xf>
    <xf numFmtId="173" fontId="54" fillId="0" borderId="76" xfId="1" applyNumberFormat="1" applyFont="1" applyBorder="1" applyAlignment="1">
      <alignment horizontal="center" vertical="center" wrapText="1"/>
    </xf>
    <xf numFmtId="0" fontId="0" fillId="0" borderId="1" xfId="0" applyBorder="1"/>
    <xf numFmtId="0" fontId="34" fillId="0" borderId="95" xfId="0" applyFont="1" applyBorder="1" applyAlignment="1">
      <alignment horizontal="center" vertical="center" wrapText="1"/>
    </xf>
    <xf numFmtId="0" fontId="34" fillId="0" borderId="96" xfId="0" applyFont="1" applyBorder="1" applyAlignment="1">
      <alignment horizontal="center" vertical="center" wrapText="1"/>
    </xf>
    <xf numFmtId="0" fontId="34" fillId="0" borderId="97" xfId="0" applyFont="1" applyBorder="1" applyAlignment="1">
      <alignment horizontal="center" vertical="center" wrapText="1"/>
    </xf>
    <xf numFmtId="0" fontId="0" fillId="0" borderId="98" xfId="0" applyBorder="1" applyAlignment="1">
      <alignment vertical="center" wrapText="1"/>
    </xf>
    <xf numFmtId="173" fontId="0" fillId="0" borderId="99" xfId="1" applyNumberFormat="1" applyFont="1" applyBorder="1" applyAlignment="1">
      <alignment horizontal="center" vertical="center" wrapText="1"/>
    </xf>
    <xf numFmtId="173" fontId="54" fillId="0" borderId="99" xfId="1" applyNumberFormat="1" applyFont="1" applyBorder="1" applyAlignment="1">
      <alignment horizontal="center" vertical="center" wrapText="1"/>
    </xf>
    <xf numFmtId="0" fontId="0" fillId="0" borderId="100" xfId="0" applyBorder="1" applyAlignment="1">
      <alignment vertical="center" wrapText="1"/>
    </xf>
    <xf numFmtId="173" fontId="49" fillId="0" borderId="0" xfId="0" applyNumberFormat="1" applyFont="1"/>
    <xf numFmtId="175" fontId="49" fillId="0" borderId="0" xfId="0" applyNumberFormat="1" applyFont="1"/>
    <xf numFmtId="0" fontId="49" fillId="0" borderId="0" xfId="0" applyFont="1"/>
    <xf numFmtId="173" fontId="55" fillId="0" borderId="76" xfId="1" applyNumberFormat="1" applyFont="1" applyBorder="1" applyAlignment="1">
      <alignment horizontal="center" vertical="center" wrapText="1"/>
    </xf>
    <xf numFmtId="173" fontId="55" fillId="0" borderId="99" xfId="1" applyNumberFormat="1" applyFont="1" applyBorder="1" applyAlignment="1">
      <alignment horizontal="center" vertical="center" wrapText="1"/>
    </xf>
    <xf numFmtId="173" fontId="56" fillId="0" borderId="76" xfId="1" applyNumberFormat="1" applyFont="1" applyBorder="1" applyAlignment="1">
      <alignment horizontal="center" vertical="center" wrapText="1"/>
    </xf>
    <xf numFmtId="173" fontId="56" fillId="0" borderId="101" xfId="1" applyNumberFormat="1" applyFont="1" applyBorder="1" applyAlignment="1">
      <alignment horizontal="center" vertical="center" wrapText="1"/>
    </xf>
    <xf numFmtId="166" fontId="55" fillId="0" borderId="101" xfId="2" applyNumberFormat="1" applyFont="1" applyBorder="1" applyAlignment="1">
      <alignment horizontal="center" vertical="center" wrapText="1"/>
    </xf>
    <xf numFmtId="173" fontId="55" fillId="0" borderId="102" xfId="1" applyNumberFormat="1" applyFont="1" applyBorder="1" applyAlignment="1">
      <alignment horizontal="center" vertical="center" wrapText="1"/>
    </xf>
    <xf numFmtId="43" fontId="33" fillId="0" borderId="0" xfId="1" applyFont="1"/>
    <xf numFmtId="0" fontId="52" fillId="0" borderId="63" xfId="0" applyFont="1" applyBorder="1" applyAlignment="1">
      <alignment horizontal="right"/>
    </xf>
    <xf numFmtId="0" fontId="52" fillId="0" borderId="65" xfId="0" applyFont="1" applyBorder="1" applyAlignment="1">
      <alignment horizontal="right"/>
    </xf>
    <xf numFmtId="0" fontId="2" fillId="0" borderId="16" xfId="0" quotePrefix="1" applyFont="1" applyBorder="1" applyAlignment="1">
      <alignment horizontal="left" vertical="center"/>
    </xf>
    <xf numFmtId="0" fontId="29" fillId="26" borderId="4" xfId="0" quotePrefix="1" applyFont="1" applyFill="1" applyBorder="1" applyAlignment="1">
      <alignment horizontal="left" vertical="center"/>
    </xf>
    <xf numFmtId="0" fontId="29" fillId="28" borderId="4" xfId="0" quotePrefix="1" applyFont="1" applyFill="1" applyBorder="1" applyAlignment="1">
      <alignment horizontal="left" vertical="center"/>
    </xf>
    <xf numFmtId="0" fontId="57" fillId="0" borderId="104" xfId="0" applyFont="1" applyBorder="1" applyAlignment="1">
      <alignment horizontal="left" vertical="center" wrapText="1"/>
    </xf>
    <xf numFmtId="0" fontId="2" fillId="0" borderId="104" xfId="0" quotePrefix="1" applyFont="1" applyBorder="1" applyAlignment="1">
      <alignment horizontal="left" vertical="center"/>
    </xf>
    <xf numFmtId="0" fontId="2" fillId="0" borderId="104" xfId="0" applyFont="1" applyBorder="1"/>
    <xf numFmtId="0" fontId="0" fillId="0" borderId="104" xfId="0" applyBorder="1"/>
    <xf numFmtId="0" fontId="2" fillId="4" borderId="104" xfId="0" quotePrefix="1" applyFont="1" applyFill="1" applyBorder="1" applyAlignment="1">
      <alignment horizontal="left" vertical="center"/>
    </xf>
    <xf numFmtId="0" fontId="57" fillId="4" borderId="104" xfId="0" applyFont="1" applyFill="1" applyBorder="1" applyAlignment="1">
      <alignment horizontal="left" vertical="center" wrapText="1"/>
    </xf>
    <xf numFmtId="0" fontId="58" fillId="39" borderId="0" xfId="0" applyFont="1" applyFill="1"/>
    <xf numFmtId="43" fontId="58" fillId="0" borderId="0" xfId="1" applyFont="1"/>
    <xf numFmtId="0" fontId="59" fillId="0" borderId="0" xfId="0" applyFont="1" applyAlignment="1">
      <alignment horizontal="left"/>
    </xf>
    <xf numFmtId="0" fontId="59" fillId="0" borderId="0" xfId="0" applyFont="1"/>
    <xf numFmtId="164" fontId="29" fillId="26" borderId="4" xfId="0" quotePrefix="1" applyNumberFormat="1" applyFont="1" applyFill="1" applyBorder="1" applyAlignment="1">
      <alignment horizontal="center" vertical="center"/>
    </xf>
    <xf numFmtId="164" fontId="2" fillId="36" borderId="13" xfId="0" applyNumberFormat="1" applyFont="1" applyFill="1" applyBorder="1" applyAlignment="1">
      <alignment horizontal="center" vertical="center"/>
    </xf>
    <xf numFmtId="0" fontId="2" fillId="36" borderId="13" xfId="0" applyFont="1" applyFill="1" applyBorder="1" applyAlignment="1">
      <alignment horizontal="left" vertical="center"/>
    </xf>
    <xf numFmtId="0" fontId="2" fillId="36" borderId="13" xfId="0" applyFont="1" applyFill="1" applyBorder="1" applyAlignment="1">
      <alignment horizontal="center" vertical="center"/>
    </xf>
    <xf numFmtId="0" fontId="2" fillId="40" borderId="13" xfId="0" applyFont="1" applyFill="1" applyBorder="1" applyAlignment="1">
      <alignment horizontal="left" vertical="center"/>
    </xf>
    <xf numFmtId="0" fontId="2" fillId="40" borderId="5" xfId="0" quotePrefix="1" applyFont="1" applyFill="1" applyBorder="1" applyAlignment="1">
      <alignment horizontal="center" vertical="center"/>
    </xf>
    <xf numFmtId="0" fontId="35" fillId="41" borderId="13" xfId="0" quotePrefix="1" applyFont="1" applyFill="1" applyBorder="1" applyAlignment="1">
      <alignment horizontal="left" vertical="center"/>
    </xf>
    <xf numFmtId="0" fontId="2" fillId="41" borderId="17" xfId="0" quotePrefix="1" applyFont="1" applyFill="1" applyBorder="1" applyAlignment="1">
      <alignment horizontal="center" vertical="center"/>
    </xf>
    <xf numFmtId="0" fontId="60" fillId="0" borderId="0" xfId="0" applyFont="1" applyAlignment="1">
      <alignment horizontal="left" vertical="top"/>
    </xf>
    <xf numFmtId="0" fontId="60" fillId="0" borderId="0" xfId="0" applyFont="1" applyAlignment="1">
      <alignment horizontal="center" vertical="top"/>
    </xf>
    <xf numFmtId="8" fontId="60" fillId="0" borderId="0" xfId="0" applyNumberFormat="1" applyFont="1" applyAlignment="1">
      <alignment horizontal="right" vertical="top"/>
    </xf>
    <xf numFmtId="0" fontId="61" fillId="0" borderId="0" xfId="0" applyFont="1" applyAlignment="1">
      <alignment horizontal="left" vertical="top"/>
    </xf>
    <xf numFmtId="0" fontId="61" fillId="0" borderId="0" xfId="0" applyFont="1" applyAlignment="1">
      <alignment horizontal="center" vertical="top"/>
    </xf>
    <xf numFmtId="8" fontId="61" fillId="0" borderId="0" xfId="0" applyNumberFormat="1" applyFont="1" applyAlignment="1">
      <alignment horizontal="right" vertical="top"/>
    </xf>
    <xf numFmtId="0" fontId="29" fillId="26" borderId="9" xfId="0" quotePrefix="1" applyFont="1" applyFill="1" applyBorder="1" applyAlignment="1">
      <alignment horizontal="left" vertical="center"/>
    </xf>
    <xf numFmtId="0" fontId="52" fillId="0" borderId="0" xfId="0" applyFont="1" applyAlignment="1">
      <alignment horizontal="center" vertical="top"/>
    </xf>
    <xf numFmtId="0" fontId="52" fillId="42" borderId="0" xfId="0" applyFont="1" applyFill="1" applyAlignment="1">
      <alignment horizontal="center"/>
    </xf>
    <xf numFmtId="9" fontId="20" fillId="0" borderId="4" xfId="2" applyFont="1" applyBorder="1" applyAlignment="1">
      <alignment horizontal="center" vertical="center"/>
    </xf>
    <xf numFmtId="164" fontId="3" fillId="0" borderId="3" xfId="0" applyNumberFormat="1" applyFont="1" applyBorder="1"/>
    <xf numFmtId="164" fontId="11" fillId="0" borderId="3" xfId="0" applyNumberFormat="1" applyFont="1" applyBorder="1"/>
    <xf numFmtId="8" fontId="63" fillId="0" borderId="0" xfId="0" applyNumberFormat="1" applyFont="1" applyAlignment="1">
      <alignment horizontal="right" vertical="top"/>
    </xf>
    <xf numFmtId="43" fontId="0" fillId="0" borderId="0" xfId="0" applyNumberFormat="1"/>
    <xf numFmtId="0" fontId="63" fillId="0" borderId="0" xfId="0" applyFont="1" applyAlignment="1">
      <alignment horizontal="left" vertical="top"/>
    </xf>
    <xf numFmtId="43" fontId="60" fillId="0" borderId="0" xfId="1" applyFont="1" applyAlignment="1">
      <alignment horizontal="right" vertical="top"/>
    </xf>
    <xf numFmtId="17" fontId="60" fillId="0" borderId="0" xfId="0" applyNumberFormat="1" applyFont="1" applyAlignment="1">
      <alignment horizontal="center" vertical="top"/>
    </xf>
    <xf numFmtId="14" fontId="0" fillId="0" borderId="0" xfId="0" applyNumberFormat="1" applyAlignment="1">
      <alignment horizontal="left"/>
    </xf>
    <xf numFmtId="0" fontId="64" fillId="0" borderId="0" xfId="0" applyFont="1"/>
    <xf numFmtId="166" fontId="65" fillId="0" borderId="0" xfId="0" applyNumberFormat="1" applyFont="1"/>
    <xf numFmtId="176" fontId="2" fillId="0" borderId="0" xfId="0" applyNumberFormat="1" applyFont="1"/>
    <xf numFmtId="177" fontId="25" fillId="0" borderId="0" xfId="0" applyNumberFormat="1" applyFont="1"/>
    <xf numFmtId="177" fontId="2" fillId="0" borderId="0" xfId="0" applyNumberFormat="1" applyFont="1"/>
    <xf numFmtId="0" fontId="33" fillId="0" borderId="0" xfId="0" applyFont="1"/>
    <xf numFmtId="0" fontId="26" fillId="0" borderId="0" xfId="0" applyFont="1" applyAlignment="1">
      <alignment horizontal="center"/>
    </xf>
    <xf numFmtId="176" fontId="17" fillId="0" borderId="0" xfId="0" applyNumberFormat="1" applyFont="1"/>
    <xf numFmtId="176" fontId="17" fillId="7" borderId="1" xfId="0" applyNumberFormat="1" applyFont="1" applyFill="1" applyBorder="1" applyAlignment="1">
      <alignment horizontal="left" indent="1"/>
    </xf>
    <xf numFmtId="176" fontId="17" fillId="7" borderId="1" xfId="0" applyNumberFormat="1" applyFont="1" applyFill="1" applyBorder="1"/>
    <xf numFmtId="164" fontId="19" fillId="0" borderId="0" xfId="0" applyNumberFormat="1" applyFont="1" applyAlignment="1">
      <alignment horizontal="center" vertical="center"/>
    </xf>
    <xf numFmtId="165" fontId="66" fillId="0" borderId="0" xfId="0" applyNumberFormat="1" applyFont="1"/>
    <xf numFmtId="0" fontId="31" fillId="0" borderId="0" xfId="0" applyFont="1" applyAlignment="1">
      <alignment horizontal="right"/>
    </xf>
    <xf numFmtId="166" fontId="17" fillId="0" borderId="0" xfId="0" applyNumberFormat="1" applyFont="1"/>
    <xf numFmtId="0" fontId="12" fillId="0" borderId="0" xfId="0" applyFont="1" applyAlignment="1">
      <alignment horizontal="right"/>
    </xf>
    <xf numFmtId="176" fontId="12" fillId="0" borderId="0" xfId="0" applyNumberFormat="1" applyFont="1"/>
    <xf numFmtId="0" fontId="67" fillId="0" borderId="0" xfId="0" applyFont="1" applyAlignment="1">
      <alignment horizontal="right"/>
    </xf>
    <xf numFmtId="16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right"/>
    </xf>
    <xf numFmtId="166" fontId="68" fillId="0" borderId="0" xfId="0" applyNumberFormat="1" applyFont="1"/>
    <xf numFmtId="175" fontId="26" fillId="0" borderId="0" xfId="0" applyNumberFormat="1" applyFont="1"/>
    <xf numFmtId="9" fontId="26" fillId="0" borderId="0" xfId="0" applyNumberFormat="1" applyFont="1" applyAlignment="1">
      <alignment horizontal="center"/>
    </xf>
    <xf numFmtId="9" fontId="33" fillId="0" borderId="0" xfId="0" applyNumberFormat="1" applyFont="1" applyAlignment="1">
      <alignment horizontal="left" indent="2"/>
    </xf>
    <xf numFmtId="9" fontId="0" fillId="0" borderId="0" xfId="2" applyFont="1"/>
    <xf numFmtId="166" fontId="17" fillId="0" borderId="0" xfId="0" applyNumberFormat="1" applyFont="1" applyAlignment="1">
      <alignment horizontal="center"/>
    </xf>
    <xf numFmtId="0" fontId="29" fillId="43" borderId="1" xfId="0" applyFont="1" applyFill="1" applyBorder="1" applyAlignment="1">
      <alignment horizontal="center"/>
    </xf>
    <xf numFmtId="9" fontId="27" fillId="44" borderId="0" xfId="0" applyNumberFormat="1" applyFont="1" applyFill="1" applyAlignment="1">
      <alignment horizontal="center"/>
    </xf>
    <xf numFmtId="176" fontId="29" fillId="45" borderId="1" xfId="0" applyNumberFormat="1" applyFont="1" applyFill="1" applyBorder="1"/>
    <xf numFmtId="164" fontId="29" fillId="45" borderId="1" xfId="0" applyNumberFormat="1" applyFont="1" applyFill="1" applyBorder="1"/>
    <xf numFmtId="9" fontId="27" fillId="45" borderId="0" xfId="0" applyNumberFormat="1" applyFont="1" applyFill="1" applyAlignment="1">
      <alignment horizontal="center"/>
    </xf>
    <xf numFmtId="166" fontId="29" fillId="45" borderId="0" xfId="0" applyNumberFormat="1" applyFont="1" applyFill="1" applyAlignment="1">
      <alignment horizontal="center"/>
    </xf>
    <xf numFmtId="176" fontId="29" fillId="45" borderId="0" xfId="0" applyNumberFormat="1" applyFont="1" applyFill="1"/>
    <xf numFmtId="0" fontId="29" fillId="26" borderId="1" xfId="0" applyFont="1" applyFill="1" applyBorder="1" applyAlignment="1">
      <alignment horizontal="center"/>
    </xf>
    <xf numFmtId="0" fontId="11" fillId="0" borderId="0" xfId="0" applyFont="1"/>
    <xf numFmtId="0" fontId="71" fillId="0" borderId="5" xfId="0" applyFont="1" applyBorder="1" applyAlignment="1">
      <alignment horizontal="left"/>
    </xf>
    <xf numFmtId="0" fontId="71" fillId="0" borderId="0" xfId="0" applyFont="1"/>
    <xf numFmtId="166" fontId="72" fillId="0" borderId="18" xfId="0" applyNumberFormat="1" applyFont="1" applyBorder="1" applyAlignment="1">
      <alignment horizontal="center"/>
    </xf>
    <xf numFmtId="0" fontId="73" fillId="0" borderId="0" xfId="0" applyFont="1"/>
    <xf numFmtId="0" fontId="71" fillId="0" borderId="13" xfId="0" applyFont="1" applyBorder="1" applyAlignment="1">
      <alignment horizontal="left"/>
    </xf>
    <xf numFmtId="0" fontId="71" fillId="0" borderId="15" xfId="0" applyFont="1" applyBorder="1" applyAlignment="1">
      <alignment horizontal="left"/>
    </xf>
    <xf numFmtId="0" fontId="71" fillId="0" borderId="7" xfId="0" applyFont="1" applyBorder="1" applyAlignment="1">
      <alignment horizontal="left"/>
    </xf>
    <xf numFmtId="0" fontId="31" fillId="0" borderId="60" xfId="0" applyFont="1" applyBorder="1" applyAlignment="1">
      <alignment horizontal="center"/>
    </xf>
    <xf numFmtId="166" fontId="17" fillId="0" borderId="60" xfId="0" applyNumberFormat="1" applyFont="1" applyBorder="1" applyAlignment="1">
      <alignment horizontal="center"/>
    </xf>
    <xf numFmtId="0" fontId="74" fillId="0" borderId="0" xfId="0" applyFont="1"/>
    <xf numFmtId="166" fontId="75" fillId="0" borderId="18" xfId="0" applyNumberFormat="1" applyFont="1" applyBorder="1" applyAlignment="1">
      <alignment horizontal="center"/>
    </xf>
    <xf numFmtId="0" fontId="76" fillId="46" borderId="4" xfId="0" applyFont="1" applyFill="1" applyBorder="1" applyAlignment="1">
      <alignment horizontal="center"/>
    </xf>
    <xf numFmtId="0" fontId="76" fillId="47" borderId="4" xfId="0" applyFont="1" applyFill="1" applyBorder="1" applyAlignment="1">
      <alignment horizontal="center"/>
    </xf>
    <xf numFmtId="166" fontId="76" fillId="46" borderId="4" xfId="0" applyNumberFormat="1" applyFont="1" applyFill="1" applyBorder="1" applyAlignment="1">
      <alignment horizontal="center"/>
    </xf>
    <xf numFmtId="166" fontId="15" fillId="0" borderId="3" xfId="0" applyNumberFormat="1" applyFont="1" applyBorder="1"/>
    <xf numFmtId="164" fontId="11" fillId="0" borderId="1" xfId="0" applyNumberFormat="1" applyFont="1" applyBorder="1"/>
    <xf numFmtId="164" fontId="5" fillId="0" borderId="1" xfId="0" applyNumberFormat="1" applyFont="1" applyBorder="1"/>
    <xf numFmtId="164" fontId="78" fillId="38" borderId="0" xfId="0" applyNumberFormat="1" applyFont="1" applyFill="1" applyAlignment="1">
      <alignment horizontal="center" vertical="center"/>
    </xf>
    <xf numFmtId="164" fontId="3" fillId="0" borderId="105" xfId="0" applyNumberFormat="1" applyFont="1" applyBorder="1"/>
    <xf numFmtId="0" fontId="2" fillId="24" borderId="0" xfId="0" applyFont="1" applyFill="1"/>
    <xf numFmtId="0" fontId="0" fillId="24" borderId="0" xfId="0" applyFill="1"/>
    <xf numFmtId="164" fontId="78" fillId="24" borderId="0" xfId="0" applyNumberFormat="1" applyFont="1" applyFill="1" applyAlignment="1">
      <alignment horizontal="center" vertical="center"/>
    </xf>
    <xf numFmtId="164" fontId="7" fillId="24" borderId="0" xfId="0" applyNumberFormat="1" applyFont="1" applyFill="1" applyAlignment="1">
      <alignment horizontal="center" vertical="center"/>
    </xf>
    <xf numFmtId="164" fontId="3" fillId="49" borderId="1" xfId="0" applyNumberFormat="1" applyFont="1" applyFill="1" applyBorder="1"/>
    <xf numFmtId="164" fontId="4" fillId="49" borderId="1" xfId="0" applyNumberFormat="1" applyFont="1" applyFill="1" applyBorder="1"/>
    <xf numFmtId="166" fontId="15" fillId="24" borderId="0" xfId="0" applyNumberFormat="1" applyFont="1" applyFill="1"/>
    <xf numFmtId="166" fontId="15" fillId="24" borderId="3" xfId="0" applyNumberFormat="1" applyFont="1" applyFill="1" applyBorder="1"/>
    <xf numFmtId="0" fontId="3" fillId="0" borderId="0" xfId="0" applyFont="1"/>
    <xf numFmtId="164" fontId="6" fillId="24" borderId="0" xfId="0" applyNumberFormat="1" applyFont="1" applyFill="1"/>
    <xf numFmtId="0" fontId="5" fillId="24" borderId="0" xfId="0" applyFont="1" applyFill="1" applyAlignment="1">
      <alignment horizontal="center"/>
    </xf>
    <xf numFmtId="164" fontId="13" fillId="24" borderId="0" xfId="0" applyNumberFormat="1" applyFont="1" applyFill="1"/>
    <xf numFmtId="164" fontId="10" fillId="24" borderId="0" xfId="0" applyNumberFormat="1" applyFont="1" applyFill="1"/>
    <xf numFmtId="164" fontId="6" fillId="24" borderId="105" xfId="0" applyNumberFormat="1" applyFont="1" applyFill="1" applyBorder="1"/>
    <xf numFmtId="164" fontId="13" fillId="24" borderId="3" xfId="0" applyNumberFormat="1" applyFont="1" applyFill="1" applyBorder="1"/>
    <xf numFmtId="164" fontId="13" fillId="24" borderId="105" xfId="0" applyNumberFormat="1" applyFont="1" applyFill="1" applyBorder="1"/>
    <xf numFmtId="164" fontId="13" fillId="24" borderId="103" xfId="0" applyNumberFormat="1" applyFont="1" applyFill="1" applyBorder="1"/>
    <xf numFmtId="166" fontId="5" fillId="24" borderId="0" xfId="0" applyNumberFormat="1" applyFont="1" applyFill="1" applyAlignment="1">
      <alignment horizontal="center"/>
    </xf>
    <xf numFmtId="166" fontId="6" fillId="24" borderId="0" xfId="0" applyNumberFormat="1" applyFont="1" applyFill="1"/>
    <xf numFmtId="166" fontId="7" fillId="24" borderId="0" xfId="0" applyNumberFormat="1" applyFont="1" applyFill="1" applyAlignment="1">
      <alignment horizontal="center" vertical="center"/>
    </xf>
    <xf numFmtId="166" fontId="10" fillId="24" borderId="0" xfId="0" applyNumberFormat="1" applyFont="1" applyFill="1"/>
    <xf numFmtId="166" fontId="0" fillId="24" borderId="0" xfId="0" applyNumberFormat="1" applyFill="1"/>
    <xf numFmtId="166" fontId="13" fillId="24" borderId="0" xfId="0" applyNumberFormat="1" applyFont="1" applyFill="1"/>
    <xf numFmtId="166" fontId="6" fillId="24" borderId="3" xfId="0" applyNumberFormat="1" applyFont="1" applyFill="1" applyBorder="1"/>
    <xf numFmtId="166" fontId="13" fillId="24" borderId="3" xfId="0" applyNumberFormat="1" applyFont="1" applyFill="1" applyBorder="1"/>
    <xf numFmtId="0" fontId="0" fillId="50" borderId="0" xfId="0" applyFill="1"/>
    <xf numFmtId="0" fontId="2" fillId="36" borderId="92" xfId="0" quotePrefix="1" applyFont="1" applyFill="1" applyBorder="1" applyAlignment="1">
      <alignment horizontal="left" vertical="center"/>
    </xf>
    <xf numFmtId="0" fontId="0" fillId="23" borderId="0" xfId="0" applyFill="1"/>
    <xf numFmtId="43" fontId="58" fillId="23" borderId="0" xfId="1" applyFont="1" applyFill="1"/>
    <xf numFmtId="43" fontId="58" fillId="0" borderId="0" xfId="1" applyFont="1" applyFill="1"/>
    <xf numFmtId="0" fontId="33" fillId="23" borderId="0" xfId="0" applyFont="1" applyFill="1"/>
    <xf numFmtId="0" fontId="2" fillId="0" borderId="92" xfId="0" applyFont="1" applyBorder="1" applyAlignment="1">
      <alignment horizontal="left" vertical="center"/>
    </xf>
    <xf numFmtId="0" fontId="17" fillId="0" borderId="92" xfId="0" applyFont="1" applyBorder="1" applyAlignment="1">
      <alignment horizontal="center" vertical="center"/>
    </xf>
    <xf numFmtId="165" fontId="2" fillId="0" borderId="92" xfId="0" applyNumberFormat="1" applyFont="1" applyBorder="1" applyAlignment="1">
      <alignment horizontal="center" vertical="center"/>
    </xf>
    <xf numFmtId="0" fontId="2" fillId="6" borderId="92" xfId="0" quotePrefix="1" applyFont="1" applyFill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166" fontId="77" fillId="0" borderId="13" xfId="0" applyNumberFormat="1" applyFont="1" applyBorder="1" applyAlignment="1">
      <alignment horizontal="center"/>
    </xf>
    <xf numFmtId="9" fontId="70" fillId="0" borderId="5" xfId="0" applyNumberFormat="1" applyFont="1" applyBorder="1" applyAlignment="1">
      <alignment horizontal="center"/>
    </xf>
    <xf numFmtId="9" fontId="70" fillId="0" borderId="13" xfId="0" applyNumberFormat="1" applyFont="1" applyBorder="1" applyAlignment="1">
      <alignment horizontal="center"/>
    </xf>
    <xf numFmtId="166" fontId="70" fillId="0" borderId="13" xfId="0" applyNumberFormat="1" applyFont="1" applyBorder="1" applyAlignment="1">
      <alignment horizontal="center"/>
    </xf>
    <xf numFmtId="166" fontId="70" fillId="0" borderId="7" xfId="0" applyNumberFormat="1" applyFont="1" applyBorder="1" applyAlignment="1">
      <alignment horizontal="center"/>
    </xf>
    <xf numFmtId="0" fontId="33" fillId="0" borderId="104" xfId="0" applyFont="1" applyBorder="1"/>
    <xf numFmtId="164" fontId="2" fillId="0" borderId="18" xfId="0" applyNumberFormat="1" applyFont="1" applyBorder="1" applyAlignment="1">
      <alignment horizontal="center" vertical="center"/>
    </xf>
    <xf numFmtId="164" fontId="0" fillId="0" borderId="0" xfId="0" applyNumberFormat="1"/>
    <xf numFmtId="166" fontId="29" fillId="44" borderId="0" xfId="0" applyNumberFormat="1" applyFont="1" applyFill="1" applyAlignment="1">
      <alignment horizontal="center"/>
    </xf>
    <xf numFmtId="0" fontId="33" fillId="0" borderId="0" xfId="0" applyFont="1" applyAlignment="1">
      <alignment horizontal="center"/>
    </xf>
    <xf numFmtId="14" fontId="29" fillId="48" borderId="1" xfId="0" applyNumberFormat="1" applyFont="1" applyFill="1" applyBorder="1" applyAlignment="1">
      <alignment vertical="center"/>
    </xf>
    <xf numFmtId="0" fontId="26" fillId="24" borderId="0" xfId="0" applyFont="1" applyFill="1"/>
    <xf numFmtId="164" fontId="29" fillId="45" borderId="1" xfId="0" applyNumberFormat="1" applyFont="1" applyFill="1" applyBorder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76" fontId="29" fillId="45" borderId="1" xfId="0" applyNumberFormat="1" applyFont="1" applyFill="1" applyBorder="1" applyAlignment="1">
      <alignment horizontal="center" vertical="center"/>
    </xf>
    <xf numFmtId="176" fontId="29" fillId="45" borderId="0" xfId="0" applyNumberFormat="1" applyFont="1" applyFill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/>
    </xf>
    <xf numFmtId="166" fontId="65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center"/>
    </xf>
    <xf numFmtId="166" fontId="68" fillId="0" borderId="0" xfId="0" applyNumberFormat="1" applyFont="1" applyAlignment="1">
      <alignment horizontal="center"/>
    </xf>
    <xf numFmtId="166" fontId="29" fillId="44" borderId="1" xfId="0" applyNumberFormat="1" applyFont="1" applyFill="1" applyBorder="1" applyAlignment="1">
      <alignment horizontal="center"/>
    </xf>
    <xf numFmtId="0" fontId="31" fillId="24" borderId="0" xfId="0" applyFont="1" applyFill="1"/>
    <xf numFmtId="0" fontId="12" fillId="24" borderId="0" xfId="0" applyFont="1" applyFill="1" applyAlignment="1">
      <alignment horizontal="right"/>
    </xf>
    <xf numFmtId="0" fontId="67" fillId="24" borderId="0" xfId="0" applyFont="1" applyFill="1" applyAlignment="1">
      <alignment horizontal="right"/>
    </xf>
    <xf numFmtId="0" fontId="26" fillId="24" borderId="0" xfId="0" applyFont="1" applyFill="1" applyAlignment="1">
      <alignment horizontal="right"/>
    </xf>
    <xf numFmtId="0" fontId="64" fillId="24" borderId="0" xfId="0" applyFont="1" applyFill="1"/>
    <xf numFmtId="0" fontId="33" fillId="24" borderId="0" xfId="0" applyFont="1" applyFill="1"/>
    <xf numFmtId="9" fontId="12" fillId="0" borderId="0" xfId="0" applyNumberFormat="1" applyFont="1" applyAlignment="1">
      <alignment horizontal="center"/>
    </xf>
    <xf numFmtId="0" fontId="79" fillId="24" borderId="0" xfId="0" applyFont="1" applyFill="1"/>
    <xf numFmtId="0" fontId="80" fillId="24" borderId="0" xfId="0" applyFont="1" applyFill="1"/>
    <xf numFmtId="9" fontId="67" fillId="0" borderId="0" xfId="0" applyNumberFormat="1" applyFont="1" applyAlignment="1">
      <alignment horizontal="left" indent="2"/>
    </xf>
    <xf numFmtId="164" fontId="62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left" indent="2"/>
    </xf>
    <xf numFmtId="0" fontId="67" fillId="24" borderId="0" xfId="0" applyFont="1" applyFill="1"/>
    <xf numFmtId="166" fontId="67" fillId="0" borderId="0" xfId="0" applyNumberFormat="1" applyFont="1" applyAlignment="1">
      <alignment horizontal="center"/>
    </xf>
    <xf numFmtId="43" fontId="2" fillId="6" borderId="92" xfId="1" applyFont="1" applyFill="1" applyBorder="1" applyAlignment="1">
      <alignment horizontal="left" vertical="center"/>
    </xf>
    <xf numFmtId="164" fontId="2" fillId="6" borderId="13" xfId="0" quotePrefix="1" applyNumberFormat="1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left" vertical="center"/>
    </xf>
    <xf numFmtId="3" fontId="2" fillId="6" borderId="18" xfId="0" quotePrefix="1" applyNumberFormat="1" applyFont="1" applyFill="1" applyBorder="1" applyAlignment="1">
      <alignment horizontal="center" vertical="center"/>
    </xf>
    <xf numFmtId="0" fontId="2" fillId="41" borderId="106" xfId="0" applyFont="1" applyFill="1" applyBorder="1" applyAlignment="1">
      <alignment horizontal="left" vertical="center"/>
    </xf>
    <xf numFmtId="3" fontId="17" fillId="41" borderId="107" xfId="0" applyNumberFormat="1" applyFont="1" applyFill="1" applyBorder="1" applyAlignment="1">
      <alignment horizontal="center" vertical="center"/>
    </xf>
    <xf numFmtId="164" fontId="2" fillId="41" borderId="6" xfId="0" applyNumberFormat="1" applyFont="1" applyFill="1" applyBorder="1" applyAlignment="1">
      <alignment horizontal="center" vertical="center"/>
    </xf>
    <xf numFmtId="164" fontId="2" fillId="41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6" borderId="5" xfId="0" applyFont="1" applyFill="1" applyBorder="1" applyAlignment="1">
      <alignment horizontal="left" vertical="center"/>
    </xf>
    <xf numFmtId="3" fontId="2" fillId="36" borderId="5" xfId="0" quotePrefix="1" applyNumberFormat="1" applyFont="1" applyFill="1" applyBorder="1" applyAlignment="1">
      <alignment horizontal="center" vertical="center"/>
    </xf>
    <xf numFmtId="164" fontId="2" fillId="36" borderId="5" xfId="0" applyNumberFormat="1" applyFont="1" applyFill="1" applyBorder="1" applyAlignment="1">
      <alignment horizontal="center" vertical="center"/>
    </xf>
    <xf numFmtId="0" fontId="1" fillId="41" borderId="108" xfId="0" applyFont="1" applyFill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 vertical="center"/>
    </xf>
    <xf numFmtId="0" fontId="9" fillId="51" borderId="0" xfId="0" applyFont="1" applyFill="1"/>
    <xf numFmtId="0" fontId="9" fillId="51" borderId="0" xfId="0" applyFont="1" applyFill="1" applyAlignment="1">
      <alignment horizontal="right" vertical="center"/>
    </xf>
    <xf numFmtId="164" fontId="81" fillId="51" borderId="0" xfId="0" applyNumberFormat="1" applyFont="1" applyFill="1"/>
    <xf numFmtId="164" fontId="3" fillId="51" borderId="0" xfId="0" applyNumberFormat="1" applyFont="1" applyFill="1" applyAlignment="1">
      <alignment horizontal="right"/>
    </xf>
    <xf numFmtId="166" fontId="33" fillId="0" borderId="0" xfId="0" applyNumberFormat="1" applyFont="1"/>
    <xf numFmtId="166" fontId="33" fillId="0" borderId="0" xfId="2" applyNumberFormat="1" applyFont="1"/>
    <xf numFmtId="166" fontId="4" fillId="22" borderId="0" xfId="0" applyNumberFormat="1" applyFont="1" applyFill="1"/>
    <xf numFmtId="166" fontId="6" fillId="22" borderId="0" xfId="0" applyNumberFormat="1" applyFont="1" applyFill="1"/>
    <xf numFmtId="0" fontId="47" fillId="0" borderId="0" xfId="0" applyFont="1" applyAlignment="1">
      <alignment horizontal="center" wrapText="1"/>
    </xf>
    <xf numFmtId="173" fontId="82" fillId="24" borderId="0" xfId="1" applyNumberFormat="1" applyFont="1" applyFill="1"/>
    <xf numFmtId="164" fontId="47" fillId="3" borderId="1" xfId="0" applyNumberFormat="1" applyFont="1" applyFill="1" applyBorder="1"/>
    <xf numFmtId="164" fontId="6" fillId="24" borderId="1" xfId="0" applyNumberFormat="1" applyFont="1" applyFill="1" applyBorder="1"/>
    <xf numFmtId="164" fontId="13" fillId="24" borderId="1" xfId="0" applyNumberFormat="1" applyFont="1" applyFill="1" applyBorder="1"/>
    <xf numFmtId="0" fontId="47" fillId="48" borderId="0" xfId="0" applyFont="1" applyFill="1" applyAlignment="1">
      <alignment horizontal="center" wrapText="1"/>
    </xf>
    <xf numFmtId="0" fontId="47" fillId="48" borderId="0" xfId="0" applyFont="1" applyFill="1" applyAlignment="1">
      <alignment horizontal="center" vertical="center" wrapText="1"/>
    </xf>
    <xf numFmtId="164" fontId="3" fillId="24" borderId="0" xfId="0" applyNumberFormat="1" applyFont="1" applyFill="1" applyAlignment="1">
      <alignment horizontal="right"/>
    </xf>
    <xf numFmtId="11" fontId="47" fillId="29" borderId="1" xfId="0" applyNumberFormat="1" applyFont="1" applyFill="1" applyBorder="1" applyAlignment="1">
      <alignment horizontal="centerContinuous" vertical="center" wrapText="1"/>
    </xf>
    <xf numFmtId="164" fontId="3" fillId="22" borderId="1" xfId="0" applyNumberFormat="1" applyFont="1" applyFill="1" applyBorder="1"/>
    <xf numFmtId="164" fontId="4" fillId="22" borderId="1" xfId="0" applyNumberFormat="1" applyFont="1" applyFill="1" applyBorder="1"/>
    <xf numFmtId="0" fontId="26" fillId="0" borderId="1" xfId="0" applyFont="1" applyBorder="1"/>
    <xf numFmtId="166" fontId="68" fillId="0" borderId="1" xfId="0" applyNumberFormat="1" applyFont="1" applyBorder="1"/>
    <xf numFmtId="0" fontId="64" fillId="0" borderId="1" xfId="0" applyFont="1" applyBorder="1"/>
    <xf numFmtId="166" fontId="26" fillId="0" borderId="1" xfId="0" applyNumberFormat="1" applyFont="1" applyBorder="1" applyAlignment="1">
      <alignment horizontal="center"/>
    </xf>
    <xf numFmtId="166" fontId="17" fillId="0" borderId="1" xfId="0" applyNumberFormat="1" applyFont="1" applyBorder="1"/>
    <xf numFmtId="166" fontId="33" fillId="0" borderId="0" xfId="2" applyNumberFormat="1" applyFont="1" applyAlignment="1">
      <alignment horizontal="center"/>
    </xf>
    <xf numFmtId="0" fontId="76" fillId="46" borderId="30" xfId="0" applyFont="1" applyFill="1" applyBorder="1" applyAlignment="1">
      <alignment horizontal="center"/>
    </xf>
    <xf numFmtId="14" fontId="29" fillId="26" borderId="1" xfId="0" applyNumberFormat="1" applyFont="1" applyFill="1" applyBorder="1" applyAlignment="1">
      <alignment vertical="center"/>
    </xf>
    <xf numFmtId="164" fontId="11" fillId="24" borderId="0" xfId="0" applyNumberFormat="1" applyFont="1" applyFill="1"/>
    <xf numFmtId="0" fontId="76" fillId="46" borderId="20" xfId="0" applyFont="1" applyFill="1" applyBorder="1" applyAlignment="1">
      <alignment vertical="center" wrapText="1"/>
    </xf>
    <xf numFmtId="0" fontId="76" fillId="47" borderId="20" xfId="0" applyFont="1" applyFill="1" applyBorder="1" applyAlignment="1">
      <alignment horizontal="center" vertical="center" wrapText="1"/>
    </xf>
    <xf numFmtId="4" fontId="0" fillId="0" borderId="0" xfId="0" applyNumberFormat="1"/>
    <xf numFmtId="164" fontId="2" fillId="53" borderId="13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right" vertical="center"/>
    </xf>
    <xf numFmtId="0" fontId="83" fillId="43" borderId="1" xfId="0" applyFont="1" applyFill="1" applyBorder="1" applyAlignment="1">
      <alignment horizontal="center" vertical="center"/>
    </xf>
    <xf numFmtId="0" fontId="33" fillId="24" borderId="0" xfId="0" applyFont="1" applyFill="1" applyAlignment="1">
      <alignment horizontal="center"/>
    </xf>
    <xf numFmtId="0" fontId="29" fillId="52" borderId="1" xfId="0" applyFont="1" applyFill="1" applyBorder="1" applyAlignment="1">
      <alignment vertical="center"/>
    </xf>
    <xf numFmtId="0" fontId="29" fillId="48" borderId="1" xfId="0" applyFont="1" applyFill="1" applyBorder="1"/>
    <xf numFmtId="0" fontId="17" fillId="24" borderId="0" xfId="0" applyFont="1" applyFill="1"/>
    <xf numFmtId="0" fontId="26" fillId="24" borderId="0" xfId="0" applyFont="1" applyFill="1" applyAlignment="1">
      <alignment horizontal="center"/>
    </xf>
    <xf numFmtId="176" fontId="17" fillId="24" borderId="0" xfId="0" applyNumberFormat="1" applyFont="1" applyFill="1"/>
    <xf numFmtId="165" fontId="66" fillId="24" borderId="0" xfId="0" applyNumberFormat="1" applyFont="1" applyFill="1"/>
    <xf numFmtId="0" fontId="2" fillId="24" borderId="0" xfId="0" applyFont="1" applyFill="1" applyAlignment="1">
      <alignment horizontal="center"/>
    </xf>
    <xf numFmtId="0" fontId="29" fillId="48" borderId="1" xfId="0" applyFont="1" applyFill="1" applyBorder="1" applyAlignment="1">
      <alignment horizontal="center" vertical="center"/>
    </xf>
    <xf numFmtId="164" fontId="17" fillId="24" borderId="0" xfId="0" applyNumberFormat="1" applyFont="1" applyFill="1"/>
    <xf numFmtId="9" fontId="29" fillId="49" borderId="0" xfId="0" applyNumberFormat="1" applyFont="1" applyFill="1" applyAlignment="1">
      <alignment horizontal="center"/>
    </xf>
    <xf numFmtId="166" fontId="29" fillId="49" borderId="0" xfId="0" applyNumberFormat="1" applyFont="1" applyFill="1" applyAlignment="1">
      <alignment horizontal="center"/>
    </xf>
    <xf numFmtId="166" fontId="12" fillId="24" borderId="0" xfId="0" applyNumberFormat="1" applyFont="1" applyFill="1" applyAlignment="1">
      <alignment horizontal="center"/>
    </xf>
    <xf numFmtId="166" fontId="29" fillId="24" borderId="0" xfId="0" applyNumberFormat="1" applyFont="1" applyFill="1" applyAlignment="1">
      <alignment horizontal="center"/>
    </xf>
    <xf numFmtId="164" fontId="2" fillId="24" borderId="0" xfId="0" applyNumberFormat="1" applyFont="1" applyFill="1" applyAlignment="1">
      <alignment horizontal="center"/>
    </xf>
    <xf numFmtId="166" fontId="68" fillId="24" borderId="0" xfId="0" applyNumberFormat="1" applyFont="1" applyFill="1" applyAlignment="1">
      <alignment horizontal="center"/>
    </xf>
    <xf numFmtId="164" fontId="62" fillId="24" borderId="0" xfId="0" applyNumberFormat="1" applyFont="1" applyFill="1" applyAlignment="1">
      <alignment horizontal="center"/>
    </xf>
    <xf numFmtId="166" fontId="17" fillId="24" borderId="0" xfId="0" applyNumberFormat="1" applyFont="1" applyFill="1" applyAlignment="1">
      <alignment horizontal="center"/>
    </xf>
    <xf numFmtId="166" fontId="29" fillId="24" borderId="1" xfId="0" applyNumberFormat="1" applyFont="1" applyFill="1" applyBorder="1" applyAlignment="1">
      <alignment horizontal="center"/>
    </xf>
    <xf numFmtId="166" fontId="68" fillId="24" borderId="0" xfId="0" applyNumberFormat="1" applyFont="1" applyFill="1"/>
    <xf numFmtId="166" fontId="17" fillId="24" borderId="0" xfId="0" applyNumberFormat="1" applyFont="1" applyFill="1"/>
    <xf numFmtId="9" fontId="83" fillId="45" borderId="0" xfId="0" applyNumberFormat="1" applyFont="1" applyFill="1" applyAlignment="1">
      <alignment horizontal="center"/>
    </xf>
    <xf numFmtId="0" fontId="83" fillId="45" borderId="1" xfId="0" applyFont="1" applyFill="1" applyBorder="1"/>
    <xf numFmtId="0" fontId="84" fillId="0" borderId="0" xfId="0" applyFont="1" applyAlignment="1">
      <alignment horizontal="left"/>
    </xf>
    <xf numFmtId="0" fontId="83" fillId="45" borderId="1" xfId="0" applyFont="1" applyFill="1" applyBorder="1" applyAlignment="1">
      <alignment horizontal="left"/>
    </xf>
    <xf numFmtId="0" fontId="84" fillId="0" borderId="0" xfId="0" applyFont="1"/>
    <xf numFmtId="0" fontId="83" fillId="45" borderId="0" xfId="0" applyFont="1" applyFill="1"/>
    <xf numFmtId="0" fontId="83" fillId="45" borderId="0" xfId="0" applyFont="1" applyFill="1" applyAlignment="1">
      <alignment horizontal="left"/>
    </xf>
    <xf numFmtId="0" fontId="85" fillId="0" borderId="0" xfId="0" applyFont="1" applyAlignment="1">
      <alignment horizontal="right"/>
    </xf>
    <xf numFmtId="0" fontId="86" fillId="0" borderId="0" xfId="0" applyFont="1" applyAlignment="1">
      <alignment horizontal="right"/>
    </xf>
    <xf numFmtId="0" fontId="87" fillId="0" borderId="0" xfId="0" applyFont="1" applyAlignment="1">
      <alignment horizontal="right"/>
    </xf>
    <xf numFmtId="0" fontId="88" fillId="0" borderId="0" xfId="0" applyFont="1" applyAlignment="1">
      <alignment horizontal="right"/>
    </xf>
    <xf numFmtId="0" fontId="89" fillId="0" borderId="0" xfId="0" applyFont="1"/>
    <xf numFmtId="166" fontId="65" fillId="0" borderId="0" xfId="0" applyNumberFormat="1" applyFont="1" applyAlignment="1">
      <alignment horizontal="center" vertical="center"/>
    </xf>
    <xf numFmtId="9" fontId="65" fillId="0" borderId="0" xfId="0" applyNumberFormat="1" applyFont="1" applyAlignment="1">
      <alignment horizontal="center"/>
    </xf>
    <xf numFmtId="9" fontId="17" fillId="7" borderId="1" xfId="2" applyFont="1" applyFill="1" applyBorder="1" applyAlignment="1">
      <alignment horizontal="center"/>
    </xf>
    <xf numFmtId="9" fontId="17" fillId="0" borderId="0" xfId="0" applyNumberFormat="1" applyFont="1" applyAlignment="1">
      <alignment horizontal="center"/>
    </xf>
    <xf numFmtId="9" fontId="19" fillId="0" borderId="0" xfId="2" applyFont="1" applyAlignment="1">
      <alignment horizontal="center" vertical="center"/>
    </xf>
    <xf numFmtId="0" fontId="11" fillId="24" borderId="0" xfId="0" applyFont="1" applyFill="1"/>
    <xf numFmtId="0" fontId="76" fillId="54" borderId="1" xfId="0" applyFont="1" applyFill="1" applyBorder="1" applyAlignment="1">
      <alignment horizontal="center"/>
    </xf>
    <xf numFmtId="9" fontId="70" fillId="24" borderId="1" xfId="0" applyNumberFormat="1" applyFont="1" applyFill="1" applyBorder="1" applyAlignment="1">
      <alignment horizontal="center"/>
    </xf>
    <xf numFmtId="166" fontId="70" fillId="24" borderId="1" xfId="0" applyNumberFormat="1" applyFont="1" applyFill="1" applyBorder="1" applyAlignment="1">
      <alignment horizontal="center"/>
    </xf>
    <xf numFmtId="166" fontId="17" fillId="24" borderId="1" xfId="0" applyNumberFormat="1" applyFont="1" applyFill="1" applyBorder="1" applyAlignment="1">
      <alignment horizontal="center"/>
    </xf>
    <xf numFmtId="166" fontId="76" fillId="54" borderId="1" xfId="0" applyNumberFormat="1" applyFont="1" applyFill="1" applyBorder="1" applyAlignment="1">
      <alignment horizontal="center"/>
    </xf>
    <xf numFmtId="0" fontId="76" fillId="46" borderId="109" xfId="0" applyFont="1" applyFill="1" applyBorder="1" applyAlignment="1">
      <alignment horizontal="center"/>
    </xf>
    <xf numFmtId="9" fontId="70" fillId="0" borderId="110" xfId="0" applyNumberFormat="1" applyFont="1" applyBorder="1" applyAlignment="1">
      <alignment horizontal="center"/>
    </xf>
    <xf numFmtId="9" fontId="70" fillId="0" borderId="111" xfId="0" applyNumberFormat="1" applyFont="1" applyBorder="1" applyAlignment="1">
      <alignment horizontal="center"/>
    </xf>
    <xf numFmtId="166" fontId="70" fillId="0" borderId="111" xfId="0" applyNumberFormat="1" applyFont="1" applyBorder="1" applyAlignment="1">
      <alignment horizontal="center"/>
    </xf>
    <xf numFmtId="166" fontId="76" fillId="46" borderId="109" xfId="0" applyNumberFormat="1" applyFont="1" applyFill="1" applyBorder="1" applyAlignment="1">
      <alignment horizontal="center"/>
    </xf>
    <xf numFmtId="166" fontId="70" fillId="0" borderId="112" xfId="0" applyNumberFormat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166" fontId="17" fillId="0" borderId="94" xfId="0" applyNumberFormat="1" applyFont="1" applyBorder="1" applyAlignment="1">
      <alignment horizontal="center"/>
    </xf>
    <xf numFmtId="166" fontId="17" fillId="0" borderId="31" xfId="0" applyNumberFormat="1" applyFont="1" applyBorder="1" applyAlignment="1">
      <alignment horizontal="center"/>
    </xf>
    <xf numFmtId="0" fontId="52" fillId="0" borderId="0" xfId="0" applyFont="1" applyAlignment="1">
      <alignment horizontal="center"/>
    </xf>
    <xf numFmtId="166" fontId="52" fillId="0" borderId="0" xfId="2" applyNumberFormat="1" applyFont="1" applyAlignment="1">
      <alignment horizontal="center"/>
    </xf>
    <xf numFmtId="166" fontId="77" fillId="0" borderId="7" xfId="0" applyNumberFormat="1" applyFont="1" applyBorder="1" applyAlignment="1">
      <alignment horizontal="center"/>
    </xf>
    <xf numFmtId="0" fontId="35" fillId="53" borderId="13" xfId="0" applyFont="1" applyFill="1" applyBorder="1" applyAlignment="1">
      <alignment horizontal="left" vertical="center"/>
    </xf>
    <xf numFmtId="0" fontId="90" fillId="30" borderId="0" xfId="0" applyFont="1" applyFill="1" applyAlignment="1">
      <alignment horizontal="center"/>
    </xf>
    <xf numFmtId="43" fontId="90" fillId="30" borderId="0" xfId="1" applyFont="1" applyFill="1"/>
    <xf numFmtId="164" fontId="29" fillId="25" borderId="104" xfId="0" quotePrefix="1" applyNumberFormat="1" applyFont="1" applyFill="1" applyBorder="1" applyAlignment="1">
      <alignment horizontal="center" vertical="center"/>
    </xf>
    <xf numFmtId="0" fontId="0" fillId="30" borderId="104" xfId="0" applyFill="1" applyBorder="1"/>
    <xf numFmtId="43" fontId="52" fillId="0" borderId="104" xfId="0" applyNumberFormat="1" applyFont="1" applyBorder="1" applyAlignment="1">
      <alignment horizontal="center"/>
    </xf>
    <xf numFmtId="0" fontId="52" fillId="0" borderId="104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53" borderId="13" xfId="0" quotePrefix="1" applyFont="1" applyFill="1" applyBorder="1" applyAlignment="1">
      <alignment horizontal="left" vertical="center"/>
    </xf>
    <xf numFmtId="0" fontId="2" fillId="53" borderId="13" xfId="0" applyFont="1" applyFill="1" applyBorder="1" applyAlignment="1">
      <alignment horizontal="left" vertical="center"/>
    </xf>
    <xf numFmtId="166" fontId="70" fillId="0" borderId="110" xfId="0" applyNumberFormat="1" applyFont="1" applyBorder="1" applyAlignment="1">
      <alignment horizontal="right" indent="2"/>
    </xf>
    <xf numFmtId="166" fontId="70" fillId="0" borderId="111" xfId="0" applyNumberFormat="1" applyFont="1" applyBorder="1" applyAlignment="1">
      <alignment horizontal="right" indent="2"/>
    </xf>
    <xf numFmtId="166" fontId="70" fillId="0" borderId="7" xfId="0" applyNumberFormat="1" applyFont="1" applyBorder="1" applyAlignment="1">
      <alignment horizontal="right" indent="2"/>
    </xf>
    <xf numFmtId="166" fontId="70" fillId="0" borderId="5" xfId="0" applyNumberFormat="1" applyFont="1" applyBorder="1" applyAlignment="1">
      <alignment horizontal="right" indent="2"/>
    </xf>
    <xf numFmtId="166" fontId="70" fillId="0" borderId="13" xfId="0" applyNumberFormat="1" applyFont="1" applyBorder="1" applyAlignment="1">
      <alignment horizontal="right" indent="2"/>
    </xf>
    <xf numFmtId="0" fontId="2" fillId="35" borderId="18" xfId="0" quotePrefix="1" applyFont="1" applyFill="1" applyBorder="1" applyAlignment="1">
      <alignment horizontal="left" vertical="center"/>
    </xf>
    <xf numFmtId="164" fontId="2" fillId="6" borderId="18" xfId="0" applyNumberFormat="1" applyFont="1" applyFill="1" applyBorder="1" applyAlignment="1">
      <alignment horizontal="center" vertical="center"/>
    </xf>
    <xf numFmtId="10" fontId="2" fillId="0" borderId="18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9" fontId="70" fillId="0" borderId="106" xfId="0" applyNumberFormat="1" applyFont="1" applyBorder="1" applyAlignment="1">
      <alignment horizontal="center"/>
    </xf>
    <xf numFmtId="9" fontId="70" fillId="0" borderId="113" xfId="0" applyNumberFormat="1" applyFont="1" applyBorder="1" applyAlignment="1">
      <alignment horizontal="center"/>
    </xf>
    <xf numFmtId="166" fontId="70" fillId="0" borderId="113" xfId="0" applyNumberFormat="1" applyFont="1" applyBorder="1" applyAlignment="1">
      <alignment horizontal="center"/>
    </xf>
    <xf numFmtId="166" fontId="76" fillId="46" borderId="30" xfId="0" applyNumberFormat="1" applyFont="1" applyFill="1" applyBorder="1" applyAlignment="1">
      <alignment horizontal="center"/>
    </xf>
    <xf numFmtId="0" fontId="76" fillId="47" borderId="30" xfId="0" applyFont="1" applyFill="1" applyBorder="1"/>
    <xf numFmtId="0" fontId="76" fillId="47" borderId="31" xfId="0" applyFont="1" applyFill="1" applyBorder="1"/>
    <xf numFmtId="166" fontId="70" fillId="0" borderId="114" xfId="0" applyNumberFormat="1" applyFont="1" applyBorder="1" applyAlignment="1">
      <alignment horizontal="center"/>
    </xf>
    <xf numFmtId="9" fontId="70" fillId="0" borderId="6" xfId="0" applyNumberFormat="1" applyFont="1" applyBorder="1" applyAlignment="1">
      <alignment horizontal="center"/>
    </xf>
    <xf numFmtId="9" fontId="70" fillId="0" borderId="49" xfId="0" applyNumberFormat="1" applyFont="1" applyBorder="1" applyAlignment="1">
      <alignment horizontal="center"/>
    </xf>
    <xf numFmtId="166" fontId="70" fillId="0" borderId="49" xfId="0" applyNumberFormat="1" applyFont="1" applyBorder="1" applyAlignment="1">
      <alignment horizontal="center"/>
    </xf>
    <xf numFmtId="166" fontId="70" fillId="0" borderId="116" xfId="0" applyNumberFormat="1" applyFont="1" applyBorder="1" applyAlignment="1">
      <alignment horizontal="center"/>
    </xf>
    <xf numFmtId="0" fontId="76" fillId="54" borderId="115" xfId="0" applyFont="1" applyFill="1" applyBorder="1" applyAlignment="1">
      <alignment horizontal="center"/>
    </xf>
    <xf numFmtId="9" fontId="70" fillId="24" borderId="115" xfId="0" applyNumberFormat="1" applyFont="1" applyFill="1" applyBorder="1" applyAlignment="1">
      <alignment horizontal="center"/>
    </xf>
    <xf numFmtId="166" fontId="70" fillId="24" borderId="115" xfId="0" applyNumberFormat="1" applyFont="1" applyFill="1" applyBorder="1" applyAlignment="1">
      <alignment horizontal="center"/>
    </xf>
    <xf numFmtId="166" fontId="17" fillId="24" borderId="115" xfId="0" applyNumberFormat="1" applyFont="1" applyFill="1" applyBorder="1" applyAlignment="1">
      <alignment horizontal="center"/>
    </xf>
    <xf numFmtId="166" fontId="76" fillId="54" borderId="115" xfId="0" applyNumberFormat="1" applyFont="1" applyFill="1" applyBorder="1" applyAlignment="1">
      <alignment horizontal="center"/>
    </xf>
    <xf numFmtId="178" fontId="58" fillId="0" borderId="0" xfId="0" applyNumberFormat="1" applyFont="1"/>
    <xf numFmtId="0" fontId="52" fillId="0" borderId="0" xfId="0" applyFont="1"/>
    <xf numFmtId="0" fontId="2" fillId="53" borderId="13" xfId="0" applyFont="1" applyFill="1" applyBorder="1" applyAlignment="1">
      <alignment horizontal="center" vertical="center"/>
    </xf>
    <xf numFmtId="14" fontId="0" fillId="0" borderId="0" xfId="0" applyNumberFormat="1"/>
    <xf numFmtId="164" fontId="2" fillId="0" borderId="62" xfId="0" applyNumberFormat="1" applyFont="1" applyBorder="1" applyAlignment="1">
      <alignment horizontal="center" vertical="center"/>
    </xf>
    <xf numFmtId="164" fontId="46" fillId="26" borderId="20" xfId="0" applyNumberFormat="1" applyFont="1" applyFill="1" applyBorder="1" applyAlignment="1">
      <alignment horizontal="center" vertical="center"/>
    </xf>
    <xf numFmtId="164" fontId="29" fillId="26" borderId="30" xfId="0" quotePrefix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17" fillId="0" borderId="107" xfId="0" applyNumberFormat="1" applyFont="1" applyBorder="1" applyAlignment="1">
      <alignment horizontal="center" vertical="center"/>
    </xf>
    <xf numFmtId="3" fontId="17" fillId="0" borderId="114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46" fillId="26" borderId="30" xfId="0" applyNumberFormat="1" applyFont="1" applyFill="1" applyBorder="1" applyAlignment="1">
      <alignment horizontal="center" vertical="center"/>
    </xf>
    <xf numFmtId="164" fontId="2" fillId="41" borderId="106" xfId="0" applyNumberFormat="1" applyFont="1" applyFill="1" applyBorder="1" applyAlignment="1">
      <alignment horizontal="center" vertical="center"/>
    </xf>
    <xf numFmtId="164" fontId="2" fillId="6" borderId="117" xfId="0" applyNumberFormat="1" applyFont="1" applyFill="1" applyBorder="1" applyAlignment="1">
      <alignment horizontal="center" vertical="center"/>
    </xf>
    <xf numFmtId="164" fontId="2" fillId="6" borderId="113" xfId="0" applyNumberFormat="1" applyFont="1" applyFill="1" applyBorder="1" applyAlignment="1">
      <alignment horizontal="center" vertical="center"/>
    </xf>
    <xf numFmtId="0" fontId="2" fillId="6" borderId="118" xfId="0" applyFont="1" applyFill="1" applyBorder="1" applyAlignment="1">
      <alignment horizontal="left" vertical="center"/>
    </xf>
    <xf numFmtId="164" fontId="2" fillId="36" borderId="113" xfId="0" applyNumberFormat="1" applyFont="1" applyFill="1" applyBorder="1" applyAlignment="1">
      <alignment horizontal="center" vertical="center"/>
    </xf>
    <xf numFmtId="164" fontId="2" fillId="6" borderId="114" xfId="0" applyNumberFormat="1" applyFont="1" applyFill="1" applyBorder="1" applyAlignment="1">
      <alignment horizontal="center" vertical="center"/>
    </xf>
    <xf numFmtId="9" fontId="20" fillId="0" borderId="30" xfId="2" applyFont="1" applyBorder="1" applyAlignment="1">
      <alignment horizontal="center" vertical="center"/>
    </xf>
    <xf numFmtId="164" fontId="20" fillId="0" borderId="30" xfId="0" applyNumberFormat="1" applyFont="1" applyBorder="1" applyAlignment="1">
      <alignment horizontal="center" vertical="center"/>
    </xf>
    <xf numFmtId="164" fontId="2" fillId="53" borderId="113" xfId="0" applyNumberFormat="1" applyFont="1" applyFill="1" applyBorder="1" applyAlignment="1">
      <alignment horizontal="center" vertical="center"/>
    </xf>
    <xf numFmtId="164" fontId="46" fillId="28" borderId="30" xfId="0" applyNumberFormat="1" applyFont="1" applyFill="1" applyBorder="1" applyAlignment="1">
      <alignment horizontal="center" vertical="center"/>
    </xf>
    <xf numFmtId="164" fontId="2" fillId="6" borderId="57" xfId="0" applyNumberFormat="1" applyFont="1" applyFill="1" applyBorder="1" applyAlignment="1">
      <alignment horizontal="center" vertical="center"/>
    </xf>
    <xf numFmtId="165" fontId="2" fillId="0" borderId="114" xfId="0" applyNumberFormat="1" applyFont="1" applyBorder="1" applyAlignment="1">
      <alignment horizontal="center" vertical="center"/>
    </xf>
    <xf numFmtId="164" fontId="2" fillId="6" borderId="118" xfId="0" applyNumberFormat="1" applyFont="1" applyFill="1" applyBorder="1" applyAlignment="1">
      <alignment horizontal="center" vertical="center"/>
    </xf>
    <xf numFmtId="164" fontId="29" fillId="26" borderId="62" xfId="0" quotePrefix="1" applyNumberFormat="1" applyFont="1" applyFill="1" applyBorder="1" applyAlignment="1">
      <alignment horizontal="center" vertical="center"/>
    </xf>
    <xf numFmtId="3" fontId="17" fillId="0" borderId="116" xfId="0" applyNumberFormat="1" applyFont="1" applyBorder="1" applyAlignment="1">
      <alignment horizontal="center" vertical="center"/>
    </xf>
    <xf numFmtId="164" fontId="46" fillId="26" borderId="62" xfId="0" applyNumberFormat="1" applyFont="1" applyFill="1" applyBorder="1" applyAlignment="1">
      <alignment horizontal="center" vertical="center"/>
    </xf>
    <xf numFmtId="164" fontId="2" fillId="6" borderId="35" xfId="0" applyNumberFormat="1" applyFont="1" applyFill="1" applyBorder="1" applyAlignment="1">
      <alignment horizontal="center" vertical="center"/>
    </xf>
    <xf numFmtId="164" fontId="2" fillId="6" borderId="49" xfId="0" applyNumberFormat="1" applyFont="1" applyFill="1" applyBorder="1" applyAlignment="1">
      <alignment horizontal="center" vertical="center"/>
    </xf>
    <xf numFmtId="0" fontId="2" fillId="6" borderId="119" xfId="0" applyFont="1" applyFill="1" applyBorder="1" applyAlignment="1">
      <alignment horizontal="left" vertical="center"/>
    </xf>
    <xf numFmtId="164" fontId="2" fillId="36" borderId="49" xfId="0" applyNumberFormat="1" applyFont="1" applyFill="1" applyBorder="1" applyAlignment="1">
      <alignment horizontal="center" vertical="center"/>
    </xf>
    <xf numFmtId="164" fontId="2" fillId="6" borderId="116" xfId="0" applyNumberFormat="1" applyFont="1" applyFill="1" applyBorder="1" applyAlignment="1">
      <alignment horizontal="center" vertical="center"/>
    </xf>
    <xf numFmtId="9" fontId="20" fillId="0" borderId="62" xfId="2" applyFont="1" applyBorder="1" applyAlignment="1">
      <alignment horizontal="center" vertical="center"/>
    </xf>
    <xf numFmtId="164" fontId="20" fillId="0" borderId="62" xfId="0" applyNumberFormat="1" applyFont="1" applyBorder="1" applyAlignment="1">
      <alignment horizontal="center" vertical="center"/>
    </xf>
    <xf numFmtId="164" fontId="2" fillId="53" borderId="49" xfId="0" applyNumberFormat="1" applyFont="1" applyFill="1" applyBorder="1" applyAlignment="1">
      <alignment horizontal="center" vertical="center"/>
    </xf>
    <xf numFmtId="164" fontId="46" fillId="28" borderId="62" xfId="0" applyNumberFormat="1" applyFont="1" applyFill="1" applyBorder="1" applyAlignment="1">
      <alignment horizontal="center" vertical="center"/>
    </xf>
    <xf numFmtId="164" fontId="2" fillId="6" borderId="58" xfId="0" applyNumberFormat="1" applyFont="1" applyFill="1" applyBorder="1" applyAlignment="1">
      <alignment horizontal="center" vertical="center"/>
    </xf>
    <xf numFmtId="165" fontId="2" fillId="0" borderId="116" xfId="0" applyNumberFormat="1" applyFont="1" applyBorder="1" applyAlignment="1">
      <alignment horizontal="center" vertical="center"/>
    </xf>
    <xf numFmtId="164" fontId="2" fillId="6" borderId="119" xfId="0" applyNumberFormat="1" applyFont="1" applyFill="1" applyBorder="1" applyAlignment="1">
      <alignment horizontal="center" vertical="center"/>
    </xf>
    <xf numFmtId="164" fontId="29" fillId="0" borderId="18" xfId="0" quotePrefix="1" applyNumberFormat="1" applyFont="1" applyBorder="1" applyAlignment="1">
      <alignment horizontal="center" vertical="center"/>
    </xf>
    <xf numFmtId="3" fontId="17" fillId="0" borderId="18" xfId="0" applyNumberFormat="1" applyFont="1" applyBorder="1" applyAlignment="1">
      <alignment horizontal="center" vertical="center"/>
    </xf>
    <xf numFmtId="164" fontId="46" fillId="0" borderId="18" xfId="0" applyNumberFormat="1" applyFont="1" applyBorder="1" applyAlignment="1">
      <alignment horizontal="center" vertical="center"/>
    </xf>
    <xf numFmtId="9" fontId="20" fillId="0" borderId="18" xfId="2" applyFont="1" applyFill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0" fontId="0" fillId="0" borderId="18" xfId="0" applyBorder="1"/>
    <xf numFmtId="165" fontId="2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46" fillId="0" borderId="1" xfId="0" applyNumberFormat="1" applyFont="1" applyBorder="1" applyAlignment="1">
      <alignment horizontal="center" vertical="center"/>
    </xf>
    <xf numFmtId="164" fontId="2" fillId="23" borderId="18" xfId="0" applyNumberFormat="1" applyFont="1" applyFill="1" applyBorder="1" applyAlignment="1">
      <alignment horizontal="center" vertical="center"/>
    </xf>
    <xf numFmtId="164" fontId="93" fillId="26" borderId="4" xfId="0" quotePrefix="1" applyNumberFormat="1" applyFont="1" applyFill="1" applyBorder="1" applyAlignment="1">
      <alignment horizontal="center" vertical="center"/>
    </xf>
    <xf numFmtId="166" fontId="21" fillId="6" borderId="17" xfId="2" applyNumberFormat="1" applyFont="1" applyFill="1" applyBorder="1" applyAlignment="1">
      <alignment vertical="center"/>
    </xf>
    <xf numFmtId="10" fontId="2" fillId="6" borderId="92" xfId="2" applyNumberFormat="1" applyFont="1" applyFill="1" applyBorder="1" applyAlignment="1">
      <alignment horizontal="right" vertical="center"/>
    </xf>
    <xf numFmtId="166" fontId="21" fillId="53" borderId="17" xfId="2" applyNumberFormat="1" applyFont="1" applyFill="1" applyBorder="1" applyAlignment="1">
      <alignment vertical="center"/>
    </xf>
    <xf numFmtId="166" fontId="46" fillId="28" borderId="4" xfId="2" applyNumberFormat="1" applyFont="1" applyFill="1" applyBorder="1" applyAlignment="1">
      <alignment horizontal="center" vertical="center"/>
    </xf>
    <xf numFmtId="166" fontId="46" fillId="26" borderId="4" xfId="2" applyNumberFormat="1" applyFont="1" applyFill="1" applyBorder="1" applyAlignment="1">
      <alignment horizontal="center" vertical="center"/>
    </xf>
    <xf numFmtId="0" fontId="76" fillId="55" borderId="30" xfId="0" applyFont="1" applyFill="1" applyBorder="1" applyAlignment="1">
      <alignment horizontal="center"/>
    </xf>
    <xf numFmtId="0" fontId="76" fillId="55" borderId="4" xfId="0" applyFont="1" applyFill="1" applyBorder="1" applyAlignment="1">
      <alignment horizontal="center"/>
    </xf>
    <xf numFmtId="166" fontId="76" fillId="55" borderId="4" xfId="0" applyNumberFormat="1" applyFont="1" applyFill="1" applyBorder="1" applyAlignment="1">
      <alignment horizontal="center"/>
    </xf>
    <xf numFmtId="0" fontId="76" fillId="55" borderId="31" xfId="0" applyFont="1" applyFill="1" applyBorder="1" applyAlignment="1">
      <alignment horizontal="center"/>
    </xf>
    <xf numFmtId="0" fontId="76" fillId="55" borderId="62" xfId="0" applyFont="1" applyFill="1" applyBorder="1" applyAlignment="1">
      <alignment horizontal="center"/>
    </xf>
    <xf numFmtId="166" fontId="76" fillId="55" borderId="62" xfId="0" applyNumberFormat="1" applyFont="1" applyFill="1" applyBorder="1" applyAlignment="1">
      <alignment horizontal="center"/>
    </xf>
    <xf numFmtId="0" fontId="76" fillId="56" borderId="4" xfId="0" applyFont="1" applyFill="1" applyBorder="1" applyAlignment="1">
      <alignment horizontal="center"/>
    </xf>
    <xf numFmtId="0" fontId="76" fillId="56" borderId="20" xfId="0" applyFont="1" applyFill="1" applyBorder="1" applyAlignment="1">
      <alignment horizontal="center" vertical="center" wrapText="1"/>
    </xf>
    <xf numFmtId="166" fontId="77" fillId="0" borderId="13" xfId="0" applyNumberFormat="1" applyFont="1" applyBorder="1" applyAlignment="1">
      <alignment horizontal="right" indent="1"/>
    </xf>
    <xf numFmtId="166" fontId="77" fillId="0" borderId="92" xfId="0" applyNumberFormat="1" applyFont="1" applyBorder="1" applyAlignment="1">
      <alignment horizontal="right" indent="1"/>
    </xf>
    <xf numFmtId="166" fontId="76" fillId="56" borderId="4" xfId="0" applyNumberFormat="1" applyFont="1" applyFill="1" applyBorder="1" applyAlignment="1">
      <alignment horizontal="center"/>
    </xf>
    <xf numFmtId="0" fontId="52" fillId="0" borderId="0" xfId="0" applyFont="1" applyAlignment="1">
      <alignment vertical="center"/>
    </xf>
    <xf numFmtId="43" fontId="90" fillId="24" borderId="0" xfId="1" applyFont="1" applyFill="1"/>
    <xf numFmtId="0" fontId="90" fillId="24" borderId="0" xfId="0" applyFont="1" applyFill="1" applyAlignment="1">
      <alignment vertical="center"/>
    </xf>
    <xf numFmtId="0" fontId="0" fillId="0" borderId="0" xfId="0" applyAlignment="1">
      <alignment horizontal="left" indent="2"/>
    </xf>
    <xf numFmtId="173" fontId="76" fillId="56" borderId="4" xfId="1" applyNumberFormat="1" applyFont="1" applyFill="1" applyBorder="1" applyAlignment="1">
      <alignment horizontal="center"/>
    </xf>
    <xf numFmtId="173" fontId="76" fillId="46" borderId="4" xfId="1" applyNumberFormat="1" applyFont="1" applyFill="1" applyBorder="1" applyAlignment="1">
      <alignment horizontal="center"/>
    </xf>
    <xf numFmtId="0" fontId="76" fillId="46" borderId="9" xfId="0" applyFont="1" applyFill="1" applyBorder="1"/>
    <xf numFmtId="0" fontId="76" fillId="46" borderId="9" xfId="0" applyFont="1" applyFill="1" applyBorder="1" applyAlignment="1">
      <alignment horizontal="left"/>
    </xf>
    <xf numFmtId="0" fontId="0" fillId="0" borderId="57" xfId="0" applyBorder="1"/>
    <xf numFmtId="0" fontId="69" fillId="55" borderId="1" xfId="0" applyFont="1" applyFill="1" applyBorder="1"/>
    <xf numFmtId="0" fontId="28" fillId="38" borderId="1" xfId="0" applyFont="1" applyFill="1" applyBorder="1"/>
    <xf numFmtId="0" fontId="0" fillId="0" borderId="0" xfId="0" pivotButton="1"/>
    <xf numFmtId="10" fontId="46" fillId="26" borderId="19" xfId="0" applyNumberFormat="1" applyFont="1" applyFill="1" applyBorder="1" applyAlignment="1">
      <alignment horizontal="center" vertical="center"/>
    </xf>
    <xf numFmtId="0" fontId="48" fillId="29" borderId="8" xfId="0" applyFont="1" applyFill="1" applyBorder="1"/>
    <xf numFmtId="0" fontId="1" fillId="0" borderId="0" xfId="0" quotePrefix="1" applyFont="1" applyAlignment="1">
      <alignment horizontal="center" vertical="center"/>
    </xf>
    <xf numFmtId="0" fontId="29" fillId="26" borderId="1" xfId="0" applyFont="1" applyFill="1" applyBorder="1" applyAlignment="1">
      <alignment horizontal="center"/>
    </xf>
    <xf numFmtId="0" fontId="83" fillId="52" borderId="1" xfId="0" applyFont="1" applyFill="1" applyBorder="1" applyAlignment="1">
      <alignment horizontal="center" vertical="center"/>
    </xf>
    <xf numFmtId="0" fontId="29" fillId="52" borderId="1" xfId="0" applyFont="1" applyFill="1" applyBorder="1" applyAlignment="1">
      <alignment horizontal="center" vertical="center"/>
    </xf>
    <xf numFmtId="11" fontId="47" fillId="26" borderId="1" xfId="0" applyNumberFormat="1" applyFont="1" applyFill="1" applyBorder="1" applyAlignment="1">
      <alignment horizontal="center" vertical="center" wrapText="1"/>
    </xf>
    <xf numFmtId="0" fontId="47" fillId="26" borderId="1" xfId="0" applyFont="1" applyFill="1" applyBorder="1" applyAlignment="1">
      <alignment horizontal="center" vertical="center" wrapText="1"/>
    </xf>
    <xf numFmtId="0" fontId="47" fillId="26" borderId="0" xfId="0" applyFont="1" applyFill="1" applyAlignment="1">
      <alignment horizontal="center" vertical="center" wrapText="1"/>
    </xf>
    <xf numFmtId="164" fontId="47" fillId="26" borderId="1" xfId="0" applyNumberFormat="1" applyFont="1" applyFill="1" applyBorder="1" applyAlignment="1">
      <alignment horizontal="center" vertical="center" wrapText="1"/>
    </xf>
    <xf numFmtId="0" fontId="90" fillId="30" borderId="0" xfId="0" applyFont="1" applyFill="1" applyAlignment="1">
      <alignment horizontal="center"/>
    </xf>
    <xf numFmtId="0" fontId="29" fillId="31" borderId="104" xfId="0" quotePrefix="1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28" fillId="0" borderId="34" xfId="0" applyFont="1" applyBorder="1"/>
    <xf numFmtId="169" fontId="29" fillId="17" borderId="33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7" fillId="9" borderId="33" xfId="0" applyFont="1" applyFill="1" applyBorder="1" applyAlignment="1">
      <alignment horizontal="center" vertical="center"/>
    </xf>
    <xf numFmtId="173" fontId="34" fillId="0" borderId="81" xfId="1" applyNumberFormat="1" applyFont="1" applyBorder="1" applyAlignment="1">
      <alignment horizontal="center" vertical="center" wrapText="1"/>
    </xf>
    <xf numFmtId="173" fontId="34" fillId="0" borderId="82" xfId="1" applyNumberFormat="1" applyFont="1" applyBorder="1" applyAlignment="1">
      <alignment horizontal="center" vertical="center" wrapText="1"/>
    </xf>
    <xf numFmtId="0" fontId="36" fillId="21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0" fontId="37" fillId="22" borderId="67" xfId="0" applyFont="1" applyFill="1" applyBorder="1" applyAlignment="1">
      <alignment horizontal="center" vertical="center"/>
    </xf>
    <xf numFmtId="0" fontId="37" fillId="22" borderId="70" xfId="0" applyFont="1" applyFill="1" applyBorder="1" applyAlignment="1">
      <alignment horizontal="center" vertical="center"/>
    </xf>
    <xf numFmtId="0" fontId="37" fillId="22" borderId="71" xfId="0" applyFont="1" applyFill="1" applyBorder="1" applyAlignment="1">
      <alignment horizontal="center" vertical="center"/>
    </xf>
    <xf numFmtId="0" fontId="42" fillId="22" borderId="0" xfId="0" applyFont="1" applyFill="1" applyAlignment="1">
      <alignment horizontal="center" vertical="center" wrapText="1"/>
    </xf>
    <xf numFmtId="0" fontId="42" fillId="22" borderId="0" xfId="0" applyFont="1" applyFill="1" applyAlignment="1">
      <alignment horizontal="center" vertical="center"/>
    </xf>
    <xf numFmtId="0" fontId="37" fillId="22" borderId="70" xfId="0" applyFont="1" applyFill="1" applyBorder="1" applyAlignment="1">
      <alignment horizontal="center"/>
    </xf>
    <xf numFmtId="0" fontId="37" fillId="22" borderId="71" xfId="0" applyFont="1" applyFill="1" applyBorder="1" applyAlignment="1">
      <alignment horizontal="center"/>
    </xf>
    <xf numFmtId="0" fontId="37" fillId="22" borderId="68" xfId="0" applyFont="1" applyFill="1" applyBorder="1" applyAlignment="1">
      <alignment horizontal="center"/>
    </xf>
    <xf numFmtId="0" fontId="37" fillId="22" borderId="94" xfId="0" applyFont="1" applyFill="1" applyBorder="1" applyAlignment="1">
      <alignment horizontal="center"/>
    </xf>
    <xf numFmtId="0" fontId="37" fillId="22" borderId="69" xfId="0" applyFont="1" applyFill="1" applyBorder="1" applyAlignment="1">
      <alignment horizontal="center"/>
    </xf>
    <xf numFmtId="0" fontId="52" fillId="0" borderId="103" xfId="0" applyFont="1" applyBorder="1" applyAlignment="1">
      <alignment horizontal="left"/>
    </xf>
    <xf numFmtId="0" fontId="52" fillId="0" borderId="64" xfId="0" applyFont="1" applyBorder="1" applyAlignment="1">
      <alignment horizontal="left"/>
    </xf>
    <xf numFmtId="0" fontId="52" fillId="0" borderId="3" xfId="0" applyFont="1" applyBorder="1" applyAlignment="1">
      <alignment horizontal="left"/>
    </xf>
    <xf numFmtId="0" fontId="52" fillId="0" borderId="66" xfId="0" applyFont="1" applyBorder="1" applyAlignment="1">
      <alignment horizontal="left"/>
    </xf>
    <xf numFmtId="0" fontId="37" fillId="22" borderId="83" xfId="0" applyFont="1" applyFill="1" applyBorder="1" applyAlignment="1">
      <alignment horizontal="center"/>
    </xf>
    <xf numFmtId="0" fontId="37" fillId="22" borderId="84" xfId="0" applyFont="1" applyFill="1" applyBorder="1" applyAlignment="1">
      <alignment horizontal="center"/>
    </xf>
    <xf numFmtId="0" fontId="37" fillId="22" borderId="85" xfId="0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94" fillId="39" borderId="0" xfId="0" applyFont="1" applyFill="1"/>
  </cellXfs>
  <cellStyles count="3">
    <cellStyle name="Normal" xfId="0" builtinId="0"/>
    <cellStyle name="Porcentagem" xfId="2" builtinId="5"/>
    <cellStyle name="Vírgula" xfId="1" builtinId="3"/>
  </cellStyles>
  <dxfs count="22">
    <dxf>
      <font>
        <b/>
        <i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34925</xdr:rowOff>
    </xdr:from>
    <xdr:to>
      <xdr:col>1</xdr:col>
      <xdr:colOff>597683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4748A3-CC4F-42D0-A3C1-F3C29BE8A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34925"/>
          <a:ext cx="559583" cy="422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19050</xdr:rowOff>
    </xdr:from>
    <xdr:to>
      <xdr:col>1</xdr:col>
      <xdr:colOff>683408</xdr:colOff>
      <xdr:row>2</xdr:row>
      <xdr:rowOff>111125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260FA1-85FB-4065-8B50-7855E880F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9050"/>
          <a:ext cx="559583" cy="41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0</xdr:rowOff>
    </xdr:from>
    <xdr:to>
      <xdr:col>1</xdr:col>
      <xdr:colOff>1551647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55AE4A-4A5D-40AB-9675-2630FC474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0"/>
          <a:ext cx="1059522" cy="790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0</xdr:rowOff>
    </xdr:from>
    <xdr:to>
      <xdr:col>1</xdr:col>
      <xdr:colOff>1551647</xdr:colOff>
      <xdr:row>2</xdr:row>
      <xdr:rowOff>331391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10DD74-EEAB-4692-A5C8-256666256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0"/>
          <a:ext cx="1056347" cy="787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64</xdr:row>
      <xdr:rowOff>95250</xdr:rowOff>
    </xdr:from>
    <xdr:to>
      <xdr:col>12</xdr:col>
      <xdr:colOff>514350</xdr:colOff>
      <xdr:row>69</xdr:row>
      <xdr:rowOff>104775</xdr:rowOff>
    </xdr:to>
    <xdr:sp macro="" textlink="">
      <xdr:nvSpPr>
        <xdr:cNvPr id="9" name="Seta para a Direita 1">
          <a:extLst>
            <a:ext uri="{FF2B5EF4-FFF2-40B4-BE49-F238E27FC236}">
              <a16:creationId xmlns:a16="http://schemas.microsoft.com/office/drawing/2014/main" id="{C623F0E3-87DC-E433-2467-53AE294E6B91}"/>
            </a:ext>
          </a:extLst>
        </xdr:cNvPr>
        <xdr:cNvSpPr/>
      </xdr:nvSpPr>
      <xdr:spPr>
        <a:xfrm>
          <a:off x="400050" y="11782425"/>
          <a:ext cx="9782175" cy="1019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Rede%20MDNA/MDNA%20-%20Controladoria%20-%20Financeiro/CONTROLADORIA/DEMOSTRA&#199;&#195;O%20DE%20RESULTADO/03-%20MAR&#199;O/BASE_BD%20X%20REAL%20MAR_03%20MDNA.xlsx" TargetMode="External"/><Relationship Id="rId2" Type="http://schemas.openxmlformats.org/officeDocument/2006/relationships/externalLinkPath" Target="https://meeteatsp.sharepoint.com/sites/RedeMeet/Documentos%20Compartilhados/Rede%20Administra&#231;&#227;o/Rede%20MDNA/MDNA%20-%20Controladoria%20-%20Financeiro/CONTROLADORIA/DEMOSTRA&#199;&#195;O%20DE%20RESULTADO/03-%20MAR&#199;O/BASE_BD%20X%20REAL%20MAR_03%20MDNA.xlsx" TargetMode="External"/><Relationship Id="rId1" Type="http://schemas.openxmlformats.org/officeDocument/2006/relationships/externalLinkPath" Target="/sites/RedeMeet/Documentos%20Compartilhados/Rede%20Administra&#231;&#227;o/Rede%20MDNA/MDNA%20-%20Controladoria%20-%20Financeiro/CONTROLADORIA/DEMOSTRA&#199;&#195;O%20DE%20RESULTADO/03-%20MAR&#199;O/BASE_BD%20X%20REAL%20MAR_03%20MDN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eteatsp-my.sharepoint.com/personal/johnny_meeteat_com_br/Documents/Documentos/Controladoria/Demostra&#231;&#227;o%20de%20Resultado/Modelo-%20APRESENTA&#199;&#195;O%20(1).xlsx" TargetMode="External"/><Relationship Id="rId1" Type="http://schemas.openxmlformats.org/officeDocument/2006/relationships/externalLinkPath" Target="https://meeteatsp-my.sharepoint.com/personal/johnny_meeteat_com_br/Documents/Documentos/Controladoria/Demostra&#231;&#227;o%20de%20Resultado/Modelo-%20APRESENTA&#199;&#195;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1 Base Realizado"/>
      <sheetName val="02 Budget x Real %"/>
      <sheetName val="02-Res M"/>
      <sheetName val="03- BD x RE 2026"/>
      <sheetName val="04 -Base Orçado 2026"/>
      <sheetName val="Prestadores de Serviço PJ"/>
      <sheetName val="B. Despesa"/>
      <sheetName val="Planilha5"/>
      <sheetName val="B.Receita"/>
      <sheetName val="Base Folha"/>
      <sheetName val="Serv"/>
      <sheetName val="Base Gorjeta"/>
      <sheetName val="METRICS"/>
      <sheetName val="Planilha6"/>
      <sheetName val="Inventário"/>
      <sheetName val="METRICS MDNA"/>
      <sheetName val="TRANSF. ESTOQUE FEV "/>
      <sheetName val="SALDO INICIAL DEZEMBRO"/>
      <sheetName val="Planilha3"/>
      <sheetName val="Planilha3 (2)"/>
      <sheetName val="METRICS BD"/>
      <sheetName val="RAZÃO"/>
      <sheetName val="INVESTIMENTO"/>
      <sheetName val="Planilha1"/>
      <sheetName val="Base Faturamento"/>
    </sheetNames>
    <sheetDataSet>
      <sheetData sheetId="0"/>
      <sheetData sheetId="1"/>
      <sheetData sheetId="2">
        <row r="15">
          <cell r="B15" t="str">
            <v>Receita Líquida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JANDEZ24"/>
      <sheetName val="Base24"/>
      <sheetName val="1 DRE"/>
      <sheetName val="2 DRE  "/>
      <sheetName val="3 1 Res M"/>
      <sheetName val="4 1 Res YTD"/>
      <sheetName val="3 Res M"/>
      <sheetName val="4 Res YTD"/>
      <sheetName val="5 INDIC"/>
      <sheetName val="5 1 INDIC"/>
      <sheetName val="6 Base"/>
      <sheetName val="8 2 BD22"/>
      <sheetName val="8 BD21"/>
      <sheetName val="8 1 BD24"/>
      <sheetName val="9 1 DRE R23"/>
    </sheetNames>
    <sheetDataSet>
      <sheetData sheetId="0"/>
      <sheetData sheetId="1"/>
      <sheetData sheetId="2"/>
      <sheetData sheetId="3">
        <row r="27">
          <cell r="A27" t="str">
            <v>CUSTOS/DESPESAS</v>
          </cell>
        </row>
        <row r="52">
          <cell r="A52" t="str">
            <v>DESPESAS ADMINISTRATIVAS</v>
          </cell>
        </row>
        <row r="70">
          <cell r="A70" t="str">
            <v>Margem líquida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8">
          <cell r="P68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hnny" id="{0059BA2D-3B3C-4879-88BC-590F0699C4F8}" userId="S::Johnny@meeteat.com.br::84d6a148-d94d-469c-9d90-250f7917bf3f" providerId="AD"/>
  <person displayName="Alexandre  Itner" id="{968C9DC9-65E3-464F-A2AB-5A460C3C6526}" userId="S::alexandreitner@meeteat.com.br::05a02f88-f402-43a3-92f2-4f9dfcdd888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63.551713310182" createdVersion="8" refreshedVersion="8" minRefreshableVersion="3" recordCount="42" xr:uid="{B7166A1E-D0B7-4037-B72E-6B7964DADB12}">
  <cacheSource type="worksheet">
    <worksheetSource ref="A1:C43" sheet="Planilha4"/>
  </cacheSource>
  <cacheFields count="3">
    <cacheField name="MÊS PAGTO" numFmtId="0">
      <sharedItems count="4">
        <s v="janeiro 2026"/>
        <s v="fevereiro 2026"/>
        <s v="março 2026"/>
        <s v="abril 2026"/>
      </sharedItems>
    </cacheField>
    <cacheField name="Nome do fornecedor/cliente" numFmtId="0">
      <sharedItems count="14">
        <s v="WILTON FERREIRA DA SILVA"/>
        <s v="ANDERSON DO SANTOS SOARES"/>
        <s v="CLOVIS DA SILVA SANTOS"/>
        <s v="JAILSON J DA SILVA SERVICOS"/>
        <s v="REINALDO VICENTE DA SILVA PINTENHO"/>
        <s v="BRUNO BATTISTEL ACESSORIA GASTRONOMICA LTDA"/>
        <s v="MACIEL JOSE SILVA"/>
        <s v="JOSE ANDRE CAVALCANTE"/>
        <s v="CESAR DE OLIVEIRA GUIMARAES NETO"/>
        <s v="FELIPPE SANTOS DE ALMEIDA"/>
        <s v="TATIANE FEITOSA DE SOUSA"/>
        <s v="JULIANA FARIAS DE MELO"/>
        <s v="BRAZA &amp; MAR"/>
        <s v="SERVICOS OPERACIONAL REF AO MES DE FEV/2026 -  ALEX MARCONDE CARLOS DA SILVA FILHO" u="1"/>
      </sharedItems>
    </cacheField>
    <cacheField name="Valor na Categoria 1" numFmtId="43">
      <sharedItems containsSemiMixedTypes="0" containsString="0" containsNumber="1" minValue="-15000" maxValue="-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63.569400578701" createdVersion="8" refreshedVersion="8" minRefreshableVersion="3" recordCount="25" xr:uid="{30A60472-ED25-43E2-A3A9-A8FDCDC5C026}">
  <cacheSource type="worksheet">
    <worksheetSource ref="A1:C26" sheet="Planilha5"/>
  </cacheSource>
  <cacheFields count="3">
    <cacheField name="MÊS PAGTO" numFmtId="0">
      <sharedItems containsBlank="1" count="5">
        <s v="janeiro 2026"/>
        <s v="fevereiro 2026"/>
        <s v="março 2026"/>
        <s v="abril 2026"/>
        <m u="1"/>
      </sharedItems>
    </cacheField>
    <cacheField name="Nome do fornecedor/cliente" numFmtId="0">
      <sharedItems containsBlank="1" count="10">
        <s v="CARLOS CAVALCANTE"/>
        <s v="BETINHO RODRIGUES"/>
        <s v="CRISLANE SOARES"/>
        <s v="NANTES CONSULTORIA EMPRESARIAL LTDA"/>
        <s v="JOHNNY MATOS BORGES"/>
        <s v="DIANA SANTOS PORTO QUERIDO"/>
        <s v="KARINE CORREA"/>
        <s v="KARINE" u="1"/>
        <m u="1"/>
        <s v="ANA PAULA MARTINS" u="1"/>
      </sharedItems>
    </cacheField>
    <cacheField name="Valor na Categoria 1" numFmtId="43">
      <sharedItems containsSemiMixedTypes="0" containsString="0" containsNumber="1" minValue="-16000" maxValue="-3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-6400"/>
  </r>
  <r>
    <x v="0"/>
    <x v="1"/>
    <n v="-5250"/>
  </r>
  <r>
    <x v="0"/>
    <x v="0"/>
    <n v="-7200"/>
  </r>
  <r>
    <x v="0"/>
    <x v="2"/>
    <n v="-8250"/>
  </r>
  <r>
    <x v="0"/>
    <x v="3"/>
    <n v="-15000"/>
  </r>
  <r>
    <x v="0"/>
    <x v="4"/>
    <n v="-9250"/>
  </r>
  <r>
    <x v="0"/>
    <x v="5"/>
    <n v="-8250"/>
  </r>
  <r>
    <x v="0"/>
    <x v="6"/>
    <n v="-6250"/>
  </r>
  <r>
    <x v="0"/>
    <x v="7"/>
    <n v="-7000"/>
  </r>
  <r>
    <x v="0"/>
    <x v="8"/>
    <n v="-10000"/>
  </r>
  <r>
    <x v="0"/>
    <x v="9"/>
    <n v="-8500"/>
  </r>
  <r>
    <x v="1"/>
    <x v="2"/>
    <n v="-8250"/>
  </r>
  <r>
    <x v="1"/>
    <x v="3"/>
    <n v="-15000"/>
  </r>
  <r>
    <x v="1"/>
    <x v="4"/>
    <n v="-9250"/>
  </r>
  <r>
    <x v="1"/>
    <x v="5"/>
    <n v="-8250"/>
  </r>
  <r>
    <x v="1"/>
    <x v="6"/>
    <n v="-6250"/>
  </r>
  <r>
    <x v="1"/>
    <x v="10"/>
    <n v="-4400"/>
  </r>
  <r>
    <x v="1"/>
    <x v="7"/>
    <n v="-7000"/>
  </r>
  <r>
    <x v="1"/>
    <x v="8"/>
    <n v="-10000"/>
  </r>
  <r>
    <x v="1"/>
    <x v="9"/>
    <n v="-8500"/>
  </r>
  <r>
    <x v="2"/>
    <x v="11"/>
    <n v="-2000"/>
  </r>
  <r>
    <x v="2"/>
    <x v="9"/>
    <n v="-8500"/>
  </r>
  <r>
    <x v="2"/>
    <x v="10"/>
    <n v="-4400"/>
  </r>
  <r>
    <x v="2"/>
    <x v="7"/>
    <n v="-7000"/>
  </r>
  <r>
    <x v="2"/>
    <x v="4"/>
    <n v="-9250"/>
  </r>
  <r>
    <x v="2"/>
    <x v="8"/>
    <n v="-10000"/>
  </r>
  <r>
    <x v="2"/>
    <x v="2"/>
    <n v="-8250"/>
  </r>
  <r>
    <x v="2"/>
    <x v="5"/>
    <n v="-8250"/>
  </r>
  <r>
    <x v="2"/>
    <x v="3"/>
    <n v="-15000"/>
  </r>
  <r>
    <x v="2"/>
    <x v="6"/>
    <n v="-6250"/>
  </r>
  <r>
    <x v="3"/>
    <x v="4"/>
    <n v="-4500"/>
  </r>
  <r>
    <x v="3"/>
    <x v="3"/>
    <n v="-15000"/>
  </r>
  <r>
    <x v="3"/>
    <x v="4"/>
    <n v="-5500"/>
  </r>
  <r>
    <x v="3"/>
    <x v="12"/>
    <n v="-8000"/>
  </r>
  <r>
    <x v="3"/>
    <x v="11"/>
    <n v="-2000"/>
  </r>
  <r>
    <x v="3"/>
    <x v="10"/>
    <n v="-4400"/>
  </r>
  <r>
    <x v="3"/>
    <x v="8"/>
    <n v="-10000"/>
  </r>
  <r>
    <x v="3"/>
    <x v="6"/>
    <n v="-6250"/>
  </r>
  <r>
    <x v="3"/>
    <x v="7"/>
    <n v="-7000"/>
  </r>
  <r>
    <x v="3"/>
    <x v="9"/>
    <n v="-8500"/>
  </r>
  <r>
    <x v="3"/>
    <x v="2"/>
    <n v="-8250"/>
  </r>
  <r>
    <x v="3"/>
    <x v="5"/>
    <n v="-6133.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-9000"/>
  </r>
  <r>
    <x v="0"/>
    <x v="1"/>
    <n v="-16000"/>
  </r>
  <r>
    <x v="0"/>
    <x v="2"/>
    <n v="-5750"/>
  </r>
  <r>
    <x v="0"/>
    <x v="3"/>
    <n v="-13000"/>
  </r>
  <r>
    <x v="0"/>
    <x v="4"/>
    <n v="-8000"/>
  </r>
  <r>
    <x v="0"/>
    <x v="5"/>
    <n v="-5750"/>
  </r>
  <r>
    <x v="0"/>
    <x v="6"/>
    <n v="-8750"/>
  </r>
  <r>
    <x v="0"/>
    <x v="6"/>
    <n v="-3250"/>
  </r>
  <r>
    <x v="1"/>
    <x v="1"/>
    <n v="-16000"/>
  </r>
  <r>
    <x v="1"/>
    <x v="2"/>
    <n v="-3641.66"/>
  </r>
  <r>
    <x v="1"/>
    <x v="3"/>
    <n v="-13000"/>
  </r>
  <r>
    <x v="1"/>
    <x v="4"/>
    <n v="-8000"/>
  </r>
  <r>
    <x v="1"/>
    <x v="5"/>
    <n v="-5750"/>
  </r>
  <r>
    <x v="1"/>
    <x v="6"/>
    <n v="-8750"/>
  </r>
  <r>
    <x v="2"/>
    <x v="0"/>
    <n v="-12000"/>
  </r>
  <r>
    <x v="2"/>
    <x v="1"/>
    <n v="-16000"/>
  </r>
  <r>
    <x v="2"/>
    <x v="3"/>
    <n v="-13000"/>
  </r>
  <r>
    <x v="2"/>
    <x v="4"/>
    <n v="-8000"/>
  </r>
  <r>
    <x v="2"/>
    <x v="5"/>
    <n v="-5750"/>
  </r>
  <r>
    <x v="2"/>
    <x v="6"/>
    <n v="-12000"/>
  </r>
  <r>
    <x v="3"/>
    <x v="1"/>
    <n v="-16000"/>
  </r>
  <r>
    <x v="3"/>
    <x v="6"/>
    <n v="-12000"/>
  </r>
  <r>
    <x v="3"/>
    <x v="5"/>
    <n v="-5750"/>
  </r>
  <r>
    <x v="3"/>
    <x v="4"/>
    <n v="-10000"/>
  </r>
  <r>
    <x v="3"/>
    <x v="3"/>
    <n v="-1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9A4CC-C3E5-48E5-9121-2B1FF267F5CF}" name="Tabela dinâmica2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J10" firstHeaderRow="1" firstDataRow="2" firstDataCol="1"/>
  <pivotFields count="3">
    <pivotField axis="axisCol" showAll="0">
      <items count="6">
        <item x="0"/>
        <item x="1"/>
        <item x="2"/>
        <item m="1" x="4"/>
        <item x="3"/>
        <item t="default"/>
      </items>
    </pivotField>
    <pivotField axis="axisRow" showAll="0">
      <items count="11">
        <item m="1" x="9"/>
        <item x="1"/>
        <item x="0"/>
        <item x="2"/>
        <item x="5"/>
        <item x="4"/>
        <item m="1" x="7"/>
        <item x="6"/>
        <item x="3"/>
        <item m="1" x="8"/>
        <item t="default"/>
      </items>
    </pivotField>
    <pivotField dataField="1" numFmtId="43"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Fields count="1">
    <field x="0"/>
  </colFields>
  <colItems count="5">
    <i>
      <x/>
    </i>
    <i>
      <x v="1"/>
    </i>
    <i>
      <x v="2"/>
    </i>
    <i>
      <x v="4"/>
    </i>
    <i t="grand">
      <x/>
    </i>
  </colItems>
  <dataFields count="1">
    <dataField name="Soma de Valor na Categoria 1" fld="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6CFD0-4486-4DE5-9DCE-1E74DA34182A}" name="Tabela dinâmica1" cacheId="1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E1:I16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5">
        <item x="1"/>
        <item x="12"/>
        <item x="5"/>
        <item x="8"/>
        <item x="2"/>
        <item x="9"/>
        <item x="3"/>
        <item x="7"/>
        <item x="11"/>
        <item x="6"/>
        <item x="4"/>
        <item m="1" x="13"/>
        <item x="10"/>
        <item x="0"/>
        <item t="default"/>
      </items>
    </pivotField>
    <pivotField dataField="1" numFmtId="43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oma de Valor na Categoria 1" fld="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2" dT="2026-03-06T19:09:30.97" personId="{968C9DC9-65E3-464F-A2AB-5A460C3C6526}" id="{42851D8A-E242-4234-86E0-FAD4C893A2D2}">
    <text>24k Piso 10
12k Mão de Obra Terceiros</text>
  </threadedComment>
  <threadedComment ref="A56" dT="2026-01-15T00:44:11.78" personId="{0059BA2D-3B3C-4879-88BC-590F0699C4F8}" id="{0474AEF5-16D2-4017-8935-44AEF448BB56}">
    <text xml:space="preserve">Despesas de Vendas, Gerais e Administrativas </text>
  </threadedComment>
  <threadedComment ref="E58" dT="2026-03-04T22:31:58.91" personId="{0059BA2D-3B3C-4879-88BC-590F0699C4F8}" id="{A0875436-89A1-4137-8C48-CC0ED5DE1992}">
    <text>23K GUIGA E LEO NÃO PREVISTO
22K INFLUENCER
5K MIDIA MADONNA
50K TOTAL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pro.contaazul.com/" TargetMode="External"/><Relationship Id="rId1" Type="http://schemas.openxmlformats.org/officeDocument/2006/relationships/hyperlink" Target="https://pro.contaazul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pro.contaazul.com/" TargetMode="Externa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2399-4752-4543-9C17-68EAC656B8A8}">
  <sheetPr>
    <tabColor theme="4"/>
  </sheetPr>
  <dimension ref="A1:W27"/>
  <sheetViews>
    <sheetView showGridLines="0" zoomScaleNormal="100" workbookViewId="0">
      <selection activeCell="W20" sqref="W20"/>
    </sheetView>
  </sheetViews>
  <sheetFormatPr defaultColWidth="12.5703125" defaultRowHeight="15" customHeight="1"/>
  <cols>
    <col min="1" max="1" width="4.140625" style="518" customWidth="1"/>
    <col min="2" max="2" width="30.140625" customWidth="1"/>
    <col min="3" max="3" width="0.42578125" customWidth="1"/>
    <col min="4" max="4" width="12.42578125" customWidth="1"/>
    <col min="5" max="5" width="10.7109375" bestFit="1" customWidth="1"/>
    <col min="6" max="6" width="0.42578125" style="567" customWidth="1"/>
    <col min="7" max="8" width="10.7109375" customWidth="1"/>
    <col min="9" max="9" width="0.42578125" style="567" customWidth="1"/>
    <col min="10" max="10" width="10.7109375" customWidth="1"/>
    <col min="11" max="11" width="11.42578125" customWidth="1"/>
    <col min="12" max="12" width="1.28515625" customWidth="1"/>
    <col min="13" max="13" width="11.42578125" customWidth="1"/>
    <col min="14" max="14" width="12.85546875" customWidth="1"/>
    <col min="15" max="15" width="0.7109375" customWidth="1"/>
    <col min="16" max="16" width="10.140625" hidden="1" customWidth="1"/>
    <col min="17" max="17" width="0.5703125" hidden="1" customWidth="1"/>
    <col min="18" max="18" width="14.42578125" hidden="1" customWidth="1"/>
    <col min="19" max="19" width="12.85546875" hidden="1" customWidth="1"/>
    <col min="20" max="20" width="10.85546875" customWidth="1"/>
    <col min="21" max="21" width="1.28515625" customWidth="1"/>
    <col min="22" max="22" width="10.7109375" customWidth="1"/>
    <col min="23" max="23" width="11.42578125" customWidth="1"/>
    <col min="24" max="32" width="8.5703125" customWidth="1"/>
  </cols>
  <sheetData>
    <row r="1" spans="2:23" s="518" customFormat="1" ht="12.75">
      <c r="B1" s="221"/>
      <c r="C1" s="221"/>
      <c r="D1" s="221"/>
      <c r="E1" s="221"/>
      <c r="F1" s="692"/>
      <c r="G1" s="221"/>
      <c r="H1" s="221"/>
      <c r="I1" s="692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</row>
    <row r="2" spans="2:23" s="518" customFormat="1" ht="12.75">
      <c r="B2" s="221"/>
      <c r="C2" s="221"/>
      <c r="D2" s="221"/>
      <c r="E2" s="221"/>
      <c r="F2" s="692"/>
      <c r="G2" s="221"/>
      <c r="H2" s="221"/>
      <c r="I2" s="692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</row>
    <row r="3" spans="2:23" s="518" customFormat="1" ht="11.1" customHeight="1">
      <c r="B3" s="163"/>
      <c r="C3" s="163"/>
      <c r="D3" s="163"/>
      <c r="E3" s="163"/>
      <c r="F3" s="613"/>
      <c r="G3" s="163"/>
      <c r="H3" s="163"/>
      <c r="I3" s="61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</row>
    <row r="4" spans="2:23" ht="12.75">
      <c r="B4" s="863" t="s">
        <v>1309</v>
      </c>
      <c r="C4" s="863"/>
      <c r="D4" s="863"/>
      <c r="E4" s="863"/>
      <c r="F4" s="863"/>
      <c r="G4" s="863"/>
      <c r="H4" s="863"/>
      <c r="I4" s="863"/>
      <c r="J4" s="863"/>
      <c r="K4" s="863"/>
      <c r="L4" s="863"/>
      <c r="M4" s="863"/>
      <c r="N4" s="863"/>
      <c r="O4" s="863"/>
      <c r="P4" s="863"/>
      <c r="Q4" s="863"/>
      <c r="R4" s="863"/>
      <c r="S4" s="863"/>
      <c r="T4" s="863"/>
      <c r="U4" s="863"/>
      <c r="V4" s="863"/>
      <c r="W4" s="863"/>
    </row>
    <row r="5" spans="2:23" ht="3.95" customHeight="1">
      <c r="B5" s="857"/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</row>
    <row r="6" spans="2:23" ht="3.6" customHeight="1">
      <c r="B6" s="546"/>
      <c r="C6" s="546"/>
      <c r="D6" s="546"/>
      <c r="E6" s="546"/>
      <c r="F6" s="727"/>
      <c r="G6" s="546"/>
      <c r="H6" s="546"/>
      <c r="I6" s="727"/>
      <c r="J6" s="546"/>
      <c r="K6" s="546"/>
      <c r="L6" s="848"/>
      <c r="M6" s="546"/>
      <c r="N6" s="546"/>
      <c r="O6" s="546"/>
      <c r="P6" s="546"/>
      <c r="Q6" s="546"/>
      <c r="R6" s="546"/>
      <c r="S6" s="546"/>
      <c r="T6" s="546"/>
      <c r="U6" s="848"/>
      <c r="V6" s="546"/>
      <c r="W6" s="546"/>
    </row>
    <row r="7" spans="2:23" ht="12.75">
      <c r="B7" s="682"/>
      <c r="C7" s="1"/>
      <c r="D7" s="837" t="s">
        <v>1754</v>
      </c>
      <c r="E7" s="733" t="s">
        <v>1753</v>
      </c>
      <c r="F7" s="728"/>
      <c r="G7" s="837" t="s">
        <v>1754</v>
      </c>
      <c r="H7" s="679" t="s">
        <v>1753</v>
      </c>
      <c r="I7" s="775"/>
      <c r="J7" s="840" t="s">
        <v>1754</v>
      </c>
      <c r="K7" s="733" t="s">
        <v>1753</v>
      </c>
      <c r="L7" s="848"/>
      <c r="M7" s="844" t="s">
        <v>2622</v>
      </c>
      <c r="N7" s="683" t="s">
        <v>2230</v>
      </c>
      <c r="O7" s="1"/>
      <c r="P7" s="683" t="s">
        <v>1319</v>
      </c>
      <c r="Q7" s="1"/>
      <c r="R7" s="768" t="s">
        <v>1312</v>
      </c>
      <c r="S7" s="769"/>
      <c r="T7" s="683" t="s">
        <v>2623</v>
      </c>
      <c r="U7" s="848"/>
      <c r="V7" s="837" t="s">
        <v>1754</v>
      </c>
      <c r="W7" s="733" t="s">
        <v>1753</v>
      </c>
    </row>
    <row r="8" spans="2:23" ht="12.75">
      <c r="B8" s="682" t="s">
        <v>1310</v>
      </c>
      <c r="C8" s="1"/>
      <c r="D8" s="838" t="s">
        <v>1757</v>
      </c>
      <c r="E8" s="733" t="s">
        <v>1758</v>
      </c>
      <c r="F8" s="728"/>
      <c r="G8" s="838" t="s">
        <v>1766</v>
      </c>
      <c r="H8" s="679" t="s">
        <v>1767</v>
      </c>
      <c r="I8" s="775"/>
      <c r="J8" s="841" t="s">
        <v>2209</v>
      </c>
      <c r="K8" s="733" t="s">
        <v>2210</v>
      </c>
      <c r="L8" s="848"/>
      <c r="M8" s="843" t="s">
        <v>2621</v>
      </c>
      <c r="N8" s="558" t="s">
        <v>2211</v>
      </c>
      <c r="O8" s="234"/>
      <c r="P8" s="558" t="s">
        <v>1768</v>
      </c>
      <c r="Q8" s="1"/>
      <c r="R8" s="559" t="s">
        <v>1769</v>
      </c>
      <c r="S8" s="559" t="s">
        <v>1770</v>
      </c>
      <c r="T8" s="559" t="str">
        <f>N8</f>
        <v>JAN/MAR</v>
      </c>
      <c r="U8" s="848"/>
      <c r="V8" s="838" t="s">
        <v>2630</v>
      </c>
      <c r="W8" s="733" t="s">
        <v>2631</v>
      </c>
    </row>
    <row r="9" spans="2:23" ht="12.75">
      <c r="B9" s="547" t="s">
        <v>26</v>
      </c>
      <c r="C9" s="548"/>
      <c r="D9" s="603">
        <f>-'03- BD x RE 2026'!BH28</f>
        <v>0.31999999999999995</v>
      </c>
      <c r="E9" s="734">
        <f>-'03- BD x RE 2026'!BI28</f>
        <v>0.44878234325797289</v>
      </c>
      <c r="F9" s="729"/>
      <c r="G9" s="603">
        <f>-'03- BD x RE 2026'!BJ28</f>
        <v>0.32</v>
      </c>
      <c r="H9" s="764">
        <f>-'03- BD x RE 2026'!BK28</f>
        <v>0.34998340259589883</v>
      </c>
      <c r="I9" s="776"/>
      <c r="J9" s="771">
        <f>-'03- BD x RE 2026'!BL28</f>
        <v>0.31896680800972277</v>
      </c>
      <c r="K9" s="734">
        <f>-'03- BD x RE 2026'!BM28</f>
        <v>0.27268283127394771</v>
      </c>
      <c r="L9" s="848"/>
      <c r="M9" s="845">
        <f>AVERAGE(D9,G9,J9)</f>
        <v>0.31965560266990756</v>
      </c>
      <c r="N9" s="755">
        <f>AVERAGE(E9,H9,K9)</f>
        <v>0.35714952570927316</v>
      </c>
      <c r="O9" s="549"/>
      <c r="P9" s="758">
        <f>-'03- BD x RE 2026'!BI28</f>
        <v>0.44878234325797289</v>
      </c>
      <c r="Q9" s="550"/>
      <c r="R9" s="602">
        <f>E9-D9</f>
        <v>0.12878234325797294</v>
      </c>
      <c r="S9" s="602">
        <f>H9-G9</f>
        <v>2.9983402595898823E-2</v>
      </c>
      <c r="T9" s="602">
        <f>N9-M9</f>
        <v>3.7493923039365606E-2</v>
      </c>
      <c r="U9" s="848"/>
      <c r="V9" s="603">
        <f>-'03- BD x RE 2026'!BN28</f>
        <v>0.31999999999999984</v>
      </c>
      <c r="W9" s="603">
        <f>-'03- BD x RE 2026'!BO28</f>
        <v>0.39003310128322022</v>
      </c>
    </row>
    <row r="10" spans="2:23" ht="12.75">
      <c r="B10" s="551" t="s">
        <v>101</v>
      </c>
      <c r="C10" s="548"/>
      <c r="D10" s="604">
        <f>-'03- BD x RE 2026'!BH44</f>
        <v>0.34444627928523386</v>
      </c>
      <c r="E10" s="735">
        <f>-'03- BD x RE 2026'!BI44</f>
        <v>0.26788404257311949</v>
      </c>
      <c r="F10" s="729"/>
      <c r="G10" s="604">
        <f>-'03- BD x RE 2026'!BJ44</f>
        <v>0.27924096071825072</v>
      </c>
      <c r="H10" s="765">
        <f>-'03- BD x RE 2026'!BK44</f>
        <v>0.33623618709037323</v>
      </c>
      <c r="I10" s="776"/>
      <c r="J10" s="772">
        <f>-'03- BD x RE 2026'!BL44</f>
        <v>0.27324480160261838</v>
      </c>
      <c r="K10" s="735">
        <f>-'03- BD x RE 2026'!BM44</f>
        <v>0.25649128522903741</v>
      </c>
      <c r="L10" s="848"/>
      <c r="M10" s="845">
        <f t="shared" ref="M10:M17" si="0">AVERAGE(D10,G10,J10)</f>
        <v>0.29897734720203428</v>
      </c>
      <c r="N10" s="756">
        <f t="shared" ref="N10:N17" si="1">AVERAGE(E10,H10,K10)</f>
        <v>0.28687050496417671</v>
      </c>
      <c r="O10" s="549"/>
      <c r="P10" s="759">
        <f>-'03- BD x RE 2026'!AT44</f>
        <v>0.28475304289871389</v>
      </c>
      <c r="Q10" s="550"/>
      <c r="R10" s="602">
        <f t="shared" ref="R10:R17" si="2">E10-D10</f>
        <v>-7.6562236712114373E-2</v>
      </c>
      <c r="S10" s="602">
        <f t="shared" ref="S10:S17" si="3">H10-G10</f>
        <v>5.6995226372122509E-2</v>
      </c>
      <c r="T10" s="602">
        <f t="shared" ref="T10:T17" si="4">N10-M10</f>
        <v>-1.2106842237857574E-2</v>
      </c>
      <c r="U10" s="848"/>
      <c r="V10" s="604">
        <f>-'03- BD x RE 2026'!BN44</f>
        <v>0.27005861879567528</v>
      </c>
      <c r="W10" s="604">
        <f>-'03- BD x RE 2026'!BO44</f>
        <v>0.25680654009239962</v>
      </c>
    </row>
    <row r="11" spans="2:23" ht="12.75">
      <c r="B11" s="551" t="s">
        <v>153</v>
      </c>
      <c r="C11" s="548"/>
      <c r="D11" s="604">
        <f>-'03- BD x RE 2026'!BH49</f>
        <v>3.9714716126017686E-2</v>
      </c>
      <c r="E11" s="735">
        <f>-'03- BD x RE 2026'!BI49</f>
        <v>4.5645385992513096E-2</v>
      </c>
      <c r="F11" s="729"/>
      <c r="G11" s="604">
        <f>-'03- BD x RE 2026'!BJ49</f>
        <v>2.9151885513229475E-2</v>
      </c>
      <c r="H11" s="765">
        <f>-'03- BD x RE 2026'!BK49</f>
        <v>4.6203079401556817E-2</v>
      </c>
      <c r="I11" s="776"/>
      <c r="J11" s="772">
        <f>-'03- BD x RE 2026'!BL49</f>
        <v>2.8832965302413367E-2</v>
      </c>
      <c r="K11" s="735">
        <f>-'03- BD x RE 2026'!BM49</f>
        <v>2.9023395509846724E-2</v>
      </c>
      <c r="L11" s="848"/>
      <c r="M11" s="845">
        <f t="shared" si="0"/>
        <v>3.2566522313886841E-2</v>
      </c>
      <c r="N11" s="756">
        <f t="shared" si="1"/>
        <v>4.0290620301305542E-2</v>
      </c>
      <c r="O11" s="549"/>
      <c r="P11" s="759">
        <f>-'03- BD x RE 2026'!AT49</f>
        <v>2.971903625303101E-2</v>
      </c>
      <c r="Q11" s="550"/>
      <c r="R11" s="602">
        <f t="shared" si="2"/>
        <v>5.9306698664954097E-3</v>
      </c>
      <c r="S11" s="602">
        <f t="shared" si="3"/>
        <v>1.7051193888327341E-2</v>
      </c>
      <c r="T11" s="602">
        <f t="shared" si="4"/>
        <v>7.7240979874187016E-3</v>
      </c>
      <c r="U11" s="848"/>
      <c r="V11" s="604">
        <f>-'03- BD x RE 2026'!BN49</f>
        <v>2.8193277650752115E-2</v>
      </c>
      <c r="W11" s="604">
        <f>-'03- BD x RE 2026'!BO49</f>
        <v>3.0127140979327661E-2</v>
      </c>
    </row>
    <row r="12" spans="2:23" ht="12.75">
      <c r="B12" s="551" t="s">
        <v>1729</v>
      </c>
      <c r="C12" s="548"/>
      <c r="D12" s="604">
        <f>-'03- BD x RE 2026'!BH50</f>
        <v>2.6999999999999993E-2</v>
      </c>
      <c r="E12" s="735">
        <f>-'03- BD x RE 2026'!BI50</f>
        <v>3.943285494785824E-2</v>
      </c>
      <c r="F12" s="729"/>
      <c r="G12" s="604">
        <f>-'03- BD x RE 2026'!BJ50</f>
        <v>2.3893805309734516E-2</v>
      </c>
      <c r="H12" s="765">
        <f>-'03- BD x RE 2026'!BK50</f>
        <v>3.7155090918832484E-2</v>
      </c>
      <c r="I12" s="776"/>
      <c r="J12" s="772">
        <f>-'03- BD x RE 2026'!BL50</f>
        <v>2.3816658783911822E-2</v>
      </c>
      <c r="K12" s="735">
        <f>-'03- BD x RE 2026'!BM50</f>
        <v>2.2394108281907854E-2</v>
      </c>
      <c r="L12" s="848"/>
      <c r="M12" s="845">
        <f t="shared" si="0"/>
        <v>2.4903488031215445E-2</v>
      </c>
      <c r="N12" s="756">
        <f t="shared" si="1"/>
        <v>3.2994018049532857E-2</v>
      </c>
      <c r="O12" s="549"/>
      <c r="P12" s="759">
        <f>-'03- BD x RE 2026'!AT50</f>
        <v>2.4062252427799975E-2</v>
      </c>
      <c r="Q12" s="550"/>
      <c r="R12" s="602">
        <f t="shared" si="2"/>
        <v>1.2432854947858247E-2</v>
      </c>
      <c r="S12" s="602">
        <f t="shared" si="3"/>
        <v>1.3261285609097968E-2</v>
      </c>
      <c r="T12" s="602">
        <f t="shared" si="4"/>
        <v>8.0905300183174121E-3</v>
      </c>
      <c r="U12" s="848"/>
      <c r="V12" s="604">
        <f>-'03- BD x RE 2026'!BN50</f>
        <v>2.3893805309734513E-2</v>
      </c>
      <c r="W12" s="604">
        <f>-'03- BD x RE 2026'!BO50</f>
        <v>2.6359761172564944E-2</v>
      </c>
    </row>
    <row r="13" spans="2:23" ht="12.75">
      <c r="B13" s="551" t="s">
        <v>161</v>
      </c>
      <c r="C13" s="548"/>
      <c r="D13" s="604">
        <f>-'03- BD x RE 2026'!BH51</f>
        <v>0.11249162242482913</v>
      </c>
      <c r="E13" s="735">
        <f>-'03- BD x RE 2026'!BI51</f>
        <v>0.15546710081456358</v>
      </c>
      <c r="F13" s="729"/>
      <c r="G13" s="604">
        <f>-'03- BD x RE 2026'!BJ51</f>
        <v>7.9372646475849518E-2</v>
      </c>
      <c r="H13" s="765">
        <f>-'03- BD x RE 2026'!BK51</f>
        <v>0.14694741270188028</v>
      </c>
      <c r="I13" s="776"/>
      <c r="J13" s="772">
        <f>-'03- BD x RE 2026'!BL51</f>
        <v>7.8603017279033668E-2</v>
      </c>
      <c r="K13" s="735">
        <f>-'03- BD x RE 2026'!BM51</f>
        <v>9.9958574931164806E-2</v>
      </c>
      <c r="L13" s="848"/>
      <c r="M13" s="845">
        <f t="shared" si="0"/>
        <v>9.015576205990411E-2</v>
      </c>
      <c r="N13" s="756">
        <f t="shared" si="1"/>
        <v>0.13412436281586956</v>
      </c>
      <c r="O13" s="549"/>
      <c r="P13" s="759">
        <f>-'03- BD x RE 2026'!AT51</f>
        <v>8.1819879750444857E-2</v>
      </c>
      <c r="Q13" s="550"/>
      <c r="R13" s="602">
        <f t="shared" si="2"/>
        <v>4.2975478389734451E-2</v>
      </c>
      <c r="S13" s="602">
        <f t="shared" si="3"/>
        <v>6.7574766226030758E-2</v>
      </c>
      <c r="T13" s="602">
        <f t="shared" si="4"/>
        <v>4.3968600755965453E-2</v>
      </c>
      <c r="U13" s="848"/>
      <c r="V13" s="604">
        <f>-'03- BD x RE 2026'!BN51</f>
        <v>7.7183523500983481E-2</v>
      </c>
      <c r="W13" s="604">
        <f>-'03- BD x RE 2026'!BO51</f>
        <v>0.11012975476569639</v>
      </c>
    </row>
    <row r="14" spans="2:23" ht="12.75">
      <c r="B14" s="552" t="s">
        <v>1745</v>
      </c>
      <c r="C14" s="548"/>
      <c r="D14" s="604">
        <f>-'03- BD x RE 2026'!BH52</f>
        <v>9.9999999999999985E-3</v>
      </c>
      <c r="E14" s="735">
        <f>-'03- BD x RE 2026'!BI52</f>
        <v>3.7440109946529798E-2</v>
      </c>
      <c r="F14" s="729"/>
      <c r="G14" s="604">
        <f>-'03- BD x RE 2026'!BJ52</f>
        <v>8.8495575221238954E-3</v>
      </c>
      <c r="H14" s="765">
        <f>-'03- BD x RE 2026'!BK52</f>
        <v>1.7819198743835321E-2</v>
      </c>
      <c r="I14" s="776"/>
      <c r="J14" s="772">
        <f>-'03- BD x RE 2026'!BL52</f>
        <v>8.8209847347821557E-3</v>
      </c>
      <c r="K14" s="735">
        <f>-'03- BD x RE 2026'!BM52</f>
        <v>7.7245912315687584E-3</v>
      </c>
      <c r="L14" s="848"/>
      <c r="M14" s="845">
        <f t="shared" si="0"/>
        <v>9.2235140856353499E-3</v>
      </c>
      <c r="N14" s="756">
        <f t="shared" si="1"/>
        <v>2.099463330731129E-2</v>
      </c>
      <c r="O14" s="549"/>
      <c r="P14" s="759">
        <f>-'03- BD x RE 2026'!AT52</f>
        <v>8.9119453436296205E-3</v>
      </c>
      <c r="Q14" s="550"/>
      <c r="R14" s="602">
        <f t="shared" si="2"/>
        <v>2.74401099465298E-2</v>
      </c>
      <c r="S14" s="602">
        <f t="shared" si="3"/>
        <v>8.9696412217114257E-3</v>
      </c>
      <c r="T14" s="602">
        <f t="shared" si="4"/>
        <v>1.177111922167594E-2</v>
      </c>
      <c r="U14" s="848"/>
      <c r="V14" s="604">
        <f>-'03- BD x RE 2026'!BN52</f>
        <v>8.8495575221238937E-3</v>
      </c>
      <c r="W14" s="604">
        <f>-'03- BD x RE 2026'!BO52</f>
        <v>9.7107563623618932E-3</v>
      </c>
    </row>
    <row r="15" spans="2:23" ht="12.75">
      <c r="B15" s="552" t="s">
        <v>209</v>
      </c>
      <c r="C15" s="548"/>
      <c r="D15" s="605">
        <f>-'03- BD x RE 2026'!BH57</f>
        <v>0.10775389426421417</v>
      </c>
      <c r="E15" s="736">
        <f>-'03- BD x RE 2026'!BI57</f>
        <v>0.11996837881062129</v>
      </c>
      <c r="F15" s="730"/>
      <c r="G15" s="605">
        <f>-'03- BD x RE 2026'!BJ57</f>
        <v>7.6194079373571283E-2</v>
      </c>
      <c r="H15" s="766">
        <f>-'03- BD x RE 2026'!BK57</f>
        <v>9.5321121690288543E-2</v>
      </c>
      <c r="I15" s="777"/>
      <c r="J15" s="773">
        <f>-'03- BD x RE 2026'!BL57</f>
        <v>7.5493152942691266E-2</v>
      </c>
      <c r="K15" s="736">
        <f>-'03- BD x RE 2026'!BM57</f>
        <v>7.22629876875866E-2</v>
      </c>
      <c r="L15" s="848"/>
      <c r="M15" s="845">
        <f t="shared" si="0"/>
        <v>8.6480375526825568E-2</v>
      </c>
      <c r="N15" s="756">
        <f t="shared" si="1"/>
        <v>9.5850829396165474E-2</v>
      </c>
      <c r="O15" s="549"/>
      <c r="P15" s="759">
        <f>-'03- BD x RE 2026'!AT57</f>
        <v>7.8485778654942551E-2</v>
      </c>
      <c r="Q15" s="550"/>
      <c r="R15" s="602">
        <f t="shared" si="2"/>
        <v>1.2214484546407126E-2</v>
      </c>
      <c r="S15" s="602">
        <f t="shared" si="3"/>
        <v>1.912704231671726E-2</v>
      </c>
      <c r="T15" s="602">
        <f t="shared" si="4"/>
        <v>9.3704538693399064E-3</v>
      </c>
      <c r="U15" s="848"/>
      <c r="V15" s="605">
        <f>-'03- BD x RE 2026'!BN57</f>
        <v>7.4254164087424371E-2</v>
      </c>
      <c r="W15" s="605">
        <f>-'03- BD x RE 2026'!BO57</f>
        <v>4.7794224725356459E-2</v>
      </c>
    </row>
    <row r="16" spans="2:23" ht="12.75">
      <c r="B16" s="551" t="s">
        <v>230</v>
      </c>
      <c r="C16" s="548"/>
      <c r="D16" s="605">
        <f>-'03- BD x RE 2026'!BH58</f>
        <v>0.02</v>
      </c>
      <c r="E16" s="736">
        <f>-'03- BD x RE 2026'!BI58</f>
        <v>5.504265220160301E-2</v>
      </c>
      <c r="F16" s="730"/>
      <c r="G16" s="605">
        <f>-'03- BD x RE 2026'!BJ58</f>
        <v>0.02</v>
      </c>
      <c r="H16" s="766">
        <f>-'03- BD x RE 2026'!BK58</f>
        <v>2.850225818689164E-2</v>
      </c>
      <c r="I16" s="777"/>
      <c r="J16" s="773">
        <f>-'03- BD x RE 2026'!BL58</f>
        <v>1.9935425500607666E-2</v>
      </c>
      <c r="K16" s="736">
        <f>-'03- BD x RE 2026'!BM58</f>
        <v>1.4590393441653339E-2</v>
      </c>
      <c r="L16" s="848"/>
      <c r="M16" s="845">
        <f t="shared" si="0"/>
        <v>1.9978475166869222E-2</v>
      </c>
      <c r="N16" s="756">
        <f t="shared" si="1"/>
        <v>3.2711767943382659E-2</v>
      </c>
      <c r="O16" s="549"/>
      <c r="P16" s="759">
        <f>-'03- BD x RE 2026'!AT58</f>
        <v>1.9994347470087204E-2</v>
      </c>
      <c r="Q16" s="550"/>
      <c r="R16" s="602">
        <f t="shared" si="2"/>
        <v>3.5042652201603006E-2</v>
      </c>
      <c r="S16" s="602">
        <f t="shared" si="3"/>
        <v>8.5022581868916397E-3</v>
      </c>
      <c r="T16" s="602">
        <f t="shared" si="4"/>
        <v>1.2733292776513437E-2</v>
      </c>
      <c r="U16" s="848"/>
      <c r="V16" s="605">
        <f>-'03- BD x RE 2026'!BN58</f>
        <v>1.9999999999999997E-2</v>
      </c>
      <c r="W16" s="605">
        <f>-'03- BD x RE 2026'!BO58</f>
        <v>2.8668855476862286E-2</v>
      </c>
    </row>
    <row r="17" spans="2:23" ht="12.75">
      <c r="B17" s="553" t="s">
        <v>1755</v>
      </c>
      <c r="C17" s="548"/>
      <c r="D17" s="606">
        <f>-'03- BD x RE 2026'!BH59</f>
        <v>2.1034109366540338E-2</v>
      </c>
      <c r="E17" s="738">
        <f>-'03- BD x RE 2026'!BI59</f>
        <v>1.3082142642781656E-2</v>
      </c>
      <c r="F17" s="730"/>
      <c r="G17" s="606">
        <f>-'03- BD x RE 2026'!BJ59</f>
        <v>0.02</v>
      </c>
      <c r="H17" s="770">
        <f>-'03- BD x RE 2026'!BK59</f>
        <v>1.2408580629140633E-2</v>
      </c>
      <c r="I17" s="777"/>
      <c r="J17" s="774">
        <f>-'03- BD x RE 2026'!BL59</f>
        <v>1.8554155763199069E-2</v>
      </c>
      <c r="K17" s="606">
        <f>-'03- BD x RE 2026'!BM59</f>
        <v>1.0950111707621127E-2</v>
      </c>
      <c r="L17" s="848"/>
      <c r="M17" s="846">
        <f t="shared" si="0"/>
        <v>1.9862755043246468E-2</v>
      </c>
      <c r="N17" s="757">
        <f t="shared" si="1"/>
        <v>1.214694499318114E-2</v>
      </c>
      <c r="O17" s="549"/>
      <c r="P17" s="757">
        <f>-'03- BD x RE 2026'!AT59</f>
        <v>3.1082644059786745E-2</v>
      </c>
      <c r="Q17" s="550"/>
      <c r="R17" s="744">
        <f t="shared" si="2"/>
        <v>-7.9519667237586827E-3</v>
      </c>
      <c r="S17" s="744">
        <f t="shared" si="3"/>
        <v>-7.5914193708593678E-3</v>
      </c>
      <c r="T17" s="744">
        <f t="shared" si="4"/>
        <v>-7.7158100500653286E-3</v>
      </c>
      <c r="U17" s="848"/>
      <c r="V17" s="606">
        <f>-'03- BD x RE 2026'!BN59</f>
        <v>1.8614256076584366E-2</v>
      </c>
      <c r="W17" s="606">
        <f>-'03- BD x RE 2026'!BO59</f>
        <v>1.1283126105916442E-2</v>
      </c>
    </row>
    <row r="18" spans="2:23" ht="4.5" customHeight="1">
      <c r="B18" s="554"/>
      <c r="C18" s="1"/>
      <c r="D18" s="739"/>
      <c r="E18" s="740"/>
      <c r="F18" s="731"/>
      <c r="G18" s="741"/>
      <c r="H18" s="555"/>
      <c r="I18" s="778"/>
      <c r="J18" s="741"/>
      <c r="K18" s="555"/>
      <c r="L18" s="848"/>
      <c r="M18" s="555"/>
      <c r="N18" s="555"/>
      <c r="O18" s="537"/>
      <c r="P18" s="555"/>
      <c r="Q18" s="1"/>
      <c r="R18" s="555"/>
      <c r="S18" s="555"/>
      <c r="T18" s="555"/>
      <c r="U18" s="848"/>
      <c r="V18" s="741"/>
      <c r="W18" s="555"/>
    </row>
    <row r="19" spans="2:23" ht="12.75" hidden="1">
      <c r="B19" s="558" t="s">
        <v>54</v>
      </c>
      <c r="C19" s="556"/>
      <c r="D19" s="839">
        <f>'02-Res M'!D30</f>
        <v>-2.4406214668349219E-3</v>
      </c>
      <c r="E19" s="737">
        <f>'02-Res M'!F30</f>
        <v>-0.18274501118756284</v>
      </c>
      <c r="F19" s="732"/>
      <c r="G19" s="839">
        <f>'02-Res M'!H30</f>
        <v>0.14329706508724036</v>
      </c>
      <c r="H19" s="767">
        <f>'02-Res M'!J30</f>
        <v>-7.0576331958697766E-2</v>
      </c>
      <c r="I19" s="779"/>
      <c r="J19" s="842">
        <f>'02-Res M'!J30</f>
        <v>-7.0576331958697766E-2</v>
      </c>
      <c r="K19" s="737">
        <f>'02-Res M'!L30</f>
        <v>0.15373203008101977</v>
      </c>
      <c r="L19" s="848"/>
      <c r="M19" s="847">
        <f>AVERAGE(D19,G19,J19)</f>
        <v>2.3426703887235893E-2</v>
      </c>
      <c r="N19" s="560">
        <f>E19</f>
        <v>-0.18274501118756284</v>
      </c>
      <c r="O19" s="557"/>
      <c r="P19" s="560">
        <f>'03- BD x RE 2026'!AT62</f>
        <v>0.12126151362016885</v>
      </c>
      <c r="Q19" s="556"/>
      <c r="R19" s="560">
        <f>P19-E19</f>
        <v>0.30400652480773172</v>
      </c>
      <c r="S19" s="560">
        <f>P19-H19</f>
        <v>0.19183784557886663</v>
      </c>
      <c r="T19" s="560">
        <f t="shared" ref="T19" si="5">P19-N19</f>
        <v>0.30400652480773172</v>
      </c>
      <c r="U19" s="848"/>
      <c r="V19" s="839">
        <f>'02-Res M'!V30</f>
        <v>0</v>
      </c>
      <c r="W19" s="737">
        <f>'02-Res M'!X30</f>
        <v>0</v>
      </c>
    </row>
    <row r="20" spans="2:23" ht="12.75">
      <c r="B20" s="855" t="s">
        <v>1311</v>
      </c>
      <c r="C20" s="556"/>
      <c r="D20" s="839">
        <f>'02-Res M'!D41</f>
        <v>-1.0020480698020629E-2</v>
      </c>
      <c r="E20" s="737">
        <f>'02-Res M'!F41</f>
        <v>-0.18446701127581691</v>
      </c>
      <c r="F20" s="732"/>
      <c r="G20" s="839">
        <f>'02-Res M'!H41</f>
        <v>0.13571720585605465</v>
      </c>
      <c r="H20" s="767">
        <f>'02-Res M'!J41</f>
        <v>-7.1091258618009384E-2</v>
      </c>
      <c r="I20" s="779"/>
      <c r="J20" s="842">
        <f>'02-Res M'!J41</f>
        <v>-7.1091258618009384E-2</v>
      </c>
      <c r="K20" s="737">
        <f>'02-Res M'!L41</f>
        <v>0.14617664413059997</v>
      </c>
      <c r="L20" s="848"/>
      <c r="M20" s="847">
        <f>AVERAGE(D20,G20,J20)</f>
        <v>1.8201822180008209E-2</v>
      </c>
      <c r="N20" s="560">
        <f>AVERAGE(E20,H20,K20)</f>
        <v>-3.6460541921075444E-2</v>
      </c>
      <c r="O20" s="557"/>
      <c r="P20" s="560">
        <f>'03- BD x RE 2026'!AT72</f>
        <v>0.11368379665803509</v>
      </c>
      <c r="Q20" s="556"/>
      <c r="R20" s="560">
        <f>P20-E20</f>
        <v>0.29815080793385201</v>
      </c>
      <c r="S20" s="560">
        <f>P20-H20</f>
        <v>0.18477505527604449</v>
      </c>
      <c r="T20" s="560">
        <f>N20-M20</f>
        <v>-5.4662364101083653E-2</v>
      </c>
      <c r="U20" s="848"/>
      <c r="V20" s="839">
        <f>'03- BD x RE 2026'!M73</f>
        <v>0.15137293782553649</v>
      </c>
      <c r="W20" s="737">
        <f>'03- BD x RE 2026'!N73</f>
        <v>8.9086739036294077E-2</v>
      </c>
    </row>
    <row r="21" spans="2:23" ht="3.75" customHeight="1">
      <c r="B21" s="752"/>
      <c r="F21"/>
      <c r="I21"/>
      <c r="L21" s="567"/>
      <c r="O21" s="848"/>
      <c r="U21" s="567"/>
      <c r="V21" s="856"/>
    </row>
    <row r="22" spans="2:23" ht="15" customHeight="1">
      <c r="B22" s="855" t="s">
        <v>2624</v>
      </c>
      <c r="D22" s="847" t="s">
        <v>2625</v>
      </c>
      <c r="E22" s="560" t="s">
        <v>1753</v>
      </c>
      <c r="G22" s="847" t="s">
        <v>2625</v>
      </c>
      <c r="H22" s="560" t="s">
        <v>1753</v>
      </c>
      <c r="J22" s="847" t="s">
        <v>2625</v>
      </c>
      <c r="K22" s="560" t="s">
        <v>1753</v>
      </c>
      <c r="L22" s="849"/>
      <c r="M22" s="847" t="s">
        <v>2626</v>
      </c>
      <c r="N22" s="560" t="s">
        <v>2627</v>
      </c>
      <c r="T22" s="560" t="s">
        <v>2628</v>
      </c>
      <c r="U22" s="849"/>
      <c r="V22" s="847" t="s">
        <v>2625</v>
      </c>
      <c r="W22" s="560" t="s">
        <v>1753</v>
      </c>
    </row>
    <row r="23" spans="2:23" ht="3.75" customHeight="1">
      <c r="B23" s="851"/>
      <c r="F23"/>
      <c r="I23"/>
      <c r="L23" s="567"/>
      <c r="O23" s="848"/>
      <c r="U23" s="567"/>
      <c r="V23" s="856"/>
    </row>
    <row r="24" spans="2:23" ht="15" customHeight="1">
      <c r="B24" s="854" t="str">
        <f>'[1]02-Res M'!B15</f>
        <v>Receita Líquida</v>
      </c>
      <c r="D24" s="852">
        <f>'03- BD x RE 2026'!D24</f>
        <v>1603133.7048457502</v>
      </c>
      <c r="E24" s="853">
        <f>'03- BD x RE 2026'!E24</f>
        <v>1338861.7200000002</v>
      </c>
      <c r="G24" s="852">
        <f>'03- BD x RE 2026'!G24</f>
        <v>2460755.4103986002</v>
      </c>
      <c r="H24" s="853">
        <f>'03- BD x RE 2026'!H24</f>
        <v>1507127.2500000007</v>
      </c>
      <c r="J24" s="852">
        <f>'03- BD x RE 2026'!J24</f>
        <v>2487973.7220089398</v>
      </c>
      <c r="K24" s="853">
        <f>'03- BD x RE 2026'!K24</f>
        <v>2383612.2129999995</v>
      </c>
      <c r="L24" s="849"/>
      <c r="M24" s="852">
        <f>SUM(A24,G24,J24)</f>
        <v>4948729.1324075405</v>
      </c>
      <c r="N24" s="853">
        <f>SUM(B24,H24,K24)</f>
        <v>3890739.4630000005</v>
      </c>
      <c r="T24" s="853">
        <f>M24-L24</f>
        <v>4948729.1324075405</v>
      </c>
      <c r="U24" s="849"/>
      <c r="V24" s="852">
        <f>'03- BD x RE 2026'!M24</f>
        <v>2544424.2733546202</v>
      </c>
      <c r="W24" s="853">
        <f>'03- BD x RE 2026'!N24</f>
        <v>2296285.6</v>
      </c>
    </row>
    <row r="25" spans="2:23" ht="3.75" customHeight="1">
      <c r="F25"/>
      <c r="I25"/>
      <c r="L25" s="567"/>
      <c r="O25" s="848"/>
      <c r="U25" s="567"/>
      <c r="V25" s="856"/>
    </row>
    <row r="26" spans="2:23" ht="15" customHeight="1">
      <c r="B26" s="854" t="s">
        <v>2629</v>
      </c>
      <c r="D26" s="852">
        <f>'03- BD x RE 2026'!D72</f>
        <v>-16064.17034575354</v>
      </c>
      <c r="E26" s="853">
        <f>'03- BD x RE 2026'!E72</f>
        <v>-246975.8199999998</v>
      </c>
      <c r="G26" s="852">
        <f>'03- BD x RE 2026'!G72</f>
        <v>333966.84859446762</v>
      </c>
      <c r="H26" s="853">
        <f>'03- BD x RE 2026'!H72</f>
        <v>-108396.03309999924</v>
      </c>
      <c r="J26" s="852">
        <f>'03- BD x RE 2026'!J72</f>
        <v>363683.64936838514</v>
      </c>
      <c r="K26" s="853">
        <f>'03- BD x RE 2026'!K72</f>
        <v>508314.51609999966</v>
      </c>
      <c r="L26" s="850"/>
      <c r="M26" s="852">
        <f>SUM(A26,G26,J26)</f>
        <v>697650.49796285271</v>
      </c>
      <c r="N26" s="853">
        <f>SUM(B26,H26,K26)</f>
        <v>399918.48300000041</v>
      </c>
      <c r="T26" s="853">
        <f>M26-L26</f>
        <v>697650.49796285271</v>
      </c>
      <c r="U26" s="850"/>
      <c r="V26" s="852">
        <f>'03- BD x RE 2026'!M72</f>
        <v>385156.9773322948</v>
      </c>
      <c r="W26" s="853">
        <f>'03- BD x RE 2026'!N72</f>
        <v>204568.59599999999</v>
      </c>
    </row>
    <row r="27" spans="2:23" ht="15" customHeight="1">
      <c r="L27" s="848"/>
      <c r="U27" s="848"/>
    </row>
  </sheetData>
  <mergeCells count="1">
    <mergeCell ref="B4:W4"/>
  </mergeCells>
  <conditionalFormatting sqref="R9:S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:S1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13FD-D209-4C42-87C7-325E3AB7C9E4}">
  <sheetPr>
    <tabColor theme="4"/>
  </sheetPr>
  <dimension ref="B1:AJ47"/>
  <sheetViews>
    <sheetView showGridLines="0" zoomScale="95" zoomScaleNormal="95" workbookViewId="0">
      <selection activeCell="N45" sqref="N45"/>
    </sheetView>
  </sheetViews>
  <sheetFormatPr defaultColWidth="12.5703125" defaultRowHeight="12.75"/>
  <cols>
    <col min="1" max="1" width="1.7109375" style="518" customWidth="1"/>
    <col min="2" max="2" width="30" style="518" customWidth="1"/>
    <col min="3" max="3" width="0.28515625" style="518" customWidth="1"/>
    <col min="4" max="4" width="14.42578125" style="518" customWidth="1"/>
    <col min="5" max="5" width="0.5703125" style="518" customWidth="1"/>
    <col min="6" max="6" width="13.7109375" style="518" bestFit="1" customWidth="1"/>
    <col min="7" max="7" width="0.5703125" style="518" customWidth="1"/>
    <col min="8" max="8" width="14.42578125" style="518" customWidth="1"/>
    <col min="9" max="9" width="0.5703125" style="518" customWidth="1"/>
    <col min="10" max="10" width="15" style="518" customWidth="1"/>
    <col min="11" max="11" width="0.5703125" style="518" customWidth="1"/>
    <col min="12" max="12" width="14.42578125" style="518" customWidth="1"/>
    <col min="13" max="13" width="0.5703125" style="518" customWidth="1"/>
    <col min="14" max="14" width="14.42578125" style="518" customWidth="1"/>
    <col min="15" max="15" width="0.5703125" style="518" customWidth="1"/>
    <col min="16" max="16" width="17" style="518" bestFit="1" customWidth="1"/>
    <col min="17" max="17" width="0.42578125" style="518" customWidth="1"/>
    <col min="18" max="18" width="17.28515625" style="518" customWidth="1"/>
    <col min="19" max="19" width="0.42578125" style="518" customWidth="1"/>
    <col min="20" max="20" width="17" style="518" customWidth="1"/>
    <col min="21" max="21" width="15.7109375" style="518" bestFit="1" customWidth="1"/>
    <col min="22" max="22" width="0.140625" style="518" customWidth="1"/>
    <col min="23" max="23" width="13.7109375" style="518" customWidth="1"/>
    <col min="24" max="24" width="0.42578125" style="631" customWidth="1"/>
    <col min="25" max="25" width="12" style="518" customWidth="1"/>
    <col min="26" max="26" width="0.140625" style="518" customWidth="1"/>
    <col min="27" max="27" width="11.42578125" style="518" bestFit="1" customWidth="1"/>
    <col min="28" max="28" width="0.42578125" style="631" customWidth="1"/>
    <col min="29" max="29" width="11.42578125" style="518" customWidth="1"/>
    <col min="30" max="30" width="0.140625" style="518" customWidth="1"/>
    <col min="31" max="31" width="12.5703125" style="518" bestFit="1" customWidth="1"/>
    <col min="32" max="32" width="0.140625" style="518" hidden="1" customWidth="1"/>
    <col min="33" max="33" width="16" style="518" hidden="1" customWidth="1"/>
    <col min="34" max="43" width="11" style="518" customWidth="1"/>
    <col min="44" max="16384" width="12.5703125" style="518"/>
  </cols>
  <sheetData>
    <row r="1" spans="2:33"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692"/>
      <c r="Y1" s="221"/>
      <c r="Z1" s="221"/>
      <c r="AA1" s="221"/>
      <c r="AB1" s="692"/>
      <c r="AC1" s="221"/>
      <c r="AD1" s="221"/>
    </row>
    <row r="2" spans="2:33"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692"/>
      <c r="Y2" s="221"/>
      <c r="Z2" s="221"/>
      <c r="AA2" s="221"/>
      <c r="AB2" s="692"/>
      <c r="AC2" s="221"/>
      <c r="AD2" s="221"/>
    </row>
    <row r="3" spans="2:33" ht="11.1" customHeight="1"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613"/>
      <c r="Y3" s="163"/>
      <c r="Z3" s="163"/>
      <c r="AA3" s="163"/>
      <c r="AB3" s="613"/>
      <c r="AC3" s="163"/>
      <c r="AD3" s="163"/>
    </row>
    <row r="4" spans="2:33" ht="25.5" customHeight="1">
      <c r="B4" s="680" t="s">
        <v>1751</v>
      </c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680"/>
      <c r="T4" s="680"/>
      <c r="U4" s="865" t="s">
        <v>1300</v>
      </c>
      <c r="V4" s="865"/>
      <c r="W4" s="865"/>
      <c r="X4" s="865"/>
      <c r="Y4" s="865"/>
      <c r="Z4" s="865"/>
      <c r="AA4" s="865"/>
      <c r="AB4" s="865"/>
      <c r="AC4" s="865"/>
      <c r="AD4" s="865"/>
      <c r="AE4" s="865"/>
      <c r="AF4" s="690"/>
      <c r="AG4" s="690"/>
    </row>
    <row r="5" spans="2:33" s="631" customFormat="1" ht="2.4500000000000002" customHeight="1">
      <c r="B5" s="612"/>
      <c r="C5" s="612"/>
      <c r="D5" s="612"/>
      <c r="E5" s="612"/>
      <c r="F5" s="612"/>
      <c r="G5" s="612"/>
      <c r="H5" s="612"/>
      <c r="I5" s="612"/>
      <c r="J5" s="612"/>
      <c r="K5" s="612"/>
      <c r="L5" s="612"/>
      <c r="M5" s="612"/>
      <c r="N5" s="612"/>
      <c r="O5" s="612"/>
      <c r="P5" s="612"/>
      <c r="Q5" s="612"/>
      <c r="R5" s="612"/>
      <c r="S5" s="612"/>
      <c r="T5" s="612"/>
      <c r="U5" s="691" t="s">
        <v>1748</v>
      </c>
      <c r="V5" s="691"/>
      <c r="W5" s="691"/>
      <c r="X5" s="691"/>
      <c r="Y5" s="691" t="s">
        <v>1748</v>
      </c>
      <c r="Z5" s="691"/>
      <c r="AA5" s="691"/>
      <c r="AB5" s="691"/>
      <c r="AC5" s="691"/>
      <c r="AD5" s="691"/>
    </row>
    <row r="6" spans="2:33">
      <c r="B6" s="538"/>
      <c r="C6" s="163"/>
      <c r="D6" s="538" t="s">
        <v>1746</v>
      </c>
      <c r="E6" s="163"/>
      <c r="F6" s="538" t="s">
        <v>1747</v>
      </c>
      <c r="G6" s="163"/>
      <c r="H6" s="538" t="s">
        <v>1762</v>
      </c>
      <c r="I6" s="163"/>
      <c r="J6" s="538" t="s">
        <v>1763</v>
      </c>
      <c r="K6" s="163"/>
      <c r="L6" s="538" t="s">
        <v>2205</v>
      </c>
      <c r="M6" s="163"/>
      <c r="N6" s="538" t="s">
        <v>2205</v>
      </c>
      <c r="O6" s="163"/>
      <c r="P6" s="688" t="s">
        <v>2207</v>
      </c>
      <c r="Q6" s="613"/>
      <c r="R6" s="688" t="s">
        <v>2207</v>
      </c>
      <c r="S6" s="613"/>
      <c r="T6" s="688" t="s">
        <v>2206</v>
      </c>
      <c r="U6" s="863" t="s">
        <v>2208</v>
      </c>
      <c r="V6" s="863"/>
      <c r="W6" s="863"/>
      <c r="X6" s="863"/>
      <c r="Y6" s="863"/>
      <c r="Z6" s="863"/>
      <c r="AA6" s="863"/>
      <c r="AB6" s="863"/>
      <c r="AC6" s="863"/>
      <c r="AD6" s="863"/>
      <c r="AE6" s="863"/>
      <c r="AG6" s="545" t="str">
        <f>U5</f>
        <v>PARTICIPAÇÃO</v>
      </c>
    </row>
    <row r="7" spans="2:33" ht="3.6" customHeight="1">
      <c r="B7" s="163"/>
      <c r="C7" s="163"/>
      <c r="D7" s="519"/>
      <c r="E7" s="163"/>
      <c r="F7" s="519"/>
      <c r="G7" s="163"/>
      <c r="H7" s="519"/>
      <c r="I7" s="163"/>
      <c r="J7" s="519"/>
      <c r="K7" s="163"/>
      <c r="L7" s="519"/>
      <c r="M7" s="163"/>
      <c r="N7" s="519"/>
      <c r="O7" s="163"/>
      <c r="P7" s="163"/>
      <c r="Q7" s="163"/>
      <c r="R7" s="163"/>
      <c r="S7" s="163"/>
      <c r="T7" s="163"/>
      <c r="U7" s="519"/>
      <c r="V7" s="163"/>
      <c r="W7" s="519"/>
      <c r="X7" s="693"/>
      <c r="Y7" s="519"/>
      <c r="Z7" s="163"/>
      <c r="AA7" s="519"/>
      <c r="AB7" s="693"/>
      <c r="AC7" s="519"/>
      <c r="AD7" s="519"/>
    </row>
    <row r="8" spans="2:33">
      <c r="B8" s="245" t="s">
        <v>1307</v>
      </c>
      <c r="C8" s="245"/>
      <c r="D8" s="522">
        <f>'03- BD x RE 2026'!D7/1000</f>
        <v>5.7864418149999999</v>
      </c>
      <c r="E8" s="245"/>
      <c r="F8" s="521">
        <f>'03- BD x RE 2026'!E7/1000</f>
        <v>4.7610000000000001</v>
      </c>
      <c r="G8" s="245"/>
      <c r="H8" s="522">
        <f>'03- BD x RE 2026'!G7/1000</f>
        <v>7.8601684000000001</v>
      </c>
      <c r="I8" s="245"/>
      <c r="J8" s="521">
        <f>'03- BD x RE 2026'!H7/1000</f>
        <v>4.6609999999999996</v>
      </c>
      <c r="K8" s="245"/>
      <c r="L8" s="522">
        <f>'03- BD x RE 2026'!J7/1000</f>
        <v>7.9214503599999997</v>
      </c>
      <c r="M8" s="245"/>
      <c r="N8" s="522">
        <f>'03- BD x RE 2026'!K7/1000</f>
        <v>6.5919999999999996</v>
      </c>
      <c r="O8" s="245"/>
      <c r="P8" s="724">
        <f>IF(ISERROR($F8/D8-1),"-",($F8/D8-1))</f>
        <v>-0.17721457292489851</v>
      </c>
      <c r="Q8" s="245"/>
      <c r="R8" s="725">
        <f>IF(ISERROR($J8/J8-1),"-",($H8/J8-1))</f>
        <v>0.68636953443467075</v>
      </c>
      <c r="S8" s="245"/>
      <c r="T8" s="725">
        <f>IF(ISERROR($L8/N8-1),"-",($L8/N8-1))</f>
        <v>0.20167632888349507</v>
      </c>
      <c r="U8" s="520"/>
      <c r="V8" s="245"/>
      <c r="W8" s="520"/>
      <c r="X8" s="694"/>
      <c r="Y8" s="520"/>
      <c r="Z8" s="245"/>
      <c r="AA8" s="520"/>
      <c r="AB8" s="694"/>
      <c r="AC8" s="520"/>
      <c r="AD8" s="520"/>
      <c r="AF8" s="245"/>
    </row>
    <row r="9" spans="2:33">
      <c r="B9" s="71" t="s">
        <v>1301</v>
      </c>
      <c r="C9" s="71"/>
      <c r="D9" s="523">
        <f>IF(ISERROR(D11/D8),0,(D11/D8))</f>
        <v>300.00000000000006</v>
      </c>
      <c r="E9" s="71"/>
      <c r="F9" s="523">
        <f>IF(ISERROR(F11/F8),0,(F11/F8))</f>
        <v>292.02876916614161</v>
      </c>
      <c r="G9" s="71"/>
      <c r="H9" s="523">
        <f>IF(ISERROR(H11/H8),0,(H11/H8))</f>
        <v>339</v>
      </c>
      <c r="I9" s="71"/>
      <c r="J9" s="523">
        <f t="shared" ref="J9" si="0">IF(ISERROR(J11/J8),0,(J11/J8))</f>
        <v>327.94551812915705</v>
      </c>
      <c r="K9" s="71"/>
      <c r="L9" s="523">
        <f>IF(ISERROR(L11/L8),0,(L11/L8))</f>
        <v>340.01407981050579</v>
      </c>
      <c r="M9" s="71"/>
      <c r="N9" s="523">
        <f>IF(ISERROR(N11/N8),0,(N11/N8))</f>
        <v>370.68215306432035</v>
      </c>
      <c r="O9" s="71"/>
      <c r="P9" s="726">
        <f>IF(ISERROR($F9/D9-1),"-",($F9/D9-1))</f>
        <v>-2.6570769446194853E-2</v>
      </c>
      <c r="Q9" s="71"/>
      <c r="R9" s="726">
        <f t="shared" ref="R9:R40" si="1">IF(ISERROR($H9/J9-1),"-",($H9/J9-1))</f>
        <v>3.3708287687253202E-2</v>
      </c>
      <c r="S9" s="71"/>
      <c r="T9" s="725">
        <f>IF(ISERROR($L9/N9-1),"-",($L9/N9-1))</f>
        <v>-8.2734151078735829E-2</v>
      </c>
      <c r="U9" s="524"/>
      <c r="V9" s="71"/>
      <c r="W9" s="524"/>
      <c r="X9" s="695"/>
      <c r="Y9" s="524"/>
      <c r="Z9" s="71"/>
      <c r="AA9" s="524"/>
      <c r="AB9" s="695"/>
      <c r="AC9" s="524"/>
      <c r="AD9" s="524"/>
      <c r="AF9" s="71"/>
    </row>
    <row r="10" spans="2:33" ht="2.25" customHeight="1">
      <c r="B10" s="163"/>
      <c r="C10" s="163"/>
      <c r="D10" s="296"/>
      <c r="E10" s="163"/>
      <c r="F10" s="296"/>
      <c r="G10" s="163"/>
      <c r="H10" s="296"/>
      <c r="I10" s="163"/>
      <c r="J10" s="296"/>
      <c r="K10" s="163"/>
      <c r="L10" s="296"/>
      <c r="M10" s="163"/>
      <c r="N10" s="296"/>
      <c r="O10" s="163"/>
      <c r="P10" s="534"/>
      <c r="Q10" s="163"/>
      <c r="R10" s="534" t="str">
        <f t="shared" si="1"/>
        <v>-</v>
      </c>
      <c r="S10" s="163"/>
      <c r="T10" s="534" t="str">
        <f>IF(ISERROR($H10/K10-1),"-",($H10/K10-1))</f>
        <v>-</v>
      </c>
      <c r="U10" s="296"/>
      <c r="V10" s="163"/>
      <c r="W10" s="296"/>
      <c r="X10" s="696"/>
      <c r="Y10" s="296"/>
      <c r="Z10" s="163"/>
      <c r="AA10" s="296"/>
      <c r="AB10" s="696"/>
      <c r="AC10" s="296"/>
      <c r="AD10" s="296"/>
      <c r="AF10" s="163"/>
    </row>
    <row r="11" spans="2:33">
      <c r="B11" s="711" t="s">
        <v>14</v>
      </c>
      <c r="C11" s="245"/>
      <c r="D11" s="541">
        <f>'03- BD x RE 2026'!D10/1000</f>
        <v>1735.9325445000004</v>
      </c>
      <c r="E11" s="245"/>
      <c r="F11" s="614">
        <f>'03- BD x RE 2026'!E10/1000</f>
        <v>1390.3489700000002</v>
      </c>
      <c r="G11" s="245"/>
      <c r="H11" s="541">
        <f>'03- BD x RE 2026'!G10/1000</f>
        <v>2664.5970876000001</v>
      </c>
      <c r="I11" s="245"/>
      <c r="J11" s="614">
        <f>'03- BD x RE 2026'!H10/1000</f>
        <v>1528.5540600000008</v>
      </c>
      <c r="K11" s="245"/>
      <c r="L11" s="541">
        <f>'03- BD x RE 2026'!J10/1000</f>
        <v>2693.4046549199998</v>
      </c>
      <c r="M11" s="245"/>
      <c r="N11" s="541">
        <f>'03- BD x RE 2026'!K10/1000</f>
        <v>2443.5367529999994</v>
      </c>
      <c r="O11" s="245"/>
      <c r="P11" s="539">
        <f>IF(ISERROR($F11/D11-1),"-",($F11/D11-1))</f>
        <v>-0.19907661481140004</v>
      </c>
      <c r="Q11" s="245"/>
      <c r="R11" s="539">
        <f t="shared" si="1"/>
        <v>0.74321416384841421</v>
      </c>
      <c r="S11" s="245"/>
      <c r="T11" s="539">
        <f>IF(ISERROR($L11/N11-1),"-",($L11/N11-1))</f>
        <v>0.10225665794190753</v>
      </c>
      <c r="U11" s="864" t="s">
        <v>1764</v>
      </c>
      <c r="V11" s="864"/>
      <c r="W11" s="864"/>
      <c r="X11" s="697"/>
      <c r="Y11" s="864" t="s">
        <v>1765</v>
      </c>
      <c r="Z11" s="864"/>
      <c r="AA11" s="864"/>
      <c r="AB11" s="697"/>
      <c r="AC11" s="864" t="s">
        <v>2204</v>
      </c>
      <c r="AD11" s="864"/>
      <c r="AE11" s="864"/>
      <c r="AF11" s="245"/>
    </row>
    <row r="12" spans="2:33" ht="1.5" customHeight="1">
      <c r="B12" s="712"/>
      <c r="C12" s="525"/>
      <c r="D12" s="520"/>
      <c r="E12" s="525"/>
      <c r="F12" s="615"/>
      <c r="G12" s="525"/>
      <c r="H12" s="520"/>
      <c r="I12" s="525"/>
      <c r="J12" s="615"/>
      <c r="K12" s="525"/>
      <c r="L12" s="520"/>
      <c r="M12" s="525"/>
      <c r="N12" s="520"/>
      <c r="O12" s="525"/>
      <c r="P12" s="534"/>
      <c r="Q12" s="525"/>
      <c r="R12" s="534" t="str">
        <f t="shared" si="1"/>
        <v>-</v>
      </c>
      <c r="S12" s="525"/>
      <c r="T12" s="534"/>
      <c r="U12" s="864"/>
      <c r="V12" s="864"/>
      <c r="W12" s="864"/>
      <c r="X12" s="697"/>
      <c r="Y12" s="864"/>
      <c r="Z12" s="864"/>
      <c r="AA12" s="864"/>
      <c r="AB12" s="697"/>
      <c r="AC12" s="864"/>
      <c r="AD12" s="864"/>
      <c r="AE12" s="864"/>
      <c r="AF12" s="525"/>
    </row>
    <row r="13" spans="2:33">
      <c r="B13" s="713" t="s">
        <v>1304</v>
      </c>
      <c r="C13" s="525"/>
      <c r="D13" s="540">
        <f>'03- BD x RE 2026'!D19/1000</f>
        <v>-132.79883965425</v>
      </c>
      <c r="E13" s="525"/>
      <c r="F13" s="616">
        <f>'03- BD x RE 2026'!E19/1000</f>
        <v>-51.487250000000003</v>
      </c>
      <c r="G13" s="525"/>
      <c r="H13" s="540">
        <f>'03- BD x RE 2026'!G19/1000</f>
        <v>-203.84167720140002</v>
      </c>
      <c r="I13" s="525"/>
      <c r="J13" s="616">
        <f>'03- BD x RE 2026'!H19/1000</f>
        <v>-21.426809999999996</v>
      </c>
      <c r="K13" s="525"/>
      <c r="L13" s="540">
        <f>'03- BD x RE 2026'!J19/1000</f>
        <v>-205.43093291105995</v>
      </c>
      <c r="M13" s="525"/>
      <c r="N13" s="540">
        <f>'03- BD x RE 2026'!K19/1000</f>
        <v>-59.92454</v>
      </c>
      <c r="O13" s="525"/>
      <c r="P13" s="539">
        <f>IF(ISERROR($F13/D13-1),"-",($F13/D13-1))</f>
        <v>-0.6122914165963329</v>
      </c>
      <c r="Q13" s="525"/>
      <c r="R13" s="539">
        <f t="shared" si="1"/>
        <v>8.5133936036862252</v>
      </c>
      <c r="S13" s="525"/>
      <c r="T13" s="539">
        <f>IF(ISERROR($L13/N13-1),"-",($L13/N13-1))</f>
        <v>2.4281603648698837</v>
      </c>
      <c r="U13" s="864"/>
      <c r="V13" s="864"/>
      <c r="W13" s="864"/>
      <c r="X13" s="697"/>
      <c r="Y13" s="864"/>
      <c r="Z13" s="864"/>
      <c r="AA13" s="864"/>
      <c r="AB13" s="697"/>
      <c r="AC13" s="864"/>
      <c r="AD13" s="864"/>
      <c r="AE13" s="864"/>
      <c r="AF13" s="525"/>
    </row>
    <row r="14" spans="2:33" ht="1.5" customHeight="1">
      <c r="B14" s="712"/>
      <c r="C14" s="525"/>
      <c r="D14" s="520"/>
      <c r="E14" s="525"/>
      <c r="F14" s="615"/>
      <c r="G14" s="525"/>
      <c r="H14" s="520"/>
      <c r="I14" s="525"/>
      <c r="J14" s="615"/>
      <c r="K14" s="525"/>
      <c r="L14" s="520"/>
      <c r="M14" s="525"/>
      <c r="N14" s="520"/>
      <c r="O14" s="525"/>
      <c r="P14" s="534"/>
      <c r="Q14" s="525"/>
      <c r="R14" s="534" t="str">
        <f t="shared" si="1"/>
        <v>-</v>
      </c>
      <c r="S14" s="525"/>
      <c r="T14" s="534"/>
      <c r="U14" s="69"/>
      <c r="V14" s="525"/>
      <c r="W14" s="69"/>
      <c r="X14" s="698"/>
      <c r="Y14" s="69"/>
      <c r="Z14" s="525"/>
      <c r="AA14" s="69"/>
      <c r="AB14" s="698"/>
      <c r="AC14" s="69"/>
      <c r="AD14" s="525"/>
      <c r="AE14" s="69"/>
      <c r="AF14" s="525"/>
    </row>
    <row r="15" spans="2:33">
      <c r="B15" s="711" t="s">
        <v>24</v>
      </c>
      <c r="C15" s="245"/>
      <c r="D15" s="540">
        <f t="shared" ref="D15" si="2">D11+D13</f>
        <v>1603.1337048457503</v>
      </c>
      <c r="E15" s="245"/>
      <c r="F15" s="616">
        <f>F11+F13</f>
        <v>1338.8617200000003</v>
      </c>
      <c r="G15" s="245"/>
      <c r="H15" s="540">
        <f>H11+H13</f>
        <v>2460.7554103985999</v>
      </c>
      <c r="I15" s="245"/>
      <c r="J15" s="616">
        <f>J11+J13</f>
        <v>1507.1272500000009</v>
      </c>
      <c r="K15" s="245"/>
      <c r="L15" s="540">
        <f>L11+L13</f>
        <v>2487.9737220089396</v>
      </c>
      <c r="M15" s="245"/>
      <c r="N15" s="540">
        <f>N11+N13</f>
        <v>2383.6122129999994</v>
      </c>
      <c r="O15" s="245"/>
      <c r="P15" s="542">
        <f>IF(ISERROR($F15/D15-1),"-",($F15/D15-1))</f>
        <v>-0.16484712662889067</v>
      </c>
      <c r="Q15" s="245"/>
      <c r="R15" s="542">
        <f t="shared" si="1"/>
        <v>0.63274561613732239</v>
      </c>
      <c r="S15" s="245"/>
      <c r="T15" s="542">
        <f>IF(ISERROR($L15/N15-1),"-",($L15/N15-1))</f>
        <v>4.3782922591083517E-2</v>
      </c>
      <c r="U15" s="710" t="s">
        <v>1750</v>
      </c>
      <c r="V15" s="710"/>
      <c r="W15" s="710" t="s">
        <v>1749</v>
      </c>
      <c r="X15" s="699"/>
      <c r="Y15" s="710" t="s">
        <v>1750</v>
      </c>
      <c r="Z15" s="710"/>
      <c r="AA15" s="710" t="s">
        <v>1749</v>
      </c>
      <c r="AB15" s="699"/>
      <c r="AC15" s="710" t="s">
        <v>1750</v>
      </c>
      <c r="AD15" s="710"/>
      <c r="AE15" s="710" t="s">
        <v>1749</v>
      </c>
      <c r="AF15" s="245"/>
    </row>
    <row r="16" spans="2:33" ht="1.5" customHeight="1">
      <c r="B16" s="714"/>
      <c r="C16" s="245"/>
      <c r="D16" s="520"/>
      <c r="E16" s="245"/>
      <c r="F16" s="615"/>
      <c r="G16" s="245"/>
      <c r="H16" s="520"/>
      <c r="I16" s="245"/>
      <c r="J16" s="615"/>
      <c r="K16" s="245"/>
      <c r="L16" s="520"/>
      <c r="M16" s="245"/>
      <c r="N16" s="520"/>
      <c r="O16" s="245"/>
      <c r="P16" s="519"/>
      <c r="Q16" s="245"/>
      <c r="R16" s="519" t="str">
        <f t="shared" si="1"/>
        <v>-</v>
      </c>
      <c r="S16" s="245"/>
      <c r="T16" s="519"/>
      <c r="U16" s="69"/>
      <c r="V16" s="245"/>
      <c r="W16" s="69"/>
      <c r="X16" s="698"/>
      <c r="Y16" s="69"/>
      <c r="Z16" s="245"/>
      <c r="AA16" s="69"/>
      <c r="AB16" s="698"/>
      <c r="AC16" s="69"/>
      <c r="AD16" s="245"/>
      <c r="AE16" s="69"/>
      <c r="AF16" s="245"/>
    </row>
    <row r="17" spans="2:36">
      <c r="B17" s="715" t="str">
        <f>'[2]2 DRE  '!A27</f>
        <v>CUSTOS/DESPESAS</v>
      </c>
      <c r="C17" s="245"/>
      <c r="D17" s="544">
        <f>SUM(D18:D23)</f>
        <v>-1368.5192838828291</v>
      </c>
      <c r="E17" s="245"/>
      <c r="F17" s="617">
        <f>SUM(F18:F23)</f>
        <v>-1331.70127</v>
      </c>
      <c r="G17" s="245"/>
      <c r="H17" s="544">
        <f>SUM(H18:H23)</f>
        <v>-1822.211172716133</v>
      </c>
      <c r="I17" s="245"/>
      <c r="J17" s="617">
        <f>SUM(J18:J23)</f>
        <v>-1408.1758631000002</v>
      </c>
      <c r="K17" s="245"/>
      <c r="L17" s="544">
        <f>SUM(L18:L23)</f>
        <v>-1821.906423467778</v>
      </c>
      <c r="M17" s="245"/>
      <c r="N17" s="544">
        <f>SUM(N18:N23)</f>
        <v>-1640.5801869000002</v>
      </c>
      <c r="O17" s="245"/>
      <c r="P17" s="542">
        <f t="shared" ref="P17:P25" si="3">IF(ISERROR($F17/D17-1),"-",($F17/D17-1))</f>
        <v>-2.6903540429746187E-2</v>
      </c>
      <c r="Q17" s="245"/>
      <c r="R17" s="542">
        <f t="shared" si="1"/>
        <v>0.29402244454372561</v>
      </c>
      <c r="S17" s="245"/>
      <c r="T17" s="542">
        <f>IF(ISERROR($L17/N17-1),"-",($L17/N17-1))</f>
        <v>0.11052567744976094</v>
      </c>
      <c r="U17" s="543">
        <f>IF(ISERROR($D17/$D$15),"-",($D17/$D$15))</f>
        <v>-0.85365261783608049</v>
      </c>
      <c r="V17" s="626"/>
      <c r="W17" s="543">
        <f t="shared" ref="W17:W27" si="4">IF(ISERROR(F17/F$15),"-",(F17/F$15))</f>
        <v>-0.99465183753255693</v>
      </c>
      <c r="X17" s="700"/>
      <c r="Y17" s="543">
        <f t="shared" ref="Y17:Y38" si="5">IF(ISERROR($H17/$H$15),"-",($H17/$H$15))</f>
        <v>-0.74050885553918833</v>
      </c>
      <c r="Z17" s="626"/>
      <c r="AA17" s="543">
        <f t="shared" ref="AA17:AA27" si="6">IF(ISERROR(J17/J$15),"-",(J17/J$15))</f>
        <v>-0.93434437145237692</v>
      </c>
      <c r="AB17" s="700"/>
      <c r="AC17" s="543">
        <f t="shared" ref="AC17:AC38" si="7">IF(ISERROR($L17/$L$15),"-",($L17/$L$15))</f>
        <v>-0.73228523571248216</v>
      </c>
      <c r="AD17" s="626"/>
      <c r="AE17" s="543">
        <f>IF(ISERROR(N17/N$15),"-",(N17/N$15))</f>
        <v>-0.68827478645747342</v>
      </c>
      <c r="AF17" s="626"/>
      <c r="AG17" s="543" t="s">
        <v>1744</v>
      </c>
    </row>
    <row r="18" spans="2:36">
      <c r="B18" s="717" t="s">
        <v>26</v>
      </c>
      <c r="C18" s="527"/>
      <c r="D18" s="528">
        <f>'03- BD x RE 2026'!D28/1000</f>
        <v>-513.00278555064006</v>
      </c>
      <c r="E18" s="527"/>
      <c r="F18" s="621">
        <f>'03- BD x RE 2026'!E28/1000</f>
        <v>-600.85750000000007</v>
      </c>
      <c r="G18" s="527"/>
      <c r="H18" s="528">
        <f>'03- BD x RE 2026'!G28/1000</f>
        <v>-787.44173132755213</v>
      </c>
      <c r="I18" s="527"/>
      <c r="J18" s="621">
        <f>'03- BD x RE 2026'!H28/1000</f>
        <v>-527.46952310000006</v>
      </c>
      <c r="K18" s="527"/>
      <c r="L18" s="528">
        <f>'03- BD x RE 2026'!J28/1000</f>
        <v>-793.5810365212609</v>
      </c>
      <c r="M18" s="527"/>
      <c r="N18" s="528">
        <f>'03- BD x RE 2026'!K28/1000</f>
        <v>-649.97012690000008</v>
      </c>
      <c r="O18" s="527"/>
      <c r="P18" s="632">
        <f t="shared" si="3"/>
        <v>0.17125582340661105</v>
      </c>
      <c r="Q18" s="627"/>
      <c r="R18" s="632">
        <f t="shared" si="1"/>
        <v>0.49286678536356954</v>
      </c>
      <c r="S18" s="627"/>
      <c r="T18" s="725">
        <f t="shared" ref="T18:T23" si="8">IF(ISERROR($L18/N18-1),"-",($L18/N18-1))</f>
        <v>0.2209500155125681</v>
      </c>
      <c r="U18" s="623">
        <f>IF(ISERROR($D18/$D$15),"-",($D18/$D$15))</f>
        <v>-0.31999999999999995</v>
      </c>
      <c r="V18" s="627"/>
      <c r="W18" s="623">
        <f t="shared" si="4"/>
        <v>-0.44878234325797284</v>
      </c>
      <c r="X18" s="701"/>
      <c r="Y18" s="623">
        <f t="shared" si="5"/>
        <v>-0.32000000000000006</v>
      </c>
      <c r="Z18" s="627"/>
      <c r="AA18" s="623">
        <f t="shared" si="6"/>
        <v>-0.34998340259589877</v>
      </c>
      <c r="AB18" s="701"/>
      <c r="AC18" s="623">
        <f t="shared" si="7"/>
        <v>-0.31896680800972282</v>
      </c>
      <c r="AD18" s="627"/>
      <c r="AE18" s="623">
        <f t="shared" ref="AE18:AE40" si="9">IF(ISERROR(N18/N$15),"-",(N18/N$15))</f>
        <v>-0.27268283127394777</v>
      </c>
      <c r="AF18" s="627"/>
      <c r="AG18" s="678">
        <f t="shared" ref="AG18:AG23" si="10">-W18*AE18</f>
        <v>-0.12237523998534072</v>
      </c>
      <c r="AH18" s="658"/>
      <c r="AJ18" s="658"/>
    </row>
    <row r="19" spans="2:36">
      <c r="B19" s="717" t="s">
        <v>36</v>
      </c>
      <c r="C19" s="527"/>
      <c r="D19" s="528">
        <f>'03- BD x RE 2026'!D44/1000</f>
        <v>-552.19343983087094</v>
      </c>
      <c r="E19" s="527"/>
      <c r="F19" s="621">
        <f>'03- BD x RE 2026'!E44/1000</f>
        <v>-358.65969000000001</v>
      </c>
      <c r="G19" s="527"/>
      <c r="H19" s="528">
        <f>'03- BD x RE 2026'!G44/1000</f>
        <v>-687.14370489233852</v>
      </c>
      <c r="I19" s="527"/>
      <c r="J19" s="621">
        <f>'03- BD x RE 2026'!H44/1000</f>
        <v>-506.75071999999994</v>
      </c>
      <c r="K19" s="527"/>
      <c r="L19" s="528">
        <f>'03- BD x RE 2026'!J44/1000</f>
        <v>-679.82588606286072</v>
      </c>
      <c r="M19" s="527"/>
      <c r="N19" s="528">
        <f>'03- BD x RE 2026'!K44/1000</f>
        <v>-611.37576000000001</v>
      </c>
      <c r="O19" s="527"/>
      <c r="P19" s="632">
        <f t="shared" si="3"/>
        <v>-0.3504817983533951</v>
      </c>
      <c r="Q19" s="627"/>
      <c r="R19" s="632">
        <f t="shared" si="1"/>
        <v>0.35597973080795731</v>
      </c>
      <c r="S19" s="627"/>
      <c r="T19" s="725">
        <f t="shared" si="8"/>
        <v>0.11196081124129087</v>
      </c>
      <c r="U19" s="623">
        <f t="shared" ref="U19:U40" si="11">IF(ISERROR($D19/$D$15),"-",($D19/$D$15))</f>
        <v>-0.34444627928523386</v>
      </c>
      <c r="V19" s="627"/>
      <c r="W19" s="623">
        <f t="shared" si="4"/>
        <v>-0.26788404257311943</v>
      </c>
      <c r="X19" s="701"/>
      <c r="Y19" s="623">
        <f t="shared" si="5"/>
        <v>-0.27924096071825077</v>
      </c>
      <c r="Z19" s="627"/>
      <c r="AA19" s="623">
        <f t="shared" si="6"/>
        <v>-0.33623618709037317</v>
      </c>
      <c r="AB19" s="701"/>
      <c r="AC19" s="623">
        <f t="shared" si="7"/>
        <v>-0.27324480160261838</v>
      </c>
      <c r="AD19" s="627"/>
      <c r="AE19" s="623">
        <f t="shared" si="9"/>
        <v>-0.25649128522903747</v>
      </c>
      <c r="AF19" s="627"/>
      <c r="AG19" s="678">
        <f t="shared" si="10"/>
        <v>-6.8709922371929591E-2</v>
      </c>
    </row>
    <row r="20" spans="2:36">
      <c r="B20" s="718" t="s">
        <v>37</v>
      </c>
      <c r="C20" s="529"/>
      <c r="D20" s="528">
        <f>'03- BD x RE 2026'!D49/1000</f>
        <v>-63.667999999999999</v>
      </c>
      <c r="E20" s="529"/>
      <c r="F20" s="621">
        <f>'03- BD x RE 2026'!E49/1000</f>
        <v>-61.112859999999998</v>
      </c>
      <c r="G20" s="529"/>
      <c r="H20" s="528">
        <f>'03- BD x RE 2026'!G49/1000</f>
        <v>-71.73566000000001</v>
      </c>
      <c r="I20" s="529"/>
      <c r="J20" s="621">
        <f>'03- BD x RE 2026'!H49/1000</f>
        <v>-69.633920000000003</v>
      </c>
      <c r="K20" s="529"/>
      <c r="L20" s="528">
        <f>'03- BD x RE 2026'!J49/1000</f>
        <v>-71.73566000000001</v>
      </c>
      <c r="M20" s="529"/>
      <c r="N20" s="528">
        <f>'03- BD x RE 2026'!K49/1000</f>
        <v>-69.180520000000001</v>
      </c>
      <c r="O20" s="529"/>
      <c r="P20" s="632">
        <f t="shared" si="3"/>
        <v>-4.0132248539297644E-2</v>
      </c>
      <c r="Q20" s="628"/>
      <c r="R20" s="632">
        <f t="shared" si="1"/>
        <v>3.0182704061469057E-2</v>
      </c>
      <c r="S20" s="628"/>
      <c r="T20" s="725">
        <f t="shared" si="8"/>
        <v>3.693438557559281E-2</v>
      </c>
      <c r="U20" s="623">
        <f t="shared" si="11"/>
        <v>-3.9714716126017686E-2</v>
      </c>
      <c r="V20" s="628"/>
      <c r="W20" s="623">
        <f t="shared" si="4"/>
        <v>-4.5645385992513089E-2</v>
      </c>
      <c r="X20" s="701"/>
      <c r="Y20" s="623">
        <f t="shared" si="5"/>
        <v>-2.9151885513229482E-2</v>
      </c>
      <c r="Z20" s="628"/>
      <c r="AA20" s="623">
        <f t="shared" si="6"/>
        <v>-4.620307940155681E-2</v>
      </c>
      <c r="AB20" s="701"/>
      <c r="AC20" s="623">
        <f t="shared" si="7"/>
        <v>-2.8832965302413374E-2</v>
      </c>
      <c r="AD20" s="628"/>
      <c r="AE20" s="623">
        <f t="shared" si="9"/>
        <v>-2.9023395509846724E-2</v>
      </c>
      <c r="AF20" s="628"/>
      <c r="AG20" s="678">
        <f t="shared" si="10"/>
        <v>-1.324784090860325E-3</v>
      </c>
    </row>
    <row r="21" spans="2:36">
      <c r="B21" s="718" t="s">
        <v>1730</v>
      </c>
      <c r="C21" s="529"/>
      <c r="D21" s="528">
        <f>'03- BD x RE 2026'!D50/1000</f>
        <v>-43.284610030835246</v>
      </c>
      <c r="E21" s="529"/>
      <c r="F21" s="25">
        <f>'03- BD x RE 2026'!E50/1000</f>
        <v>-52.795139999999996</v>
      </c>
      <c r="G21" s="529"/>
      <c r="H21" s="528">
        <f>'03- BD x RE 2026'!G50/1000</f>
        <v>-58.796810690940006</v>
      </c>
      <c r="I21" s="529"/>
      <c r="J21" s="25">
        <f>'03- BD x RE 2026'!H50/1000</f>
        <v>-55.997450000000008</v>
      </c>
      <c r="K21" s="529"/>
      <c r="L21" s="528">
        <f>'03- BD x RE 2026'!J50/1000</f>
        <v>-59.255221200426007</v>
      </c>
      <c r="M21" s="529"/>
      <c r="N21" s="528">
        <f>'03- BD x RE 2026'!K50/1000</f>
        <v>-53.378869999999992</v>
      </c>
      <c r="O21" s="529"/>
      <c r="P21" s="632">
        <f t="shared" si="3"/>
        <v>0.21972081907148078</v>
      </c>
      <c r="Q21" s="628"/>
      <c r="R21" s="632">
        <f t="shared" si="1"/>
        <v>4.9990860136309712E-2</v>
      </c>
      <c r="S21" s="628"/>
      <c r="T21" s="725">
        <f t="shared" si="8"/>
        <v>0.11008759084682795</v>
      </c>
      <c r="U21" s="623">
        <f t="shared" si="11"/>
        <v>-2.6999999999999993E-2</v>
      </c>
      <c r="V21" s="628"/>
      <c r="W21" s="623">
        <f t="shared" si="4"/>
        <v>-3.9432854947858233E-2</v>
      </c>
      <c r="X21" s="701"/>
      <c r="Y21" s="623">
        <f t="shared" si="5"/>
        <v>-2.3893805309734516E-2</v>
      </c>
      <c r="Z21" s="628"/>
      <c r="AA21" s="623">
        <f t="shared" si="6"/>
        <v>-3.7155090918832484E-2</v>
      </c>
      <c r="AB21" s="701"/>
      <c r="AC21" s="623">
        <f t="shared" si="7"/>
        <v>-2.3816658783911825E-2</v>
      </c>
      <c r="AD21" s="628"/>
      <c r="AE21" s="623">
        <f t="shared" si="9"/>
        <v>-2.2394108281907854E-2</v>
      </c>
      <c r="AF21" s="628"/>
      <c r="AG21" s="678">
        <f t="shared" si="10"/>
        <v>-8.8306362356710313E-4</v>
      </c>
    </row>
    <row r="22" spans="2:36">
      <c r="B22" s="717" t="s">
        <v>38</v>
      </c>
      <c r="C22" s="527"/>
      <c r="D22" s="528">
        <f>'03- BD x RE 2026'!D51/1000</f>
        <v>-180.33911142202561</v>
      </c>
      <c r="E22" s="527"/>
      <c r="F22" s="621">
        <f>'03- BD x RE 2026'!E51/1000</f>
        <v>-208.14895000000001</v>
      </c>
      <c r="G22" s="527"/>
      <c r="H22" s="528">
        <f>'03- BD x RE 2026'!G51/1000</f>
        <v>-195.31666925310208</v>
      </c>
      <c r="I22" s="527"/>
      <c r="J22" s="621">
        <f>'03- BD x RE 2026'!H51/1000</f>
        <v>-221.46845000000002</v>
      </c>
      <c r="K22" s="527"/>
      <c r="L22" s="528">
        <f>'03- BD x RE 2026'!J51/1000</f>
        <v>-195.5622414608504</v>
      </c>
      <c r="M22" s="527"/>
      <c r="N22" s="528">
        <f>'03- BD x RE 2026'!K51/1000</f>
        <v>-238.26248000000001</v>
      </c>
      <c r="O22" s="527"/>
      <c r="P22" s="632">
        <f t="shared" si="3"/>
        <v>0.15420858159212303</v>
      </c>
      <c r="Q22" s="627"/>
      <c r="R22" s="632">
        <f t="shared" si="1"/>
        <v>-0.11808354980990721</v>
      </c>
      <c r="S22" s="627"/>
      <c r="T22" s="725">
        <f t="shared" si="8"/>
        <v>-0.17921511829789405</v>
      </c>
      <c r="U22" s="623">
        <f t="shared" si="11"/>
        <v>-0.11249162242482913</v>
      </c>
      <c r="V22" s="627"/>
      <c r="W22" s="623">
        <f t="shared" si="4"/>
        <v>-0.15546710081456355</v>
      </c>
      <c r="X22" s="701"/>
      <c r="Y22" s="623">
        <f t="shared" si="5"/>
        <v>-7.9372646475849518E-2</v>
      </c>
      <c r="Z22" s="627"/>
      <c r="AA22" s="623">
        <f t="shared" si="6"/>
        <v>-0.14694741270188028</v>
      </c>
      <c r="AB22" s="701"/>
      <c r="AC22" s="623">
        <f t="shared" si="7"/>
        <v>-7.8603017279033668E-2</v>
      </c>
      <c r="AD22" s="627"/>
      <c r="AE22" s="623">
        <f t="shared" si="9"/>
        <v>-9.9958574931164806E-2</v>
      </c>
      <c r="AF22" s="627"/>
      <c r="AG22" s="678">
        <f t="shared" si="10"/>
        <v>-1.5540269846103504E-2</v>
      </c>
    </row>
    <row r="23" spans="2:36">
      <c r="B23" s="719" t="s">
        <v>195</v>
      </c>
      <c r="C23" s="531"/>
      <c r="D23" s="528">
        <f>'03- BD x RE 2026'!D52/1000</f>
        <v>-16.031337048457502</v>
      </c>
      <c r="E23" s="531"/>
      <c r="F23" s="621">
        <f>'03- BD x RE 2026'!E52/1000</f>
        <v>-50.127129999999994</v>
      </c>
      <c r="G23" s="531"/>
      <c r="H23" s="528">
        <f>'03- BD x RE 2026'!G52/1000</f>
        <v>-21.776596552200004</v>
      </c>
      <c r="I23" s="531"/>
      <c r="J23" s="621">
        <f>'03- BD x RE 2026'!H52/1000</f>
        <v>-26.855799999999995</v>
      </c>
      <c r="K23" s="531"/>
      <c r="L23" s="528">
        <f>'03- BD x RE 2026'!J52/1000</f>
        <v>-21.946378222380002</v>
      </c>
      <c r="M23" s="531"/>
      <c r="N23" s="528">
        <f>'03- BD x RE 2026'!K52/1000</f>
        <v>-18.412430000000001</v>
      </c>
      <c r="O23" s="531"/>
      <c r="P23" s="632">
        <f t="shared" si="3"/>
        <v>2.1268215401174606</v>
      </c>
      <c r="Q23" s="628"/>
      <c r="R23" s="632">
        <f t="shared" si="1"/>
        <v>-0.18912873374838923</v>
      </c>
      <c r="S23" s="628"/>
      <c r="T23" s="725">
        <f t="shared" si="8"/>
        <v>0.19193274447642161</v>
      </c>
      <c r="U23" s="623">
        <f t="shared" si="11"/>
        <v>-9.9999999999999985E-3</v>
      </c>
      <c r="V23" s="628"/>
      <c r="W23" s="623">
        <f t="shared" si="4"/>
        <v>-3.7440109946529791E-2</v>
      </c>
      <c r="X23" s="701"/>
      <c r="Y23" s="623">
        <f t="shared" si="5"/>
        <v>-8.8495575221238954E-3</v>
      </c>
      <c r="Z23" s="628"/>
      <c r="AA23" s="623">
        <f t="shared" si="6"/>
        <v>-1.7819198743835318E-2</v>
      </c>
      <c r="AB23" s="701"/>
      <c r="AC23" s="623">
        <f t="shared" si="7"/>
        <v>-8.8209847347821575E-3</v>
      </c>
      <c r="AD23" s="628"/>
      <c r="AE23" s="623">
        <f t="shared" si="9"/>
        <v>-7.7245912315687592E-3</v>
      </c>
      <c r="AF23" s="628"/>
      <c r="AG23" s="678">
        <f t="shared" si="10"/>
        <v>-2.8920954500193433E-4</v>
      </c>
    </row>
    <row r="24" spans="2:36">
      <c r="B24" s="716" t="str">
        <f>'[2]2 DRE  '!A52</f>
        <v>DESPESAS ADMINISTRATIVAS</v>
      </c>
      <c r="C24" s="245"/>
      <c r="D24" s="544">
        <f>SUM(D25:D27)</f>
        <v>-238.5270634971744</v>
      </c>
      <c r="E24" s="245"/>
      <c r="F24" s="617">
        <f>SUM(F25:F27)</f>
        <v>-251.83074999999999</v>
      </c>
      <c r="G24" s="245"/>
      <c r="H24" s="544">
        <f>SUM(H25:H27)</f>
        <v>-285.92520947479989</v>
      </c>
      <c r="I24" s="245"/>
      <c r="J24" s="617">
        <f>SUM(J25:J27)</f>
        <v>-205.31890000000001</v>
      </c>
      <c r="K24" s="245"/>
      <c r="L24" s="544">
        <f>SUM(L25:L27)</f>
        <v>-283.58604746849653</v>
      </c>
      <c r="M24" s="245"/>
      <c r="N24" s="544">
        <f>SUM(N25:N27)</f>
        <v>-233.12559999999999</v>
      </c>
      <c r="O24" s="245"/>
      <c r="P24" s="542">
        <f t="shared" si="3"/>
        <v>5.5774327272440472E-2</v>
      </c>
      <c r="Q24" s="626"/>
      <c r="R24" s="542">
        <f t="shared" si="1"/>
        <v>0.39259079156765342</v>
      </c>
      <c r="S24" s="626"/>
      <c r="T24" s="542">
        <f t="shared" ref="T24:T30" si="12">IF(ISERROR($L24/N24-1),"-",($L24/N24-1))</f>
        <v>0.21645176449303105</v>
      </c>
      <c r="U24" s="610">
        <f t="shared" si="11"/>
        <v>-0.14878800363075448</v>
      </c>
      <c r="V24" s="626"/>
      <c r="W24" s="610">
        <f t="shared" si="4"/>
        <v>-0.18809317365500594</v>
      </c>
      <c r="X24" s="702"/>
      <c r="Y24" s="610">
        <f t="shared" si="5"/>
        <v>-0.11619407937357128</v>
      </c>
      <c r="Z24" s="626"/>
      <c r="AA24" s="610">
        <f t="shared" si="6"/>
        <v>-0.1362319605063208</v>
      </c>
      <c r="AB24" s="702"/>
      <c r="AC24" s="610">
        <f t="shared" si="7"/>
        <v>-0.11398273420649802</v>
      </c>
      <c r="AD24" s="626"/>
      <c r="AE24" s="543">
        <f t="shared" si="9"/>
        <v>-9.7803492836861058E-2</v>
      </c>
      <c r="AF24" s="626"/>
      <c r="AG24" s="610">
        <f>AE24-W24</f>
        <v>9.0289680818144882E-2</v>
      </c>
    </row>
    <row r="25" spans="2:36">
      <c r="B25" s="717" t="s">
        <v>41</v>
      </c>
      <c r="C25" s="245"/>
      <c r="D25" s="528">
        <f>'03- BD x RE 2026'!D57/1000</f>
        <v>-172.74389972334689</v>
      </c>
      <c r="E25" s="245"/>
      <c r="F25" s="618">
        <f>'03- BD x RE 2026'!E57/1000</f>
        <v>-160.62107</v>
      </c>
      <c r="G25" s="245"/>
      <c r="H25" s="528">
        <f>'03- BD x RE 2026'!G57/1000</f>
        <v>-187.4949930588559</v>
      </c>
      <c r="I25" s="245"/>
      <c r="J25" s="618">
        <f>'03- BD x RE 2026'!H57/1000</f>
        <v>-143.66105999999999</v>
      </c>
      <c r="K25" s="245"/>
      <c r="L25" s="528">
        <f>'03- BD x RE 2026'!J57/1000</f>
        <v>-187.82498071301774</v>
      </c>
      <c r="M25" s="245"/>
      <c r="N25" s="528">
        <f>'03- BD x RE 2026'!K57/1000</f>
        <v>-172.24694</v>
      </c>
      <c r="O25" s="245"/>
      <c r="P25" s="632">
        <f t="shared" si="3"/>
        <v>-7.0178048213348498E-2</v>
      </c>
      <c r="Q25" s="633"/>
      <c r="R25" s="632">
        <f t="shared" si="1"/>
        <v>0.3051204902626774</v>
      </c>
      <c r="S25" s="633"/>
      <c r="T25" s="725">
        <f t="shared" si="12"/>
        <v>9.0440159418900157E-2</v>
      </c>
      <c r="U25" s="623">
        <f t="shared" si="11"/>
        <v>-0.10775389426421415</v>
      </c>
      <c r="V25" s="633"/>
      <c r="W25" s="623">
        <f t="shared" si="4"/>
        <v>-0.11996837881062128</v>
      </c>
      <c r="X25" s="701"/>
      <c r="Y25" s="623">
        <f t="shared" si="5"/>
        <v>-7.6194079373571283E-2</v>
      </c>
      <c r="Z25" s="633"/>
      <c r="AA25" s="623">
        <f t="shared" si="6"/>
        <v>-9.5321121690288529E-2</v>
      </c>
      <c r="AB25" s="701"/>
      <c r="AC25" s="623">
        <f t="shared" si="7"/>
        <v>-7.5493152942691266E-2</v>
      </c>
      <c r="AD25" s="633"/>
      <c r="AE25" s="623">
        <f t="shared" si="9"/>
        <v>-7.22629876875866E-2</v>
      </c>
      <c r="AF25" s="633"/>
      <c r="AG25" s="678">
        <f>-W25*AE25</f>
        <v>-8.6692734808916511E-3</v>
      </c>
    </row>
    <row r="26" spans="2:36">
      <c r="B26" s="717" t="s">
        <v>42</v>
      </c>
      <c r="C26" s="245"/>
      <c r="D26" s="528">
        <f>'03- BD x RE 2026'!D58/1000</f>
        <v>-32.062674096915003</v>
      </c>
      <c r="E26" s="245"/>
      <c r="F26" s="618">
        <f>'03- BD x RE 2026'!E58/1000</f>
        <v>-73.694500000000005</v>
      </c>
      <c r="G26" s="245"/>
      <c r="H26" s="528">
        <f>'03- BD x RE 2026'!G58/1000</f>
        <v>-49.215108207972008</v>
      </c>
      <c r="I26" s="245"/>
      <c r="J26" s="618">
        <f>'03- BD x RE 2026'!H58/1000</f>
        <v>-42.956530000000008</v>
      </c>
      <c r="K26" s="245"/>
      <c r="L26" s="528">
        <f>'03- BD x RE 2026'!J58/1000</f>
        <v>-49.598814782578792</v>
      </c>
      <c r="M26" s="245"/>
      <c r="N26" s="528">
        <f>'03- BD x RE 2026'!K58/1000</f>
        <v>-34.777839999999998</v>
      </c>
      <c r="O26" s="245"/>
      <c r="P26" s="632">
        <f>IF(ISERROR($D26/F26-1),"-",($D26/F26-1))</f>
        <v>-0.56492446387566231</v>
      </c>
      <c r="Q26" s="633"/>
      <c r="R26" s="632">
        <f t="shared" si="1"/>
        <v>0.14569561852347013</v>
      </c>
      <c r="S26" s="633"/>
      <c r="T26" s="725">
        <f t="shared" si="12"/>
        <v>0.42616145173417319</v>
      </c>
      <c r="U26" s="623">
        <f t="shared" si="11"/>
        <v>-1.9999999999999997E-2</v>
      </c>
      <c r="V26" s="633"/>
      <c r="W26" s="623">
        <f t="shared" si="4"/>
        <v>-5.5042652201603003E-2</v>
      </c>
      <c r="X26" s="701"/>
      <c r="Y26" s="623">
        <f t="shared" si="5"/>
        <v>-2.0000000000000004E-2</v>
      </c>
      <c r="Z26" s="633"/>
      <c r="AA26" s="623">
        <f t="shared" si="6"/>
        <v>-2.850225818689164E-2</v>
      </c>
      <c r="AB26" s="701"/>
      <c r="AC26" s="623">
        <f t="shared" si="7"/>
        <v>-1.993542550060767E-2</v>
      </c>
      <c r="AD26" s="633"/>
      <c r="AE26" s="623">
        <f t="shared" si="9"/>
        <v>-1.4590393441653341E-2</v>
      </c>
      <c r="AF26" s="633"/>
      <c r="AG26" s="678">
        <f>-W26*AE26</f>
        <v>-8.030939516934743E-4</v>
      </c>
    </row>
    <row r="27" spans="2:36">
      <c r="B27" s="717" t="s">
        <v>43</v>
      </c>
      <c r="C27" s="245"/>
      <c r="D27" s="528">
        <f>'03- BD x RE 2026'!D59/1000</f>
        <v>-33.720489676912514</v>
      </c>
      <c r="E27" s="245"/>
      <c r="F27" s="618">
        <f>'03- BD x RE 2026'!E59/1000</f>
        <v>-17.515179999999997</v>
      </c>
      <c r="G27" s="245"/>
      <c r="H27" s="528">
        <f>'03- BD x RE 2026'!G59/1000</f>
        <v>-49.215108207972008</v>
      </c>
      <c r="I27" s="245"/>
      <c r="J27" s="618">
        <f>'03- BD x RE 2026'!H59/1000</f>
        <v>-18.701310000000003</v>
      </c>
      <c r="K27" s="245"/>
      <c r="L27" s="528">
        <f>'03- BD x RE 2026'!J59/1000</f>
        <v>-46.162251972900009</v>
      </c>
      <c r="M27" s="245"/>
      <c r="N27" s="528">
        <f>'03- BD x RE 2026'!K59/1000</f>
        <v>-26.100819999999999</v>
      </c>
      <c r="O27" s="245"/>
      <c r="P27" s="632">
        <f>IF(ISERROR($F27/D27-1),"-",($F27/D27-1))</f>
        <v>-0.48057753111479407</v>
      </c>
      <c r="Q27" s="633"/>
      <c r="R27" s="632">
        <f t="shared" si="1"/>
        <v>1.6316396128384589</v>
      </c>
      <c r="S27" s="633"/>
      <c r="T27" s="725">
        <f t="shared" si="12"/>
        <v>0.76861309234345931</v>
      </c>
      <c r="U27" s="623">
        <f t="shared" si="11"/>
        <v>-2.1034109366540338E-2</v>
      </c>
      <c r="V27" s="633"/>
      <c r="W27" s="623">
        <f t="shared" si="4"/>
        <v>-1.3082142642781656E-2</v>
      </c>
      <c r="X27" s="701"/>
      <c r="Y27" s="623">
        <f t="shared" si="5"/>
        <v>-2.0000000000000004E-2</v>
      </c>
      <c r="Z27" s="633"/>
      <c r="AA27" s="623">
        <f t="shared" si="6"/>
        <v>-1.2408580629140633E-2</v>
      </c>
      <c r="AB27" s="701"/>
      <c r="AC27" s="623">
        <f t="shared" si="7"/>
        <v>-1.8554155763199069E-2</v>
      </c>
      <c r="AD27" s="633"/>
      <c r="AE27" s="623">
        <f t="shared" si="9"/>
        <v>-1.0950111707621127E-2</v>
      </c>
      <c r="AF27" s="633"/>
      <c r="AG27" s="678">
        <f>-W27*AE27</f>
        <v>-1.43250923313493E-4</v>
      </c>
    </row>
    <row r="28" spans="2:36" ht="0.75" customHeight="1">
      <c r="B28" s="719"/>
      <c r="C28" s="531"/>
      <c r="D28" s="515"/>
      <c r="E28" s="531"/>
      <c r="F28" s="619"/>
      <c r="G28" s="531"/>
      <c r="H28" s="515"/>
      <c r="I28" s="531"/>
      <c r="J28" s="619"/>
      <c r="K28" s="531"/>
      <c r="L28" s="515"/>
      <c r="M28" s="531"/>
      <c r="N28" s="515"/>
      <c r="O28" s="531"/>
      <c r="P28" s="534"/>
      <c r="Q28" s="629"/>
      <c r="R28" s="534" t="str">
        <f t="shared" si="1"/>
        <v>-</v>
      </c>
      <c r="S28" s="629"/>
      <c r="T28" s="725" t="str">
        <f t="shared" si="12"/>
        <v>-</v>
      </c>
      <c r="U28" s="10">
        <f t="shared" si="11"/>
        <v>0</v>
      </c>
      <c r="V28" s="629"/>
      <c r="W28" s="10"/>
      <c r="X28" s="703"/>
      <c r="Y28" s="10">
        <f t="shared" si="5"/>
        <v>0</v>
      </c>
      <c r="Z28" s="629"/>
      <c r="AA28" s="10"/>
      <c r="AB28" s="703"/>
      <c r="AC28" s="10">
        <f t="shared" si="7"/>
        <v>0</v>
      </c>
      <c r="AD28" s="629"/>
      <c r="AE28" s="543">
        <f t="shared" si="9"/>
        <v>0</v>
      </c>
      <c r="AF28" s="629"/>
      <c r="AG28" s="659">
        <f>-W28*AE28</f>
        <v>0</v>
      </c>
    </row>
    <row r="29" spans="2:36">
      <c r="B29" s="715" t="s">
        <v>1305</v>
      </c>
      <c r="C29" s="245"/>
      <c r="D29" s="544">
        <f>D15+D17+D24</f>
        <v>-3.9126425342531377</v>
      </c>
      <c r="E29" s="245"/>
      <c r="F29" s="617">
        <f>F15+F17+F24</f>
        <v>-244.67029999999968</v>
      </c>
      <c r="G29" s="245"/>
      <c r="H29" s="544">
        <f>H15+H17+H24</f>
        <v>352.61902820766704</v>
      </c>
      <c r="I29" s="245"/>
      <c r="J29" s="617">
        <f>J15+J17+J24</f>
        <v>-106.36751309999934</v>
      </c>
      <c r="K29" s="245"/>
      <c r="L29" s="544">
        <f>L15+L17+L24</f>
        <v>382.48125107266503</v>
      </c>
      <c r="M29" s="245"/>
      <c r="N29" s="544">
        <f>N15+N17+N24</f>
        <v>509.90642609999929</v>
      </c>
      <c r="O29" s="245"/>
      <c r="P29" s="610">
        <f>IF(ISERROR($F29/D29-1),"-",($F29/D29-1))</f>
        <v>61.533261819355907</v>
      </c>
      <c r="Q29" s="626"/>
      <c r="R29" s="610">
        <f t="shared" si="1"/>
        <v>-4.3151008040975736</v>
      </c>
      <c r="S29" s="626"/>
      <c r="T29" s="610">
        <f t="shared" si="12"/>
        <v>-0.24989913541969078</v>
      </c>
      <c r="U29" s="610">
        <f t="shared" si="11"/>
        <v>-2.4406214668349219E-3</v>
      </c>
      <c r="V29" s="626"/>
      <c r="W29" s="610">
        <f>IF(ISERROR(F29/F$15),"-",(F29/F$15))</f>
        <v>-0.18274501118756284</v>
      </c>
      <c r="X29" s="702"/>
      <c r="Y29" s="610">
        <f t="shared" si="5"/>
        <v>0.14329706508724036</v>
      </c>
      <c r="Z29" s="626"/>
      <c r="AA29" s="610">
        <f>IF(ISERROR(J29/J$15),"-",(J29/J$15))</f>
        <v>-7.0576331958697766E-2</v>
      </c>
      <c r="AB29" s="702"/>
      <c r="AC29" s="610">
        <f t="shared" si="7"/>
        <v>0.15373203008101977</v>
      </c>
      <c r="AD29" s="626"/>
      <c r="AE29" s="543">
        <f t="shared" si="9"/>
        <v>0.21392172070566556</v>
      </c>
      <c r="AF29" s="626"/>
      <c r="AG29" s="610">
        <f>AE29-W29</f>
        <v>0.39666673189322843</v>
      </c>
    </row>
    <row r="30" spans="2:36">
      <c r="B30" s="720" t="s">
        <v>442</v>
      </c>
      <c r="C30" s="513"/>
      <c r="D30" s="514">
        <f>IF(ISERROR(D29/D15),0,(D29/D15))</f>
        <v>-2.4406214668349219E-3</v>
      </c>
      <c r="E30" s="513"/>
      <c r="F30" s="622">
        <f>IF(ISERROR(F29/F15),0,(F29/F15))</f>
        <v>-0.18274501118756284</v>
      </c>
      <c r="G30" s="513"/>
      <c r="H30" s="514">
        <f>IF(ISERROR(H29/H15),0,(H29/H15))</f>
        <v>0.14329706508724036</v>
      </c>
      <c r="I30" s="513"/>
      <c r="J30" s="622">
        <f>IF(ISERROR(J29/J15),0,(J29/J15))</f>
        <v>-7.0576331958697766E-2</v>
      </c>
      <c r="K30" s="513"/>
      <c r="L30" s="514">
        <f>IF(ISERROR(L29/L15),0,(L29/L15))</f>
        <v>0.15373203008101977</v>
      </c>
      <c r="M30" s="513"/>
      <c r="N30" s="514">
        <f>IF(ISERROR(N29/N15),0,(N29/N15))</f>
        <v>0.21392172070566556</v>
      </c>
      <c r="O30" s="513"/>
      <c r="P30" s="723">
        <f>IF(ISERROR($D30/F30-1),"-",($D30/F30-1))</f>
        <v>-0.98664466159171937</v>
      </c>
      <c r="Q30" s="634"/>
      <c r="R30" s="723">
        <f t="shared" si="1"/>
        <v>-3.0303841402681533</v>
      </c>
      <c r="S30" s="634"/>
      <c r="T30" s="725">
        <f t="shared" si="12"/>
        <v>-0.28136315670095358</v>
      </c>
      <c r="U30" s="624">
        <f t="shared" si="11"/>
        <v>-1.522406683520981E-6</v>
      </c>
      <c r="V30" s="634"/>
      <c r="W30" s="624"/>
      <c r="X30" s="704"/>
      <c r="Y30" s="624">
        <f t="shared" si="5"/>
        <v>5.8232957441320305E-5</v>
      </c>
      <c r="Z30" s="634"/>
      <c r="AA30" s="624"/>
      <c r="AB30" s="704"/>
      <c r="AC30" s="624">
        <f t="shared" si="7"/>
        <v>6.1790053777934311E-5</v>
      </c>
      <c r="AD30" s="634"/>
      <c r="AE30" s="624">
        <f t="shared" si="9"/>
        <v>8.9746863830851499E-5</v>
      </c>
      <c r="AF30" s="634"/>
      <c r="AG30" s="678">
        <f>-W30*AE30</f>
        <v>0</v>
      </c>
    </row>
    <row r="31" spans="2:36" ht="3" customHeight="1">
      <c r="B31" s="714"/>
      <c r="C31" s="245"/>
      <c r="D31" s="520"/>
      <c r="E31" s="245"/>
      <c r="F31" s="615"/>
      <c r="G31" s="245"/>
      <c r="H31" s="520"/>
      <c r="I31" s="245"/>
      <c r="J31" s="615"/>
      <c r="K31" s="245"/>
      <c r="L31" s="520"/>
      <c r="M31" s="245"/>
      <c r="N31" s="520"/>
      <c r="O31" s="245"/>
      <c r="P31" s="635"/>
      <c r="Q31" s="633"/>
      <c r="R31" s="635" t="str">
        <f t="shared" si="1"/>
        <v>-</v>
      </c>
      <c r="S31" s="633"/>
      <c r="T31" s="635" t="str">
        <f>IF(ISERROR($H31/K31-1),"-",($H31/K31-1))</f>
        <v>-</v>
      </c>
      <c r="U31" s="636">
        <f t="shared" si="11"/>
        <v>0</v>
      </c>
      <c r="V31" s="633"/>
      <c r="W31" s="636"/>
      <c r="X31" s="705"/>
      <c r="Y31" s="636">
        <f t="shared" si="5"/>
        <v>0</v>
      </c>
      <c r="Z31" s="633"/>
      <c r="AA31" s="636"/>
      <c r="AB31" s="705"/>
      <c r="AC31" s="636">
        <f t="shared" si="7"/>
        <v>0</v>
      </c>
      <c r="AD31" s="633"/>
      <c r="AE31" s="636">
        <f t="shared" si="9"/>
        <v>0</v>
      </c>
      <c r="AF31" s="633"/>
      <c r="AG31" s="678">
        <f>-W31*AE31</f>
        <v>0</v>
      </c>
    </row>
    <row r="32" spans="2:36">
      <c r="B32" s="718" t="s">
        <v>1302</v>
      </c>
      <c r="C32" s="163"/>
      <c r="D32" s="515"/>
      <c r="E32" s="163"/>
      <c r="F32" s="619"/>
      <c r="G32" s="163"/>
      <c r="H32" s="515"/>
      <c r="I32" s="163"/>
      <c r="J32" s="619"/>
      <c r="K32" s="163"/>
      <c r="L32" s="515"/>
      <c r="M32" s="163"/>
      <c r="N32" s="515"/>
      <c r="O32" s="163"/>
      <c r="P32" s="637" t="str">
        <f>IF(ISERROR($F32/D32-1),"-",($F32/D32-1))</f>
        <v>-</v>
      </c>
      <c r="Q32" s="638"/>
      <c r="R32" s="637" t="str">
        <f t="shared" si="1"/>
        <v>-</v>
      </c>
      <c r="S32" s="638"/>
      <c r="T32" s="637" t="str">
        <f>IF(ISERROR($H32/K32-1),"-",($H32/K32-1))</f>
        <v>-</v>
      </c>
      <c r="U32" s="623">
        <f t="shared" si="11"/>
        <v>0</v>
      </c>
      <c r="V32" s="638"/>
      <c r="W32" s="623">
        <f>IF(ISERROR(F32/F$15),"-",(F32/F$15))</f>
        <v>0</v>
      </c>
      <c r="X32" s="701"/>
      <c r="Y32" s="623">
        <f t="shared" si="5"/>
        <v>0</v>
      </c>
      <c r="Z32" s="638"/>
      <c r="AA32" s="623">
        <f>IF(ISERROR(J32/J$15),"-",(J32/J$15))</f>
        <v>0</v>
      </c>
      <c r="AB32" s="701"/>
      <c r="AC32" s="623">
        <f t="shared" si="7"/>
        <v>0</v>
      </c>
      <c r="AD32" s="638"/>
      <c r="AE32" s="623">
        <f t="shared" si="9"/>
        <v>0</v>
      </c>
      <c r="AF32" s="638"/>
      <c r="AG32" s="678">
        <f>-W32*AE32</f>
        <v>0</v>
      </c>
    </row>
    <row r="33" spans="2:33" ht="2.25" customHeight="1">
      <c r="B33" s="721"/>
      <c r="F33" s="620"/>
      <c r="J33" s="620"/>
      <c r="P33" s="535"/>
      <c r="Q33" s="631"/>
      <c r="R33" s="535" t="str">
        <f t="shared" si="1"/>
        <v>-</v>
      </c>
      <c r="S33" s="631"/>
      <c r="T33" s="535" t="str">
        <f>IF(ISERROR($H33/K33-1),"-",($H33/K33-1))</f>
        <v>-</v>
      </c>
      <c r="U33" s="611">
        <f t="shared" si="11"/>
        <v>0</v>
      </c>
      <c r="V33" s="631"/>
      <c r="W33" s="611"/>
      <c r="X33" s="689"/>
      <c r="Y33" s="611">
        <f t="shared" si="5"/>
        <v>0</v>
      </c>
      <c r="Z33" s="631"/>
      <c r="AA33" s="611"/>
      <c r="AB33" s="689"/>
      <c r="AC33" s="611">
        <f t="shared" si="7"/>
        <v>0</v>
      </c>
      <c r="AD33" s="631"/>
      <c r="AE33" s="636">
        <f t="shared" si="9"/>
        <v>0</v>
      </c>
      <c r="AF33" s="631"/>
      <c r="AG33" s="678">
        <f>-W33*AE33</f>
        <v>0</v>
      </c>
    </row>
    <row r="34" spans="2:33">
      <c r="B34" s="715" t="s">
        <v>1306</v>
      </c>
      <c r="C34" s="245"/>
      <c r="D34" s="544">
        <f t="shared" ref="D34" si="13">D29+D32</f>
        <v>-3.9126425342531377</v>
      </c>
      <c r="E34" s="245"/>
      <c r="F34" s="617">
        <f>F29+F32</f>
        <v>-244.67029999999968</v>
      </c>
      <c r="G34" s="245"/>
      <c r="H34" s="544">
        <f>H29+H32</f>
        <v>352.61902820766704</v>
      </c>
      <c r="I34" s="245"/>
      <c r="J34" s="617">
        <f>J29+J32</f>
        <v>-106.36751309999934</v>
      </c>
      <c r="K34" s="245"/>
      <c r="L34" s="544">
        <f>L29+L32</f>
        <v>382.48125107266503</v>
      </c>
      <c r="M34" s="245"/>
      <c r="N34" s="544">
        <f>N29+N32</f>
        <v>509.90642609999929</v>
      </c>
      <c r="O34" s="245"/>
      <c r="P34" s="610">
        <f>IF(ISERROR($F34/D34-1),"-",($F34/D34-1))</f>
        <v>61.533261819355907</v>
      </c>
      <c r="Q34" s="626"/>
      <c r="R34" s="610">
        <f t="shared" si="1"/>
        <v>-4.3151008040975736</v>
      </c>
      <c r="S34" s="626"/>
      <c r="T34" s="610">
        <f t="shared" ref="T34:T36" si="14">IF(ISERROR($L34/N34-1),"-",($L34/N34-1))</f>
        <v>-0.24989913541969078</v>
      </c>
      <c r="U34" s="610">
        <f t="shared" si="11"/>
        <v>-2.4406214668349219E-3</v>
      </c>
      <c r="V34" s="626"/>
      <c r="W34" s="610">
        <f>IF(ISERROR(F34/F$15),"-",(F34/F$15))</f>
        <v>-0.18274501118756284</v>
      </c>
      <c r="X34" s="702"/>
      <c r="Y34" s="610">
        <f t="shared" si="5"/>
        <v>0.14329706508724036</v>
      </c>
      <c r="Z34" s="626"/>
      <c r="AA34" s="610">
        <f>IF(ISERROR(J34/J$15),"-",(J34/J$15))</f>
        <v>-7.0576331958697766E-2</v>
      </c>
      <c r="AB34" s="702"/>
      <c r="AC34" s="610">
        <f t="shared" si="7"/>
        <v>0.15373203008101977</v>
      </c>
      <c r="AD34" s="626"/>
      <c r="AE34" s="543">
        <f t="shared" si="9"/>
        <v>0.21392172070566556</v>
      </c>
      <c r="AF34" s="626"/>
      <c r="AG34" s="610">
        <f>AE34-W34</f>
        <v>0.39666673189322843</v>
      </c>
    </row>
    <row r="35" spans="2:33">
      <c r="B35" s="720" t="s">
        <v>443</v>
      </c>
      <c r="C35" s="513"/>
      <c r="D35" s="514">
        <f>IF(ISERROR(D34/D15),0,(D34/D15))</f>
        <v>-2.4406214668349219E-3</v>
      </c>
      <c r="E35" s="513"/>
      <c r="F35" s="622">
        <f>IF(ISERROR(F34/F15),0,(F34/F15))</f>
        <v>-0.18274501118756284</v>
      </c>
      <c r="G35" s="513"/>
      <c r="H35" s="514">
        <f>IF(ISERROR(H34/H15),0,(H34/H15))</f>
        <v>0.14329706508724036</v>
      </c>
      <c r="I35" s="513"/>
      <c r="J35" s="622">
        <f>IF(ISERROR(J34/J15),0,(J34/J15))</f>
        <v>-7.0576331958697766E-2</v>
      </c>
      <c r="K35" s="513"/>
      <c r="L35" s="514">
        <f>IF(ISERROR(L34/L15),0,(L34/L15))</f>
        <v>0.15373203008101977</v>
      </c>
      <c r="M35" s="513"/>
      <c r="N35" s="514">
        <f>IF(ISERROR(N34/N15),0,(N34/N15))</f>
        <v>0.21392172070566556</v>
      </c>
      <c r="O35" s="513"/>
      <c r="P35" s="723">
        <f>IF(ISERROR($D35/F35-1),"-",($D35/F35-1))</f>
        <v>-0.98664466159171937</v>
      </c>
      <c r="Q35" s="630"/>
      <c r="R35" s="722">
        <f t="shared" si="1"/>
        <v>-3.0303841402681533</v>
      </c>
      <c r="S35" s="630"/>
      <c r="T35" s="725">
        <f t="shared" si="14"/>
        <v>-0.28136315670095358</v>
      </c>
      <c r="U35" s="624">
        <f t="shared" si="11"/>
        <v>-1.522406683520981E-6</v>
      </c>
      <c r="V35" s="630"/>
      <c r="W35" s="624"/>
      <c r="X35" s="704"/>
      <c r="Y35" s="624">
        <f t="shared" si="5"/>
        <v>5.8232957441320305E-5</v>
      </c>
      <c r="Z35" s="630"/>
      <c r="AA35" s="624"/>
      <c r="AB35" s="704"/>
      <c r="AC35" s="624">
        <f t="shared" si="7"/>
        <v>6.1790053777934311E-5</v>
      </c>
      <c r="AD35" s="630"/>
      <c r="AE35" s="624">
        <f t="shared" si="9"/>
        <v>8.9746863830851499E-5</v>
      </c>
      <c r="AF35" s="630"/>
      <c r="AG35" s="678">
        <f>-W35*AE35</f>
        <v>0</v>
      </c>
    </row>
    <row r="36" spans="2:33">
      <c r="B36" s="718" t="s">
        <v>47</v>
      </c>
      <c r="C36" s="163"/>
      <c r="D36" s="515">
        <f>'03- BD x RE 2026'!D69/1000</f>
        <v>-12.151527811500003</v>
      </c>
      <c r="E36" s="163"/>
      <c r="F36" s="619">
        <f>'03- BD x RE 2026'!E69/1000</f>
        <v>-2.30552</v>
      </c>
      <c r="G36" s="163"/>
      <c r="H36" s="515">
        <f>'03- BD x RE 2026'!G69/1000</f>
        <v>-18.652179613200001</v>
      </c>
      <c r="I36" s="163"/>
      <c r="J36" s="619">
        <f>'03- BD x RE 2026'!H69/1000</f>
        <v>-0.77605999999999986</v>
      </c>
      <c r="K36" s="163"/>
      <c r="L36" s="515">
        <f>'03- BD x RE 2026'!J69/1000</f>
        <v>-18.797601704279998</v>
      </c>
      <c r="M36" s="163"/>
      <c r="N36" s="515">
        <f>'03- BD x RE 2026'!K69/1000</f>
        <v>-0.45100000000000007</v>
      </c>
      <c r="O36" s="163"/>
      <c r="P36" s="623">
        <f>IF(ISERROR($F36/D36-1),"-",($F36/D36-1))</f>
        <v>-0.81026912535079787</v>
      </c>
      <c r="Q36" s="638"/>
      <c r="R36" s="623">
        <f t="shared" si="1"/>
        <v>23.034455600340184</v>
      </c>
      <c r="S36" s="638"/>
      <c r="T36" s="725">
        <f t="shared" si="14"/>
        <v>40.679826395299322</v>
      </c>
      <c r="U36" s="623">
        <f t="shared" si="11"/>
        <v>-7.5798592311857064E-3</v>
      </c>
      <c r="V36" s="638"/>
      <c r="W36" s="623">
        <f>IF(ISERROR(F36/F$15),"-",(F36/F$15))</f>
        <v>-1.7220000882540727E-3</v>
      </c>
      <c r="X36" s="701"/>
      <c r="Y36" s="623">
        <f t="shared" si="5"/>
        <v>-7.5798592311857073E-3</v>
      </c>
      <c r="Z36" s="638"/>
      <c r="AA36" s="623">
        <f>IF(ISERROR(J36/J$15),"-",(J36/J$15))</f>
        <v>-5.1492665931161385E-4</v>
      </c>
      <c r="AB36" s="701"/>
      <c r="AC36" s="623">
        <f t="shared" si="7"/>
        <v>-7.5553859504197997E-3</v>
      </c>
      <c r="AD36" s="638"/>
      <c r="AE36" s="623">
        <f t="shared" si="9"/>
        <v>-1.8920862946593744E-4</v>
      </c>
      <c r="AF36" s="638"/>
      <c r="AG36" s="678">
        <f>-W36*AE36</f>
        <v>-3.258172766387764E-7</v>
      </c>
    </row>
    <row r="37" spans="2:33" ht="12.75" hidden="1" customHeight="1">
      <c r="B37" s="718" t="s">
        <v>1303</v>
      </c>
      <c r="C37" s="163"/>
      <c r="D37" s="515"/>
      <c r="E37" s="163"/>
      <c r="F37" s="619"/>
      <c r="G37" s="163"/>
      <c r="H37" s="515">
        <f>'03- BD x RE 2026'!G70/1000</f>
        <v>0</v>
      </c>
      <c r="I37" s="163"/>
      <c r="J37" s="619">
        <f>'[2]9 1 DRE R23'!P68/1000</f>
        <v>0</v>
      </c>
      <c r="K37" s="163"/>
      <c r="L37" s="515">
        <f>'03- BD x RE 2026'!J70/1000</f>
        <v>0</v>
      </c>
      <c r="M37" s="163"/>
      <c r="N37" s="515">
        <f>'03- BD x RE 2026'!K70/1000</f>
        <v>0</v>
      </c>
      <c r="O37" s="163"/>
      <c r="P37" s="639" t="str">
        <f>IF(ISERROR(#REF!/D37-1),"-",(#REF!/D37-1))</f>
        <v>-</v>
      </c>
      <c r="Q37" s="638"/>
      <c r="R37" s="639" t="str">
        <f t="shared" si="1"/>
        <v>-</v>
      </c>
      <c r="S37" s="638"/>
      <c r="T37" s="639" t="str">
        <f>IF(ISERROR($H37/K37-1),"-",($H37/K37-1))</f>
        <v>-</v>
      </c>
      <c r="U37" s="623">
        <f t="shared" si="11"/>
        <v>0</v>
      </c>
      <c r="V37" s="638"/>
      <c r="W37" s="623">
        <f>IF(ISERROR(F37/F$15),"-",(F37/F$15))</f>
        <v>0</v>
      </c>
      <c r="X37" s="701"/>
      <c r="Y37" s="623">
        <f t="shared" si="5"/>
        <v>0</v>
      </c>
      <c r="Z37" s="638"/>
      <c r="AA37" s="623">
        <f>IF(ISERROR(J37/J$15),"-",(J37/J$15))</f>
        <v>0</v>
      </c>
      <c r="AB37" s="701"/>
      <c r="AC37" s="623">
        <f t="shared" si="7"/>
        <v>0</v>
      </c>
      <c r="AD37" s="638"/>
      <c r="AE37" s="623">
        <f t="shared" si="9"/>
        <v>0</v>
      </c>
      <c r="AF37" s="638"/>
      <c r="AG37" s="678">
        <f>-W37*AE37</f>
        <v>0</v>
      </c>
    </row>
    <row r="38" spans="2:33">
      <c r="B38" s="718" t="s">
        <v>1308</v>
      </c>
      <c r="C38" s="163"/>
      <c r="D38" s="515"/>
      <c r="E38" s="163"/>
      <c r="F38" s="619"/>
      <c r="G38" s="163"/>
      <c r="H38" s="515">
        <f>'03- BD x RE 2026'!G71/1000</f>
        <v>0</v>
      </c>
      <c r="I38" s="163"/>
      <c r="J38" s="619"/>
      <c r="K38" s="163"/>
      <c r="L38" s="515">
        <f>'03- BD x RE 2026'!J71/1000</f>
        <v>0</v>
      </c>
      <c r="M38" s="163"/>
      <c r="N38" s="515">
        <f>'03- BD x RE 2026'!K71/1000</f>
        <v>0</v>
      </c>
      <c r="O38" s="163"/>
      <c r="P38" s="623" t="str">
        <f>IF(ISERROR($F38/D38-1),"-",($F38/D38-1))</f>
        <v>-</v>
      </c>
      <c r="Q38" s="638"/>
      <c r="R38" s="623" t="str">
        <f t="shared" si="1"/>
        <v>-</v>
      </c>
      <c r="S38" s="638"/>
      <c r="T38" s="623" t="str">
        <f>IF(ISERROR($H38/K38-1),"-",($H38/K38-1))</f>
        <v>-</v>
      </c>
      <c r="U38" s="623">
        <f t="shared" si="11"/>
        <v>0</v>
      </c>
      <c r="V38" s="638"/>
      <c r="W38" s="623">
        <f>IF(ISERROR(F38/F$15),"-",(F38/F$15))</f>
        <v>0</v>
      </c>
      <c r="X38" s="701"/>
      <c r="Y38" s="623">
        <f t="shared" si="5"/>
        <v>0</v>
      </c>
      <c r="Z38" s="638"/>
      <c r="AA38" s="623">
        <f>IF(ISERROR(J38/J$15),"-",(J38/J$15))</f>
        <v>0</v>
      </c>
      <c r="AB38" s="701"/>
      <c r="AC38" s="623">
        <f t="shared" si="7"/>
        <v>0</v>
      </c>
      <c r="AD38" s="638"/>
      <c r="AE38" s="623">
        <f t="shared" si="9"/>
        <v>0</v>
      </c>
      <c r="AF38" s="638"/>
      <c r="AG38" s="678">
        <f>-W38*AE38</f>
        <v>0</v>
      </c>
    </row>
    <row r="39" spans="2:33" ht="3.95" customHeight="1">
      <c r="B39" s="718"/>
      <c r="C39" s="163"/>
      <c r="D39" s="520"/>
      <c r="E39" s="163"/>
      <c r="F39" s="615"/>
      <c r="G39" s="163"/>
      <c r="H39" s="520"/>
      <c r="I39" s="163"/>
      <c r="J39" s="615"/>
      <c r="K39" s="163"/>
      <c r="L39" s="520"/>
      <c r="M39" s="163"/>
      <c r="N39" s="520"/>
      <c r="O39" s="163"/>
      <c r="P39" s="530"/>
      <c r="Q39" s="613"/>
      <c r="R39" s="530" t="str">
        <f t="shared" si="1"/>
        <v>-</v>
      </c>
      <c r="S39" s="613"/>
      <c r="T39" s="530" t="str">
        <f>IF(ISERROR($H39/K39-1),"-",($H39/K39-1))</f>
        <v>-</v>
      </c>
      <c r="U39" s="537"/>
      <c r="V39" s="613"/>
      <c r="W39" s="537"/>
      <c r="X39" s="706"/>
      <c r="Y39" s="537"/>
      <c r="Z39" s="613"/>
      <c r="AA39" s="537"/>
      <c r="AB39" s="706"/>
      <c r="AC39" s="537"/>
      <c r="AD39" s="613"/>
      <c r="AE39" s="537"/>
      <c r="AF39" s="613"/>
      <c r="AG39" s="659"/>
    </row>
    <row r="40" spans="2:33">
      <c r="B40" s="711" t="s">
        <v>1735</v>
      </c>
      <c r="C40" s="245"/>
      <c r="D40" s="540">
        <f>D34+D36+D37+D38</f>
        <v>-16.064170345753141</v>
      </c>
      <c r="E40" s="245"/>
      <c r="F40" s="616">
        <f>F34+F36+F37+F38</f>
        <v>-246.97581999999969</v>
      </c>
      <c r="G40" s="245"/>
      <c r="H40" s="540">
        <f>H34+H36+H37+H38</f>
        <v>333.96684859446702</v>
      </c>
      <c r="I40" s="245"/>
      <c r="J40" s="616">
        <f>J34+J36+J37+J38</f>
        <v>-107.14357309999934</v>
      </c>
      <c r="K40" s="245"/>
      <c r="L40" s="540">
        <f>L34+L36+L37+L38</f>
        <v>363.68364936838503</v>
      </c>
      <c r="M40" s="245"/>
      <c r="N40" s="540">
        <f>N34+N36+N37+N38</f>
        <v>509.45542609999927</v>
      </c>
      <c r="O40" s="245"/>
      <c r="P40" s="610">
        <f>IF(ISERROR($F40/D40-1),"-",($F40/D40-1))</f>
        <v>14.374327754516889</v>
      </c>
      <c r="Q40" s="626"/>
      <c r="R40" s="610">
        <f t="shared" si="1"/>
        <v>-4.1170030915691864</v>
      </c>
      <c r="S40" s="626"/>
      <c r="T40" s="610" t="str">
        <f>IF(ISERROR($H40/K40-1),"-",($H40/K40-1))</f>
        <v>-</v>
      </c>
      <c r="U40" s="625">
        <f t="shared" si="11"/>
        <v>-1.0020480698020629E-2</v>
      </c>
      <c r="V40" s="626"/>
      <c r="W40" s="625">
        <f>IF(ISERROR(F40/F$15),"-",(F40/F$15))</f>
        <v>-0.18446701127581691</v>
      </c>
      <c r="X40" s="707"/>
      <c r="Y40" s="625">
        <f>IF(ISERROR($H40/$H$15),"-",($H40/$H$15))</f>
        <v>0.13571720585605465</v>
      </c>
      <c r="Z40" s="626"/>
      <c r="AA40" s="625">
        <f>IF(ISERROR(J40/J$15),"-",(J40/J$15))</f>
        <v>-7.1091258618009384E-2</v>
      </c>
      <c r="AB40" s="707"/>
      <c r="AC40" s="625">
        <f>IF(ISERROR($L40/$L$15),"-",($L40/$L$15))</f>
        <v>0.14617664413059997</v>
      </c>
      <c r="AD40" s="626"/>
      <c r="AE40" s="543">
        <f t="shared" si="9"/>
        <v>0.21373251207619962</v>
      </c>
      <c r="AF40" s="626"/>
      <c r="AG40" s="625">
        <f>-W40*AE40</f>
        <v>3.9426597715168987E-2</v>
      </c>
    </row>
    <row r="41" spans="2:33">
      <c r="B41" s="720" t="str">
        <f>'[2]2 DRE  '!A70</f>
        <v>Margem líquida</v>
      </c>
      <c r="C41" s="513"/>
      <c r="D41" s="514">
        <f>IF(ISERROR(D40/D15),0,(D40/D15))</f>
        <v>-1.0020480698020629E-2</v>
      </c>
      <c r="E41" s="513"/>
      <c r="F41" s="622">
        <f>IF(ISERROR(F40/F15),0,(F40/F15))</f>
        <v>-0.18446701127581691</v>
      </c>
      <c r="G41" s="513"/>
      <c r="H41" s="514">
        <f>IF(ISERROR(H40/H15),0,(H40/H15))</f>
        <v>0.13571720585605465</v>
      </c>
      <c r="I41" s="513"/>
      <c r="J41" s="622">
        <f>IF(ISERROR(J40/J15),0,(J40/J15))</f>
        <v>-7.1091258618009384E-2</v>
      </c>
      <c r="K41" s="513"/>
      <c r="L41" s="514">
        <f>IF(ISERROR(L40/L15),0,(L40/L15))</f>
        <v>0.14617664413059997</v>
      </c>
      <c r="M41" s="513"/>
      <c r="N41" s="514">
        <f>IF(ISERROR(N40/N15),0,(N40/N15))</f>
        <v>0.21373251207619962</v>
      </c>
      <c r="O41" s="513"/>
      <c r="P41" s="673"/>
      <c r="Q41" s="675"/>
      <c r="R41" s="673"/>
      <c r="S41" s="675"/>
      <c r="T41" s="673"/>
      <c r="U41" s="674"/>
      <c r="V41" s="513"/>
      <c r="W41" s="532"/>
      <c r="X41" s="708"/>
      <c r="Y41" s="674"/>
      <c r="Z41" s="513"/>
      <c r="AA41" s="532"/>
      <c r="AB41" s="708"/>
      <c r="AC41" s="532"/>
      <c r="AD41" s="532"/>
    </row>
    <row r="42" spans="2:33">
      <c r="B42" s="529"/>
      <c r="C42" s="163"/>
      <c r="D42" s="520"/>
      <c r="E42" s="163"/>
      <c r="F42" s="520"/>
      <c r="G42" s="163"/>
      <c r="H42" s="520"/>
      <c r="I42" s="163"/>
      <c r="J42" s="520"/>
      <c r="K42" s="163"/>
      <c r="L42" s="520"/>
      <c r="M42" s="163"/>
      <c r="N42" s="520"/>
      <c r="O42" s="163"/>
      <c r="P42" s="676"/>
      <c r="Q42" s="673"/>
      <c r="R42" s="676"/>
      <c r="S42" s="673"/>
      <c r="T42" s="676"/>
      <c r="U42" s="677"/>
      <c r="V42" s="163"/>
      <c r="W42" s="526"/>
      <c r="X42" s="709"/>
      <c r="Y42" s="677"/>
      <c r="Z42" s="163"/>
      <c r="AA42" s="526"/>
      <c r="AB42" s="709"/>
      <c r="AC42" s="526"/>
      <c r="AD42" s="526"/>
    </row>
    <row r="43" spans="2:33">
      <c r="B43" s="163"/>
      <c r="C43" s="163"/>
      <c r="D43" s="163"/>
      <c r="E43" s="163"/>
      <c r="F43" s="533"/>
      <c r="G43" s="163"/>
      <c r="H43" s="163"/>
      <c r="I43" s="163"/>
      <c r="J43" s="53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613"/>
      <c r="Y43" s="163"/>
      <c r="Z43" s="163"/>
      <c r="AA43" s="163"/>
      <c r="AB43" s="613"/>
      <c r="AC43" s="163"/>
      <c r="AD43" s="163"/>
    </row>
    <row r="44" spans="2:33"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613"/>
      <c r="Y44" s="163"/>
      <c r="Z44" s="163"/>
      <c r="AA44" s="163"/>
      <c r="AB44" s="613"/>
      <c r="AC44" s="163"/>
      <c r="AD44" s="163"/>
    </row>
    <row r="45" spans="2:33"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613"/>
      <c r="Y45" s="163"/>
      <c r="Z45" s="163"/>
      <c r="AA45" s="163"/>
      <c r="AB45" s="613"/>
      <c r="AC45" s="163"/>
      <c r="AD45" s="163"/>
    </row>
    <row r="46" spans="2:33">
      <c r="B46" s="1"/>
      <c r="C46" s="163"/>
      <c r="D46" s="515"/>
      <c r="E46" s="163"/>
      <c r="F46" s="515"/>
      <c r="G46" s="163"/>
      <c r="H46" s="515"/>
      <c r="I46" s="163"/>
      <c r="J46" s="515"/>
      <c r="K46" s="163"/>
      <c r="L46" s="515"/>
      <c r="M46" s="163"/>
      <c r="N46" s="515"/>
      <c r="O46" s="163"/>
      <c r="P46" s="163"/>
      <c r="Q46" s="163"/>
      <c r="R46" s="163"/>
      <c r="S46" s="163"/>
      <c r="T46" s="163"/>
      <c r="U46" s="163"/>
      <c r="V46" s="163"/>
      <c r="W46" s="163"/>
      <c r="X46" s="613"/>
      <c r="Y46" s="163"/>
      <c r="Z46" s="163"/>
      <c r="AA46" s="163"/>
      <c r="AB46" s="613"/>
      <c r="AC46" s="163"/>
      <c r="AD46" s="163"/>
    </row>
    <row r="47" spans="2:33" ht="12.95" customHeight="1">
      <c r="B47" s="163"/>
      <c r="C47" s="163"/>
      <c r="D47" s="517"/>
      <c r="E47" s="163"/>
      <c r="F47" s="516"/>
      <c r="G47" s="163"/>
      <c r="H47" s="517"/>
      <c r="I47" s="163"/>
      <c r="J47" s="516"/>
      <c r="K47" s="163"/>
      <c r="L47" s="517"/>
      <c r="M47" s="163"/>
      <c r="N47" s="517"/>
      <c r="O47" s="163"/>
      <c r="P47" s="163"/>
      <c r="Q47" s="163"/>
      <c r="R47" s="163"/>
      <c r="S47" s="163"/>
      <c r="T47" s="163"/>
      <c r="U47" s="163"/>
      <c r="V47" s="163"/>
      <c r="W47" s="163"/>
      <c r="X47" s="613"/>
      <c r="Y47" s="163"/>
      <c r="Z47" s="163"/>
      <c r="AA47" s="163"/>
      <c r="AB47" s="613"/>
      <c r="AC47" s="163"/>
      <c r="AD47" s="163"/>
    </row>
  </sheetData>
  <mergeCells count="5">
    <mergeCell ref="Y11:AA13"/>
    <mergeCell ref="U11:W13"/>
    <mergeCell ref="AC11:AE13"/>
    <mergeCell ref="U4:AE4"/>
    <mergeCell ref="U6:AE6"/>
  </mergeCells>
  <conditionalFormatting sqref="AG18:AG23 AG25:AG28 AG30:AG33 AG35:AG3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ignoredErrors>
    <ignoredError sqref="P37 P26 AG34 P35 T1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BO105"/>
  <sheetViews>
    <sheetView showGridLines="0" zoomScale="85" zoomScaleNormal="79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M73" sqref="M73"/>
    </sheetView>
  </sheetViews>
  <sheetFormatPr defaultColWidth="12.5703125" defaultRowHeight="15" customHeight="1" outlineLevelRow="1" outlineLevelCol="1"/>
  <cols>
    <col min="1" max="1" width="38.85546875" customWidth="1"/>
    <col min="2" max="2" width="0.7109375" customWidth="1"/>
    <col min="3" max="3" width="16" hidden="1" customWidth="1"/>
    <col min="4" max="4" width="14.42578125" bestFit="1" customWidth="1"/>
    <col min="5" max="5" width="14.5703125" bestFit="1" customWidth="1"/>
    <col min="6" max="6" width="2.5703125" customWidth="1"/>
    <col min="7" max="8" width="14.5703125" customWidth="1"/>
    <col min="9" max="9" width="2.5703125" customWidth="1"/>
    <col min="10" max="11" width="14.5703125" customWidth="1"/>
    <col min="12" max="12" width="2.5703125" customWidth="1"/>
    <col min="13" max="14" width="14.5703125" customWidth="1"/>
    <col min="15" max="15" width="2.5703125" customWidth="1"/>
    <col min="16" max="16" width="14.5703125" hidden="1" customWidth="1" outlineLevel="1"/>
    <col min="17" max="17" width="13.7109375" hidden="1" customWidth="1" outlineLevel="1"/>
    <col min="18" max="18" width="2.5703125" hidden="1" customWidth="1" outlineLevel="1"/>
    <col min="19" max="19" width="14.5703125" hidden="1" customWidth="1" outlineLevel="1"/>
    <col min="20" max="20" width="13.7109375" hidden="1" customWidth="1" outlineLevel="1"/>
    <col min="21" max="21" width="2.5703125" hidden="1" customWidth="1" outlineLevel="1"/>
    <col min="22" max="22" width="14.5703125" hidden="1" customWidth="1" outlineLevel="1"/>
    <col min="23" max="23" width="13.7109375" hidden="1" customWidth="1" outlineLevel="1"/>
    <col min="24" max="24" width="2.5703125" hidden="1" customWidth="1" outlineLevel="1"/>
    <col min="25" max="25" width="14.5703125" hidden="1" customWidth="1" outlineLevel="1"/>
    <col min="26" max="26" width="13.7109375" hidden="1" customWidth="1" outlineLevel="1"/>
    <col min="27" max="27" width="2.5703125" hidden="1" customWidth="1" outlineLevel="1"/>
    <col min="28" max="28" width="14.5703125" hidden="1" customWidth="1" outlineLevel="1"/>
    <col min="29" max="29" width="13.7109375" hidden="1" customWidth="1" outlineLevel="1"/>
    <col min="30" max="30" width="2.5703125" hidden="1" customWidth="1" outlineLevel="1"/>
    <col min="31" max="31" width="14.5703125" hidden="1" customWidth="1" outlineLevel="1"/>
    <col min="32" max="32" width="13.7109375" hidden="1" customWidth="1" outlineLevel="1"/>
    <col min="33" max="33" width="2.5703125" hidden="1" customWidth="1" outlineLevel="1"/>
    <col min="34" max="34" width="14.5703125" hidden="1" customWidth="1" outlineLevel="1"/>
    <col min="35" max="35" width="13.7109375" hidden="1" customWidth="1" outlineLevel="1"/>
    <col min="36" max="36" width="2.5703125" hidden="1" customWidth="1" outlineLevel="1"/>
    <col min="37" max="38" width="14.42578125" hidden="1" customWidth="1" outlineLevel="1"/>
    <col min="39" max="39" width="2.5703125" hidden="1" customWidth="1" outlineLevel="1"/>
    <col min="40" max="41" width="17" hidden="1" customWidth="1" outlineLevel="1"/>
    <col min="42" max="42" width="2.5703125" hidden="1" customWidth="1" outlineLevel="1"/>
    <col min="43" max="43" width="14.5703125" hidden="1" customWidth="1" outlineLevel="1"/>
    <col min="44" max="44" width="14.85546875" hidden="1" customWidth="1" outlineLevel="1"/>
    <col min="45" max="45" width="0.5703125" style="567" customWidth="1" collapsed="1"/>
    <col min="46" max="46" width="9.85546875" bestFit="1" customWidth="1"/>
    <col min="47" max="47" width="9.85546875" customWidth="1"/>
    <col min="48" max="59" width="8.7109375" hidden="1" customWidth="1" outlineLevel="1"/>
    <col min="60" max="60" width="8" customWidth="1" collapsed="1"/>
    <col min="61" max="62" width="8.140625" customWidth="1"/>
    <col min="63" max="63" width="7.28515625" customWidth="1"/>
    <col min="64" max="64" width="10.5703125" customWidth="1"/>
    <col min="65" max="65" width="9" customWidth="1"/>
    <col min="66" max="66" width="10.7109375" customWidth="1"/>
    <col min="67" max="67" width="10.42578125" customWidth="1"/>
  </cols>
  <sheetData>
    <row r="1" spans="1:60" ht="21" customHeight="1">
      <c r="A1" s="446" t="s">
        <v>441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667"/>
      <c r="AT1" s="446"/>
      <c r="AU1" s="662"/>
      <c r="AV1" s="662"/>
      <c r="AW1" s="662"/>
      <c r="AX1" s="662"/>
      <c r="AY1" s="662"/>
      <c r="AZ1" s="662"/>
      <c r="BA1" s="662"/>
      <c r="BB1" s="662"/>
      <c r="BC1" s="662"/>
      <c r="BD1" s="662"/>
      <c r="BE1" s="662"/>
      <c r="BF1" s="662"/>
      <c r="BG1" s="662"/>
      <c r="BH1" s="662"/>
    </row>
    <row r="2" spans="1:60" ht="12.75" customHeight="1">
      <c r="A2" s="2"/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566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12.75" customHeight="1">
      <c r="A3" s="2"/>
      <c r="B3" s="1"/>
      <c r="C3" s="1"/>
      <c r="D3" s="574"/>
      <c r="E3" s="574"/>
      <c r="F3" s="574"/>
      <c r="I3" s="574"/>
      <c r="L3" s="574"/>
      <c r="O3" s="574"/>
      <c r="R3" s="574"/>
      <c r="U3" s="574"/>
      <c r="V3" s="1"/>
      <c r="W3" s="1"/>
      <c r="X3" s="574"/>
      <c r="Y3" s="1"/>
      <c r="Z3" s="1"/>
      <c r="AA3" s="574"/>
      <c r="AB3" s="1"/>
      <c r="AC3" s="1"/>
      <c r="AD3" s="574"/>
      <c r="AE3" s="1"/>
      <c r="AF3" s="1"/>
      <c r="AG3" s="574"/>
      <c r="AH3" s="1"/>
      <c r="AI3" s="1"/>
      <c r="AJ3" s="574"/>
      <c r="AK3" s="1"/>
      <c r="AL3" s="1"/>
      <c r="AM3" s="574"/>
      <c r="AN3" s="1"/>
      <c r="AO3" s="1"/>
      <c r="AP3" s="574"/>
      <c r="AQ3" s="1"/>
      <c r="AR3" s="1"/>
      <c r="AS3" s="566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12.75" customHeight="1">
      <c r="A4" s="2"/>
      <c r="B4" s="1"/>
      <c r="C4" s="1"/>
      <c r="D4" s="4"/>
      <c r="E4" s="4"/>
      <c r="F4" s="4"/>
      <c r="I4" s="4"/>
      <c r="L4" s="4"/>
      <c r="O4" s="4"/>
      <c r="R4" s="4"/>
      <c r="U4" s="4"/>
      <c r="V4" s="1"/>
      <c r="W4" s="1"/>
      <c r="X4" s="4"/>
      <c r="Y4" s="1"/>
      <c r="Z4" s="1"/>
      <c r="AA4" s="4"/>
      <c r="AB4" s="1"/>
      <c r="AC4" s="1"/>
      <c r="AD4" s="4"/>
      <c r="AE4" s="1"/>
      <c r="AF4" s="1"/>
      <c r="AG4" s="4"/>
      <c r="AH4" s="1"/>
      <c r="AI4" s="1"/>
      <c r="AJ4" s="4"/>
      <c r="AK4" s="1"/>
      <c r="AL4" s="1"/>
      <c r="AM4" s="4"/>
      <c r="AN4" s="1"/>
      <c r="AO4" s="1"/>
      <c r="AP4" s="4"/>
      <c r="AQ4" s="1"/>
      <c r="AR4" s="1"/>
      <c r="AS4" s="566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s="450" customFormat="1" ht="31.5" customHeight="1">
      <c r="A5" s="447"/>
      <c r="B5" s="448"/>
      <c r="C5" s="445">
        <v>2026</v>
      </c>
      <c r="D5" s="866" t="s">
        <v>0</v>
      </c>
      <c r="E5" s="866"/>
      <c r="F5" s="670"/>
      <c r="G5" s="867" t="s">
        <v>1</v>
      </c>
      <c r="H5" s="867"/>
      <c r="I5" s="670"/>
      <c r="J5" s="867" t="s">
        <v>2</v>
      </c>
      <c r="K5" s="867"/>
      <c r="L5" s="670"/>
      <c r="M5" s="867" t="s">
        <v>3</v>
      </c>
      <c r="N5" s="867"/>
      <c r="O5" s="670"/>
      <c r="P5" s="867" t="s">
        <v>4</v>
      </c>
      <c r="Q5" s="867"/>
      <c r="R5" s="670"/>
      <c r="S5" s="867" t="s">
        <v>5</v>
      </c>
      <c r="T5" s="867"/>
      <c r="U5" s="670"/>
      <c r="V5" s="869" t="s">
        <v>6</v>
      </c>
      <c r="W5" s="869"/>
      <c r="X5" s="670"/>
      <c r="Y5" s="869" t="s">
        <v>7</v>
      </c>
      <c r="Z5" s="869"/>
      <c r="AA5" s="670"/>
      <c r="AB5" s="867" t="s">
        <v>8</v>
      </c>
      <c r="AC5" s="867"/>
      <c r="AD5" s="670"/>
      <c r="AE5" s="867" t="s">
        <v>9</v>
      </c>
      <c r="AF5" s="867"/>
      <c r="AG5" s="670"/>
      <c r="AH5" s="867" t="s">
        <v>10</v>
      </c>
      <c r="AI5" s="867"/>
      <c r="AJ5" s="670"/>
      <c r="AK5" s="867" t="s">
        <v>11</v>
      </c>
      <c r="AL5" s="867"/>
      <c r="AM5" s="670"/>
      <c r="AN5" s="868" t="s">
        <v>575</v>
      </c>
      <c r="AO5" s="868"/>
      <c r="AP5" s="670"/>
      <c r="AQ5" s="868" t="s">
        <v>1752</v>
      </c>
      <c r="AR5" s="868"/>
      <c r="AS5" s="668"/>
      <c r="AT5" s="451" t="s">
        <v>576</v>
      </c>
      <c r="AU5" s="449"/>
      <c r="AV5" s="445" t="s">
        <v>0</v>
      </c>
      <c r="AW5" s="445" t="s">
        <v>1</v>
      </c>
      <c r="AX5" s="445" t="s">
        <v>2</v>
      </c>
      <c r="AY5" s="445" t="s">
        <v>3</v>
      </c>
      <c r="AZ5" s="445" t="s">
        <v>4</v>
      </c>
      <c r="BA5" s="445" t="s">
        <v>5</v>
      </c>
      <c r="BB5" s="445" t="s">
        <v>6</v>
      </c>
      <c r="BC5" s="445" t="s">
        <v>7</v>
      </c>
      <c r="BD5" s="445" t="s">
        <v>8</v>
      </c>
      <c r="BE5" s="445" t="s">
        <v>9</v>
      </c>
      <c r="BF5" s="445" t="s">
        <v>10</v>
      </c>
      <c r="BG5" s="445" t="s">
        <v>11</v>
      </c>
      <c r="BH5" s="448"/>
    </row>
    <row r="6" spans="1:60" ht="15" customHeight="1">
      <c r="A6" s="8"/>
      <c r="B6" s="6"/>
      <c r="C6" s="9"/>
      <c r="D6" s="564" t="s">
        <v>1319</v>
      </c>
      <c r="E6" s="564" t="s">
        <v>1320</v>
      </c>
      <c r="F6" s="564"/>
      <c r="G6" s="564" t="s">
        <v>1319</v>
      </c>
      <c r="H6" s="564" t="s">
        <v>1320</v>
      </c>
      <c r="I6" s="564"/>
      <c r="J6" s="564" t="s">
        <v>1319</v>
      </c>
      <c r="K6" s="564" t="s">
        <v>1320</v>
      </c>
      <c r="L6" s="564"/>
      <c r="M6" s="564" t="s">
        <v>1319</v>
      </c>
      <c r="N6" s="564" t="s">
        <v>1320</v>
      </c>
      <c r="O6" s="564"/>
      <c r="P6" s="564" t="s">
        <v>1319</v>
      </c>
      <c r="Q6" s="564" t="s">
        <v>1320</v>
      </c>
      <c r="R6" s="564"/>
      <c r="S6" s="564" t="s">
        <v>1319</v>
      </c>
      <c r="T6" s="564" t="s">
        <v>1320</v>
      </c>
      <c r="U6" s="564"/>
      <c r="V6" s="564" t="s">
        <v>1319</v>
      </c>
      <c r="W6" s="564" t="s">
        <v>1320</v>
      </c>
      <c r="X6" s="564"/>
      <c r="Y6" s="564" t="s">
        <v>1319</v>
      </c>
      <c r="Z6" s="564" t="s">
        <v>1320</v>
      </c>
      <c r="AA6" s="564"/>
      <c r="AB6" s="564" t="s">
        <v>1319</v>
      </c>
      <c r="AC6" s="564" t="s">
        <v>1320</v>
      </c>
      <c r="AD6" s="564"/>
      <c r="AE6" s="564" t="s">
        <v>1319</v>
      </c>
      <c r="AF6" s="564" t="s">
        <v>1320</v>
      </c>
      <c r="AG6" s="564"/>
      <c r="AH6" s="564" t="s">
        <v>1319</v>
      </c>
      <c r="AI6" s="564" t="s">
        <v>1320</v>
      </c>
      <c r="AJ6" s="564"/>
      <c r="AK6" s="564" t="s">
        <v>1319</v>
      </c>
      <c r="AL6" s="564" t="s">
        <v>1320</v>
      </c>
      <c r="AM6" s="564"/>
      <c r="AN6" s="564" t="s">
        <v>1319</v>
      </c>
      <c r="AO6" s="564" t="s">
        <v>1320</v>
      </c>
      <c r="AP6" s="564"/>
      <c r="AQ6" s="564" t="s">
        <v>1319</v>
      </c>
      <c r="AR6" s="564" t="s">
        <v>1320</v>
      </c>
      <c r="AS6" s="568"/>
      <c r="AT6" s="564"/>
      <c r="AU6" s="1"/>
      <c r="AV6" s="10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6"/>
    </row>
    <row r="7" spans="1:60" ht="20.25" customHeight="1">
      <c r="A7" s="5" t="s">
        <v>12</v>
      </c>
      <c r="B7" s="7"/>
      <c r="C7" s="11">
        <f>SUM(D7,G7,J7,M7,P7,S7,V7,Y7,AB7,AE7,AH7,AK7)</f>
        <v>94390.711575000008</v>
      </c>
      <c r="D7" s="12">
        <f>'04 -Base Orçado 2026'!E7</f>
        <v>5786.4418150000001</v>
      </c>
      <c r="E7" s="12">
        <f>'Base Realizado'!D7</f>
        <v>4761</v>
      </c>
      <c r="F7" s="12"/>
      <c r="G7" s="12">
        <f>'04 -Base Orçado 2026'!F7</f>
        <v>7860.1684000000005</v>
      </c>
      <c r="H7" s="12">
        <f>'Base Realizado'!F7</f>
        <v>4661</v>
      </c>
      <c r="I7" s="12"/>
      <c r="J7" s="12">
        <f>'04 -Base Orçado 2026'!G7</f>
        <v>7921.4503599999998</v>
      </c>
      <c r="K7" s="12">
        <f>'Base Realizado'!H7</f>
        <v>6592</v>
      </c>
      <c r="L7" s="12"/>
      <c r="M7" s="12">
        <f>'04 -Base Orçado 2026'!H7</f>
        <v>8127.4242800000002</v>
      </c>
      <c r="N7" s="12">
        <f>'Base Realizado'!K7</f>
        <v>0</v>
      </c>
      <c r="O7" s="12"/>
      <c r="P7" s="12">
        <f>'04 -Base Orçado 2026'!I7</f>
        <v>9134.8759600000012</v>
      </c>
      <c r="Q7" s="12"/>
      <c r="R7" s="12"/>
      <c r="S7" s="12">
        <f>'04 -Base Orçado 2026'!J7</f>
        <v>7745.6024399999997</v>
      </c>
      <c r="T7" s="12"/>
      <c r="U7" s="12"/>
      <c r="V7" s="12">
        <f>'04 -Base Orçado 2026'!K7</f>
        <v>7474.4325200000003</v>
      </c>
      <c r="W7" s="12"/>
      <c r="X7" s="12"/>
      <c r="Y7" s="12">
        <f>'04 -Base Orçado 2026'!L7</f>
        <v>7645.5460800000001</v>
      </c>
      <c r="Z7" s="12"/>
      <c r="AA7" s="12"/>
      <c r="AB7" s="12">
        <f>'04 -Base Orçado 2026'!M7</f>
        <v>7551.4310399999995</v>
      </c>
      <c r="AC7" s="12"/>
      <c r="AD7" s="12"/>
      <c r="AE7" s="12">
        <f>'04 -Base Orçado 2026'!N7</f>
        <v>7336.2257999999993</v>
      </c>
      <c r="AF7" s="12"/>
      <c r="AG7" s="12"/>
      <c r="AH7" s="12">
        <f>'04 -Base Orçado 2026'!O7</f>
        <v>8672.2369199999994</v>
      </c>
      <c r="AI7" s="12"/>
      <c r="AJ7" s="12"/>
      <c r="AK7" s="12">
        <f>'03- BD x RE 2026'!P7</f>
        <v>9134.8759600000012</v>
      </c>
      <c r="AL7" s="12"/>
      <c r="AM7" s="12"/>
      <c r="AN7" s="575">
        <f>SUM(D7,G7,J7,M7,P7,S7,V7,Y7,AB7,AE7,AH7,AK7)</f>
        <v>94390.711575000008</v>
      </c>
      <c r="AO7" s="575">
        <f>SUM(E7,H7,K7,N7,Q7,T7,W7,Z7,AC7,AF7,AI7,AL7)</f>
        <v>16014</v>
      </c>
      <c r="AP7" s="12"/>
      <c r="AQ7" s="575">
        <f>AN7/12</f>
        <v>7865.8926312500007</v>
      </c>
      <c r="AR7" s="575"/>
      <c r="AS7" s="575"/>
      <c r="AT7" s="584"/>
      <c r="AU7" s="1"/>
      <c r="AV7" s="10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6"/>
    </row>
    <row r="8" spans="1:60" ht="12.75" customHeight="1">
      <c r="A8" s="13" t="s">
        <v>13</v>
      </c>
      <c r="B8" s="14"/>
      <c r="C8" s="15">
        <f t="shared" ref="C8:C71" si="0">SUM(D8,G8,J8,M8,P8,S8,V8,Y8,AB8,AE8,AH8,AK8)</f>
        <v>3600</v>
      </c>
      <c r="D8" s="15">
        <f>'04 -Base Orçado 2026'!E8</f>
        <v>300</v>
      </c>
      <c r="E8" s="15">
        <f>'Base Realizado'!D8</f>
        <v>289.76033816425127</v>
      </c>
      <c r="F8" s="15"/>
      <c r="G8" s="15">
        <f>'04 -Base Orçado 2026'!F8</f>
        <v>300</v>
      </c>
      <c r="H8" s="15">
        <f>'Base Realizado'!F8</f>
        <v>312.2042608882216</v>
      </c>
      <c r="I8" s="15"/>
      <c r="J8" s="15">
        <f>'04 -Base Orçado 2026'!G8</f>
        <v>300</v>
      </c>
      <c r="K8" s="15">
        <f>'Base Realizado'!H8</f>
        <v>317.1639092839805</v>
      </c>
      <c r="L8" s="15"/>
      <c r="M8" s="15">
        <f>'04 -Base Orçado 2026'!H8</f>
        <v>300</v>
      </c>
      <c r="N8" s="15">
        <f>'Base Realizado'!K8</f>
        <v>0</v>
      </c>
      <c r="O8" s="15"/>
      <c r="P8" s="15">
        <f>'04 -Base Orçado 2026'!I8</f>
        <v>300</v>
      </c>
      <c r="Q8" s="15"/>
      <c r="R8" s="15"/>
      <c r="S8" s="15">
        <f>'04 -Base Orçado 2026'!J8</f>
        <v>300</v>
      </c>
      <c r="T8" s="15"/>
      <c r="U8" s="15"/>
      <c r="V8" s="15">
        <f>'04 -Base Orçado 2026'!K8</f>
        <v>300</v>
      </c>
      <c r="W8" s="15"/>
      <c r="X8" s="15"/>
      <c r="Y8" s="15">
        <f>'04 -Base Orçado 2026'!L8</f>
        <v>300</v>
      </c>
      <c r="Z8" s="15"/>
      <c r="AA8" s="15"/>
      <c r="AB8" s="15">
        <f>'04 -Base Orçado 2026'!M8</f>
        <v>300</v>
      </c>
      <c r="AC8" s="15"/>
      <c r="AD8" s="15"/>
      <c r="AE8" s="15">
        <f>'04 -Base Orçado 2026'!N8</f>
        <v>300</v>
      </c>
      <c r="AF8" s="15"/>
      <c r="AG8" s="15"/>
      <c r="AH8" s="15">
        <f>'04 -Base Orçado 2026'!O8</f>
        <v>300</v>
      </c>
      <c r="AI8" s="15"/>
      <c r="AJ8" s="15"/>
      <c r="AK8" s="15">
        <f>'04 -Base Orçado 2026'!P8</f>
        <v>300</v>
      </c>
      <c r="AL8" s="15"/>
      <c r="AM8" s="15"/>
      <c r="AN8" s="569">
        <f>IF(ISERROR(AN10/AN7),"0",(AN10/AN7))</f>
        <v>326.0531632768338</v>
      </c>
      <c r="AO8" s="569">
        <f>IF(ISERROR(AO10/AO7),"0",(AO10/AO7))</f>
        <v>478.25186605470219</v>
      </c>
      <c r="AP8" s="15"/>
      <c r="AQ8" s="569">
        <f>IF(ISERROR(AQ10/AQ7),"0",(AQ10/AQ7))</f>
        <v>326.0531632768338</v>
      </c>
      <c r="AR8" s="569"/>
      <c r="AS8" s="569"/>
      <c r="AT8" s="585"/>
      <c r="AU8" s="1"/>
      <c r="AV8" s="10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6"/>
    </row>
    <row r="9" spans="1:60" ht="6.75" customHeight="1">
      <c r="A9" s="8"/>
      <c r="B9" s="6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576"/>
      <c r="AO9" s="576"/>
      <c r="AP9" s="10"/>
      <c r="AQ9" s="576"/>
      <c r="AR9" s="576"/>
      <c r="AS9" s="576"/>
      <c r="AT9" s="583"/>
      <c r="AU9" s="1"/>
      <c r="AV9" s="10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6"/>
    </row>
    <row r="10" spans="1:60" ht="15.75">
      <c r="A10" s="16" t="s">
        <v>14</v>
      </c>
      <c r="B10" s="7"/>
      <c r="C10" s="17">
        <f t="shared" si="0"/>
        <v>30776390.092980005</v>
      </c>
      <c r="D10" s="18">
        <f>SUM(D11:D17)-D11</f>
        <v>1735932.5445000003</v>
      </c>
      <c r="E10" s="18">
        <f>SUM(E11:E17)-E11</f>
        <v>1390348.9700000002</v>
      </c>
      <c r="F10" s="18"/>
      <c r="G10" s="18">
        <f>SUM(G11:G17)</f>
        <v>2664597.0876000002</v>
      </c>
      <c r="H10" s="18">
        <f>SUM(H11:H17)-H11</f>
        <v>1528554.0600000008</v>
      </c>
      <c r="I10" s="18"/>
      <c r="J10" s="18">
        <f>SUM(J11:J17)</f>
        <v>2693404.6549199997</v>
      </c>
      <c r="K10" s="18">
        <f>SUM(K11:K17)-K11</f>
        <v>2443536.7529999996</v>
      </c>
      <c r="L10" s="18"/>
      <c r="M10" s="18">
        <f>SUM(M11:M17)</f>
        <v>2755196.8309200001</v>
      </c>
      <c r="N10" s="18">
        <f>SUM(N11:N17)-N11</f>
        <v>2296285.6</v>
      </c>
      <c r="O10" s="18"/>
      <c r="P10" s="18">
        <f>SUM(P11:P17)</f>
        <v>3096722.9504400007</v>
      </c>
      <c r="Q10" s="18"/>
      <c r="R10" s="18"/>
      <c r="S10" s="18">
        <f>SUM(S11:S17)</f>
        <v>2625759.2271599998</v>
      </c>
      <c r="T10" s="18"/>
      <c r="U10" s="18"/>
      <c r="V10" s="18">
        <f>SUM(V11:V17)</f>
        <v>2533832.6242799996</v>
      </c>
      <c r="W10" s="18"/>
      <c r="X10" s="18"/>
      <c r="Y10" s="18">
        <f>SUM(Y11:Y17)</f>
        <v>2591840.1211200007</v>
      </c>
      <c r="Z10" s="18"/>
      <c r="AA10" s="18"/>
      <c r="AB10" s="18">
        <f>SUM(AB11:AB17)</f>
        <v>2559935.12256</v>
      </c>
      <c r="AC10" s="18"/>
      <c r="AD10" s="18"/>
      <c r="AE10" s="18">
        <f>SUM(AE11:AE17)</f>
        <v>2486980.5461999997</v>
      </c>
      <c r="AF10" s="18"/>
      <c r="AG10" s="18"/>
      <c r="AH10" s="18">
        <f>SUM(AH11:AH17)</f>
        <v>2939888.3158800001</v>
      </c>
      <c r="AI10" s="18"/>
      <c r="AJ10" s="18"/>
      <c r="AK10" s="18">
        <f>SUM(AK11:AK17)</f>
        <v>2092300.0674000001</v>
      </c>
      <c r="AL10" s="18"/>
      <c r="AM10" s="18"/>
      <c r="AN10" s="18">
        <f>SUM(D10,G10,J10,M10,P10,S10,V10,Y10,AB10,AE10,AH10,AK10)</f>
        <v>30776390.092980005</v>
      </c>
      <c r="AO10" s="18">
        <f>SUM(E10,H10,K10,N10,Q10,T10,W10,Z10,AC10,AF10,AI10,AL10)</f>
        <v>7658725.3830000013</v>
      </c>
      <c r="AP10" s="18"/>
      <c r="AQ10" s="18">
        <f t="shared" ref="AQ10" si="1">AN10/12</f>
        <v>2564699.1744150002</v>
      </c>
      <c r="AR10" s="18">
        <f>AQ10/$AT$12</f>
        <v>641174.79360375006</v>
      </c>
      <c r="AS10" s="570"/>
      <c r="AT10" s="664"/>
      <c r="AU10" s="1"/>
      <c r="AV10" s="10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6"/>
    </row>
    <row r="11" spans="1:60" ht="17.100000000000001" hidden="1" customHeight="1" outlineLevel="1">
      <c r="A11" s="655" t="s">
        <v>144</v>
      </c>
      <c r="B11" s="654"/>
      <c r="C11" s="656">
        <f t="shared" si="0"/>
        <v>3573717.6592650008</v>
      </c>
      <c r="D11" s="657">
        <f>'04 -Base Orçado 2026'!E13</f>
        <v>225671.23078500002</v>
      </c>
      <c r="E11" s="657">
        <f>'Base Realizado'!D12</f>
        <v>110797.62</v>
      </c>
      <c r="F11" s="657"/>
      <c r="G11" s="657">
        <f>'04 -Base Orçado 2026'!F13</f>
        <v>306546.56760000007</v>
      </c>
      <c r="H11" s="657">
        <f>'Base Realizado'!F12</f>
        <v>198712</v>
      </c>
      <c r="I11" s="657"/>
      <c r="J11" s="657">
        <f>'04 -Base Orçado 2026'!H13</f>
        <v>316969.54691999999</v>
      </c>
      <c r="K11" s="657">
        <f>'Base Realizado'!H12</f>
        <v>116627.58</v>
      </c>
      <c r="L11" s="657"/>
      <c r="M11" s="657">
        <f>'04 -Base Orçado 2026'!H13</f>
        <v>316969.54691999999</v>
      </c>
      <c r="N11" s="657">
        <f>'Base Realizado'!N12</f>
        <v>0</v>
      </c>
      <c r="O11" s="657"/>
      <c r="P11" s="657">
        <f>'04 -Base Orçado 2026'!I13</f>
        <v>356260.1624400001</v>
      </c>
      <c r="Q11" s="657"/>
      <c r="R11" s="657"/>
      <c r="S11" s="657">
        <f>'04 -Base Orçado 2026'!J13</f>
        <v>302078.49516000005</v>
      </c>
      <c r="T11" s="657"/>
      <c r="U11" s="657"/>
      <c r="V11" s="657">
        <f>'04 -Base Orçado 2026'!K13</f>
        <v>291502.86827999994</v>
      </c>
      <c r="W11" s="657"/>
      <c r="X11" s="657"/>
      <c r="Y11" s="657">
        <f>'04 -Base Orçado 2026'!L13</f>
        <v>298176.29712000006</v>
      </c>
      <c r="Z11" s="657"/>
      <c r="AA11" s="657"/>
      <c r="AB11" s="657">
        <f>'04 -Base Orçado 2026'!M13</f>
        <v>294505.81056000001</v>
      </c>
      <c r="AC11" s="657"/>
      <c r="AD11" s="657"/>
      <c r="AE11" s="657">
        <f>'04 -Base Orçado 2026'!N13</f>
        <v>286112.80619999999</v>
      </c>
      <c r="AF11" s="657"/>
      <c r="AG11" s="657"/>
      <c r="AH11" s="657">
        <f>'04 -Base Orçado 2026'!O13</f>
        <v>338217.23988000001</v>
      </c>
      <c r="AI11" s="657"/>
      <c r="AJ11" s="657"/>
      <c r="AK11" s="657">
        <f>'04 -Base Orçado 2026'!P13</f>
        <v>240707.08740000002</v>
      </c>
      <c r="AL11" s="657"/>
      <c r="AM11" s="657"/>
      <c r="AN11" s="657"/>
      <c r="AO11" s="657"/>
      <c r="AP11" s="657"/>
      <c r="AQ11" s="657"/>
      <c r="AR11" s="657"/>
      <c r="AS11" s="669"/>
      <c r="AT11" s="657"/>
      <c r="AU11" s="1"/>
      <c r="AV11" s="25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3"/>
    </row>
    <row r="12" spans="1:60" ht="17.100000000000001" hidden="1" customHeight="1" outlineLevel="1">
      <c r="A12" s="19" t="s">
        <v>15</v>
      </c>
      <c r="B12" s="20"/>
      <c r="C12" s="21">
        <f t="shared" si="0"/>
        <v>548566.8732899999</v>
      </c>
      <c r="D12" s="418">
        <f>'04 -Base Orçado 2026'!E14</f>
        <v>34718.650890000004</v>
      </c>
      <c r="E12" s="418">
        <f>'Base Realizado'!D13</f>
        <v>191219.93</v>
      </c>
      <c r="F12" s="418"/>
      <c r="G12" s="418">
        <f>'04 -Base Orçado 2026'!F14</f>
        <v>47161.010399999999</v>
      </c>
      <c r="H12" s="418">
        <f>'Base Realizado'!F13</f>
        <v>232968.95000000007</v>
      </c>
      <c r="I12" s="418"/>
      <c r="J12" s="418">
        <f>'04 -Base Orçado 2026'!G14</f>
        <v>47528.702160000001</v>
      </c>
      <c r="K12" s="418">
        <f>'Base Realizado'!H13</f>
        <v>339893.43</v>
      </c>
      <c r="L12" s="418"/>
      <c r="M12" s="418">
        <f>'04 -Base Orçado 2026'!H14</f>
        <v>48764.545680000003</v>
      </c>
      <c r="N12" s="15">
        <f>'Base Realizado'!K12</f>
        <v>0</v>
      </c>
      <c r="O12" s="418"/>
      <c r="P12" s="418">
        <f>'04 -Base Orçado 2026'!I14</f>
        <v>54809.255760000007</v>
      </c>
      <c r="Q12" s="418"/>
      <c r="R12" s="418"/>
      <c r="S12" s="418">
        <f>'04 -Base Orçado 2026'!J14</f>
        <v>46473.61464</v>
      </c>
      <c r="T12" s="418"/>
      <c r="U12" s="418"/>
      <c r="V12" s="418">
        <f>'04 -Base Orçado 2026'!K14</f>
        <v>44846.595120000005</v>
      </c>
      <c r="W12" s="418"/>
      <c r="X12" s="418"/>
      <c r="Y12" s="418">
        <f>'04 -Base Orçado 2026'!L14</f>
        <v>45873.27648</v>
      </c>
      <c r="Z12" s="418"/>
      <c r="AA12" s="418"/>
      <c r="AB12" s="418">
        <f>'04 -Base Orçado 2026'!M14</f>
        <v>45308.586239999997</v>
      </c>
      <c r="AC12" s="418"/>
      <c r="AD12" s="418"/>
      <c r="AE12" s="418">
        <f>'04 -Base Orçado 2026'!N14</f>
        <v>44017.354799999994</v>
      </c>
      <c r="AF12" s="418"/>
      <c r="AG12" s="418"/>
      <c r="AH12" s="418">
        <f>'04 -Base Orçado 2026'!O14</f>
        <v>52033.421519999996</v>
      </c>
      <c r="AI12" s="418"/>
      <c r="AJ12" s="418"/>
      <c r="AK12" s="418">
        <f>'04 -Base Orçado 2026'!P14</f>
        <v>37031.859600000003</v>
      </c>
      <c r="AL12" s="418"/>
      <c r="AM12" s="418"/>
      <c r="AN12" s="577">
        <f t="shared" ref="AN12:AO16" si="2">SUM(D12,G12,J12,M12,P12,S12,V12,Y12,AB12,AE12,AH12,AK12)</f>
        <v>548566.8732899999</v>
      </c>
      <c r="AO12" s="577">
        <f t="shared" si="2"/>
        <v>764082.31</v>
      </c>
      <c r="AP12" s="418"/>
      <c r="AQ12" s="577">
        <f>AVERAGE(D12,G12,J12)</f>
        <v>43136.121149999999</v>
      </c>
      <c r="AR12" s="577">
        <f>AVERAGE(E12,H12,K12)</f>
        <v>254694.10333333336</v>
      </c>
      <c r="AS12" s="577"/>
      <c r="AT12" s="663">
        <f t="shared" ref="AT12:AT17" si="3">COUNTA(E12,H12,K12,N12,Q12,T12,W12,Z12,AC12,AF12,AI12,AL12)</f>
        <v>4</v>
      </c>
      <c r="AU12" s="1"/>
      <c r="AV12" s="25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3"/>
    </row>
    <row r="13" spans="1:60" ht="15.75" hidden="1" customHeight="1" outlineLevel="1">
      <c r="A13" s="19" t="s">
        <v>16</v>
      </c>
      <c r="B13" s="20"/>
      <c r="C13" s="21">
        <f t="shared" si="0"/>
        <v>1919984.0565150003</v>
      </c>
      <c r="D13" s="418">
        <f>'04 -Base Orçado 2026'!E15</f>
        <v>121515.27811500002</v>
      </c>
      <c r="E13" s="418">
        <f>'Base Realizado'!D14</f>
        <v>213780.01</v>
      </c>
      <c r="F13" s="418"/>
      <c r="G13" s="418">
        <f>'04 -Base Orçado 2026'!F15</f>
        <v>165063.53640000001</v>
      </c>
      <c r="H13" s="418">
        <f>'Base Realizado'!F14</f>
        <v>988071.98000000045</v>
      </c>
      <c r="I13" s="418"/>
      <c r="J13" s="418">
        <f>'04 -Base Orçado 2026'!G15</f>
        <v>166350.45756000001</v>
      </c>
      <c r="K13" s="418">
        <f>'Base Realizado'!H14</f>
        <v>289846.25000000006</v>
      </c>
      <c r="L13" s="418"/>
      <c r="M13" s="418">
        <f>'04 -Base Orçado 2026'!H15</f>
        <v>170675.90988000002</v>
      </c>
      <c r="N13" s="15">
        <f>'Base Realizado'!K13</f>
        <v>299094.7</v>
      </c>
      <c r="O13" s="418"/>
      <c r="P13" s="418">
        <f>'04 -Base Orçado 2026'!I15</f>
        <v>191832.39516000004</v>
      </c>
      <c r="Q13" s="418"/>
      <c r="R13" s="418"/>
      <c r="S13" s="418">
        <f>'04 -Base Orçado 2026'!J15</f>
        <v>162657.65124000001</v>
      </c>
      <c r="T13" s="418"/>
      <c r="U13" s="418"/>
      <c r="V13" s="418">
        <f>'04 -Base Orçado 2026'!K15</f>
        <v>156963.08292000002</v>
      </c>
      <c r="W13" s="418"/>
      <c r="X13" s="418"/>
      <c r="Y13" s="418">
        <f>'04 -Base Orçado 2026'!L15</f>
        <v>160556.46768000003</v>
      </c>
      <c r="Z13" s="418"/>
      <c r="AA13" s="418"/>
      <c r="AB13" s="418">
        <f>'04 -Base Orçado 2026'!M15</f>
        <v>158580.05184</v>
      </c>
      <c r="AC13" s="418"/>
      <c r="AD13" s="418"/>
      <c r="AE13" s="418">
        <f>'04 -Base Orçado 2026'!N15</f>
        <v>154060.74179999999</v>
      </c>
      <c r="AF13" s="418"/>
      <c r="AG13" s="418"/>
      <c r="AH13" s="418">
        <f>'04 -Base Orçado 2026'!O15</f>
        <v>182116.97532</v>
      </c>
      <c r="AI13" s="418"/>
      <c r="AJ13" s="418"/>
      <c r="AK13" s="418">
        <f>'04 -Base Orçado 2026'!P15</f>
        <v>129611.50860000002</v>
      </c>
      <c r="AL13" s="418"/>
      <c r="AM13" s="418"/>
      <c r="AN13" s="577">
        <f t="shared" si="2"/>
        <v>1919984.0565150003</v>
      </c>
      <c r="AO13" s="577">
        <f t="shared" si="2"/>
        <v>1790792.9400000004</v>
      </c>
      <c r="AP13" s="418"/>
      <c r="AQ13" s="577">
        <f t="shared" ref="AQ13:AQ17" si="4">AVERAGE(D13,G13,J13)</f>
        <v>150976.42402500001</v>
      </c>
      <c r="AR13" s="577">
        <f t="shared" ref="AR13:AR17" si="5">AVERAGE(E13,H13,K13)</f>
        <v>497232.74666666682</v>
      </c>
      <c r="AS13" s="577"/>
      <c r="AT13" s="663">
        <f t="shared" si="3"/>
        <v>4</v>
      </c>
      <c r="AU13" s="1"/>
      <c r="AV13" s="25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3"/>
    </row>
    <row r="14" spans="1:60" ht="15.6" hidden="1" customHeight="1" outlineLevel="1">
      <c r="A14" s="19" t="s">
        <v>17</v>
      </c>
      <c r="B14" s="20"/>
      <c r="C14" s="21">
        <f t="shared" si="0"/>
        <v>17992993.443911999</v>
      </c>
      <c r="D14" s="418">
        <f>'04 -Base Orçado 2026'!E16</f>
        <v>1138771.7491920001</v>
      </c>
      <c r="E14" s="418">
        <f>'Base Realizado'!D15</f>
        <v>963659.96</v>
      </c>
      <c r="F14" s="418"/>
      <c r="G14" s="418">
        <f>'04 -Base Orçado 2026'!F16</f>
        <v>1546881.14112</v>
      </c>
      <c r="H14" s="418">
        <f>'Base Realizado'!F15</f>
        <v>223553.48000000016</v>
      </c>
      <c r="I14" s="418"/>
      <c r="J14" s="418">
        <f>'04 -Base Orçado 2026'!G16</f>
        <v>1558941.4308480001</v>
      </c>
      <c r="K14" s="418">
        <f>'Base Realizado'!H15</f>
        <v>1455192.0699999996</v>
      </c>
      <c r="L14" s="418"/>
      <c r="M14" s="418">
        <f>'04 -Base Orçado 2026'!H16</f>
        <v>1599477.098304</v>
      </c>
      <c r="N14" s="15">
        <f>'Base Realizado'!K14</f>
        <v>313558.29000000004</v>
      </c>
      <c r="O14" s="418"/>
      <c r="P14" s="418">
        <f>'04 -Base Orçado 2026'!I16</f>
        <v>1797743.5889280003</v>
      </c>
      <c r="Q14" s="418"/>
      <c r="R14" s="418"/>
      <c r="S14" s="418">
        <f>'04 -Base Orçado 2026'!J16</f>
        <v>1524334.5601919999</v>
      </c>
      <c r="T14" s="418"/>
      <c r="U14" s="418"/>
      <c r="V14" s="418">
        <f>'04 -Base Orçado 2026'!K16</f>
        <v>1470968.319936</v>
      </c>
      <c r="W14" s="418"/>
      <c r="X14" s="418"/>
      <c r="Y14" s="418">
        <f>'04 -Base Orçado 2026'!L16</f>
        <v>1504643.4685440001</v>
      </c>
      <c r="Z14" s="418"/>
      <c r="AA14" s="418"/>
      <c r="AB14" s="418">
        <f>'04 -Base Orçado 2026'!M16</f>
        <v>1486121.628672</v>
      </c>
      <c r="AC14" s="418"/>
      <c r="AD14" s="418"/>
      <c r="AE14" s="418">
        <f>'04 -Base Orçado 2026'!N16</f>
        <v>1443769.2374399998</v>
      </c>
      <c r="AF14" s="418"/>
      <c r="AG14" s="418"/>
      <c r="AH14" s="418">
        <f>'04 -Base Orçado 2026'!O16</f>
        <v>1706696.2258560001</v>
      </c>
      <c r="AI14" s="418"/>
      <c r="AJ14" s="418"/>
      <c r="AK14" s="418">
        <f>'04 -Base Orçado 2026'!P16</f>
        <v>1214644.9948800001</v>
      </c>
      <c r="AL14" s="418"/>
      <c r="AM14" s="418"/>
      <c r="AN14" s="577">
        <f t="shared" si="2"/>
        <v>17992993.443911999</v>
      </c>
      <c r="AO14" s="577">
        <f t="shared" si="2"/>
        <v>2955963.8</v>
      </c>
      <c r="AP14" s="418"/>
      <c r="AQ14" s="577">
        <f t="shared" si="4"/>
        <v>1414864.7737199999</v>
      </c>
      <c r="AR14" s="577">
        <f t="shared" si="5"/>
        <v>880801.83666666655</v>
      </c>
      <c r="AS14" s="577"/>
      <c r="AT14" s="663">
        <f t="shared" si="3"/>
        <v>4</v>
      </c>
      <c r="AU14" s="1"/>
      <c r="AV14" s="25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3"/>
    </row>
    <row r="15" spans="1:60" ht="14.25" hidden="1" customHeight="1" outlineLevel="1">
      <c r="A15" s="19" t="s">
        <v>18</v>
      </c>
      <c r="B15" s="20"/>
      <c r="C15" s="21">
        <f t="shared" si="0"/>
        <v>2742834.3664500001</v>
      </c>
      <c r="D15" s="418">
        <f>'04 -Base Orçado 2026'!E17</f>
        <v>173593.25445000001</v>
      </c>
      <c r="E15" s="418">
        <f>'Base Realizado'!D16</f>
        <v>10800</v>
      </c>
      <c r="F15" s="418"/>
      <c r="G15" s="418">
        <f>'04 -Base Orçado 2026'!F17</f>
        <v>235805.05200000003</v>
      </c>
      <c r="H15" s="418">
        <f>'Base Realizado'!F16</f>
        <v>73370</v>
      </c>
      <c r="I15" s="418"/>
      <c r="J15" s="418">
        <f>'04 -Base Orçado 2026'!G17</f>
        <v>237643.51080000002</v>
      </c>
      <c r="K15" s="418">
        <f>'Base Realizado'!H16</f>
        <v>352792.26299999998</v>
      </c>
      <c r="L15" s="418"/>
      <c r="M15" s="418">
        <f>'04 -Base Orçado 2026'!H17</f>
        <v>243822.72840000002</v>
      </c>
      <c r="N15" s="15">
        <f>'Base Realizado'!K15</f>
        <v>1524543.3</v>
      </c>
      <c r="O15" s="418"/>
      <c r="P15" s="418">
        <f>'04 -Base Orçado 2026'!I17</f>
        <v>274046.27880000003</v>
      </c>
      <c r="Q15" s="418"/>
      <c r="R15" s="418"/>
      <c r="S15" s="418">
        <f>'04 -Base Orçado 2026'!J17</f>
        <v>232368.07319999998</v>
      </c>
      <c r="T15" s="418"/>
      <c r="U15" s="418"/>
      <c r="V15" s="418">
        <f>'04 -Base Orçado 2026'!K17</f>
        <v>224232.97560000001</v>
      </c>
      <c r="W15" s="418"/>
      <c r="X15" s="418"/>
      <c r="Y15" s="418">
        <f>'04 -Base Orçado 2026'!L17</f>
        <v>229366.3824</v>
      </c>
      <c r="Z15" s="418"/>
      <c r="AA15" s="418"/>
      <c r="AB15" s="418">
        <f>'04 -Base Orçado 2026'!M17</f>
        <v>226542.93119999999</v>
      </c>
      <c r="AC15" s="418"/>
      <c r="AD15" s="418"/>
      <c r="AE15" s="418">
        <f>'04 -Base Orçado 2026'!N17</f>
        <v>220086.77399999998</v>
      </c>
      <c r="AF15" s="418"/>
      <c r="AG15" s="418"/>
      <c r="AH15" s="418">
        <f>'04 -Base Orçado 2026'!O17</f>
        <v>260167.10759999999</v>
      </c>
      <c r="AI15" s="418"/>
      <c r="AJ15" s="418"/>
      <c r="AK15" s="418">
        <f>'04 -Base Orçado 2026'!P17</f>
        <v>185159.29800000001</v>
      </c>
      <c r="AL15" s="418"/>
      <c r="AM15" s="418"/>
      <c r="AN15" s="577">
        <f t="shared" si="2"/>
        <v>2742834.3664500001</v>
      </c>
      <c r="AO15" s="577">
        <f t="shared" si="2"/>
        <v>1961505.5630000001</v>
      </c>
      <c r="AP15" s="418"/>
      <c r="AQ15" s="577">
        <f t="shared" si="4"/>
        <v>215680.60575000002</v>
      </c>
      <c r="AR15" s="577">
        <f t="shared" si="5"/>
        <v>145654.08766666666</v>
      </c>
      <c r="AS15" s="577"/>
      <c r="AT15" s="663">
        <f t="shared" si="3"/>
        <v>4</v>
      </c>
      <c r="AU15" s="1"/>
      <c r="AV15" s="25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3"/>
    </row>
    <row r="16" spans="1:60" ht="16.5" hidden="1" customHeight="1" outlineLevel="1">
      <c r="A16" s="19" t="s">
        <v>19</v>
      </c>
      <c r="B16" s="20"/>
      <c r="C16" s="21">
        <f t="shared" si="0"/>
        <v>4114251.5496750004</v>
      </c>
      <c r="D16" s="418">
        <f>'04 -Base Orçado 2026'!E18</f>
        <v>260389.88167500001</v>
      </c>
      <c r="E16" s="418"/>
      <c r="F16" s="418"/>
      <c r="G16" s="418">
        <f>'04 -Base Orçado 2026'!F18</f>
        <v>353707.57799999998</v>
      </c>
      <c r="H16" s="418">
        <f>'Base Realizado'!F17</f>
        <v>0</v>
      </c>
      <c r="I16" s="418"/>
      <c r="J16" s="418">
        <f>'04 -Base Orçado 2026'!G18</f>
        <v>356465.26620000001</v>
      </c>
      <c r="K16" s="418">
        <f>'Base Realizado'!H17</f>
        <v>0</v>
      </c>
      <c r="L16" s="418"/>
      <c r="M16" s="418">
        <f>'04 -Base Orçado 2026'!H18</f>
        <v>365734.09259999997</v>
      </c>
      <c r="N16" s="15">
        <f>'Base Realizado'!K16</f>
        <v>159089.31</v>
      </c>
      <c r="O16" s="418"/>
      <c r="P16" s="418">
        <f>'04 -Base Orçado 2026'!I18</f>
        <v>411069.41820000001</v>
      </c>
      <c r="Q16" s="418"/>
      <c r="R16" s="418"/>
      <c r="S16" s="418">
        <f>'04 -Base Orçado 2026'!J18</f>
        <v>348552.10979999998</v>
      </c>
      <c r="T16" s="418"/>
      <c r="U16" s="418"/>
      <c r="V16" s="418">
        <f>'04 -Base Orçado 2026'!K18</f>
        <v>336349.46340000001</v>
      </c>
      <c r="W16" s="418"/>
      <c r="X16" s="418"/>
      <c r="Y16" s="418">
        <f>'04 -Base Orçado 2026'!L18</f>
        <v>344049.5736</v>
      </c>
      <c r="Z16" s="418"/>
      <c r="AA16" s="418"/>
      <c r="AB16" s="418">
        <f>'04 -Base Orçado 2026'!M18</f>
        <v>339814.39679999999</v>
      </c>
      <c r="AC16" s="418"/>
      <c r="AD16" s="418"/>
      <c r="AE16" s="418">
        <f>'04 -Base Orçado 2026'!N18</f>
        <v>330130.16099999996</v>
      </c>
      <c r="AF16" s="418"/>
      <c r="AG16" s="418"/>
      <c r="AH16" s="418">
        <f>'04 -Base Orçado 2026'!O18</f>
        <v>390250.66139999998</v>
      </c>
      <c r="AI16" s="418"/>
      <c r="AJ16" s="418"/>
      <c r="AK16" s="418">
        <f>'04 -Base Orçado 2026'!P18</f>
        <v>277738.94699999999</v>
      </c>
      <c r="AL16" s="418"/>
      <c r="AM16" s="418"/>
      <c r="AN16" s="577">
        <f t="shared" si="2"/>
        <v>4114251.5496750004</v>
      </c>
      <c r="AO16" s="577">
        <f t="shared" si="2"/>
        <v>159089.31</v>
      </c>
      <c r="AP16" s="418"/>
      <c r="AQ16" s="577">
        <f t="shared" si="4"/>
        <v>323520.90862499998</v>
      </c>
      <c r="AR16" s="577">
        <f t="shared" si="5"/>
        <v>0</v>
      </c>
      <c r="AS16" s="577"/>
      <c r="AT16" s="663">
        <f t="shared" si="3"/>
        <v>3</v>
      </c>
      <c r="AU16" s="1"/>
      <c r="AV16" s="25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3"/>
    </row>
    <row r="17" spans="1:67" ht="14.25" hidden="1" customHeight="1" outlineLevel="1">
      <c r="A17" s="19" t="s">
        <v>548</v>
      </c>
      <c r="B17" s="20"/>
      <c r="C17" s="21">
        <f t="shared" si="0"/>
        <v>109713.37465799999</v>
      </c>
      <c r="D17" s="418">
        <f>'04 -Base Orçado 2026'!E19</f>
        <v>6943.7301780000007</v>
      </c>
      <c r="E17" s="418">
        <f>'Base Realizado'!D18</f>
        <v>10889.07</v>
      </c>
      <c r="F17" s="418"/>
      <c r="G17" s="418">
        <f>'04 -Base Orçado 2026'!F19</f>
        <v>9432.2020800000009</v>
      </c>
      <c r="H17" s="418">
        <f>'Base Realizado'!F18</f>
        <v>10589.649999999998</v>
      </c>
      <c r="I17" s="418"/>
      <c r="J17" s="418">
        <f>'04 -Base Orçado 2026'!G19</f>
        <v>9505.7404320000005</v>
      </c>
      <c r="K17" s="418">
        <f>'Base Realizado'!H18</f>
        <v>5812.74</v>
      </c>
      <c r="L17" s="418"/>
      <c r="M17" s="418">
        <f>'04 -Base Orçado 2026'!H19</f>
        <v>9752.9091360000002</v>
      </c>
      <c r="N17" s="15">
        <f>'Base Realizado'!K17</f>
        <v>0</v>
      </c>
      <c r="O17" s="418"/>
      <c r="P17" s="418">
        <f>'04 -Base Orçado 2026'!I19</f>
        <v>10961.851152000001</v>
      </c>
      <c r="Q17" s="418"/>
      <c r="R17" s="418"/>
      <c r="S17" s="418">
        <f>'04 -Base Orçado 2026'!J19</f>
        <v>9294.7229279999992</v>
      </c>
      <c r="T17" s="418"/>
      <c r="U17" s="418"/>
      <c r="V17" s="418">
        <f>'04 -Base Orçado 2026'!K19</f>
        <v>8969.3190240000004</v>
      </c>
      <c r="W17" s="418"/>
      <c r="X17" s="418"/>
      <c r="Y17" s="418">
        <f>'04 -Base Orçado 2026'!L19</f>
        <v>9174.6552960000008</v>
      </c>
      <c r="Z17" s="418"/>
      <c r="AA17" s="418"/>
      <c r="AB17" s="418">
        <f>'04 -Base Orçado 2026'!M19</f>
        <v>9061.717247999999</v>
      </c>
      <c r="AC17" s="418"/>
      <c r="AD17" s="418"/>
      <c r="AE17" s="418">
        <f>'04 -Base Orçado 2026'!N19</f>
        <v>8803.4709599999987</v>
      </c>
      <c r="AF17" s="418"/>
      <c r="AG17" s="418"/>
      <c r="AH17" s="418">
        <f>'04 -Base Orçado 2026'!O19</f>
        <v>10406.684304</v>
      </c>
      <c r="AI17" s="418"/>
      <c r="AJ17" s="418"/>
      <c r="AK17" s="418">
        <f>'04 -Base Orçado 2026'!P19</f>
        <v>7406.3719200000005</v>
      </c>
      <c r="AL17" s="418"/>
      <c r="AM17" s="418"/>
      <c r="AN17" s="577">
        <f>SUM(D17,G17,J17,M17,P17,S17,V17,Y17,AB17,AE17,AH17,AK17)</f>
        <v>109713.37465799999</v>
      </c>
      <c r="AO17" s="418"/>
      <c r="AP17" s="418"/>
      <c r="AQ17" s="577">
        <f t="shared" si="4"/>
        <v>8627.2242299999998</v>
      </c>
      <c r="AR17" s="577">
        <f t="shared" si="5"/>
        <v>9097.1533333333336</v>
      </c>
      <c r="AS17" s="577"/>
      <c r="AT17" s="663">
        <f t="shared" si="3"/>
        <v>4</v>
      </c>
      <c r="AU17" s="1"/>
      <c r="AV17" s="25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3"/>
    </row>
    <row r="18" spans="1:67" ht="11.25" customHeight="1" collapsed="1">
      <c r="AN18" s="567"/>
      <c r="AO18" s="567"/>
      <c r="AQ18" s="567"/>
      <c r="AR18" s="567"/>
      <c r="AT18" s="587"/>
      <c r="AU18" s="1"/>
    </row>
    <row r="19" spans="1:67" ht="16.5" customHeight="1">
      <c r="A19" s="26" t="s">
        <v>20</v>
      </c>
      <c r="B19" s="27"/>
      <c r="C19" s="17">
        <f t="shared" si="0"/>
        <v>-2353779.3189226501</v>
      </c>
      <c r="D19" s="18">
        <f t="shared" ref="D19:AK19" si="6">SUM(D20:D23)</f>
        <v>-132798.83965425001</v>
      </c>
      <c r="E19" s="18">
        <f t="shared" si="6"/>
        <v>-51487.25</v>
      </c>
      <c r="F19" s="671"/>
      <c r="G19" s="18">
        <f t="shared" si="6"/>
        <v>-203841.67720140002</v>
      </c>
      <c r="H19" s="18">
        <f t="shared" si="6"/>
        <v>-21426.809999999998</v>
      </c>
      <c r="I19" s="671"/>
      <c r="J19" s="18">
        <f t="shared" si="6"/>
        <v>-205430.93291105996</v>
      </c>
      <c r="K19" s="18">
        <f>SUM(K20:K23)</f>
        <v>-59924.54</v>
      </c>
      <c r="L19" s="671"/>
      <c r="M19" s="18">
        <f t="shared" si="6"/>
        <v>-210772.55756538</v>
      </c>
      <c r="N19" s="18">
        <f t="shared" si="6"/>
        <v>0</v>
      </c>
      <c r="O19" s="671"/>
      <c r="P19" s="18">
        <f t="shared" si="6"/>
        <v>-236899.30570866005</v>
      </c>
      <c r="Q19" s="18"/>
      <c r="R19" s="671"/>
      <c r="S19" s="18">
        <f t="shared" si="6"/>
        <v>-200870.58087773999</v>
      </c>
      <c r="T19" s="18"/>
      <c r="U19" s="671"/>
      <c r="V19" s="18">
        <f t="shared" si="6"/>
        <v>-193838.19575741998</v>
      </c>
      <c r="W19" s="18"/>
      <c r="X19" s="671"/>
      <c r="Y19" s="18">
        <f t="shared" si="6"/>
        <v>-198275.76926568005</v>
      </c>
      <c r="Z19" s="18"/>
      <c r="AA19" s="671"/>
      <c r="AB19" s="18">
        <f t="shared" si="6"/>
        <v>-195835.03687583999</v>
      </c>
      <c r="AC19" s="18"/>
      <c r="AD19" s="671"/>
      <c r="AE19" s="18">
        <f t="shared" si="6"/>
        <v>-190254.01178429995</v>
      </c>
      <c r="AF19" s="18"/>
      <c r="AG19" s="671"/>
      <c r="AH19" s="18">
        <f t="shared" si="6"/>
        <v>-224901.45616482</v>
      </c>
      <c r="AI19" s="18"/>
      <c r="AJ19" s="671"/>
      <c r="AK19" s="18">
        <f t="shared" si="6"/>
        <v>-160060.95515610001</v>
      </c>
      <c r="AL19" s="18"/>
      <c r="AM19" s="671"/>
      <c r="AN19" s="18">
        <f t="shared" ref="AN19:AO22" si="7">SUM(D19,G19,J19,M19,P19,S19,V19,Y19,AB19,AE19,AH19,AK19)</f>
        <v>-2353779.3189226501</v>
      </c>
      <c r="AO19" s="18">
        <f t="shared" si="7"/>
        <v>-132838.6</v>
      </c>
      <c r="AP19" s="671"/>
      <c r="AQ19" s="18">
        <f t="shared" ref="AQ19:AQ73" si="8">AVERAGE(D19,G19,J19)</f>
        <v>-180690.48325556997</v>
      </c>
      <c r="AR19" s="18">
        <f t="shared" ref="AR19:AR73" si="9">AVERAGE(E19,H19,K19)</f>
        <v>-44279.533333333333</v>
      </c>
      <c r="AS19" s="570"/>
      <c r="AT19" s="661">
        <f>SUM(AT20:AT23)</f>
        <v>-8.2813621086176042E-2</v>
      </c>
      <c r="AU19" s="1"/>
      <c r="AV19" s="28">
        <f t="shared" ref="AV19:BG19" si="10">SUM(AV20:AV23)</f>
        <v>-8.2837033026529505E-2</v>
      </c>
      <c r="AW19" s="28">
        <f t="shared" si="10"/>
        <v>-8.2837033026529505E-2</v>
      </c>
      <c r="AX19" s="28">
        <f t="shared" si="10"/>
        <v>-8.2569575029587797E-2</v>
      </c>
      <c r="AY19" s="28">
        <f t="shared" si="10"/>
        <v>-8.2837033026529505E-2</v>
      </c>
      <c r="AZ19" s="28">
        <f t="shared" si="10"/>
        <v>-8.2837033026529505E-2</v>
      </c>
      <c r="BA19" s="28">
        <f t="shared" si="10"/>
        <v>-8.2837033026529505E-2</v>
      </c>
      <c r="BB19" s="28">
        <f t="shared" si="10"/>
        <v>-8.2837033026529505E-2</v>
      </c>
      <c r="BC19" s="28">
        <f t="shared" si="10"/>
        <v>-8.2837033026529505E-2</v>
      </c>
      <c r="BD19" s="28">
        <f t="shared" si="10"/>
        <v>-8.2837033026529491E-2</v>
      </c>
      <c r="BE19" s="28">
        <f t="shared" si="10"/>
        <v>-8.2837033026529491E-2</v>
      </c>
      <c r="BF19" s="28">
        <f t="shared" si="10"/>
        <v>-8.2837033026529505E-2</v>
      </c>
      <c r="BG19" s="28">
        <f t="shared" si="10"/>
        <v>-8.2837033026529505E-2</v>
      </c>
    </row>
    <row r="20" spans="1:67" ht="12.75" customHeight="1" outlineLevel="1">
      <c r="A20" s="19" t="s">
        <v>21</v>
      </c>
      <c r="B20" s="29"/>
      <c r="C20" s="21">
        <f t="shared" si="0"/>
        <v>-1230734.284404</v>
      </c>
      <c r="D20" s="22">
        <f>'04 -Base Orçado 2026'!E22</f>
        <v>-69437.301780000009</v>
      </c>
      <c r="E20" s="22">
        <f>'Base Realizado'!D21</f>
        <v>-11603.07</v>
      </c>
      <c r="F20" s="22"/>
      <c r="G20" s="22">
        <f>'04 -Base Orçado 2026'!F22</f>
        <v>-106583.88350400001</v>
      </c>
      <c r="H20" s="22">
        <f>'B. Despesa'!H2388</f>
        <v>-1056</v>
      </c>
      <c r="I20" s="22"/>
      <c r="J20" s="22">
        <f>'04 -Base Orçado 2026'!G22</f>
        <v>-107414.86688159998</v>
      </c>
      <c r="K20" s="22">
        <f>'Base Realizado'!H21</f>
        <v>-37427.25</v>
      </c>
      <c r="L20" s="22"/>
      <c r="M20" s="22">
        <f>'04 -Base Orçado 2026'!H22</f>
        <v>-110207.87323680001</v>
      </c>
      <c r="N20" s="15">
        <f>'Base Realizado'!K20</f>
        <v>0</v>
      </c>
      <c r="O20" s="22"/>
      <c r="P20" s="22">
        <f>'04 -Base Orçado 2026'!I22</f>
        <v>-123868.91801760004</v>
      </c>
      <c r="Q20" s="22"/>
      <c r="R20" s="22"/>
      <c r="S20" s="22">
        <f>'04 -Base Orçado 2026'!J22</f>
        <v>-105030.36908639999</v>
      </c>
      <c r="T20" s="22"/>
      <c r="U20" s="22"/>
      <c r="V20" s="22">
        <f>'04 -Base Orçado 2026'!K22</f>
        <v>-101353.30497119999</v>
      </c>
      <c r="W20" s="22"/>
      <c r="X20" s="22"/>
      <c r="Y20" s="22">
        <f>'04 -Base Orçado 2026'!L22</f>
        <v>-103673.60484480004</v>
      </c>
      <c r="Z20" s="22"/>
      <c r="AA20" s="22"/>
      <c r="AB20" s="22">
        <f>'04 -Base Orçado 2026'!M22</f>
        <v>-102397.4049024</v>
      </c>
      <c r="AC20" s="22"/>
      <c r="AD20" s="22"/>
      <c r="AE20" s="22">
        <f>'04 -Base Orçado 2026'!N22</f>
        <v>-99479.221847999986</v>
      </c>
      <c r="AF20" s="22"/>
      <c r="AG20" s="22"/>
      <c r="AH20" s="22">
        <f>'04 -Base Orçado 2026'!O22</f>
        <v>-117595.53263520001</v>
      </c>
      <c r="AI20" s="22"/>
      <c r="AJ20" s="22"/>
      <c r="AK20" s="22">
        <f>'04 -Base Orçado 2026'!P22</f>
        <v>-83692.00269600001</v>
      </c>
      <c r="AL20" s="22"/>
      <c r="AM20" s="22"/>
      <c r="AN20" s="577">
        <f t="shared" si="7"/>
        <v>-1230734.284404</v>
      </c>
      <c r="AO20" s="577">
        <f t="shared" si="7"/>
        <v>-50086.32</v>
      </c>
      <c r="AP20" s="22"/>
      <c r="AQ20" s="577">
        <f t="shared" si="8"/>
        <v>-94478.684055200007</v>
      </c>
      <c r="AR20" s="577">
        <f t="shared" si="9"/>
        <v>-16695.439999999999</v>
      </c>
      <c r="AS20" s="577"/>
      <c r="AT20" s="586">
        <f>IF(ISERROR(C20/C$24),0,(C20/C$24))</f>
        <v>-4.3301239783621458E-2</v>
      </c>
      <c r="AU20" s="1"/>
      <c r="AV20" s="30">
        <f>IF(ISERROR(D20/D$24),0,(D20/D$24))</f>
        <v>-4.3313481321061179E-2</v>
      </c>
      <c r="AW20" s="30">
        <f>IF(ISERROR(G20/G$24),0,(G20/G$24))</f>
        <v>-4.3313481321061185E-2</v>
      </c>
      <c r="AX20" s="30">
        <f>IF(ISERROR(J20/J$24),0,(J20/J$24))</f>
        <v>-4.3173634002398847E-2</v>
      </c>
      <c r="AY20" s="30">
        <f>IF(ISERROR(M20/M$24),0,(M20/M$24))</f>
        <v>-4.3313481321061179E-2</v>
      </c>
      <c r="AZ20" s="30">
        <f>IF(ISERROR(P20/P$24),0,(P20/P$24))</f>
        <v>-4.3313481321061179E-2</v>
      </c>
      <c r="BA20" s="30">
        <f>IF(ISERROR(S20/S$24),0,(S20/S$24))</f>
        <v>-4.3313481321061179E-2</v>
      </c>
      <c r="BB20" s="30">
        <f>IF(ISERROR(V20/V$24),0,(V20/V$24))</f>
        <v>-4.3313481321061179E-2</v>
      </c>
      <c r="BC20" s="30">
        <f>IF(ISERROR(Y20/Y$24),0,(Y20/Y$24))</f>
        <v>-4.3313481321061185E-2</v>
      </c>
      <c r="BD20" s="30">
        <f>IF(ISERROR(AB20/AB$24),0,(AB20/AB$24))</f>
        <v>-4.3313481321061172E-2</v>
      </c>
      <c r="BE20" s="30">
        <f>IF(ISERROR(AE20/AE$24),0,(AE20/AE$24))</f>
        <v>-4.3313481321061172E-2</v>
      </c>
      <c r="BF20" s="30">
        <f>IF(ISERROR(AH20/AH$24),0,(AH20/AH$24))</f>
        <v>-4.3313481321061185E-2</v>
      </c>
      <c r="BG20" s="30">
        <f>IF(ISERROR(AK20/AK$24),0,(AK20/AK$24))</f>
        <v>-4.3313481321061185E-2</v>
      </c>
    </row>
    <row r="21" spans="1:67" ht="12.75" customHeight="1" outlineLevel="1">
      <c r="A21" s="19" t="s">
        <v>22</v>
      </c>
      <c r="B21" s="29"/>
      <c r="C21" s="21">
        <f t="shared" si="0"/>
        <v>-923050.71330300008</v>
      </c>
      <c r="D21" s="22">
        <f>'04 -Base Orçado 2026'!E23</f>
        <v>-52077.976335000007</v>
      </c>
      <c r="E21" s="22">
        <f>'Base Realizado'!D22</f>
        <v>-18007.73</v>
      </c>
      <c r="F21" s="22"/>
      <c r="G21" s="22">
        <f>'04 -Base Orçado 2026'!F23</f>
        <v>-79937.912628000005</v>
      </c>
      <c r="H21" s="22">
        <f>'B. Despesa'!H2389</f>
        <v>-15493.73</v>
      </c>
      <c r="I21" s="22"/>
      <c r="J21" s="22">
        <f>'04 -Base Orçado 2026'!G23</f>
        <v>-80561.150161199985</v>
      </c>
      <c r="K21" s="22">
        <f>'Base Realizado'!H22</f>
        <v>-18490.919999999998</v>
      </c>
      <c r="L21" s="22"/>
      <c r="M21" s="22">
        <f>'04 -Base Orçado 2026'!H23</f>
        <v>-82655.904927600001</v>
      </c>
      <c r="N21" s="15">
        <f>'Base Realizado'!K21</f>
        <v>0</v>
      </c>
      <c r="O21" s="22"/>
      <c r="P21" s="22">
        <f>'04 -Base Orçado 2026'!I23</f>
        <v>-92901.688513200017</v>
      </c>
      <c r="Q21" s="22"/>
      <c r="R21" s="22"/>
      <c r="S21" s="22">
        <f>'04 -Base Orçado 2026'!J23</f>
        <v>-78772.776814799989</v>
      </c>
      <c r="T21" s="22"/>
      <c r="U21" s="22"/>
      <c r="V21" s="22">
        <f>'04 -Base Orçado 2026'!K23</f>
        <v>-76014.97872839999</v>
      </c>
      <c r="W21" s="22"/>
      <c r="X21" s="22"/>
      <c r="Y21" s="22">
        <f>'04 -Base Orçado 2026'!L23</f>
        <v>-77755.203633600016</v>
      </c>
      <c r="Z21" s="22"/>
      <c r="AA21" s="22"/>
      <c r="AB21" s="22">
        <f>'04 -Base Orçado 2026'!M23</f>
        <v>-76798.053676800002</v>
      </c>
      <c r="AC21" s="22"/>
      <c r="AD21" s="22"/>
      <c r="AE21" s="22">
        <f>'04 -Base Orçado 2026'!N23</f>
        <v>-74609.416385999983</v>
      </c>
      <c r="AF21" s="22"/>
      <c r="AG21" s="22"/>
      <c r="AH21" s="22">
        <f>'04 -Base Orçado 2026'!O23</f>
        <v>-88196.649476399994</v>
      </c>
      <c r="AI21" s="22"/>
      <c r="AJ21" s="22"/>
      <c r="AK21" s="22">
        <f>'04 -Base Orçado 2026'!P23</f>
        <v>-62769.002022000001</v>
      </c>
      <c r="AL21" s="22"/>
      <c r="AM21" s="22"/>
      <c r="AN21" s="577">
        <f t="shared" si="7"/>
        <v>-923050.71330300008</v>
      </c>
      <c r="AO21" s="577">
        <f t="shared" si="7"/>
        <v>-51992.38</v>
      </c>
      <c r="AP21" s="22"/>
      <c r="AQ21" s="577">
        <f t="shared" si="8"/>
        <v>-70859.013041400001</v>
      </c>
      <c r="AR21" s="577">
        <f t="shared" si="9"/>
        <v>-17330.793333333331</v>
      </c>
      <c r="AS21" s="577"/>
      <c r="AT21" s="586">
        <f>IF(ISERROR(C21/C$24),0,(C21/C$24))</f>
        <v>-3.2475929837716098E-2</v>
      </c>
      <c r="AU21" s="1"/>
      <c r="AV21" s="30">
        <f>IF(ISERROR(D21/D$24),0,(D21/D$24))</f>
        <v>-3.2485110990795887E-2</v>
      </c>
      <c r="AW21" s="30">
        <f>IF(ISERROR(G21/G$24),0,(G21/G$24))</f>
        <v>-3.2485110990795887E-2</v>
      </c>
      <c r="AX21" s="30">
        <f>IF(ISERROR(J21/J$24),0,(J21/J$24))</f>
        <v>-3.2380225501799136E-2</v>
      </c>
      <c r="AY21" s="30">
        <f>IF(ISERROR(M21/M$24),0,(M21/M$24))</f>
        <v>-3.248511099079588E-2</v>
      </c>
      <c r="AZ21" s="30">
        <f>IF(ISERROR(P21/P$24),0,(P21/P$24))</f>
        <v>-3.248511099079588E-2</v>
      </c>
      <c r="BA21" s="30">
        <f>IF(ISERROR(S21/S$24),0,(S21/S$24))</f>
        <v>-3.248511099079588E-2</v>
      </c>
      <c r="BB21" s="30">
        <f>IF(ISERROR(V21/V$24),0,(V21/V$24))</f>
        <v>-3.248511099079588E-2</v>
      </c>
      <c r="BC21" s="30">
        <f>IF(ISERROR(Y21/Y$24),0,(Y21/Y$24))</f>
        <v>-3.248511099079588E-2</v>
      </c>
      <c r="BD21" s="30">
        <f>IF(ISERROR(AB21/AB$24),0,(AB21/AB$24))</f>
        <v>-3.248511099079588E-2</v>
      </c>
      <c r="BE21" s="30">
        <f>IF(ISERROR(AE21/AE$24),0,(AE21/AE$24))</f>
        <v>-3.248511099079588E-2</v>
      </c>
      <c r="BF21" s="30">
        <f>IF(ISERROR(AH21/AH$24),0,(AH21/AH$24))</f>
        <v>-3.248511099079588E-2</v>
      </c>
      <c r="BG21" s="30">
        <f>IF(ISERROR(AK21/AK$24),0,(AK21/AK$24))</f>
        <v>-3.2485110990795887E-2</v>
      </c>
    </row>
    <row r="22" spans="1:67" ht="12.75" customHeight="1" outlineLevel="1">
      <c r="A22" s="19" t="s">
        <v>23</v>
      </c>
      <c r="B22" s="29"/>
      <c r="C22" s="21">
        <f t="shared" si="0"/>
        <v>-199994.32121565001</v>
      </c>
      <c r="D22" s="22">
        <f>'04 -Base Orçado 2026'!E24</f>
        <v>-11283.561539250002</v>
      </c>
      <c r="E22" s="22">
        <f>'Base Realizado'!D23</f>
        <v>-21876.45</v>
      </c>
      <c r="F22" s="22"/>
      <c r="G22" s="22">
        <f>'04 -Base Orçado 2026'!F24</f>
        <v>-17319.881069400002</v>
      </c>
      <c r="H22" s="22">
        <f>'B. Despesa'!H2390</f>
        <v>-4877.08</v>
      </c>
      <c r="I22" s="22"/>
      <c r="J22" s="22">
        <f>'04 -Base Orçado 2026'!G24</f>
        <v>-17454.915868259995</v>
      </c>
      <c r="K22" s="22">
        <f>'Base Realizado'!H23</f>
        <v>-4006.37</v>
      </c>
      <c r="L22" s="22"/>
      <c r="M22" s="22">
        <f>'04 -Base Orçado 2026'!H24</f>
        <v>-17908.779400979998</v>
      </c>
      <c r="N22" s="15">
        <f>'Base Realizado'!K22</f>
        <v>0</v>
      </c>
      <c r="O22" s="22"/>
      <c r="P22" s="22">
        <f>'04 -Base Orçado 2026'!I24</f>
        <v>-20128.699177860002</v>
      </c>
      <c r="Q22" s="22"/>
      <c r="R22" s="22"/>
      <c r="S22" s="22">
        <f>'04 -Base Orçado 2026'!J24</f>
        <v>-17067.434976539997</v>
      </c>
      <c r="T22" s="22"/>
      <c r="U22" s="22"/>
      <c r="V22" s="22">
        <f>'04 -Base Orçado 2026'!K24</f>
        <v>-16469.912057819998</v>
      </c>
      <c r="W22" s="22"/>
      <c r="X22" s="22"/>
      <c r="Y22" s="22">
        <f>'04 -Base Orçado 2026'!L24</f>
        <v>-16846.960787280004</v>
      </c>
      <c r="Z22" s="22"/>
      <c r="AA22" s="22"/>
      <c r="AB22" s="22">
        <f>'04 -Base Orçado 2026'!M24</f>
        <v>-16639.57829664</v>
      </c>
      <c r="AC22" s="22"/>
      <c r="AD22" s="22"/>
      <c r="AE22" s="22">
        <f>'04 -Base Orçado 2026'!N24</f>
        <v>-16165.373550299997</v>
      </c>
      <c r="AF22" s="22"/>
      <c r="AG22" s="22"/>
      <c r="AH22" s="22">
        <f>'04 -Base Orçado 2026'!O24</f>
        <v>-19109.27405322</v>
      </c>
      <c r="AI22" s="22"/>
      <c r="AJ22" s="22"/>
      <c r="AK22" s="22">
        <f>'04 -Base Orçado 2026'!P24</f>
        <v>-13599.950438100001</v>
      </c>
      <c r="AL22" s="22"/>
      <c r="AM22" s="22"/>
      <c r="AN22" s="577">
        <f t="shared" si="7"/>
        <v>-199994.32121565001</v>
      </c>
      <c r="AO22" s="577">
        <f t="shared" si="7"/>
        <v>-30759.899999999998</v>
      </c>
      <c r="AP22" s="22"/>
      <c r="AQ22" s="577">
        <f t="shared" si="8"/>
        <v>-15352.786158969999</v>
      </c>
      <c r="AR22" s="577">
        <f t="shared" si="9"/>
        <v>-10253.299999999999</v>
      </c>
      <c r="AS22" s="577"/>
      <c r="AT22" s="586">
        <f>IF(ISERROR(C22/C$24),0,(C22/C$24))</f>
        <v>-7.0364514648384871E-3</v>
      </c>
      <c r="AU22" s="1"/>
      <c r="AV22" s="30">
        <f>IF(ISERROR(D22/D$24),0,(D22/D$24))</f>
        <v>-7.0384407146724419E-3</v>
      </c>
      <c r="AW22" s="30">
        <f>IF(ISERROR(G22/G$24),0,(G22/G$24))</f>
        <v>-7.0384407146724419E-3</v>
      </c>
      <c r="AX22" s="30">
        <f>IF(ISERROR(J22/J$24),0,(J22/J$24))</f>
        <v>-7.015715525389812E-3</v>
      </c>
      <c r="AY22" s="30">
        <f>IF(ISERROR(M22/M$24),0,(M22/M$24))</f>
        <v>-7.0384407146724401E-3</v>
      </c>
      <c r="AZ22" s="30">
        <f>IF(ISERROR(P22/P$24),0,(P22/P$24))</f>
        <v>-7.0384407146724401E-3</v>
      </c>
      <c r="BA22" s="30">
        <f>IF(ISERROR(S22/S$24),0,(S22/S$24))</f>
        <v>-7.038440714672441E-3</v>
      </c>
      <c r="BB22" s="30">
        <f>IF(ISERROR(V22/V$24),0,(V22/V$24))</f>
        <v>-7.0384407146724419E-3</v>
      </c>
      <c r="BC22" s="30">
        <f>IF(ISERROR(Y22/Y$24),0,(Y22/Y$24))</f>
        <v>-7.0384407146724419E-3</v>
      </c>
      <c r="BD22" s="30">
        <f>IF(ISERROR(AB22/AB$24),0,(AB22/AB$24))</f>
        <v>-7.038440714672441E-3</v>
      </c>
      <c r="BE22" s="30">
        <f>IF(ISERROR(AE22/AE$24),0,(AE22/AE$24))</f>
        <v>-7.0384407146724401E-3</v>
      </c>
      <c r="BF22" s="30">
        <f>IF(ISERROR(AH22/AH$24),0,(AH22/AH$24))</f>
        <v>-7.0384407146724419E-3</v>
      </c>
      <c r="BG22" s="30">
        <f>IF(ISERROR(AK22/AK$24),0,(AK22/AK$24))</f>
        <v>-7.0384407146724419E-3</v>
      </c>
    </row>
    <row r="23" spans="1:67" ht="6.6" customHeight="1">
      <c r="A23" s="31"/>
      <c r="B23" s="32"/>
      <c r="C23" s="33">
        <f t="shared" si="0"/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577"/>
      <c r="AO23" s="577"/>
      <c r="AP23" s="22"/>
      <c r="AQ23" s="577"/>
      <c r="AR23" s="577"/>
      <c r="AS23" s="577"/>
      <c r="AT23" s="588"/>
      <c r="AU23" s="1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</row>
    <row r="24" spans="1:67" ht="15.75" customHeight="1">
      <c r="A24" s="16" t="s">
        <v>24</v>
      </c>
      <c r="B24" s="7"/>
      <c r="C24" s="17">
        <f t="shared" si="0"/>
        <v>28422610.774057351</v>
      </c>
      <c r="D24" s="18">
        <f t="shared" ref="D24:AK24" si="11">D10+D19</f>
        <v>1603133.7048457502</v>
      </c>
      <c r="E24" s="18">
        <f t="shared" si="11"/>
        <v>1338861.7200000002</v>
      </c>
      <c r="F24" s="671"/>
      <c r="G24" s="18">
        <f t="shared" si="11"/>
        <v>2460755.4103986002</v>
      </c>
      <c r="H24" s="18">
        <f t="shared" si="11"/>
        <v>1507127.2500000007</v>
      </c>
      <c r="I24" s="671"/>
      <c r="J24" s="18">
        <f t="shared" si="11"/>
        <v>2487973.7220089398</v>
      </c>
      <c r="K24" s="18">
        <f t="shared" ref="K24" si="12">K10+K19</f>
        <v>2383612.2129999995</v>
      </c>
      <c r="L24" s="671"/>
      <c r="M24" s="18">
        <f t="shared" si="11"/>
        <v>2544424.2733546202</v>
      </c>
      <c r="N24" s="18">
        <f t="shared" si="11"/>
        <v>2296285.6</v>
      </c>
      <c r="O24" s="671"/>
      <c r="P24" s="18">
        <f t="shared" si="11"/>
        <v>2859823.6447313409</v>
      </c>
      <c r="Q24" s="18"/>
      <c r="R24" s="671"/>
      <c r="S24" s="18">
        <f t="shared" si="11"/>
        <v>2424888.6462822598</v>
      </c>
      <c r="T24" s="18"/>
      <c r="U24" s="671"/>
      <c r="V24" s="18">
        <f t="shared" si="11"/>
        <v>2339994.4285225798</v>
      </c>
      <c r="W24" s="18"/>
      <c r="X24" s="671"/>
      <c r="Y24" s="18">
        <f t="shared" si="11"/>
        <v>2393564.3518543206</v>
      </c>
      <c r="Z24" s="18"/>
      <c r="AA24" s="671"/>
      <c r="AB24" s="18">
        <f t="shared" si="11"/>
        <v>2364100.0856841602</v>
      </c>
      <c r="AC24" s="18"/>
      <c r="AD24" s="671"/>
      <c r="AE24" s="18">
        <f t="shared" si="11"/>
        <v>2296726.5344157</v>
      </c>
      <c r="AF24" s="18"/>
      <c r="AG24" s="671"/>
      <c r="AH24" s="18">
        <f t="shared" si="11"/>
        <v>2714986.85971518</v>
      </c>
      <c r="AI24" s="18"/>
      <c r="AJ24" s="671"/>
      <c r="AK24" s="18">
        <f t="shared" si="11"/>
        <v>1932239.1122439001</v>
      </c>
      <c r="AL24" s="18"/>
      <c r="AM24" s="671"/>
      <c r="AN24" s="18">
        <f>SUM(D24,G24,J24,M24,P24,S24,V24,Y24,AB24,AE24,AH24,AK24)</f>
        <v>28422610.774057351</v>
      </c>
      <c r="AO24" s="18">
        <f>SUM(E24,H24,K24,N24,Q24,T24,W24,Z24,AC24,AF24,AI24,AL24)</f>
        <v>7525886.7829999998</v>
      </c>
      <c r="AP24" s="671"/>
      <c r="AQ24" s="18">
        <f t="shared" si="8"/>
        <v>2183954.2790844301</v>
      </c>
      <c r="AR24" s="18">
        <f t="shared" si="9"/>
        <v>1743200.3943333335</v>
      </c>
      <c r="AS24" s="570"/>
      <c r="AT24" s="661">
        <f>C24/C10</f>
        <v>0.92351996735772002</v>
      </c>
      <c r="AU24" s="1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</row>
    <row r="25" spans="1:67" ht="6" customHeight="1">
      <c r="A25" s="5"/>
      <c r="B25" s="7"/>
      <c r="C25" s="11">
        <f t="shared" si="0"/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575">
        <f>SUM(D25:AK25)</f>
        <v>0</v>
      </c>
      <c r="AO25" s="575"/>
      <c r="AP25" s="12"/>
      <c r="AQ25" s="575"/>
      <c r="AR25" s="575"/>
      <c r="AS25" s="575"/>
      <c r="AT25" s="584"/>
      <c r="AU25" s="1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</row>
    <row r="26" spans="1:67" ht="17.100000000000001" customHeight="1" thickBot="1">
      <c r="A26" s="35" t="s">
        <v>25</v>
      </c>
      <c r="B26" s="36"/>
      <c r="C26" s="37">
        <f t="shared" si="0"/>
        <v>-21293529.782786556</v>
      </c>
      <c r="D26" s="38">
        <f>SUM(,D28,D44,D49,D50,D51,D52)</f>
        <v>-1368519.2838828294</v>
      </c>
      <c r="E26" s="38">
        <f>SUM(,E28,E44,E49,E50,E51,E52)</f>
        <v>-1331701.27</v>
      </c>
      <c r="F26" s="505"/>
      <c r="G26" s="38">
        <f>SUM(,G28,G44,G49,G50,G51,G52)</f>
        <v>-1822211.1727161326</v>
      </c>
      <c r="H26" s="38">
        <f>SUM(,H28,H44,H49,H50,H51,H52)</f>
        <v>-1408175.8631</v>
      </c>
      <c r="I26" s="505"/>
      <c r="J26" s="38">
        <f>SUM(J29:J52)</f>
        <v>-1821906.4234677781</v>
      </c>
      <c r="K26" s="38">
        <f>SUM(,K28,K44,K49,K50,K51,K52)</f>
        <v>-1640580.1868999999</v>
      </c>
      <c r="L26" s="505"/>
      <c r="M26" s="38">
        <f>SUM(M29:M52)</f>
        <v>-1852795.7702453935</v>
      </c>
      <c r="N26" s="38">
        <f>SUM(,N28,N44,N49,N50,N51,N52)</f>
        <v>-1890226.6540000001</v>
      </c>
      <c r="O26" s="505"/>
      <c r="P26" s="38">
        <f>SUM(P29:P52)</f>
        <v>-2003880.5498389066</v>
      </c>
      <c r="Q26" s="505"/>
      <c r="R26" s="505"/>
      <c r="S26" s="38">
        <f>SUM(S29:S52)</f>
        <v>-1795534.9907106478</v>
      </c>
      <c r="T26" s="505"/>
      <c r="U26" s="505"/>
      <c r="V26" s="38">
        <f>SUM(V29:V52)</f>
        <v>-1772660.2246458826</v>
      </c>
      <c r="W26" s="505"/>
      <c r="X26" s="505"/>
      <c r="Y26" s="38">
        <f>SUM(Y29:Y52)</f>
        <v>-1798321.6583516281</v>
      </c>
      <c r="Z26" s="505"/>
      <c r="AA26" s="505"/>
      <c r="AB26" s="38">
        <f>SUM(AB29:AB52)</f>
        <v>-1784207.482597973</v>
      </c>
      <c r="AC26" s="505"/>
      <c r="AD26" s="505"/>
      <c r="AE26" s="38">
        <f>SUM(AE29:AE52)</f>
        <v>-1751933.7399478352</v>
      </c>
      <c r="AF26" s="505"/>
      <c r="AG26" s="505"/>
      <c r="AH26" s="38">
        <f>SUM(AH29:AH52)</f>
        <v>-1952291.6822758301</v>
      </c>
      <c r="AI26" s="505"/>
      <c r="AJ26" s="505"/>
      <c r="AK26" s="38">
        <f>SUM(AK29:AK52)</f>
        <v>-1569266.8041057196</v>
      </c>
      <c r="AL26" s="505"/>
      <c r="AM26" s="505"/>
      <c r="AN26" s="579">
        <f>SUM(D26,G26,J26,M26,P26,S26,V26,Y26,AB26,AE26,AH26,AK26)</f>
        <v>-21293529.782786556</v>
      </c>
      <c r="AO26" s="579">
        <f>SUM(E26,H26,K26,N26,Q26,T26,W26,Z26,AC26,AF26,AI26,AL26)</f>
        <v>-6270683.9740000004</v>
      </c>
      <c r="AP26" s="505"/>
      <c r="AQ26" s="579">
        <f t="shared" si="8"/>
        <v>-1670878.9600222465</v>
      </c>
      <c r="AR26" s="579">
        <f t="shared" si="9"/>
        <v>-1460152.4400000002</v>
      </c>
      <c r="AS26" s="665"/>
      <c r="AT26" s="589">
        <f>SUM(AT28,AT44,AT49,AT50,AT51,AT52)</f>
        <v>-0.74917571619501466</v>
      </c>
      <c r="AU26" s="1"/>
      <c r="AV26" s="39">
        <f t="shared" ref="AV26:BG26" si="13">SUM(AV29:AV51)</f>
        <v>-0.81665261783608079</v>
      </c>
      <c r="AW26" s="39">
        <f t="shared" si="13"/>
        <v>-0.70776549270732969</v>
      </c>
      <c r="AX26" s="39">
        <f t="shared" si="13"/>
        <v>-0.69964759219378814</v>
      </c>
      <c r="AY26" s="39">
        <f t="shared" si="13"/>
        <v>-0.69543541994741065</v>
      </c>
      <c r="AZ26" s="39">
        <f t="shared" si="13"/>
        <v>-0.66795737916342512</v>
      </c>
      <c r="BA26" s="39">
        <f t="shared" si="13"/>
        <v>-0.7077174387243238</v>
      </c>
      <c r="BB26" s="39">
        <f t="shared" si="13"/>
        <v>-0.72480554542135511</v>
      </c>
      <c r="BC26" s="39">
        <f t="shared" si="13"/>
        <v>-0.71857199535287075</v>
      </c>
      <c r="BD26" s="39">
        <f t="shared" si="13"/>
        <v>-0.7219655826151915</v>
      </c>
      <c r="BE26" s="39">
        <f t="shared" si="13"/>
        <v>-0.73005260512326298</v>
      </c>
      <c r="BF26" s="39">
        <f t="shared" si="13"/>
        <v>-0.68633624349840505</v>
      </c>
      <c r="BG26" s="39">
        <f t="shared" si="13"/>
        <v>-0.7794060208349165</v>
      </c>
      <c r="BH26" s="742" t="s">
        <v>1754</v>
      </c>
      <c r="BI26" s="742" t="s">
        <v>1753</v>
      </c>
      <c r="BJ26" s="742" t="s">
        <v>1754</v>
      </c>
      <c r="BK26" s="742" t="s">
        <v>1753</v>
      </c>
      <c r="BL26" s="742" t="s">
        <v>1754</v>
      </c>
      <c r="BM26" s="742" t="s">
        <v>1753</v>
      </c>
      <c r="BN26" s="742" t="s">
        <v>1754</v>
      </c>
      <c r="BO26" s="742" t="s">
        <v>1753</v>
      </c>
    </row>
    <row r="27" spans="1:67" ht="6" customHeight="1">
      <c r="A27" s="5"/>
      <c r="B27" s="7"/>
      <c r="C27" s="11">
        <f t="shared" si="0"/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575">
        <f>SUM(D27:AK27)</f>
        <v>0</v>
      </c>
      <c r="AO27" s="575"/>
      <c r="AP27" s="12"/>
      <c r="AQ27" s="575"/>
      <c r="AR27" s="575"/>
      <c r="AS27" s="575"/>
      <c r="AT27" s="584"/>
      <c r="AU27" s="1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742"/>
      <c r="BI27" s="742"/>
      <c r="BJ27" s="742"/>
      <c r="BK27" s="742"/>
      <c r="BL27" s="742"/>
      <c r="BM27" s="742"/>
      <c r="BN27" s="742"/>
      <c r="BO27" s="742"/>
    </row>
    <row r="28" spans="1:67" ht="14.25" customHeight="1">
      <c r="A28" s="40" t="s">
        <v>26</v>
      </c>
      <c r="B28" s="27"/>
      <c r="C28" s="11">
        <f t="shared" si="0"/>
        <v>-9092664.8931767512</v>
      </c>
      <c r="D28" s="22">
        <f t="shared" ref="D28:AK28" si="14">SUM(D29:D42)</f>
        <v>-513002.78555064002</v>
      </c>
      <c r="E28" s="22">
        <f>SUM(E29:E41)</f>
        <v>-600857.50000000012</v>
      </c>
      <c r="F28" s="22"/>
      <c r="G28" s="43">
        <f t="shared" si="14"/>
        <v>-787441.73132755212</v>
      </c>
      <c r="H28" s="22">
        <f t="shared" si="14"/>
        <v>-527469.52310000011</v>
      </c>
      <c r="I28" s="22"/>
      <c r="J28" s="22">
        <f t="shared" si="14"/>
        <v>-793581.03652126086</v>
      </c>
      <c r="K28" s="22">
        <f t="shared" ref="K28" si="15">SUM(K29:K42)</f>
        <v>-649970.12690000003</v>
      </c>
      <c r="L28" s="22"/>
      <c r="M28" s="22">
        <f t="shared" si="14"/>
        <v>-814215.7674734781</v>
      </c>
      <c r="N28" s="22">
        <f t="shared" si="14"/>
        <v>-895627.39400000009</v>
      </c>
      <c r="O28" s="22"/>
      <c r="P28" s="22">
        <f t="shared" si="14"/>
        <v>-915143.56631402916</v>
      </c>
      <c r="Q28" s="22"/>
      <c r="R28" s="22"/>
      <c r="S28" s="22">
        <f t="shared" si="14"/>
        <v>-775964.3668103232</v>
      </c>
      <c r="T28" s="22"/>
      <c r="U28" s="22"/>
      <c r="V28" s="22">
        <f t="shared" si="14"/>
        <v>-748798.21712722548</v>
      </c>
      <c r="W28" s="22"/>
      <c r="X28" s="22"/>
      <c r="Y28" s="22">
        <f t="shared" si="14"/>
        <v>-765940.59259338258</v>
      </c>
      <c r="Z28" s="22"/>
      <c r="AA28" s="22"/>
      <c r="AB28" s="22">
        <f t="shared" si="14"/>
        <v>-756512.02741893125</v>
      </c>
      <c r="AC28" s="22"/>
      <c r="AD28" s="22"/>
      <c r="AE28" s="22">
        <f t="shared" si="14"/>
        <v>-734952.491013024</v>
      </c>
      <c r="AF28" s="12"/>
      <c r="AG28" s="22"/>
      <c r="AH28" s="12">
        <f t="shared" si="14"/>
        <v>-868795.79510885756</v>
      </c>
      <c r="AI28" s="12"/>
      <c r="AJ28" s="22"/>
      <c r="AK28" s="12">
        <f t="shared" si="14"/>
        <v>-618316.51591804798</v>
      </c>
      <c r="AL28" s="12"/>
      <c r="AM28" s="22"/>
      <c r="AN28" s="577">
        <f>SUM(D28,G28,J28,M28,P28,S28,V28,Y28,AB28,AE28,AH28,AK28)</f>
        <v>-9092664.8931767512</v>
      </c>
      <c r="AO28" s="577">
        <f>SUM(E28,H28,K28,N28,Q28,T28,W28,Z28,AC28,AF28,AI28,AL28)</f>
        <v>-2673924.5440000007</v>
      </c>
      <c r="AP28" s="22"/>
      <c r="AQ28" s="577">
        <f t="shared" si="8"/>
        <v>-698008.51779981761</v>
      </c>
      <c r="AR28" s="577">
        <f t="shared" si="9"/>
        <v>-592765.71666666679</v>
      </c>
      <c r="AS28" s="577"/>
      <c r="AT28" s="584">
        <f>SUM(AT29:AT42)</f>
        <v>-0.31990955952139533</v>
      </c>
      <c r="AU28" s="1"/>
      <c r="AV28" s="34">
        <f t="shared" ref="AV28:BG28" si="16">SUM(AV29:AV42)</f>
        <v>-0.32</v>
      </c>
      <c r="AW28" s="34">
        <f t="shared" si="16"/>
        <v>-0.32</v>
      </c>
      <c r="AX28" s="34">
        <f t="shared" si="16"/>
        <v>-0.31896680800972271</v>
      </c>
      <c r="AY28" s="34">
        <f t="shared" si="16"/>
        <v>-0.3199999999999999</v>
      </c>
      <c r="AZ28" s="34">
        <f t="shared" si="16"/>
        <v>-0.32</v>
      </c>
      <c r="BA28" s="34">
        <f t="shared" si="16"/>
        <v>-0.32</v>
      </c>
      <c r="BB28" s="34">
        <f t="shared" si="16"/>
        <v>-0.32000000000000006</v>
      </c>
      <c r="BC28" s="34">
        <f t="shared" si="16"/>
        <v>-0.32</v>
      </c>
      <c r="BD28" s="34">
        <f t="shared" si="16"/>
        <v>-0.31999999999999995</v>
      </c>
      <c r="BE28" s="34">
        <f t="shared" si="16"/>
        <v>-0.32</v>
      </c>
      <c r="BF28" s="34">
        <f t="shared" si="16"/>
        <v>-0.31999999999999995</v>
      </c>
      <c r="BG28" s="34">
        <f t="shared" si="16"/>
        <v>-0.32</v>
      </c>
      <c r="BH28" s="743">
        <f t="shared" ref="BH28:BH50" si="17">D28/$D$24</f>
        <v>-0.31999999999999995</v>
      </c>
      <c r="BI28" s="743">
        <f>E28/$E$24</f>
        <v>-0.44878234325797289</v>
      </c>
      <c r="BJ28" s="743">
        <f>G28/$G$24</f>
        <v>-0.32</v>
      </c>
      <c r="BK28" s="743">
        <f>H28/$H$24</f>
        <v>-0.34998340259589883</v>
      </c>
      <c r="BL28" s="743">
        <f>J28/$J$24</f>
        <v>-0.31896680800972277</v>
      </c>
      <c r="BM28" s="743">
        <f>K28/$K$24</f>
        <v>-0.27268283127394771</v>
      </c>
      <c r="BN28" s="743">
        <f>M28/$M$24</f>
        <v>-0.31999999999999984</v>
      </c>
      <c r="BO28" s="743">
        <f>N28/$N$24</f>
        <v>-0.39003310128322022</v>
      </c>
    </row>
    <row r="29" spans="1:67" ht="12.75" hidden="1" customHeight="1" outlineLevel="1">
      <c r="A29" s="19" t="s">
        <v>27</v>
      </c>
      <c r="B29" s="29"/>
      <c r="C29" s="21">
        <f t="shared" si="0"/>
        <v>-4546332.4465883756</v>
      </c>
      <c r="D29" s="22">
        <f>'04 -Base Orçado 2026'!E32</f>
        <v>-256501.39277532004</v>
      </c>
      <c r="E29" s="22">
        <f>'Base Realizado'!D29</f>
        <v>-170454.81</v>
      </c>
      <c r="F29" s="22"/>
      <c r="G29" s="22">
        <f>'04 -Base Orçado 2026'!F32</f>
        <v>-393720.86566377606</v>
      </c>
      <c r="H29" s="22">
        <f>'Base Realizado'!F29</f>
        <v>-165532.60000000003</v>
      </c>
      <c r="I29" s="22"/>
      <c r="J29" s="22">
        <f>'04 -Base Orçado 2026'!G32</f>
        <v>-396790.51826063031</v>
      </c>
      <c r="K29" s="22">
        <f>'Base Realizado'!H29</f>
        <v>-246904.36000000002</v>
      </c>
      <c r="L29" s="22"/>
      <c r="M29" s="22">
        <f>'04 -Base Orçado 2026'!H32</f>
        <v>-407107.88373673917</v>
      </c>
      <c r="N29" s="22">
        <f>'Base Realizado'!K29</f>
        <v>-214044.67</v>
      </c>
      <c r="O29" s="22"/>
      <c r="P29" s="22">
        <f>'04 -Base Orçado 2026'!I32</f>
        <v>-457571.78315701458</v>
      </c>
      <c r="Q29" s="22"/>
      <c r="R29" s="22"/>
      <c r="S29" s="22">
        <f>'04 -Base Orçado 2026'!J32</f>
        <v>-387982.1834051616</v>
      </c>
      <c r="T29" s="22"/>
      <c r="U29" s="22"/>
      <c r="V29" s="22">
        <f>'04 -Base Orçado 2026'!K32</f>
        <v>-374399.1085636128</v>
      </c>
      <c r="W29" s="22"/>
      <c r="X29" s="22"/>
      <c r="Y29" s="22">
        <f>'04 -Base Orçado 2026'!L32</f>
        <v>-382970.29629669129</v>
      </c>
      <c r="Z29" s="22"/>
      <c r="AA29" s="22"/>
      <c r="AB29" s="22">
        <f>'04 -Base Orçado 2026'!M32</f>
        <v>-378256.01370946562</v>
      </c>
      <c r="AC29" s="22"/>
      <c r="AD29" s="22"/>
      <c r="AE29" s="22">
        <f>'04 -Base Orçado 2026'!N32</f>
        <v>-367476.245506512</v>
      </c>
      <c r="AF29" s="22"/>
      <c r="AG29" s="22"/>
      <c r="AH29" s="22">
        <f>'04 -Base Orçado 2026'!O32</f>
        <v>-434397.89755442878</v>
      </c>
      <c r="AI29" s="22"/>
      <c r="AJ29" s="22"/>
      <c r="AK29" s="22">
        <f>'04 -Base Orçado 2026'!P32</f>
        <v>-309158.25795902399</v>
      </c>
      <c r="AL29" s="22"/>
      <c r="AM29" s="22"/>
      <c r="AN29" s="578">
        <f t="shared" ref="AN29:AN43" si="18">SUM(D29:AK29)</f>
        <v>-5343268.8865883769</v>
      </c>
      <c r="AO29" s="578"/>
      <c r="AP29" s="22"/>
      <c r="AQ29" s="578">
        <f t="shared" si="8"/>
        <v>-349004.2588999088</v>
      </c>
      <c r="AR29" s="578">
        <f t="shared" si="9"/>
        <v>-194297.25666666668</v>
      </c>
      <c r="AS29" s="578"/>
      <c r="AT29" s="586">
        <f t="shared" ref="AT29:AT42" si="19">IF(ISERROR(C29/C$24),0,(C29/C$24))</f>
        <v>-0.15995477976069764</v>
      </c>
      <c r="AU29" s="1"/>
      <c r="AV29" s="30">
        <f t="shared" ref="AV29:AV42" si="20">IF(ISERROR(D29/D$24),0,(D29/D$24))</f>
        <v>-0.16</v>
      </c>
      <c r="AW29" s="30">
        <f t="shared" ref="AW29:AW42" si="21">IF(ISERROR(G29/G$24),0,(G29/G$24))</f>
        <v>-0.16</v>
      </c>
      <c r="AX29" s="30">
        <f t="shared" ref="AX29:AX42" si="22">IF(ISERROR(J29/J$24),0,(J29/J$24))</f>
        <v>-0.15948340400486133</v>
      </c>
      <c r="AY29" s="30">
        <f t="shared" ref="AY29:AY42" si="23">IF(ISERROR(M29/M$24),0,(M29/M$24))</f>
        <v>-0.15999999999999998</v>
      </c>
      <c r="AZ29" s="30">
        <f t="shared" ref="AZ29:AZ42" si="24">IF(ISERROR(P29/P$24),0,(P29/P$24))</f>
        <v>-0.16</v>
      </c>
      <c r="BA29" s="30">
        <f t="shared" ref="BA29:BA42" si="25">IF(ISERROR(S29/S$24),0,(S29/S$24))</f>
        <v>-0.16</v>
      </c>
      <c r="BB29" s="30">
        <f t="shared" ref="BB29:BB42" si="26">IF(ISERROR(V29/V$24),0,(V29/V$24))</f>
        <v>-0.16</v>
      </c>
      <c r="BC29" s="30">
        <f t="shared" ref="BC29:BC42" si="27">IF(ISERROR(Y29/Y$24),0,(Y29/Y$24))</f>
        <v>-0.16</v>
      </c>
      <c r="BD29" s="30">
        <f t="shared" ref="BD29:BD42" si="28">IF(ISERROR(AB29/AB$24),0,(AB29/AB$24))</f>
        <v>-0.16</v>
      </c>
      <c r="BE29" s="30">
        <f t="shared" ref="BE29:BE42" si="29">IF(ISERROR(AE29/AE$24),0,(AE29/AE$24))</f>
        <v>-0.16</v>
      </c>
      <c r="BF29" s="30">
        <f t="shared" ref="BF29:BF42" si="30">IF(ISERROR(AH29/AH$24),0,(AH29/AH$24))</f>
        <v>-0.16</v>
      </c>
      <c r="BG29" s="30">
        <f t="shared" ref="BG29:BG42" si="31">IF(ISERROR(AK29/AK$24),0,(AK29/AK$24))</f>
        <v>-0.15999999999999998</v>
      </c>
      <c r="BH29" s="743">
        <f t="shared" si="17"/>
        <v>-0.16</v>
      </c>
      <c r="BI29" s="742"/>
      <c r="BJ29" s="742">
        <f t="shared" ref="BJ29:BJ52" si="32">G29/$G$24</f>
        <v>-0.16</v>
      </c>
      <c r="BK29" s="742">
        <f t="shared" ref="BK29:BK52" si="33">H29/$H$24</f>
        <v>-0.10983319424421525</v>
      </c>
      <c r="BL29" s="742">
        <f t="shared" ref="BL29:BL42" si="34">I29/$G$24</f>
        <v>0</v>
      </c>
      <c r="BM29" s="742">
        <f t="shared" ref="BM29:BM42" si="35">J29/$H$24</f>
        <v>-0.26327605599369935</v>
      </c>
      <c r="BN29" s="742">
        <f t="shared" ref="BN29:BN42" si="36">K29/$G$24</f>
        <v>-0.10033681484825253</v>
      </c>
      <c r="BO29" s="742">
        <f t="shared" ref="BO29:BO42" si="37">L29/$H$24</f>
        <v>0</v>
      </c>
    </row>
    <row r="30" spans="1:67" ht="12.75" hidden="1" customHeight="1" outlineLevel="1">
      <c r="A30" s="19" t="s">
        <v>169</v>
      </c>
      <c r="B30" s="29"/>
      <c r="C30" s="21">
        <f t="shared" si="0"/>
        <v>-454633.24465883762</v>
      </c>
      <c r="D30" s="22">
        <f>'04 -Base Orçado 2026'!E33</f>
        <v>-25650.139277532006</v>
      </c>
      <c r="E30" s="22">
        <f>'Base Realizado'!D38</f>
        <v>-11144</v>
      </c>
      <c r="F30" s="22"/>
      <c r="G30" s="22">
        <f>'04 -Base Orçado 2026'!F33</f>
        <v>-39372.086566377606</v>
      </c>
      <c r="H30" s="22">
        <f>'Base Realizado'!F30</f>
        <v>-22595.170000000002</v>
      </c>
      <c r="I30" s="22"/>
      <c r="J30" s="22">
        <f>'04 -Base Orçado 2026'!G33</f>
        <v>-39679.051826063034</v>
      </c>
      <c r="K30" s="22">
        <f>'Base Realizado'!H30</f>
        <v>-57214.49</v>
      </c>
      <c r="L30" s="22"/>
      <c r="M30" s="22">
        <f>'04 -Base Orçado 2026'!H33</f>
        <v>-40710.788373673917</v>
      </c>
      <c r="N30" s="22">
        <f>'Base Realizado'!K30</f>
        <v>-55787.579999999994</v>
      </c>
      <c r="O30" s="22"/>
      <c r="P30" s="22">
        <f>'04 -Base Orçado 2026'!I33</f>
        <v>-45757.178315701458</v>
      </c>
      <c r="Q30" s="22"/>
      <c r="R30" s="22"/>
      <c r="S30" s="22">
        <f>'04 -Base Orçado 2026'!J33</f>
        <v>-38798.218340516163</v>
      </c>
      <c r="T30" s="22"/>
      <c r="U30" s="22"/>
      <c r="V30" s="22">
        <f>'04 -Base Orçado 2026'!K33</f>
        <v>-37439.910856361283</v>
      </c>
      <c r="W30" s="22"/>
      <c r="X30" s="22"/>
      <c r="Y30" s="22">
        <f>'04 -Base Orçado 2026'!L33</f>
        <v>-38297.02962966913</v>
      </c>
      <c r="Z30" s="22"/>
      <c r="AA30" s="22"/>
      <c r="AB30" s="22">
        <f>'04 -Base Orçado 2026'!M33</f>
        <v>-37825.601370946562</v>
      </c>
      <c r="AC30" s="22"/>
      <c r="AD30" s="22"/>
      <c r="AE30" s="22">
        <f>'04 -Base Orçado 2026'!N33</f>
        <v>-36747.624550651199</v>
      </c>
      <c r="AF30" s="22"/>
      <c r="AG30" s="22"/>
      <c r="AH30" s="22">
        <f>'04 -Base Orçado 2026'!O33</f>
        <v>-43439.789755442878</v>
      </c>
      <c r="AI30" s="22"/>
      <c r="AJ30" s="22"/>
      <c r="AK30" s="22">
        <f>'04 -Base Orçado 2026'!P33</f>
        <v>-30915.825795902401</v>
      </c>
      <c r="AL30" s="22"/>
      <c r="AM30" s="22"/>
      <c r="AN30" s="578">
        <f t="shared" si="18"/>
        <v>-601374.48465883755</v>
      </c>
      <c r="AO30" s="578"/>
      <c r="AP30" s="22"/>
      <c r="AQ30" s="578">
        <f t="shared" si="8"/>
        <v>-34900.425889990882</v>
      </c>
      <c r="AR30" s="578">
        <f t="shared" si="9"/>
        <v>-30317.886666666669</v>
      </c>
      <c r="AS30" s="578"/>
      <c r="AT30" s="586">
        <f t="shared" si="19"/>
        <v>-1.5995477976069768E-2</v>
      </c>
      <c r="AU30" s="1"/>
      <c r="AV30" s="30">
        <f t="shared" si="20"/>
        <v>-1.6E-2</v>
      </c>
      <c r="AW30" s="30">
        <f t="shared" si="21"/>
        <v>-1.6E-2</v>
      </c>
      <c r="AX30" s="30">
        <f t="shared" si="22"/>
        <v>-1.5948340400486136E-2</v>
      </c>
      <c r="AY30" s="30">
        <f t="shared" si="23"/>
        <v>-1.5999999999999997E-2</v>
      </c>
      <c r="AZ30" s="30">
        <f t="shared" si="24"/>
        <v>-1.6E-2</v>
      </c>
      <c r="BA30" s="30">
        <f t="shared" si="25"/>
        <v>-1.6000000000000004E-2</v>
      </c>
      <c r="BB30" s="30">
        <f t="shared" si="26"/>
        <v>-1.6000000000000004E-2</v>
      </c>
      <c r="BC30" s="30">
        <f t="shared" si="27"/>
        <v>-1.6E-2</v>
      </c>
      <c r="BD30" s="30">
        <f t="shared" si="28"/>
        <v>-1.6E-2</v>
      </c>
      <c r="BE30" s="30">
        <f t="shared" si="29"/>
        <v>-1.6E-2</v>
      </c>
      <c r="BF30" s="30">
        <f t="shared" si="30"/>
        <v>-1.6E-2</v>
      </c>
      <c r="BG30" s="30">
        <f t="shared" si="31"/>
        <v>-1.6E-2</v>
      </c>
      <c r="BH30" s="743">
        <f t="shared" si="17"/>
        <v>-1.6E-2</v>
      </c>
      <c r="BI30" s="742"/>
      <c r="BJ30" s="742">
        <f t="shared" si="32"/>
        <v>-1.6E-2</v>
      </c>
      <c r="BK30" s="742">
        <f t="shared" si="33"/>
        <v>-1.4992211175267379E-2</v>
      </c>
      <c r="BL30" s="742">
        <f t="shared" si="34"/>
        <v>0</v>
      </c>
      <c r="BM30" s="742">
        <f t="shared" si="35"/>
        <v>-2.6327605599369936E-2</v>
      </c>
      <c r="BN30" s="742">
        <f t="shared" si="36"/>
        <v>-2.3250782974294969E-2</v>
      </c>
      <c r="BO30" s="742">
        <f t="shared" si="37"/>
        <v>0</v>
      </c>
    </row>
    <row r="31" spans="1:67" ht="12.75" hidden="1" customHeight="1" outlineLevel="1">
      <c r="A31" s="19" t="s">
        <v>28</v>
      </c>
      <c r="B31" s="29"/>
      <c r="C31" s="21">
        <f t="shared" si="0"/>
        <v>-1363899.7339765129</v>
      </c>
      <c r="D31" s="22">
        <f>'04 -Base Orçado 2026'!E34</f>
        <v>-76950.417832596009</v>
      </c>
      <c r="E31" s="22">
        <f>'Base Realizado'!D31</f>
        <v>-44553.570000000007</v>
      </c>
      <c r="F31" s="22"/>
      <c r="G31" s="22">
        <f>'04 -Base Orçado 2026'!F34</f>
        <v>-118116.25969913282</v>
      </c>
      <c r="H31" s="22">
        <f>'Base Realizado'!F31</f>
        <v>-104825.13999999998</v>
      </c>
      <c r="I31" s="22"/>
      <c r="J31" s="22">
        <f>'04 -Base Orçado 2026'!G34</f>
        <v>-119037.15547818909</v>
      </c>
      <c r="K31" s="22">
        <f>'Base Realizado'!H31</f>
        <v>-92357.05</v>
      </c>
      <c r="L31" s="22"/>
      <c r="M31" s="22">
        <f>'04 -Base Orçado 2026'!H34</f>
        <v>-122132.36512102175</v>
      </c>
      <c r="N31" s="22">
        <f>'Base Realizado'!K31</f>
        <v>-72805.930000000008</v>
      </c>
      <c r="O31" s="22"/>
      <c r="P31" s="22">
        <f>'04 -Base Orçado 2026'!I34</f>
        <v>-137271.53494710437</v>
      </c>
      <c r="Q31" s="22"/>
      <c r="R31" s="22"/>
      <c r="S31" s="22">
        <f>'04 -Base Orçado 2026'!J34</f>
        <v>-116394.65502154847</v>
      </c>
      <c r="T31" s="22"/>
      <c r="U31" s="22"/>
      <c r="V31" s="22">
        <f>'04 -Base Orçado 2026'!K34</f>
        <v>-112319.73256908383</v>
      </c>
      <c r="W31" s="22"/>
      <c r="X31" s="22"/>
      <c r="Y31" s="22">
        <f>'04 -Base Orçado 2026'!L34</f>
        <v>-114891.08888900738</v>
      </c>
      <c r="Z31" s="22"/>
      <c r="AA31" s="22"/>
      <c r="AB31" s="22">
        <f>'04 -Base Orçado 2026'!M34</f>
        <v>-113476.80411283969</v>
      </c>
      <c r="AC31" s="22"/>
      <c r="AD31" s="22"/>
      <c r="AE31" s="22">
        <f>'04 -Base Orçado 2026'!N34</f>
        <v>-110242.8736519536</v>
      </c>
      <c r="AF31" s="22"/>
      <c r="AG31" s="22"/>
      <c r="AH31" s="22">
        <f>'04 -Base Orçado 2026'!O34</f>
        <v>-130319.36926632863</v>
      </c>
      <c r="AI31" s="22"/>
      <c r="AJ31" s="22"/>
      <c r="AK31" s="22">
        <f>'04 -Base Orçado 2026'!P34</f>
        <v>-92747.4773877072</v>
      </c>
      <c r="AL31" s="22"/>
      <c r="AM31" s="22"/>
      <c r="AN31" s="578">
        <f t="shared" si="18"/>
        <v>-1678441.4239765133</v>
      </c>
      <c r="AO31" s="578"/>
      <c r="AP31" s="22"/>
      <c r="AQ31" s="578">
        <f t="shared" si="8"/>
        <v>-104701.27766997262</v>
      </c>
      <c r="AR31" s="578">
        <f t="shared" si="9"/>
        <v>-80578.58666666667</v>
      </c>
      <c r="AS31" s="578"/>
      <c r="AT31" s="586">
        <f t="shared" si="19"/>
        <v>-4.7986433928209303E-2</v>
      </c>
      <c r="AU31" s="1"/>
      <c r="AV31" s="30">
        <f t="shared" si="20"/>
        <v>-4.8000000000000001E-2</v>
      </c>
      <c r="AW31" s="30">
        <f t="shared" si="21"/>
        <v>-4.8000000000000001E-2</v>
      </c>
      <c r="AX31" s="30">
        <f t="shared" si="22"/>
        <v>-4.78450212014584E-2</v>
      </c>
      <c r="AY31" s="30">
        <f t="shared" si="23"/>
        <v>-4.7999999999999994E-2</v>
      </c>
      <c r="AZ31" s="30">
        <f t="shared" si="24"/>
        <v>-4.8000000000000001E-2</v>
      </c>
      <c r="BA31" s="30">
        <f t="shared" si="25"/>
        <v>-4.8000000000000001E-2</v>
      </c>
      <c r="BB31" s="30">
        <f t="shared" si="26"/>
        <v>-4.8000000000000001E-2</v>
      </c>
      <c r="BC31" s="30">
        <f t="shared" si="27"/>
        <v>-4.8000000000000001E-2</v>
      </c>
      <c r="BD31" s="30">
        <f t="shared" si="28"/>
        <v>-4.8000000000000001E-2</v>
      </c>
      <c r="BE31" s="30">
        <f t="shared" si="29"/>
        <v>-4.8000000000000001E-2</v>
      </c>
      <c r="BF31" s="30">
        <f t="shared" si="30"/>
        <v>-4.8000000000000001E-2</v>
      </c>
      <c r="BG31" s="30">
        <f t="shared" si="31"/>
        <v>-4.8000000000000001E-2</v>
      </c>
      <c r="BH31" s="743">
        <f t="shared" si="17"/>
        <v>-4.8000000000000001E-2</v>
      </c>
      <c r="BI31" s="742"/>
      <c r="BJ31" s="742">
        <f t="shared" si="32"/>
        <v>-4.8000000000000001E-2</v>
      </c>
      <c r="BK31" s="742">
        <f t="shared" si="33"/>
        <v>-6.9552945844486541E-2</v>
      </c>
      <c r="BL31" s="742">
        <f t="shared" si="34"/>
        <v>0</v>
      </c>
      <c r="BM31" s="742">
        <f t="shared" si="35"/>
        <v>-7.8982816798109798E-2</v>
      </c>
      <c r="BN31" s="742">
        <f t="shared" si="36"/>
        <v>-3.7531991034021439E-2</v>
      </c>
      <c r="BO31" s="742">
        <f t="shared" si="37"/>
        <v>0</v>
      </c>
    </row>
    <row r="32" spans="1:67" ht="12.75" hidden="1" customHeight="1" outlineLevel="1">
      <c r="A32" s="19" t="s">
        <v>29</v>
      </c>
      <c r="B32" s="29"/>
      <c r="C32" s="21">
        <f t="shared" si="0"/>
        <v>-454633.24465883762</v>
      </c>
      <c r="D32" s="22">
        <f>'04 -Base Orçado 2026'!E35</f>
        <v>-25650.139277532006</v>
      </c>
      <c r="E32" s="22">
        <f>'Base Realizado'!D32</f>
        <v>-76401.53</v>
      </c>
      <c r="F32" s="22"/>
      <c r="G32" s="22">
        <f>'04 -Base Orçado 2026'!F35</f>
        <v>-39372.086566377606</v>
      </c>
      <c r="H32" s="22">
        <f>'Base Realizado'!F32</f>
        <v>-73589.02</v>
      </c>
      <c r="I32" s="22"/>
      <c r="J32" s="22">
        <f>'04 -Base Orçado 2026'!G35</f>
        <v>-39679.051826063034</v>
      </c>
      <c r="K32" s="22">
        <f>'Base Realizado'!H32</f>
        <v>-79703.100000000006</v>
      </c>
      <c r="L32" s="22"/>
      <c r="M32" s="22">
        <f>'04 -Base Orçado 2026'!H35</f>
        <v>-40710.788373673917</v>
      </c>
      <c r="N32" s="22">
        <f>'Base Realizado'!K32</f>
        <v>-88635.83</v>
      </c>
      <c r="O32" s="22"/>
      <c r="P32" s="22">
        <f>'04 -Base Orçado 2026'!I35</f>
        <v>-45757.178315701458</v>
      </c>
      <c r="Q32" s="22"/>
      <c r="R32" s="22"/>
      <c r="S32" s="22">
        <f>'04 -Base Orçado 2026'!J35</f>
        <v>-38798.218340516163</v>
      </c>
      <c r="T32" s="22"/>
      <c r="U32" s="22"/>
      <c r="V32" s="22">
        <f>'04 -Base Orçado 2026'!K35</f>
        <v>-37439.910856361283</v>
      </c>
      <c r="W32" s="22"/>
      <c r="X32" s="22"/>
      <c r="Y32" s="22">
        <f>'04 -Base Orçado 2026'!L35</f>
        <v>-38297.02962966913</v>
      </c>
      <c r="Z32" s="22"/>
      <c r="AA32" s="22"/>
      <c r="AB32" s="22">
        <f>'04 -Base Orçado 2026'!M35</f>
        <v>-37825.601370946562</v>
      </c>
      <c r="AC32" s="22"/>
      <c r="AD32" s="22"/>
      <c r="AE32" s="22">
        <f>'04 -Base Orçado 2026'!N35</f>
        <v>-36747.624550651199</v>
      </c>
      <c r="AF32" s="22"/>
      <c r="AG32" s="22"/>
      <c r="AH32" s="22">
        <f>'04 -Base Orçado 2026'!O35</f>
        <v>-43439.789755442878</v>
      </c>
      <c r="AI32" s="22"/>
      <c r="AJ32" s="22"/>
      <c r="AK32" s="22">
        <f>'04 -Base Orçado 2026'!P35</f>
        <v>-30915.825795902401</v>
      </c>
      <c r="AL32" s="22"/>
      <c r="AM32" s="22"/>
      <c r="AN32" s="578">
        <f t="shared" si="18"/>
        <v>-772962.72465883766</v>
      </c>
      <c r="AO32" s="578"/>
      <c r="AP32" s="22"/>
      <c r="AQ32" s="578">
        <f t="shared" si="8"/>
        <v>-34900.425889990882</v>
      </c>
      <c r="AR32" s="578">
        <f t="shared" si="9"/>
        <v>-76564.55</v>
      </c>
      <c r="AS32" s="578"/>
      <c r="AT32" s="586">
        <f t="shared" si="19"/>
        <v>-1.5995477976069768E-2</v>
      </c>
      <c r="AU32" s="1"/>
      <c r="AV32" s="30">
        <f t="shared" si="20"/>
        <v>-1.6E-2</v>
      </c>
      <c r="AW32" s="30">
        <f t="shared" si="21"/>
        <v>-1.6E-2</v>
      </c>
      <c r="AX32" s="30">
        <f t="shared" si="22"/>
        <v>-1.5948340400486136E-2</v>
      </c>
      <c r="AY32" s="30">
        <f t="shared" si="23"/>
        <v>-1.5999999999999997E-2</v>
      </c>
      <c r="AZ32" s="30">
        <f t="shared" si="24"/>
        <v>-1.6E-2</v>
      </c>
      <c r="BA32" s="30">
        <f t="shared" si="25"/>
        <v>-1.6000000000000004E-2</v>
      </c>
      <c r="BB32" s="30">
        <f t="shared" si="26"/>
        <v>-1.6000000000000004E-2</v>
      </c>
      <c r="BC32" s="30">
        <f t="shared" si="27"/>
        <v>-1.6E-2</v>
      </c>
      <c r="BD32" s="30">
        <f t="shared" si="28"/>
        <v>-1.6E-2</v>
      </c>
      <c r="BE32" s="30">
        <f t="shared" si="29"/>
        <v>-1.6E-2</v>
      </c>
      <c r="BF32" s="30">
        <f t="shared" si="30"/>
        <v>-1.6E-2</v>
      </c>
      <c r="BG32" s="30">
        <f t="shared" si="31"/>
        <v>-1.6E-2</v>
      </c>
      <c r="BH32" s="743">
        <f t="shared" si="17"/>
        <v>-1.6E-2</v>
      </c>
      <c r="BI32" s="742"/>
      <c r="BJ32" s="742">
        <f t="shared" si="32"/>
        <v>-1.6E-2</v>
      </c>
      <c r="BK32" s="742">
        <f t="shared" si="33"/>
        <v>-4.8827343543818194E-2</v>
      </c>
      <c r="BL32" s="742">
        <f t="shared" si="34"/>
        <v>0</v>
      </c>
      <c r="BM32" s="742">
        <f t="shared" si="35"/>
        <v>-2.6327605599369936E-2</v>
      </c>
      <c r="BN32" s="742">
        <f t="shared" si="36"/>
        <v>-3.2389688005233105E-2</v>
      </c>
      <c r="BO32" s="742">
        <f t="shared" si="37"/>
        <v>0</v>
      </c>
    </row>
    <row r="33" spans="1:67" ht="12.75" hidden="1" customHeight="1" outlineLevel="1">
      <c r="A33" s="19" t="s">
        <v>32</v>
      </c>
      <c r="B33" s="29"/>
      <c r="C33" s="21">
        <f t="shared" si="0"/>
        <v>-363706.59572707018</v>
      </c>
      <c r="D33" s="22">
        <f>'04 -Base Orçado 2026'!E36</f>
        <v>-20520.111422025602</v>
      </c>
      <c r="E33" s="22">
        <f>'Base Realizado'!D30</f>
        <v>-50395.560000000005</v>
      </c>
      <c r="F33" s="22"/>
      <c r="G33" s="22">
        <f>'04 -Base Orçado 2026'!F36</f>
        <v>-31497.669253102085</v>
      </c>
      <c r="H33" s="22">
        <f>'Base Realizado'!F33</f>
        <v>-26438.809999999998</v>
      </c>
      <c r="I33" s="22"/>
      <c r="J33" s="22">
        <f>'04 -Base Orçado 2026'!G36</f>
        <v>-31743.241460850426</v>
      </c>
      <c r="K33" s="22">
        <f>'Base Realizado'!H33</f>
        <v>-40716.029999999992</v>
      </c>
      <c r="L33" s="22"/>
      <c r="M33" s="22">
        <f>'04 -Base Orçado 2026'!H36</f>
        <v>-32568.630698939134</v>
      </c>
      <c r="N33" s="22">
        <f>'Base Realizado'!K33</f>
        <v>-41147.819999999992</v>
      </c>
      <c r="O33" s="22"/>
      <c r="P33" s="22">
        <f>'04 -Base Orçado 2026'!I36</f>
        <v>-36605.742652561166</v>
      </c>
      <c r="Q33" s="22"/>
      <c r="R33" s="22"/>
      <c r="S33" s="22">
        <f>'04 -Base Orçado 2026'!J36</f>
        <v>-31038.574672412928</v>
      </c>
      <c r="T33" s="22"/>
      <c r="U33" s="22"/>
      <c r="V33" s="22">
        <f>'04 -Base Orçado 2026'!K36</f>
        <v>-29951.928685089024</v>
      </c>
      <c r="W33" s="22"/>
      <c r="X33" s="22"/>
      <c r="Y33" s="22">
        <f>'04 -Base Orçado 2026'!L36</f>
        <v>-30637.623703735302</v>
      </c>
      <c r="Z33" s="22"/>
      <c r="AA33" s="22"/>
      <c r="AB33" s="22">
        <f>'04 -Base Orçado 2026'!M36</f>
        <v>-30260.481096757252</v>
      </c>
      <c r="AC33" s="22"/>
      <c r="AD33" s="22"/>
      <c r="AE33" s="22">
        <f>'04 -Base Orçado 2026'!N36</f>
        <v>-29398.099640520959</v>
      </c>
      <c r="AF33" s="22"/>
      <c r="AG33" s="22"/>
      <c r="AH33" s="22">
        <f>'04 -Base Orçado 2026'!O36</f>
        <v>-34751.831804354304</v>
      </c>
      <c r="AI33" s="22"/>
      <c r="AJ33" s="22"/>
      <c r="AK33" s="22">
        <f>'04 -Base Orçado 2026'!P36</f>
        <v>-24732.660636721921</v>
      </c>
      <c r="AL33" s="22"/>
      <c r="AM33" s="22"/>
      <c r="AN33" s="578">
        <f t="shared" si="18"/>
        <v>-522404.81572707015</v>
      </c>
      <c r="AO33" s="578"/>
      <c r="AP33" s="22"/>
      <c r="AQ33" s="578">
        <f t="shared" si="8"/>
        <v>-27920.340711992703</v>
      </c>
      <c r="AR33" s="578">
        <f t="shared" si="9"/>
        <v>-39183.466666666667</v>
      </c>
      <c r="AS33" s="578"/>
      <c r="AT33" s="586">
        <f t="shared" si="19"/>
        <v>-1.2796382380855816E-2</v>
      </c>
      <c r="AU33" s="1"/>
      <c r="AV33" s="30">
        <f t="shared" si="20"/>
        <v>-1.2799999999999999E-2</v>
      </c>
      <c r="AW33" s="30">
        <f t="shared" si="21"/>
        <v>-1.2800000000000001E-2</v>
      </c>
      <c r="AX33" s="30">
        <f t="shared" si="22"/>
        <v>-1.2758672320388907E-2</v>
      </c>
      <c r="AY33" s="30">
        <f t="shared" si="23"/>
        <v>-1.2799999999999999E-2</v>
      </c>
      <c r="AZ33" s="30">
        <f t="shared" si="24"/>
        <v>-1.2800000000000001E-2</v>
      </c>
      <c r="BA33" s="30">
        <f t="shared" si="25"/>
        <v>-1.2800000000000001E-2</v>
      </c>
      <c r="BB33" s="30">
        <f t="shared" si="26"/>
        <v>-1.2800000000000001E-2</v>
      </c>
      <c r="BC33" s="30">
        <f t="shared" si="27"/>
        <v>-1.2799999999999999E-2</v>
      </c>
      <c r="BD33" s="30">
        <f t="shared" si="28"/>
        <v>-1.2800000000000001E-2</v>
      </c>
      <c r="BE33" s="30">
        <f t="shared" si="29"/>
        <v>-1.2799999999999999E-2</v>
      </c>
      <c r="BF33" s="30">
        <f t="shared" si="30"/>
        <v>-1.2800000000000001E-2</v>
      </c>
      <c r="BG33" s="30">
        <f t="shared" si="31"/>
        <v>-1.2800000000000001E-2</v>
      </c>
      <c r="BH33" s="743">
        <f t="shared" si="17"/>
        <v>-1.2799999999999999E-2</v>
      </c>
      <c r="BI33" s="742"/>
      <c r="BJ33" s="742">
        <f t="shared" si="32"/>
        <v>-1.2800000000000001E-2</v>
      </c>
      <c r="BK33" s="742">
        <f t="shared" si="33"/>
        <v>-1.7542520049318985E-2</v>
      </c>
      <c r="BL33" s="742">
        <f t="shared" si="34"/>
        <v>0</v>
      </c>
      <c r="BM33" s="742">
        <f t="shared" si="35"/>
        <v>-2.1062084479495948E-2</v>
      </c>
      <c r="BN33" s="742">
        <f t="shared" si="36"/>
        <v>-1.6546150758398492E-2</v>
      </c>
      <c r="BO33" s="742">
        <f t="shared" si="37"/>
        <v>0</v>
      </c>
    </row>
    <row r="34" spans="1:67" ht="12.6" hidden="1" customHeight="1" outlineLevel="1">
      <c r="A34" s="19" t="s">
        <v>30</v>
      </c>
      <c r="B34" s="29"/>
      <c r="C34" s="21">
        <f t="shared" si="0"/>
        <v>-636486.54252237268</v>
      </c>
      <c r="D34" s="22">
        <f>'04 -Base Orçado 2026'!E37</f>
        <v>-35910.194988544812</v>
      </c>
      <c r="E34" s="22">
        <f>'Base Realizado'!D34</f>
        <v>-55152.660000000011</v>
      </c>
      <c r="F34" s="22"/>
      <c r="G34" s="22">
        <f>'04 -Base Orçado 2026'!F37</f>
        <v>-55120.921192928654</v>
      </c>
      <c r="H34" s="22">
        <f>'Base Realizado'!F34</f>
        <v>-41279.5</v>
      </c>
      <c r="I34" s="22"/>
      <c r="J34" s="22">
        <f>'04 -Base Orçado 2026'!G37</f>
        <v>-55550.672556488251</v>
      </c>
      <c r="K34" s="22">
        <f>'Base Realizado'!H34</f>
        <v>-59990.510000000017</v>
      </c>
      <c r="L34" s="22"/>
      <c r="M34" s="22">
        <f>'04 -Base Orçado 2026'!H37</f>
        <v>-56995.103723143489</v>
      </c>
      <c r="N34" s="22">
        <f>'Base Realizado'!K34</f>
        <v>-56189.65</v>
      </c>
      <c r="O34" s="22"/>
      <c r="P34" s="22">
        <f>'04 -Base Orçado 2026'!I37</f>
        <v>-64060.049641982048</v>
      </c>
      <c r="Q34" s="22"/>
      <c r="R34" s="22"/>
      <c r="S34" s="22">
        <f>'04 -Base Orçado 2026'!J37</f>
        <v>-54317.505676722627</v>
      </c>
      <c r="T34" s="22"/>
      <c r="U34" s="22"/>
      <c r="V34" s="22">
        <f>'04 -Base Orçado 2026'!K37</f>
        <v>-52415.8751989058</v>
      </c>
      <c r="W34" s="22"/>
      <c r="X34" s="22"/>
      <c r="Y34" s="22">
        <f>'04 -Base Orçado 2026'!L37</f>
        <v>-53615.841481536787</v>
      </c>
      <c r="Z34" s="22"/>
      <c r="AA34" s="22"/>
      <c r="AB34" s="22">
        <f>'04 -Base Orçado 2026'!M37</f>
        <v>-52955.84191932519</v>
      </c>
      <c r="AC34" s="22"/>
      <c r="AD34" s="22"/>
      <c r="AE34" s="22">
        <f>'04 -Base Orçado 2026'!N37</f>
        <v>-51446.674370911685</v>
      </c>
      <c r="AF34" s="22"/>
      <c r="AG34" s="22"/>
      <c r="AH34" s="22">
        <f>'04 -Base Orçado 2026'!O37</f>
        <v>-60815.705657620034</v>
      </c>
      <c r="AI34" s="22"/>
      <c r="AJ34" s="22"/>
      <c r="AK34" s="22">
        <f>'04 -Base Orçado 2026'!P37</f>
        <v>-43282.156114263365</v>
      </c>
      <c r="AL34" s="22"/>
      <c r="AM34" s="22"/>
      <c r="AN34" s="578">
        <f t="shared" si="18"/>
        <v>-849098.86252237274</v>
      </c>
      <c r="AO34" s="578"/>
      <c r="AP34" s="22"/>
      <c r="AQ34" s="578">
        <f t="shared" si="8"/>
        <v>-48860.596245987246</v>
      </c>
      <c r="AR34" s="578">
        <f t="shared" si="9"/>
        <v>-52140.890000000007</v>
      </c>
      <c r="AS34" s="578"/>
      <c r="AT34" s="586">
        <f t="shared" si="19"/>
        <v>-2.2393669166497675E-2</v>
      </c>
      <c r="AU34" s="1"/>
      <c r="AV34" s="30">
        <f t="shared" si="20"/>
        <v>-2.2400000000000003E-2</v>
      </c>
      <c r="AW34" s="30">
        <f t="shared" si="21"/>
        <v>-2.2400000000000003E-2</v>
      </c>
      <c r="AX34" s="30">
        <f t="shared" si="22"/>
        <v>-2.232767656068059E-2</v>
      </c>
      <c r="AY34" s="30">
        <f t="shared" si="23"/>
        <v>-2.24E-2</v>
      </c>
      <c r="AZ34" s="30">
        <f t="shared" si="24"/>
        <v>-2.2400000000000003E-2</v>
      </c>
      <c r="BA34" s="30">
        <f t="shared" si="25"/>
        <v>-2.2400000000000003E-2</v>
      </c>
      <c r="BB34" s="30">
        <f t="shared" si="26"/>
        <v>-2.2400000000000007E-2</v>
      </c>
      <c r="BC34" s="30">
        <f t="shared" si="27"/>
        <v>-2.2400000000000003E-2</v>
      </c>
      <c r="BD34" s="30">
        <f t="shared" si="28"/>
        <v>-2.24E-2</v>
      </c>
      <c r="BE34" s="30">
        <f t="shared" si="29"/>
        <v>-2.2400000000000003E-2</v>
      </c>
      <c r="BF34" s="30">
        <f t="shared" si="30"/>
        <v>-2.24E-2</v>
      </c>
      <c r="BG34" s="30">
        <f t="shared" si="31"/>
        <v>-2.2400000000000003E-2</v>
      </c>
      <c r="BH34" s="743">
        <f t="shared" si="17"/>
        <v>-2.2400000000000003E-2</v>
      </c>
      <c r="BI34" s="742"/>
      <c r="BJ34" s="742">
        <f t="shared" si="32"/>
        <v>-2.2400000000000003E-2</v>
      </c>
      <c r="BK34" s="742">
        <f t="shared" si="33"/>
        <v>-2.7389525337027768E-2</v>
      </c>
      <c r="BL34" s="742">
        <f t="shared" si="34"/>
        <v>0</v>
      </c>
      <c r="BM34" s="742">
        <f t="shared" si="35"/>
        <v>-3.6858647839117915E-2</v>
      </c>
      <c r="BN34" s="742">
        <f t="shared" si="36"/>
        <v>-2.4378899969697755E-2</v>
      </c>
      <c r="BO34" s="742">
        <f t="shared" si="37"/>
        <v>0</v>
      </c>
    </row>
    <row r="35" spans="1:67" ht="15" hidden="1" customHeight="1" outlineLevel="1">
      <c r="A35" s="19" t="s">
        <v>436</v>
      </c>
      <c r="B35" s="29"/>
      <c r="C35" s="21">
        <f t="shared" si="0"/>
        <v>-363706.59572707018</v>
      </c>
      <c r="D35" s="22">
        <f>'04 -Base Orçado 2026'!E38</f>
        <v>-20520.111422025602</v>
      </c>
      <c r="E35" s="22">
        <f>'Base Realizado'!D35</f>
        <v>-22699.4</v>
      </c>
      <c r="F35" s="22"/>
      <c r="G35" s="22">
        <f>'04 -Base Orçado 2026'!F38</f>
        <v>-31497.669253102085</v>
      </c>
      <c r="H35" s="22">
        <f>'Base Realizado'!F35</f>
        <v>-18032.340000000004</v>
      </c>
      <c r="I35" s="22"/>
      <c r="J35" s="22">
        <f>'04 -Base Orçado 2026'!G38</f>
        <v>-31743.241460850426</v>
      </c>
      <c r="K35" s="22">
        <f>'Base Realizado'!H35</f>
        <v>-23525.499999999996</v>
      </c>
      <c r="L35" s="22"/>
      <c r="M35" s="22">
        <f>'04 -Base Orçado 2026'!H38</f>
        <v>-32568.630698939134</v>
      </c>
      <c r="N35" s="22">
        <f>'Base Realizado'!K35</f>
        <v>-20397.199999999997</v>
      </c>
      <c r="O35" s="22"/>
      <c r="P35" s="22">
        <f>'04 -Base Orçado 2026'!I38</f>
        <v>-36605.742652561166</v>
      </c>
      <c r="Q35" s="22"/>
      <c r="R35" s="22"/>
      <c r="S35" s="22">
        <f>'04 -Base Orçado 2026'!J38</f>
        <v>-31038.574672412928</v>
      </c>
      <c r="T35" s="22"/>
      <c r="U35" s="22"/>
      <c r="V35" s="22">
        <f>'04 -Base Orçado 2026'!K38</f>
        <v>-29951.928685089024</v>
      </c>
      <c r="W35" s="22"/>
      <c r="X35" s="22"/>
      <c r="Y35" s="22">
        <f>'04 -Base Orçado 2026'!L38</f>
        <v>-30637.623703735302</v>
      </c>
      <c r="Z35" s="22"/>
      <c r="AA35" s="22"/>
      <c r="AB35" s="22">
        <f>'04 -Base Orçado 2026'!M38</f>
        <v>-30260.481096757252</v>
      </c>
      <c r="AC35" s="22"/>
      <c r="AD35" s="22"/>
      <c r="AE35" s="22">
        <f>'04 -Base Orçado 2026'!N38</f>
        <v>-29398.099640520959</v>
      </c>
      <c r="AF35" s="22"/>
      <c r="AG35" s="22"/>
      <c r="AH35" s="22">
        <f>'04 -Base Orçado 2026'!O38</f>
        <v>-34751.831804354304</v>
      </c>
      <c r="AI35" s="22"/>
      <c r="AJ35" s="22"/>
      <c r="AK35" s="22">
        <f>'04 -Base Orçado 2026'!P38</f>
        <v>-24732.660636721921</v>
      </c>
      <c r="AL35" s="22"/>
      <c r="AM35" s="22"/>
      <c r="AN35" s="578">
        <f t="shared" si="18"/>
        <v>-448361.03572707012</v>
      </c>
      <c r="AO35" s="578"/>
      <c r="AP35" s="22"/>
      <c r="AQ35" s="578">
        <f t="shared" si="8"/>
        <v>-27920.340711992703</v>
      </c>
      <c r="AR35" s="578">
        <f t="shared" si="9"/>
        <v>-21419.08</v>
      </c>
      <c r="AS35" s="578"/>
      <c r="AT35" s="586">
        <f t="shared" si="19"/>
        <v>-1.2796382380855816E-2</v>
      </c>
      <c r="AU35" s="1"/>
      <c r="AV35" s="30">
        <f t="shared" si="20"/>
        <v>-1.2799999999999999E-2</v>
      </c>
      <c r="AW35" s="30">
        <f t="shared" si="21"/>
        <v>-1.2800000000000001E-2</v>
      </c>
      <c r="AX35" s="30">
        <f t="shared" si="22"/>
        <v>-1.2758672320388907E-2</v>
      </c>
      <c r="AY35" s="30">
        <f t="shared" si="23"/>
        <v>-1.2799999999999999E-2</v>
      </c>
      <c r="AZ35" s="30">
        <f t="shared" si="24"/>
        <v>-1.2800000000000001E-2</v>
      </c>
      <c r="BA35" s="30">
        <f t="shared" si="25"/>
        <v>-1.2800000000000001E-2</v>
      </c>
      <c r="BB35" s="30">
        <f t="shared" si="26"/>
        <v>-1.2800000000000001E-2</v>
      </c>
      <c r="BC35" s="30">
        <f t="shared" si="27"/>
        <v>-1.2799999999999999E-2</v>
      </c>
      <c r="BD35" s="30">
        <f t="shared" si="28"/>
        <v>-1.2800000000000001E-2</v>
      </c>
      <c r="BE35" s="30">
        <f t="shared" si="29"/>
        <v>-1.2799999999999999E-2</v>
      </c>
      <c r="BF35" s="30">
        <f t="shared" si="30"/>
        <v>-1.2800000000000001E-2</v>
      </c>
      <c r="BG35" s="30">
        <f t="shared" si="31"/>
        <v>-1.2800000000000001E-2</v>
      </c>
      <c r="BH35" s="743">
        <f t="shared" si="17"/>
        <v>-1.2799999999999999E-2</v>
      </c>
      <c r="BI35" s="742"/>
      <c r="BJ35" s="742">
        <f t="shared" si="32"/>
        <v>-1.2800000000000001E-2</v>
      </c>
      <c r="BK35" s="742">
        <f t="shared" si="33"/>
        <v>-1.1964709681946229E-2</v>
      </c>
      <c r="BL35" s="742">
        <f t="shared" si="34"/>
        <v>0</v>
      </c>
      <c r="BM35" s="742">
        <f t="shared" si="35"/>
        <v>-2.1062084479495948E-2</v>
      </c>
      <c r="BN35" s="742">
        <f t="shared" si="36"/>
        <v>-9.560275637548743E-3</v>
      </c>
      <c r="BO35" s="742">
        <f t="shared" si="37"/>
        <v>0</v>
      </c>
    </row>
    <row r="36" spans="1:67" ht="15.6" hidden="1" customHeight="1" outlineLevel="1">
      <c r="A36" s="19" t="s">
        <v>437</v>
      </c>
      <c r="B36" s="29"/>
      <c r="C36" s="21">
        <f t="shared" si="0"/>
        <v>-454633.24465883762</v>
      </c>
      <c r="D36" s="22">
        <f>'04 -Base Orçado 2026'!E39</f>
        <v>-25650.139277532006</v>
      </c>
      <c r="E36" s="22">
        <f>'Base Realizado'!D36</f>
        <v>-84020.090000000011</v>
      </c>
      <c r="F36" s="22"/>
      <c r="G36" s="22">
        <f>'04 -Base Orçado 2026'!F39</f>
        <v>-39372.086566377606</v>
      </c>
      <c r="H36" s="22">
        <f>'Base Realizado'!F36</f>
        <v>-71376.86</v>
      </c>
      <c r="I36" s="22"/>
      <c r="J36" s="22">
        <f>'04 -Base Orçado 2026'!G39</f>
        <v>-39679.051826063034</v>
      </c>
      <c r="K36" s="22">
        <f>'Base Realizado'!H36</f>
        <v>-108995.77000000002</v>
      </c>
      <c r="L36" s="22"/>
      <c r="M36" s="22">
        <f>'04 -Base Orçado 2026'!H39</f>
        <v>-40710.788373673917</v>
      </c>
      <c r="N36" s="22">
        <f>'Base Realizado'!K36</f>
        <v>-77993.55</v>
      </c>
      <c r="O36" s="22"/>
      <c r="P36" s="22">
        <f>'04 -Base Orçado 2026'!I39</f>
        <v>-45757.178315701458</v>
      </c>
      <c r="Q36" s="22"/>
      <c r="R36" s="22"/>
      <c r="S36" s="22">
        <f>'04 -Base Orçado 2026'!J39</f>
        <v>-38798.218340516163</v>
      </c>
      <c r="T36" s="22"/>
      <c r="U36" s="22"/>
      <c r="V36" s="22">
        <f>'04 -Base Orçado 2026'!K39</f>
        <v>-37439.910856361283</v>
      </c>
      <c r="W36" s="22"/>
      <c r="X36" s="22"/>
      <c r="Y36" s="22">
        <f>'04 -Base Orçado 2026'!L39</f>
        <v>-38297.02962966913</v>
      </c>
      <c r="Z36" s="22"/>
      <c r="AA36" s="22"/>
      <c r="AB36" s="22">
        <f>'04 -Base Orçado 2026'!M39</f>
        <v>-37825.601370946562</v>
      </c>
      <c r="AC36" s="22"/>
      <c r="AD36" s="22"/>
      <c r="AE36" s="22">
        <f>'04 -Base Orçado 2026'!N39</f>
        <v>-36747.624550651199</v>
      </c>
      <c r="AF36" s="22"/>
      <c r="AG36" s="22"/>
      <c r="AH36" s="22">
        <f>'04 -Base Orçado 2026'!O39</f>
        <v>-43439.789755442878</v>
      </c>
      <c r="AI36" s="22"/>
      <c r="AJ36" s="22"/>
      <c r="AK36" s="22">
        <f>'04 -Base Orçado 2026'!P39</f>
        <v>-30915.825795902401</v>
      </c>
      <c r="AL36" s="22"/>
      <c r="AM36" s="22"/>
      <c r="AN36" s="578">
        <f t="shared" si="18"/>
        <v>-797019.5146588377</v>
      </c>
      <c r="AO36" s="578"/>
      <c r="AP36" s="22"/>
      <c r="AQ36" s="578">
        <f t="shared" si="8"/>
        <v>-34900.425889990882</v>
      </c>
      <c r="AR36" s="578">
        <f t="shared" si="9"/>
        <v>-88130.906666666677</v>
      </c>
      <c r="AS36" s="578"/>
      <c r="AT36" s="586">
        <f t="shared" si="19"/>
        <v>-1.5995477976069768E-2</v>
      </c>
      <c r="AU36" s="1"/>
      <c r="AV36" s="30">
        <f t="shared" si="20"/>
        <v>-1.6E-2</v>
      </c>
      <c r="AW36" s="30">
        <f t="shared" si="21"/>
        <v>-1.6E-2</v>
      </c>
      <c r="AX36" s="30">
        <f t="shared" si="22"/>
        <v>-1.5948340400486136E-2</v>
      </c>
      <c r="AY36" s="30">
        <f t="shared" si="23"/>
        <v>-1.5999999999999997E-2</v>
      </c>
      <c r="AZ36" s="30">
        <f t="shared" si="24"/>
        <v>-1.6E-2</v>
      </c>
      <c r="BA36" s="30">
        <f t="shared" si="25"/>
        <v>-1.6000000000000004E-2</v>
      </c>
      <c r="BB36" s="30">
        <f t="shared" si="26"/>
        <v>-1.6000000000000004E-2</v>
      </c>
      <c r="BC36" s="30">
        <f t="shared" si="27"/>
        <v>-1.6E-2</v>
      </c>
      <c r="BD36" s="30">
        <f t="shared" si="28"/>
        <v>-1.6E-2</v>
      </c>
      <c r="BE36" s="30">
        <f t="shared" si="29"/>
        <v>-1.6E-2</v>
      </c>
      <c r="BF36" s="30">
        <f t="shared" si="30"/>
        <v>-1.6E-2</v>
      </c>
      <c r="BG36" s="30">
        <f t="shared" si="31"/>
        <v>-1.6E-2</v>
      </c>
      <c r="BH36" s="743">
        <f t="shared" si="17"/>
        <v>-1.6E-2</v>
      </c>
      <c r="BI36" s="742"/>
      <c r="BJ36" s="742">
        <f t="shared" si="32"/>
        <v>-1.6E-2</v>
      </c>
      <c r="BK36" s="742">
        <f t="shared" si="33"/>
        <v>-4.7359544457841879E-2</v>
      </c>
      <c r="BL36" s="742">
        <f t="shared" si="34"/>
        <v>0</v>
      </c>
      <c r="BM36" s="742">
        <f t="shared" si="35"/>
        <v>-2.6327605599369936E-2</v>
      </c>
      <c r="BN36" s="742">
        <f t="shared" si="36"/>
        <v>-4.4293622007050497E-2</v>
      </c>
      <c r="BO36" s="742">
        <f t="shared" si="37"/>
        <v>0</v>
      </c>
    </row>
    <row r="37" spans="1:67" ht="12.75" hidden="1" customHeight="1" outlineLevel="1">
      <c r="A37" s="19" t="s">
        <v>191</v>
      </c>
      <c r="B37" s="29"/>
      <c r="C37" s="21">
        <f t="shared" si="0"/>
        <v>-218223.95743624208</v>
      </c>
      <c r="D37" s="22">
        <f>'04 -Base Orçado 2026'!E40</f>
        <v>-12312.066853215361</v>
      </c>
      <c r="E37" s="22">
        <f>'Base Realizado'!D39</f>
        <v>-4076.7999999999997</v>
      </c>
      <c r="F37" s="22"/>
      <c r="G37" s="22">
        <f>'04 -Base Orçado 2026'!F40</f>
        <v>-18898.601551861251</v>
      </c>
      <c r="H37" s="22">
        <f>'Base Realizado'!F37</f>
        <v>-800</v>
      </c>
      <c r="I37" s="22"/>
      <c r="J37" s="22">
        <f>'04 -Base Orçado 2026'!G40</f>
        <v>-19045.944876510257</v>
      </c>
      <c r="K37" s="22">
        <f>'Base Realizado'!H37</f>
        <v>-800</v>
      </c>
      <c r="L37" s="22"/>
      <c r="M37" s="22">
        <f>'04 -Base Orçado 2026'!H40</f>
        <v>-19541.178419363481</v>
      </c>
      <c r="N37" s="22">
        <f>'Base Realizado'!K37</f>
        <v>-1000</v>
      </c>
      <c r="O37" s="22"/>
      <c r="P37" s="22">
        <f>'04 -Base Orçado 2026'!I40</f>
        <v>-21963.4455915367</v>
      </c>
      <c r="Q37" s="22"/>
      <c r="R37" s="22"/>
      <c r="S37" s="22">
        <f>'04 -Base Orçado 2026'!J40</f>
        <v>-18623.144803447758</v>
      </c>
      <c r="T37" s="22"/>
      <c r="U37" s="22"/>
      <c r="V37" s="22">
        <f>'04 -Base Orçado 2026'!K40</f>
        <v>-17971.157211053414</v>
      </c>
      <c r="W37" s="22"/>
      <c r="X37" s="22"/>
      <c r="Y37" s="22">
        <f>'04 -Base Orçado 2026'!L40</f>
        <v>-18382.574222241183</v>
      </c>
      <c r="Z37" s="22"/>
      <c r="AA37" s="22"/>
      <c r="AB37" s="22">
        <f>'04 -Base Orçado 2026'!M40</f>
        <v>-18156.288658054349</v>
      </c>
      <c r="AC37" s="22"/>
      <c r="AD37" s="22"/>
      <c r="AE37" s="22">
        <f>'04 -Base Orçado 2026'!N40</f>
        <v>-17638.859784312575</v>
      </c>
      <c r="AF37" s="22"/>
      <c r="AG37" s="22"/>
      <c r="AH37" s="22">
        <f>'04 -Base Orçado 2026'!O40</f>
        <v>-20851.099082612582</v>
      </c>
      <c r="AI37" s="22"/>
      <c r="AJ37" s="22"/>
      <c r="AK37" s="22">
        <f>'04 -Base Orçado 2026'!P40</f>
        <v>-14839.596382033153</v>
      </c>
      <c r="AL37" s="22"/>
      <c r="AM37" s="22"/>
      <c r="AN37" s="578">
        <f t="shared" si="18"/>
        <v>-224900.75743624207</v>
      </c>
      <c r="AO37" s="578"/>
      <c r="AP37" s="22"/>
      <c r="AQ37" s="578">
        <f t="shared" si="8"/>
        <v>-16752.204427195622</v>
      </c>
      <c r="AR37" s="578">
        <f t="shared" si="9"/>
        <v>-1892.2666666666664</v>
      </c>
      <c r="AS37" s="578"/>
      <c r="AT37" s="586">
        <f t="shared" si="19"/>
        <v>-7.6778294285134892E-3</v>
      </c>
      <c r="AU37" s="1"/>
      <c r="AV37" s="30">
        <f t="shared" si="20"/>
        <v>-7.6799999999999993E-3</v>
      </c>
      <c r="AW37" s="30">
        <f t="shared" si="21"/>
        <v>-7.6800000000000011E-3</v>
      </c>
      <c r="AX37" s="30">
        <f t="shared" si="22"/>
        <v>-7.6552033922333449E-3</v>
      </c>
      <c r="AY37" s="30">
        <f t="shared" si="23"/>
        <v>-7.6799999999999993E-3</v>
      </c>
      <c r="AZ37" s="30">
        <f t="shared" si="24"/>
        <v>-7.6800000000000002E-3</v>
      </c>
      <c r="BA37" s="30">
        <f t="shared" si="25"/>
        <v>-7.6800000000000011E-3</v>
      </c>
      <c r="BB37" s="30">
        <f t="shared" si="26"/>
        <v>-7.6800000000000002E-3</v>
      </c>
      <c r="BC37" s="30">
        <f t="shared" si="27"/>
        <v>-7.6800000000000002E-3</v>
      </c>
      <c r="BD37" s="30">
        <f t="shared" si="28"/>
        <v>-7.6799999999999993E-3</v>
      </c>
      <c r="BE37" s="30">
        <f t="shared" si="29"/>
        <v>-7.6799999999999993E-3</v>
      </c>
      <c r="BF37" s="30">
        <f t="shared" si="30"/>
        <v>-7.6799999999999993E-3</v>
      </c>
      <c r="BG37" s="30">
        <f t="shared" si="31"/>
        <v>-7.6800000000000002E-3</v>
      </c>
      <c r="BH37" s="743">
        <f t="shared" si="17"/>
        <v>-7.6799999999999993E-3</v>
      </c>
      <c r="BI37" s="742"/>
      <c r="BJ37" s="742">
        <f t="shared" si="32"/>
        <v>-7.6800000000000011E-3</v>
      </c>
      <c r="BK37" s="742">
        <f t="shared" si="33"/>
        <v>-5.3081118399259228E-4</v>
      </c>
      <c r="BL37" s="742">
        <f t="shared" si="34"/>
        <v>0</v>
      </c>
      <c r="BM37" s="742">
        <f t="shared" si="35"/>
        <v>-1.263725068769757E-2</v>
      </c>
      <c r="BN37" s="742">
        <f t="shared" si="36"/>
        <v>-3.2510342012025232E-4</v>
      </c>
      <c r="BO37" s="742">
        <f t="shared" si="37"/>
        <v>0</v>
      </c>
    </row>
    <row r="38" spans="1:67" ht="12.75" hidden="1" customHeight="1" outlineLevel="1">
      <c r="A38" s="19" t="s">
        <v>31</v>
      </c>
      <c r="B38" s="29"/>
      <c r="C38" s="21">
        <f t="shared" si="0"/>
        <v>-227316.62232941881</v>
      </c>
      <c r="D38" s="22">
        <f>'04 -Base Orçado 2026'!E41</f>
        <v>-12825.069638766003</v>
      </c>
      <c r="E38" s="22">
        <f>'Base Realizado'!D33</f>
        <v>-20668.660000000003</v>
      </c>
      <c r="F38" s="22"/>
      <c r="G38" s="22">
        <f>'04 -Base Orçado 2026'!F41</f>
        <v>-19686.043283188803</v>
      </c>
      <c r="H38" s="22">
        <f>'Base Realizado'!F38</f>
        <v>-11940</v>
      </c>
      <c r="I38" s="22"/>
      <c r="J38" s="22">
        <f>'04 -Base Orçado 2026'!G41</f>
        <v>-19839.525913031517</v>
      </c>
      <c r="K38" s="22">
        <f>'Base Realizado'!H38</f>
        <v>-15922</v>
      </c>
      <c r="L38" s="22"/>
      <c r="M38" s="22">
        <f>'04 -Base Orçado 2026'!H41</f>
        <v>-20355.394186836958</v>
      </c>
      <c r="N38" s="22">
        <f>'Base Realizado'!K38</f>
        <v>-12570</v>
      </c>
      <c r="O38" s="22"/>
      <c r="P38" s="22">
        <f>'04 -Base Orçado 2026'!I41</f>
        <v>-22878.589157850729</v>
      </c>
      <c r="Q38" s="22"/>
      <c r="R38" s="22"/>
      <c r="S38" s="22">
        <f>'04 -Base Orçado 2026'!J41</f>
        <v>-19399.109170258082</v>
      </c>
      <c r="T38" s="22"/>
      <c r="U38" s="22"/>
      <c r="V38" s="22">
        <f>'04 -Base Orçado 2026'!K41</f>
        <v>-18719.955428180641</v>
      </c>
      <c r="W38" s="22"/>
      <c r="X38" s="22"/>
      <c r="Y38" s="22">
        <f>'04 -Base Orçado 2026'!L41</f>
        <v>-19148.514814834565</v>
      </c>
      <c r="Z38" s="22"/>
      <c r="AA38" s="22"/>
      <c r="AB38" s="22">
        <f>'04 -Base Orçado 2026'!M41</f>
        <v>-18912.800685473281</v>
      </c>
      <c r="AC38" s="22"/>
      <c r="AD38" s="22"/>
      <c r="AE38" s="22">
        <f>'04 -Base Orçado 2026'!N41</f>
        <v>-18373.812275325599</v>
      </c>
      <c r="AF38" s="22"/>
      <c r="AG38" s="22"/>
      <c r="AH38" s="22">
        <f>'04 -Base Orçado 2026'!O41</f>
        <v>-21719.894877721439</v>
      </c>
      <c r="AI38" s="22"/>
      <c r="AJ38" s="22"/>
      <c r="AK38" s="22">
        <f>'04 -Base Orçado 2026'!P41</f>
        <v>-15457.912897951201</v>
      </c>
      <c r="AL38" s="22"/>
      <c r="AM38" s="22"/>
      <c r="AN38" s="578">
        <f t="shared" si="18"/>
        <v>-288417.28232941881</v>
      </c>
      <c r="AO38" s="578"/>
      <c r="AP38" s="22"/>
      <c r="AQ38" s="578">
        <f t="shared" si="8"/>
        <v>-17450.212944995441</v>
      </c>
      <c r="AR38" s="578">
        <f t="shared" si="9"/>
        <v>-16176.886666666667</v>
      </c>
      <c r="AS38" s="578"/>
      <c r="AT38" s="586">
        <f t="shared" si="19"/>
        <v>-7.9977389880348838E-3</v>
      </c>
      <c r="AU38" s="1"/>
      <c r="AV38" s="30">
        <f t="shared" si="20"/>
        <v>-8.0000000000000002E-3</v>
      </c>
      <c r="AW38" s="30">
        <f t="shared" si="21"/>
        <v>-8.0000000000000002E-3</v>
      </c>
      <c r="AX38" s="30">
        <f t="shared" si="22"/>
        <v>-7.9741702002430678E-3</v>
      </c>
      <c r="AY38" s="30">
        <f t="shared" si="23"/>
        <v>-7.9999999999999984E-3</v>
      </c>
      <c r="AZ38" s="30">
        <f t="shared" si="24"/>
        <v>-8.0000000000000002E-3</v>
      </c>
      <c r="BA38" s="30">
        <f t="shared" si="25"/>
        <v>-8.0000000000000019E-3</v>
      </c>
      <c r="BB38" s="30">
        <f t="shared" si="26"/>
        <v>-8.0000000000000019E-3</v>
      </c>
      <c r="BC38" s="30">
        <f t="shared" si="27"/>
        <v>-8.0000000000000002E-3</v>
      </c>
      <c r="BD38" s="30">
        <f t="shared" si="28"/>
        <v>-8.0000000000000002E-3</v>
      </c>
      <c r="BE38" s="30">
        <f t="shared" si="29"/>
        <v>-8.0000000000000002E-3</v>
      </c>
      <c r="BF38" s="30">
        <f t="shared" si="30"/>
        <v>-8.0000000000000002E-3</v>
      </c>
      <c r="BG38" s="30">
        <f t="shared" si="31"/>
        <v>-8.0000000000000002E-3</v>
      </c>
      <c r="BH38" s="743">
        <f t="shared" si="17"/>
        <v>-8.0000000000000002E-3</v>
      </c>
      <c r="BI38" s="742"/>
      <c r="BJ38" s="742">
        <f t="shared" si="32"/>
        <v>-8.0000000000000002E-3</v>
      </c>
      <c r="BK38" s="742">
        <f t="shared" si="33"/>
        <v>-7.9223569210894393E-3</v>
      </c>
      <c r="BL38" s="742">
        <f t="shared" si="34"/>
        <v>0</v>
      </c>
      <c r="BM38" s="742">
        <f t="shared" si="35"/>
        <v>-1.3163802799684968E-2</v>
      </c>
      <c r="BN38" s="742">
        <f t="shared" si="36"/>
        <v>-6.4703708189433216E-3</v>
      </c>
      <c r="BO38" s="742">
        <f t="shared" si="37"/>
        <v>0</v>
      </c>
    </row>
    <row r="39" spans="1:67" ht="15" hidden="1" customHeight="1" outlineLevel="1">
      <c r="A39" s="19" t="s">
        <v>438</v>
      </c>
      <c r="B39" s="29"/>
      <c r="C39" s="21">
        <f t="shared" si="0"/>
        <v>-9092.664893176754</v>
      </c>
      <c r="D39" s="22">
        <f>'04 -Base Orçado 2026'!E42</f>
        <v>-513.00278555064006</v>
      </c>
      <c r="E39" s="22">
        <f>'Base Realizado'!D37</f>
        <v>-800</v>
      </c>
      <c r="F39" s="22"/>
      <c r="G39" s="22">
        <f>'04 -Base Orçado 2026'!F42</f>
        <v>-787.44173132755213</v>
      </c>
      <c r="H39" s="22">
        <f>'Base Realizado'!F39</f>
        <v>-4076.8</v>
      </c>
      <c r="I39" s="22"/>
      <c r="J39" s="22">
        <f>'04 -Base Orçado 2026'!G42</f>
        <v>-793.58103652126067</v>
      </c>
      <c r="K39" s="22">
        <f>'Base Realizado'!H39</f>
        <v>-5096</v>
      </c>
      <c r="L39" s="22"/>
      <c r="M39" s="22">
        <f>'04 -Base Orçado 2026'!H42</f>
        <v>-814.21576747347831</v>
      </c>
      <c r="N39" s="22">
        <f>'Base Realizado'!K39</f>
        <v>-4076.7999999999997</v>
      </c>
      <c r="O39" s="22"/>
      <c r="P39" s="22">
        <f>'04 -Base Orçado 2026'!I42</f>
        <v>-915.14356631402916</v>
      </c>
      <c r="Q39" s="22"/>
      <c r="R39" s="22"/>
      <c r="S39" s="22">
        <f>'04 -Base Orçado 2026'!J42</f>
        <v>-775.96436681032321</v>
      </c>
      <c r="T39" s="22"/>
      <c r="U39" s="22"/>
      <c r="V39" s="22">
        <f>'04 -Base Orçado 2026'!K42</f>
        <v>-748.7982171272256</v>
      </c>
      <c r="W39" s="22"/>
      <c r="X39" s="22"/>
      <c r="Y39" s="22">
        <f>'04 -Base Orçado 2026'!L42</f>
        <v>-765.94059259338258</v>
      </c>
      <c r="Z39" s="22"/>
      <c r="AA39" s="22"/>
      <c r="AB39" s="22">
        <f>'04 -Base Orçado 2026'!M42</f>
        <v>-756.51202741893121</v>
      </c>
      <c r="AC39" s="22"/>
      <c r="AD39" s="22"/>
      <c r="AE39" s="22">
        <f>'04 -Base Orçado 2026'!N42</f>
        <v>-734.95249101302397</v>
      </c>
      <c r="AF39" s="22"/>
      <c r="AG39" s="22"/>
      <c r="AH39" s="22">
        <f>'04 -Base Orçado 2026'!O42</f>
        <v>-868.79579510885753</v>
      </c>
      <c r="AI39" s="22"/>
      <c r="AJ39" s="22"/>
      <c r="AK39" s="22">
        <f>'04 -Base Orçado 2026'!P42</f>
        <v>-618.31651591804803</v>
      </c>
      <c r="AL39" s="22"/>
      <c r="AM39" s="22"/>
      <c r="AN39" s="578">
        <f t="shared" si="18"/>
        <v>-23142.264893176754</v>
      </c>
      <c r="AO39" s="578"/>
      <c r="AP39" s="22"/>
      <c r="AQ39" s="578">
        <f t="shared" si="8"/>
        <v>-698.00851779981758</v>
      </c>
      <c r="AR39" s="578">
        <f t="shared" si="9"/>
        <v>-3324.2666666666664</v>
      </c>
      <c r="AS39" s="578"/>
      <c r="AT39" s="586">
        <f t="shared" si="19"/>
        <v>-3.1990955952139536E-4</v>
      </c>
      <c r="AU39" s="1"/>
      <c r="AV39" s="30">
        <f t="shared" si="20"/>
        <v>-3.1999999999999997E-4</v>
      </c>
      <c r="AW39" s="30">
        <f t="shared" si="21"/>
        <v>-3.2000000000000003E-4</v>
      </c>
      <c r="AX39" s="30">
        <f t="shared" si="22"/>
        <v>-3.1896680800972267E-4</v>
      </c>
      <c r="AY39" s="30">
        <f t="shared" si="23"/>
        <v>-3.1999999999999992E-4</v>
      </c>
      <c r="AZ39" s="30">
        <f t="shared" si="24"/>
        <v>-3.2000000000000003E-4</v>
      </c>
      <c r="BA39" s="30">
        <f t="shared" si="25"/>
        <v>-3.2000000000000003E-4</v>
      </c>
      <c r="BB39" s="30">
        <f t="shared" si="26"/>
        <v>-3.2000000000000003E-4</v>
      </c>
      <c r="BC39" s="30">
        <f t="shared" si="27"/>
        <v>-3.1999999999999997E-4</v>
      </c>
      <c r="BD39" s="30">
        <f t="shared" si="28"/>
        <v>-3.1999999999999997E-4</v>
      </c>
      <c r="BE39" s="30">
        <f t="shared" si="29"/>
        <v>-3.1999999999999997E-4</v>
      </c>
      <c r="BF39" s="30">
        <f t="shared" si="30"/>
        <v>-3.1999999999999997E-4</v>
      </c>
      <c r="BG39" s="30">
        <f t="shared" si="31"/>
        <v>-3.2000000000000003E-4</v>
      </c>
      <c r="BH39" s="743">
        <f t="shared" si="17"/>
        <v>-3.1999999999999997E-4</v>
      </c>
      <c r="BI39" s="742"/>
      <c r="BJ39" s="742">
        <f t="shared" si="32"/>
        <v>-3.2000000000000003E-4</v>
      </c>
      <c r="BK39" s="742">
        <f t="shared" si="33"/>
        <v>-2.7050137936262503E-3</v>
      </c>
      <c r="BL39" s="742">
        <f t="shared" si="34"/>
        <v>0</v>
      </c>
      <c r="BM39" s="742">
        <f t="shared" si="35"/>
        <v>-5.2655211198739875E-4</v>
      </c>
      <c r="BN39" s="742">
        <f t="shared" si="36"/>
        <v>-2.0709087861660071E-3</v>
      </c>
      <c r="BO39" s="742">
        <f t="shared" si="37"/>
        <v>0</v>
      </c>
    </row>
    <row r="40" spans="1:67" ht="12.75" hidden="1" customHeight="1" outlineLevel="1">
      <c r="A40" s="19" t="s">
        <v>33</v>
      </c>
      <c r="B40" s="29"/>
      <c r="C40" s="21">
        <f t="shared" si="0"/>
        <v>0</v>
      </c>
      <c r="D40" s="22">
        <f>'04 -Base Orçado 2026'!E43</f>
        <v>0</v>
      </c>
      <c r="E40" s="22">
        <f>'Base Realizado'!D40</f>
        <v>-274355.88</v>
      </c>
      <c r="F40" s="22"/>
      <c r="G40" s="22">
        <f>'04 -Base Orçado 2026'!F43</f>
        <v>0</v>
      </c>
      <c r="H40" s="22">
        <f>'Base Realizado'!F40</f>
        <v>-261339.16310000001</v>
      </c>
      <c r="I40" s="22"/>
      <c r="J40" s="22">
        <f>'04 -Base Orçado 2026'!G43</f>
        <v>0</v>
      </c>
      <c r="K40" s="22">
        <f>'Base Realizado'!H40</f>
        <v>-180084.48000000001</v>
      </c>
      <c r="L40" s="22"/>
      <c r="M40" s="22">
        <f>'04 -Base Orçado 2026'!H43</f>
        <v>0</v>
      </c>
      <c r="N40" s="22">
        <f>'Base Realizado'!K40</f>
        <v>-431062.84399999998</v>
      </c>
      <c r="O40" s="22"/>
      <c r="P40" s="22">
        <f>'04 -Base Orçado 2026'!I43</f>
        <v>0</v>
      </c>
      <c r="Q40" s="22"/>
      <c r="R40" s="22"/>
      <c r="S40" s="22">
        <f>'04 -Base Orçado 2026'!J43</f>
        <v>0</v>
      </c>
      <c r="T40" s="22"/>
      <c r="U40" s="22"/>
      <c r="V40" s="22">
        <f>'04 -Base Orçado 2026'!K43</f>
        <v>0</v>
      </c>
      <c r="W40" s="22"/>
      <c r="X40" s="22"/>
      <c r="Y40" s="22">
        <f>'04 -Base Orçado 2026'!L43</f>
        <v>0</v>
      </c>
      <c r="Z40" s="22"/>
      <c r="AA40" s="22"/>
      <c r="AB40" s="22">
        <f>'04 -Base Orçado 2026'!M43</f>
        <v>0</v>
      </c>
      <c r="AC40" s="22"/>
      <c r="AD40" s="22"/>
      <c r="AE40" s="22">
        <f>'04 -Base Orçado 2026'!N43</f>
        <v>0</v>
      </c>
      <c r="AF40" s="22"/>
      <c r="AG40" s="22"/>
      <c r="AH40" s="22">
        <f>'04 -Base Orçado 2026'!O43</f>
        <v>0</v>
      </c>
      <c r="AI40" s="22"/>
      <c r="AJ40" s="22"/>
      <c r="AK40" s="22">
        <f>'04 -Base Orçado 2026'!P43</f>
        <v>0</v>
      </c>
      <c r="AL40" s="22"/>
      <c r="AM40" s="22"/>
      <c r="AN40" s="578">
        <f t="shared" si="18"/>
        <v>-1146842.3670999999</v>
      </c>
      <c r="AO40" s="578"/>
      <c r="AP40" s="22"/>
      <c r="AQ40" s="578">
        <f t="shared" si="8"/>
        <v>0</v>
      </c>
      <c r="AR40" s="578">
        <f t="shared" si="9"/>
        <v>-238593.17436666667</v>
      </c>
      <c r="AS40" s="578"/>
      <c r="AT40" s="586">
        <f t="shared" si="19"/>
        <v>0</v>
      </c>
      <c r="AU40" s="1"/>
      <c r="AV40" s="30">
        <f t="shared" si="20"/>
        <v>0</v>
      </c>
      <c r="AW40" s="30">
        <f t="shared" si="21"/>
        <v>0</v>
      </c>
      <c r="AX40" s="30">
        <f t="shared" si="22"/>
        <v>0</v>
      </c>
      <c r="AY40" s="30">
        <f t="shared" si="23"/>
        <v>0</v>
      </c>
      <c r="AZ40" s="30">
        <f t="shared" si="24"/>
        <v>0</v>
      </c>
      <c r="BA40" s="30">
        <f t="shared" si="25"/>
        <v>0</v>
      </c>
      <c r="BB40" s="30">
        <f t="shared" si="26"/>
        <v>0</v>
      </c>
      <c r="BC40" s="30">
        <f t="shared" si="27"/>
        <v>0</v>
      </c>
      <c r="BD40" s="30">
        <f t="shared" si="28"/>
        <v>0</v>
      </c>
      <c r="BE40" s="30">
        <f t="shared" si="29"/>
        <v>0</v>
      </c>
      <c r="BF40" s="30">
        <f t="shared" si="30"/>
        <v>0</v>
      </c>
      <c r="BG40" s="30">
        <f t="shared" si="31"/>
        <v>0</v>
      </c>
      <c r="BH40" s="743">
        <f t="shared" si="17"/>
        <v>0</v>
      </c>
      <c r="BI40" s="742"/>
      <c r="BJ40" s="742">
        <f t="shared" si="32"/>
        <v>0</v>
      </c>
      <c r="BK40" s="742">
        <f t="shared" si="33"/>
        <v>-0.17340218823593023</v>
      </c>
      <c r="BL40" s="742">
        <f t="shared" si="34"/>
        <v>0</v>
      </c>
      <c r="BM40" s="742">
        <f t="shared" si="35"/>
        <v>0</v>
      </c>
      <c r="BN40" s="742">
        <f t="shared" si="36"/>
        <v>-7.3182600448221474E-2</v>
      </c>
      <c r="BO40" s="742">
        <f t="shared" si="37"/>
        <v>0</v>
      </c>
    </row>
    <row r="41" spans="1:67" ht="12.75" hidden="1" customHeight="1" outlineLevel="1">
      <c r="A41" s="19" t="s">
        <v>34</v>
      </c>
      <c r="B41" s="29"/>
      <c r="C41" s="21">
        <f t="shared" si="0"/>
        <v>0</v>
      </c>
      <c r="D41" s="22">
        <f>'04 -Base Orçado 2026'!E44</f>
        <v>0</v>
      </c>
      <c r="E41" s="22">
        <f>'Base Realizado'!D41</f>
        <v>213865.46</v>
      </c>
      <c r="F41" s="22"/>
      <c r="G41" s="22">
        <f>'04 -Base Orçado 2026'!F44</f>
        <v>0</v>
      </c>
      <c r="H41" s="22">
        <f>'Base Realizado'!F41</f>
        <v>274355.88</v>
      </c>
      <c r="I41" s="22"/>
      <c r="J41" s="22">
        <f>'04 -Base Orçado 2026'!G44</f>
        <v>0</v>
      </c>
      <c r="K41" s="22">
        <f>'Base Realizado'!H41</f>
        <v>261339.16310000001</v>
      </c>
      <c r="L41" s="22"/>
      <c r="M41" s="22">
        <f>'04 -Base Orçado 2026'!H44</f>
        <v>0</v>
      </c>
      <c r="N41" s="22">
        <f>'Base Realizado'!K41</f>
        <v>180084.48000000001</v>
      </c>
      <c r="O41" s="22"/>
      <c r="P41" s="22">
        <f>'04 -Base Orçado 2026'!I44</f>
        <v>0</v>
      </c>
      <c r="Q41" s="22"/>
      <c r="R41" s="22"/>
      <c r="S41" s="22">
        <f>'04 -Base Orçado 2026'!J44</f>
        <v>0</v>
      </c>
      <c r="T41" s="22"/>
      <c r="U41" s="22"/>
      <c r="V41" s="22">
        <f>'04 -Base Orçado 2026'!K44</f>
        <v>0</v>
      </c>
      <c r="W41" s="22"/>
      <c r="X41" s="22"/>
      <c r="Y41" s="22">
        <f>'04 -Base Orçado 2026'!L44</f>
        <v>0</v>
      </c>
      <c r="Z41" s="22"/>
      <c r="AA41" s="22"/>
      <c r="AB41" s="22">
        <f>'04 -Base Orçado 2026'!M44</f>
        <v>0</v>
      </c>
      <c r="AC41" s="22"/>
      <c r="AD41" s="22"/>
      <c r="AE41" s="22">
        <f>'04 -Base Orçado 2026'!N44</f>
        <v>0</v>
      </c>
      <c r="AF41" s="22"/>
      <c r="AG41" s="22"/>
      <c r="AH41" s="22">
        <f>'04 -Base Orçado 2026'!O44</f>
        <v>0</v>
      </c>
      <c r="AI41" s="22"/>
      <c r="AJ41" s="22"/>
      <c r="AK41" s="22">
        <f>'04 -Base Orçado 2026'!P44</f>
        <v>0</v>
      </c>
      <c r="AL41" s="22"/>
      <c r="AM41" s="22"/>
      <c r="AN41" s="578">
        <f t="shared" si="18"/>
        <v>929644.98309999995</v>
      </c>
      <c r="AO41" s="578"/>
      <c r="AP41" s="22"/>
      <c r="AQ41" s="578">
        <f t="shared" si="8"/>
        <v>0</v>
      </c>
      <c r="AR41" s="578">
        <f t="shared" si="9"/>
        <v>249853.50103333333</v>
      </c>
      <c r="AS41" s="578"/>
      <c r="AT41" s="586">
        <f t="shared" si="19"/>
        <v>0</v>
      </c>
      <c r="AU41" s="1"/>
      <c r="AV41" s="30">
        <f t="shared" si="20"/>
        <v>0</v>
      </c>
      <c r="AW41" s="30">
        <f t="shared" si="21"/>
        <v>0</v>
      </c>
      <c r="AX41" s="30">
        <f t="shared" si="22"/>
        <v>0</v>
      </c>
      <c r="AY41" s="30">
        <f t="shared" si="23"/>
        <v>0</v>
      </c>
      <c r="AZ41" s="30">
        <f t="shared" si="24"/>
        <v>0</v>
      </c>
      <c r="BA41" s="30">
        <f t="shared" si="25"/>
        <v>0</v>
      </c>
      <c r="BB41" s="30">
        <f t="shared" si="26"/>
        <v>0</v>
      </c>
      <c r="BC41" s="30">
        <f t="shared" si="27"/>
        <v>0</v>
      </c>
      <c r="BD41" s="30">
        <f t="shared" si="28"/>
        <v>0</v>
      </c>
      <c r="BE41" s="30">
        <f t="shared" si="29"/>
        <v>0</v>
      </c>
      <c r="BF41" s="30">
        <f t="shared" si="30"/>
        <v>0</v>
      </c>
      <c r="BG41" s="30">
        <f t="shared" si="31"/>
        <v>0</v>
      </c>
      <c r="BH41" s="743">
        <f t="shared" si="17"/>
        <v>0</v>
      </c>
      <c r="BI41" s="742"/>
      <c r="BJ41" s="742">
        <f t="shared" si="32"/>
        <v>0</v>
      </c>
      <c r="BK41" s="742">
        <f t="shared" si="33"/>
        <v>0.18203896187266197</v>
      </c>
      <c r="BL41" s="742">
        <f t="shared" si="34"/>
        <v>0</v>
      </c>
      <c r="BM41" s="742">
        <f t="shared" si="35"/>
        <v>0</v>
      </c>
      <c r="BN41" s="742">
        <f t="shared" si="36"/>
        <v>0.10620281966896805</v>
      </c>
      <c r="BO41" s="742">
        <f t="shared" si="37"/>
        <v>0</v>
      </c>
    </row>
    <row r="42" spans="1:67" ht="12.75" hidden="1" customHeight="1" outlineLevel="1">
      <c r="A42" s="19" t="s">
        <v>35</v>
      </c>
      <c r="B42" s="29"/>
      <c r="C42" s="21">
        <f t="shared" si="0"/>
        <v>0</v>
      </c>
      <c r="D42" s="22">
        <f>'04 -Base Orçado 2026'!E45</f>
        <v>0</v>
      </c>
      <c r="E42" s="22"/>
      <c r="F42" s="22"/>
      <c r="G42" s="22">
        <f>'04 -Base Orçado 2026'!F45</f>
        <v>0</v>
      </c>
      <c r="H42" s="22">
        <f>'Base Realizado'!F42</f>
        <v>0</v>
      </c>
      <c r="I42" s="22"/>
      <c r="J42" s="22">
        <f>'04 -Base Orçado 2026'!G45</f>
        <v>0</v>
      </c>
      <c r="K42" s="22">
        <f>'Base Realizado'!H42</f>
        <v>0</v>
      </c>
      <c r="L42" s="22"/>
      <c r="M42" s="22">
        <f>'04 -Base Orçado 2026'!H45</f>
        <v>0</v>
      </c>
      <c r="N42" s="22">
        <f>'Base Realizado'!K42</f>
        <v>0</v>
      </c>
      <c r="O42" s="22"/>
      <c r="P42" s="22">
        <f>'04 -Base Orçado 2026'!I45</f>
        <v>0</v>
      </c>
      <c r="Q42" s="22"/>
      <c r="R42" s="22"/>
      <c r="S42" s="22">
        <f>'04 -Base Orçado 2026'!J45</f>
        <v>0</v>
      </c>
      <c r="T42" s="22"/>
      <c r="U42" s="22"/>
      <c r="V42" s="22">
        <f>'04 -Base Orçado 2026'!K45</f>
        <v>0</v>
      </c>
      <c r="W42" s="22"/>
      <c r="X42" s="22"/>
      <c r="Y42" s="22">
        <f>'04 -Base Orçado 2026'!L45</f>
        <v>0</v>
      </c>
      <c r="Z42" s="22"/>
      <c r="AA42" s="22"/>
      <c r="AB42" s="22">
        <f>'04 -Base Orçado 2026'!M45</f>
        <v>0</v>
      </c>
      <c r="AC42" s="22"/>
      <c r="AD42" s="22"/>
      <c r="AE42" s="22">
        <f>'04 -Base Orçado 2026'!N45</f>
        <v>0</v>
      </c>
      <c r="AF42" s="22"/>
      <c r="AG42" s="22"/>
      <c r="AH42" s="22">
        <f>'04 -Base Orçado 2026'!O45</f>
        <v>0</v>
      </c>
      <c r="AI42" s="22"/>
      <c r="AJ42" s="22"/>
      <c r="AK42" s="22">
        <f>'04 -Base Orçado 2026'!P45</f>
        <v>0</v>
      </c>
      <c r="AL42" s="22"/>
      <c r="AM42" s="22"/>
      <c r="AN42" s="578">
        <f t="shared" si="18"/>
        <v>0</v>
      </c>
      <c r="AO42" s="578"/>
      <c r="AP42" s="22"/>
      <c r="AQ42" s="578">
        <f t="shared" si="8"/>
        <v>0</v>
      </c>
      <c r="AR42" s="578">
        <f t="shared" si="9"/>
        <v>0</v>
      </c>
      <c r="AS42" s="578"/>
      <c r="AT42" s="586">
        <f t="shared" si="19"/>
        <v>0</v>
      </c>
      <c r="AU42" s="1"/>
      <c r="AV42" s="30">
        <f t="shared" si="20"/>
        <v>0</v>
      </c>
      <c r="AW42" s="30">
        <f t="shared" si="21"/>
        <v>0</v>
      </c>
      <c r="AX42" s="30">
        <f t="shared" si="22"/>
        <v>0</v>
      </c>
      <c r="AY42" s="30">
        <f t="shared" si="23"/>
        <v>0</v>
      </c>
      <c r="AZ42" s="30">
        <f t="shared" si="24"/>
        <v>0</v>
      </c>
      <c r="BA42" s="30">
        <f t="shared" si="25"/>
        <v>0</v>
      </c>
      <c r="BB42" s="30">
        <f t="shared" si="26"/>
        <v>0</v>
      </c>
      <c r="BC42" s="30">
        <f t="shared" si="27"/>
        <v>0</v>
      </c>
      <c r="BD42" s="30">
        <f t="shared" si="28"/>
        <v>0</v>
      </c>
      <c r="BE42" s="30">
        <f t="shared" si="29"/>
        <v>0</v>
      </c>
      <c r="BF42" s="30">
        <f t="shared" si="30"/>
        <v>0</v>
      </c>
      <c r="BG42" s="30">
        <f t="shared" si="31"/>
        <v>0</v>
      </c>
      <c r="BH42" s="743">
        <f t="shared" si="17"/>
        <v>0</v>
      </c>
      <c r="BI42" s="742"/>
      <c r="BJ42" s="742">
        <f t="shared" si="32"/>
        <v>0</v>
      </c>
      <c r="BK42" s="742">
        <f t="shared" si="33"/>
        <v>0</v>
      </c>
      <c r="BL42" s="742">
        <f t="shared" si="34"/>
        <v>0</v>
      </c>
      <c r="BM42" s="742">
        <f t="shared" si="35"/>
        <v>0</v>
      </c>
      <c r="BN42" s="742">
        <f t="shared" si="36"/>
        <v>0</v>
      </c>
      <c r="BO42" s="742">
        <f t="shared" si="37"/>
        <v>0</v>
      </c>
    </row>
    <row r="43" spans="1:67" ht="6" customHeight="1" collapsed="1">
      <c r="A43" s="19"/>
      <c r="B43" s="29"/>
      <c r="C43" s="33">
        <f t="shared" si="0"/>
        <v>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577">
        <f t="shared" si="18"/>
        <v>0</v>
      </c>
      <c r="AO43" s="575">
        <f>SUM(E43,H43,K43,N43,Q43,T43,W43,Z43,AC43,AF43,AI43,AL43)</f>
        <v>0</v>
      </c>
      <c r="AP43" s="41"/>
      <c r="AQ43" s="577"/>
      <c r="AR43" s="577"/>
      <c r="AS43" s="577"/>
      <c r="AT43" s="588"/>
      <c r="AU43" s="1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743"/>
      <c r="BI43" s="742"/>
      <c r="BJ43" s="742"/>
      <c r="BK43" s="742"/>
      <c r="BL43" s="742"/>
      <c r="BM43" s="742"/>
      <c r="BN43" s="742"/>
      <c r="BO43" s="742"/>
    </row>
    <row r="44" spans="1:67" ht="15.75" customHeight="1">
      <c r="A44" s="40" t="s">
        <v>36</v>
      </c>
      <c r="B44" s="32"/>
      <c r="C44" s="33">
        <f t="shared" si="0"/>
        <v>-8093424.9050386008</v>
      </c>
      <c r="D44" s="43">
        <f>SUM(D45:D47)</f>
        <v>-552193.43983087095</v>
      </c>
      <c r="E44" s="43">
        <f>SUM(E45:E47)</f>
        <v>-358659.69</v>
      </c>
      <c r="F44" s="562"/>
      <c r="G44" s="43">
        <f>SUM(G45:G47)</f>
        <v>-687143.70489233849</v>
      </c>
      <c r="H44" s="43">
        <f>SUM(H45:H47)</f>
        <v>-506750.71999999997</v>
      </c>
      <c r="I44" s="562"/>
      <c r="J44" s="43">
        <f>'04 -Base Orçado 2026'!G51</f>
        <v>-679825.88606286072</v>
      </c>
      <c r="K44" s="43">
        <f>SUM(K45:K47)</f>
        <v>-611375.76</v>
      </c>
      <c r="L44" s="562"/>
      <c r="M44" s="43">
        <f>'04 -Base Orçado 2026'!H51</f>
        <v>-687143.70489233849</v>
      </c>
      <c r="N44" s="43">
        <f>SUM(N45:N47)</f>
        <v>-589701.15999999992</v>
      </c>
      <c r="O44" s="562"/>
      <c r="P44" s="43">
        <f>'04 -Base Orçado 2026'!I51</f>
        <v>-722936.33763775032</v>
      </c>
      <c r="Q44" s="43"/>
      <c r="R44" s="562"/>
      <c r="S44" s="43">
        <f>'04 -Base Orçado 2026'!J51</f>
        <v>-673578.38045583782</v>
      </c>
      <c r="T44" s="43"/>
      <c r="U44" s="562"/>
      <c r="V44" s="43">
        <f>'04 -Base Orçado 2026'!K51</f>
        <v>-681736.13223592611</v>
      </c>
      <c r="W44" s="43"/>
      <c r="X44" s="562"/>
      <c r="Y44" s="43">
        <f>'04 -Base Orçado 2026'!L51</f>
        <v>-687815.43602034205</v>
      </c>
      <c r="Z44" s="43"/>
      <c r="AA44" s="562"/>
      <c r="AB44" s="43">
        <f>'04 -Base Orçado 2026'!M51</f>
        <v>-684471.72720590059</v>
      </c>
      <c r="AC44" s="43"/>
      <c r="AD44" s="562"/>
      <c r="AE44" s="43">
        <f>'04 -Base Orçado 2026'!N51</f>
        <v>-676825.93905236037</v>
      </c>
      <c r="AF44" s="43"/>
      <c r="AG44" s="562"/>
      <c r="AH44" s="43">
        <f>'04 -Base Orçado 2026'!O51</f>
        <v>-724291.59553123626</v>
      </c>
      <c r="AI44" s="43"/>
      <c r="AJ44" s="562"/>
      <c r="AK44" s="43">
        <f>'04 -Base Orçado 2026'!P51</f>
        <v>-635462.62122083968</v>
      </c>
      <c r="AL44" s="43"/>
      <c r="AM44" s="562"/>
      <c r="AN44" s="577">
        <f>SUM(D44,G44,J44,M44,P44,S44,V44,Y44,AB44,AE44,AH44,AK44)</f>
        <v>-8093424.9050386008</v>
      </c>
      <c r="AO44" s="577">
        <f>SUM(E44,H44,K44,N44,Q44,T44,W44,Z44,AC44,AF44,AI44,AL44)</f>
        <v>-2066487.3299999998</v>
      </c>
      <c r="AP44" s="562"/>
      <c r="AQ44" s="577">
        <f t="shared" si="8"/>
        <v>-639721.01026202342</v>
      </c>
      <c r="AR44" s="577">
        <f t="shared" si="9"/>
        <v>-492262.05666666664</v>
      </c>
      <c r="AS44" s="577"/>
      <c r="AT44" s="588">
        <f>IF(ISERROR(C44/C$24),0,(C44/C$24))</f>
        <v>-0.28475304289871389</v>
      </c>
      <c r="AU44" s="1"/>
      <c r="AV44" s="30">
        <f>IF(ISERROR(D44/D$24),0,(D44/D$24))</f>
        <v>-0.34444627928523386</v>
      </c>
      <c r="AW44" s="30">
        <f>IF(ISERROR(G44/G$24),0,(G44/G$24))</f>
        <v>-0.27924096071825072</v>
      </c>
      <c r="AX44" s="30">
        <f>IF(ISERROR(J44/J$24),0,(J44/J$24))</f>
        <v>-0.27324480160261838</v>
      </c>
      <c r="AY44" s="30">
        <f>IF(ISERROR(M44/M$24),0,(M44/M$24))</f>
        <v>-0.27005861879567528</v>
      </c>
      <c r="AZ44" s="30">
        <f>IF(ISERROR(P44/P$24),0,(P44/P$24))</f>
        <v>-0.2527905309719421</v>
      </c>
      <c r="BA44" s="30">
        <f>IF(ISERROR(S44/S$24),0,(S44/S$24))</f>
        <v>-0.27777703586040564</v>
      </c>
      <c r="BB44" s="30">
        <f>IF(ISERROR(V44/V$24),0,(V44/V$24))</f>
        <v>-0.2913409211261922</v>
      </c>
      <c r="BC44" s="30">
        <f>IF(ISERROR(Y44/Y$24),0,(Y44/Y$24))</f>
        <v>-0.28736032749129298</v>
      </c>
      <c r="BD44" s="30">
        <f>IF(ISERROR(AB44/AB$24),0,(AB44/AB$24))</f>
        <v>-0.28952738987267429</v>
      </c>
      <c r="BE44" s="30">
        <f>IF(ISERROR(AE44/AE$24),0,(AE44/AE$24))</f>
        <v>-0.29469156597894602</v>
      </c>
      <c r="BF44" s="30">
        <f>IF(ISERROR(AH44/AH$24),0,(AH44/AH$24))</f>
        <v>-0.26677535949740072</v>
      </c>
      <c r="BG44" s="30">
        <f>IF(ISERROR(AK44/AK$24),0,(AK44/AK$24))</f>
        <v>-0.32887369746018646</v>
      </c>
      <c r="BH44" s="743">
        <f t="shared" si="17"/>
        <v>-0.34444627928523386</v>
      </c>
      <c r="BI44" s="743">
        <f>E44/$E$24</f>
        <v>-0.26788404257311949</v>
      </c>
      <c r="BJ44" s="743">
        <f t="shared" si="32"/>
        <v>-0.27924096071825072</v>
      </c>
      <c r="BK44" s="743">
        <f t="shared" si="33"/>
        <v>-0.33623618709037323</v>
      </c>
      <c r="BL44" s="743">
        <f>J44/$J$24</f>
        <v>-0.27324480160261838</v>
      </c>
      <c r="BM44" s="743">
        <f>K44/$K$24</f>
        <v>-0.25649128522903741</v>
      </c>
      <c r="BN44" s="743">
        <f t="shared" ref="BN44:BN52" si="38">M44/$M$24</f>
        <v>-0.27005861879567528</v>
      </c>
      <c r="BO44" s="743">
        <f>N44/$N$24</f>
        <v>-0.25680654009239962</v>
      </c>
    </row>
    <row r="45" spans="1:67" ht="15.75" hidden="1" customHeight="1" outlineLevel="1">
      <c r="A45" s="19" t="s">
        <v>1734</v>
      </c>
      <c r="B45" s="32"/>
      <c r="C45" s="33">
        <f t="shared" si="0"/>
        <v>-999623.18523004535</v>
      </c>
      <c r="D45" s="43">
        <f>SUM('04 -Base Orçado 2026'!E52:E67)</f>
        <v>-475465.22136397089</v>
      </c>
      <c r="E45" s="43">
        <f>SUM('Base Realizado'!D49:D65)</f>
        <v>-281846.08</v>
      </c>
      <c r="F45" s="562"/>
      <c r="G45" s="43">
        <f>SUM('04 -Base Orçado 2026'!H52:H67)</f>
        <v>-524157.96386607439</v>
      </c>
      <c r="H45" s="43">
        <f>SUM('Base Realizado'!F49:F65)</f>
        <v>-408305.08999999997</v>
      </c>
      <c r="I45" s="562"/>
      <c r="J45" s="43"/>
      <c r="K45" s="43">
        <f>SUM('Base Realizado'!H49:H65)</f>
        <v>-475011.45</v>
      </c>
      <c r="L45" s="562"/>
      <c r="M45" s="43"/>
      <c r="N45" s="43">
        <f>SUM('Base Realizado'!K49:K65)</f>
        <v>-589701.15999999992</v>
      </c>
      <c r="O45" s="562"/>
      <c r="P45" s="43"/>
      <c r="Q45" s="43"/>
      <c r="R45" s="562"/>
      <c r="S45" s="43"/>
      <c r="T45" s="43"/>
      <c r="U45" s="562"/>
      <c r="V45" s="43"/>
      <c r="W45" s="43"/>
      <c r="X45" s="562"/>
      <c r="Y45" s="43"/>
      <c r="Z45" s="43"/>
      <c r="AA45" s="562"/>
      <c r="AB45" s="43"/>
      <c r="AC45" s="43"/>
      <c r="AD45" s="562"/>
      <c r="AE45" s="43"/>
      <c r="AF45" s="43"/>
      <c r="AG45" s="562"/>
      <c r="AH45" s="43"/>
      <c r="AI45" s="43"/>
      <c r="AJ45" s="562"/>
      <c r="AK45" s="43"/>
      <c r="AL45" s="43"/>
      <c r="AM45" s="562"/>
      <c r="AN45" s="577"/>
      <c r="AO45" s="577"/>
      <c r="AP45" s="562"/>
      <c r="AQ45" s="577">
        <f t="shared" si="8"/>
        <v>-499811.59261502267</v>
      </c>
      <c r="AR45" s="577">
        <f t="shared" si="9"/>
        <v>-388387.54</v>
      </c>
      <c r="AS45" s="577"/>
      <c r="AT45" s="588"/>
      <c r="AU45" s="1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743">
        <f t="shared" si="17"/>
        <v>-0.29658488242546122</v>
      </c>
      <c r="BI45" s="742"/>
      <c r="BJ45" s="742">
        <f t="shared" si="32"/>
        <v>-0.21300693342016053</v>
      </c>
      <c r="BK45" s="742">
        <f t="shared" si="33"/>
        <v>-0.27091613531637743</v>
      </c>
      <c r="BL45" s="742">
        <f t="shared" ref="BL45:BL47" si="39">I45/$G$24</f>
        <v>0</v>
      </c>
      <c r="BM45" s="743">
        <f t="shared" ref="BM45:BM47" si="40">J45/$J$24</f>
        <v>0</v>
      </c>
      <c r="BN45" s="743">
        <f t="shared" si="38"/>
        <v>0</v>
      </c>
      <c r="BO45" s="743">
        <f t="shared" ref="BO45:BO47" si="41">L45/$J$24</f>
        <v>0</v>
      </c>
    </row>
    <row r="46" spans="1:67" ht="15.75" hidden="1" customHeight="1" outlineLevel="1">
      <c r="A46" s="19" t="s">
        <v>144</v>
      </c>
      <c r="B46" s="32"/>
      <c r="C46" s="33">
        <f t="shared" si="0"/>
        <v>151463.40910591793</v>
      </c>
      <c r="D46" s="43">
        <f>'04 -Base Orçado 2026'!E68</f>
        <v>74471.506159049983</v>
      </c>
      <c r="E46" s="43">
        <f>'Base Realizado'!D66</f>
        <v>13519.95</v>
      </c>
      <c r="F46" s="562"/>
      <c r="G46" s="43">
        <f>'04 -Base Orçado 2026'!H68</f>
        <v>76991.902946867951</v>
      </c>
      <c r="H46" s="43">
        <f>'Base Realizado'!F66</f>
        <v>22113.35</v>
      </c>
      <c r="I46" s="562"/>
      <c r="J46" s="43"/>
      <c r="K46" s="43">
        <f>'Base Realizado'!H66</f>
        <v>25620.559999999998</v>
      </c>
      <c r="L46" s="562"/>
      <c r="M46" s="43"/>
      <c r="N46" s="43">
        <f>'Base Realizado'!K66</f>
        <v>0</v>
      </c>
      <c r="O46" s="562"/>
      <c r="P46" s="43"/>
      <c r="Q46" s="43"/>
      <c r="R46" s="562"/>
      <c r="S46" s="43"/>
      <c r="T46" s="43"/>
      <c r="U46" s="562"/>
      <c r="V46" s="43"/>
      <c r="W46" s="43"/>
      <c r="X46" s="562"/>
      <c r="Y46" s="43"/>
      <c r="Z46" s="43"/>
      <c r="AA46" s="562"/>
      <c r="AB46" s="43"/>
      <c r="AC46" s="43"/>
      <c r="AD46" s="562"/>
      <c r="AE46" s="43"/>
      <c r="AF46" s="43"/>
      <c r="AG46" s="562"/>
      <c r="AH46" s="43"/>
      <c r="AI46" s="43"/>
      <c r="AJ46" s="562"/>
      <c r="AK46" s="43"/>
      <c r="AL46" s="43"/>
      <c r="AM46" s="562"/>
      <c r="AN46" s="577"/>
      <c r="AO46" s="577"/>
      <c r="AP46" s="562"/>
      <c r="AQ46" s="577">
        <f t="shared" si="8"/>
        <v>75731.704552958967</v>
      </c>
      <c r="AR46" s="577">
        <f t="shared" si="9"/>
        <v>20417.953333333335</v>
      </c>
      <c r="AS46" s="577"/>
      <c r="AT46" s="588"/>
      <c r="AU46" s="1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743">
        <f t="shared" si="17"/>
        <v>4.6453708716838099E-2</v>
      </c>
      <c r="BI46" s="742"/>
      <c r="BJ46" s="742">
        <f t="shared" si="32"/>
        <v>3.1287913711991626E-2</v>
      </c>
      <c r="BK46" s="742">
        <f t="shared" si="33"/>
        <v>1.4672516869428238E-2</v>
      </c>
      <c r="BL46" s="742">
        <f t="shared" si="39"/>
        <v>0</v>
      </c>
      <c r="BM46" s="743">
        <f t="shared" si="40"/>
        <v>0</v>
      </c>
      <c r="BN46" s="743">
        <f t="shared" si="38"/>
        <v>0</v>
      </c>
      <c r="BO46" s="743">
        <f t="shared" si="41"/>
        <v>0</v>
      </c>
    </row>
    <row r="47" spans="1:67" ht="15.75" hidden="1" customHeight="1" outlineLevel="1">
      <c r="A47" s="19" t="s">
        <v>140</v>
      </c>
      <c r="B47" s="32"/>
      <c r="C47" s="33">
        <f t="shared" si="0"/>
        <v>-391177.36859908211</v>
      </c>
      <c r="D47" s="43">
        <f>'04 -Base Orçado 2026'!E69</f>
        <v>-151199.72462595004</v>
      </c>
      <c r="E47" s="43">
        <f>'Base Realizado'!D67</f>
        <v>-90333.56</v>
      </c>
      <c r="F47" s="562"/>
      <c r="G47" s="43">
        <f>'04 -Base Orçado 2026'!H69</f>
        <v>-239977.64397313204</v>
      </c>
      <c r="H47" s="43">
        <f>'Base Realizado'!F67</f>
        <v>-120558.98</v>
      </c>
      <c r="I47" s="562"/>
      <c r="J47" s="43"/>
      <c r="K47" s="43">
        <f>'Base Realizado'!H67</f>
        <v>-161984.87</v>
      </c>
      <c r="L47" s="562"/>
      <c r="M47" s="43"/>
      <c r="N47" s="43">
        <f>'Base Realizado'!K67</f>
        <v>0</v>
      </c>
      <c r="O47" s="562"/>
      <c r="P47" s="43"/>
      <c r="Q47" s="43"/>
      <c r="R47" s="562"/>
      <c r="S47" s="43"/>
      <c r="T47" s="43"/>
      <c r="U47" s="562"/>
      <c r="V47" s="43"/>
      <c r="W47" s="43"/>
      <c r="X47" s="562"/>
      <c r="Y47" s="43"/>
      <c r="Z47" s="43"/>
      <c r="AA47" s="562"/>
      <c r="AB47" s="43"/>
      <c r="AC47" s="43"/>
      <c r="AD47" s="562"/>
      <c r="AE47" s="43"/>
      <c r="AF47" s="43"/>
      <c r="AG47" s="562"/>
      <c r="AH47" s="43"/>
      <c r="AI47" s="43"/>
      <c r="AJ47" s="562"/>
      <c r="AK47" s="43"/>
      <c r="AL47" s="43"/>
      <c r="AM47" s="562"/>
      <c r="AN47" s="577"/>
      <c r="AO47" s="577"/>
      <c r="AP47" s="562"/>
      <c r="AQ47" s="577">
        <f t="shared" si="8"/>
        <v>-195588.68429954106</v>
      </c>
      <c r="AR47" s="577">
        <f t="shared" si="9"/>
        <v>-124292.46999999999</v>
      </c>
      <c r="AS47" s="577"/>
      <c r="AT47" s="588"/>
      <c r="AU47" s="1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743">
        <f t="shared" si="17"/>
        <v>-9.4315105576610728E-2</v>
      </c>
      <c r="BI47" s="742"/>
      <c r="BJ47" s="742">
        <f t="shared" si="32"/>
        <v>-9.7521941010081853E-2</v>
      </c>
      <c r="BK47" s="742">
        <f t="shared" si="33"/>
        <v>-7.9992568643424064E-2</v>
      </c>
      <c r="BL47" s="742">
        <f t="shared" si="39"/>
        <v>0</v>
      </c>
      <c r="BM47" s="743">
        <f t="shared" si="40"/>
        <v>0</v>
      </c>
      <c r="BN47" s="743">
        <f t="shared" si="38"/>
        <v>0</v>
      </c>
      <c r="BO47" s="743">
        <f t="shared" si="41"/>
        <v>0</v>
      </c>
    </row>
    <row r="48" spans="1:67" ht="3.95" customHeight="1" collapsed="1">
      <c r="A48" s="19"/>
      <c r="B48" s="32"/>
      <c r="C48" s="33">
        <f t="shared" si="0"/>
        <v>0</v>
      </c>
      <c r="D48" s="43"/>
      <c r="E48" s="43">
        <f>'Base Realizado'!D68</f>
        <v>0</v>
      </c>
      <c r="F48" s="562"/>
      <c r="G48" s="43"/>
      <c r="H48" s="43"/>
      <c r="I48" s="562"/>
      <c r="J48" s="43"/>
      <c r="K48" s="43"/>
      <c r="L48" s="562"/>
      <c r="M48" s="43"/>
      <c r="N48" s="43"/>
      <c r="O48" s="562"/>
      <c r="P48" s="43"/>
      <c r="Q48" s="43"/>
      <c r="R48" s="562"/>
      <c r="S48" s="43"/>
      <c r="T48" s="43"/>
      <c r="U48" s="562"/>
      <c r="V48" s="43"/>
      <c r="W48" s="43"/>
      <c r="X48" s="562"/>
      <c r="Y48" s="43"/>
      <c r="Z48" s="43"/>
      <c r="AA48" s="562"/>
      <c r="AB48" s="43"/>
      <c r="AC48" s="43"/>
      <c r="AD48" s="562"/>
      <c r="AE48" s="43"/>
      <c r="AF48" s="43"/>
      <c r="AG48" s="562"/>
      <c r="AH48" s="43"/>
      <c r="AI48" s="43"/>
      <c r="AJ48" s="562"/>
      <c r="AK48" s="43"/>
      <c r="AL48" s="43"/>
      <c r="AM48" s="562"/>
      <c r="AN48" s="577"/>
      <c r="AO48" s="577"/>
      <c r="AP48" s="562"/>
      <c r="AQ48" s="577"/>
      <c r="AR48" s="577">
        <f t="shared" si="9"/>
        <v>0</v>
      </c>
      <c r="AS48" s="577"/>
      <c r="AT48" s="588"/>
      <c r="AU48" s="1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743"/>
      <c r="BI48" s="742"/>
      <c r="BJ48" s="742"/>
      <c r="BK48" s="742"/>
      <c r="BL48" s="742"/>
      <c r="BM48" s="743"/>
      <c r="BN48" s="743"/>
      <c r="BO48" s="743"/>
    </row>
    <row r="49" spans="1:67" ht="15.75" customHeight="1">
      <c r="A49" s="601" t="s">
        <v>37</v>
      </c>
      <c r="B49" s="32"/>
      <c r="C49" s="33">
        <f t="shared" si="0"/>
        <v>-844692.60000000021</v>
      </c>
      <c r="D49" s="43">
        <f>'04 -Base Orçado 2026'!E76</f>
        <v>-63668</v>
      </c>
      <c r="E49" s="43">
        <f>'Base Realizado'!D74</f>
        <v>-61112.86</v>
      </c>
      <c r="F49" s="562"/>
      <c r="G49" s="43">
        <f>'04 -Base Orçado 2026'!F76</f>
        <v>-71735.66</v>
      </c>
      <c r="H49" s="22">
        <f>'Base Realizado'!F74</f>
        <v>-69633.919999999998</v>
      </c>
      <c r="I49" s="562"/>
      <c r="J49" s="43">
        <f>'04 -Base Orçado 2026'!G76</f>
        <v>-71735.66</v>
      </c>
      <c r="K49" s="22">
        <f>'Base Realizado'!H74</f>
        <v>-69180.52</v>
      </c>
      <c r="L49" s="562"/>
      <c r="M49" s="43">
        <f>'04 -Base Orçado 2026'!H76</f>
        <v>-71735.66</v>
      </c>
      <c r="N49" s="22">
        <f>'Base Realizado'!K74</f>
        <v>-69180.52</v>
      </c>
      <c r="O49" s="562"/>
      <c r="P49" s="43">
        <f>'04 -Base Orçado 2026'!I76</f>
        <v>-71735.66</v>
      </c>
      <c r="Q49" s="43"/>
      <c r="R49" s="562"/>
      <c r="S49" s="43">
        <f>'04 -Base Orçado 2026'!J76</f>
        <v>-71735.66</v>
      </c>
      <c r="T49" s="43"/>
      <c r="U49" s="562"/>
      <c r="V49" s="43">
        <f>'04 -Base Orçado 2026'!K76</f>
        <v>-71735.66</v>
      </c>
      <c r="W49" s="43"/>
      <c r="X49" s="562"/>
      <c r="Y49" s="43">
        <f>'04 -Base Orçado 2026'!L76</f>
        <v>-71735.66</v>
      </c>
      <c r="Z49" s="43"/>
      <c r="AA49" s="562"/>
      <c r="AB49" s="43">
        <f>'04 -Base Orçado 2026'!M76</f>
        <v>-71735.66</v>
      </c>
      <c r="AC49" s="43"/>
      <c r="AD49" s="562"/>
      <c r="AE49" s="43">
        <f>'04 -Base Orçado 2026'!N76</f>
        <v>-71735.66</v>
      </c>
      <c r="AF49" s="43"/>
      <c r="AG49" s="562"/>
      <c r="AH49" s="43">
        <f>'04 -Base Orçado 2026'!O76</f>
        <v>-71735.66</v>
      </c>
      <c r="AI49" s="43"/>
      <c r="AJ49" s="562"/>
      <c r="AK49" s="43">
        <f>'04 -Base Orçado 2026'!P76</f>
        <v>-63668</v>
      </c>
      <c r="AL49" s="43"/>
      <c r="AM49" s="562"/>
      <c r="AN49" s="577">
        <f t="shared" ref="AN49:AO51" si="42">SUM(D49,G49,J49,M49,P49,S49,V49,Y49,AB49,AE49,AH49,AK49)</f>
        <v>-844692.60000000021</v>
      </c>
      <c r="AO49" s="577">
        <f t="shared" si="42"/>
        <v>-269107.82</v>
      </c>
      <c r="AP49" s="562"/>
      <c r="AQ49" s="577">
        <f t="shared" si="8"/>
        <v>-69046.44</v>
      </c>
      <c r="AR49" s="577">
        <f t="shared" si="9"/>
        <v>-66642.433333333334</v>
      </c>
      <c r="AS49" s="577"/>
      <c r="AT49" s="588">
        <f>IF(ISERROR(C49/C$24),0,(C49/C$24))</f>
        <v>-2.971903625303101E-2</v>
      </c>
      <c r="AU49" s="1"/>
      <c r="AV49" s="30">
        <f>IF(ISERROR(D49/D$24),0,(D49/D$24))</f>
        <v>-3.9714716126017686E-2</v>
      </c>
      <c r="AW49" s="30">
        <f>IF(ISERROR(G49/G$24),0,(G49/G$24))</f>
        <v>-2.9151885513229475E-2</v>
      </c>
      <c r="AX49" s="30">
        <f>IF(ISERROR(J49/J$24),0,(J49/J$24))</f>
        <v>-2.8832965302413367E-2</v>
      </c>
      <c r="AY49" s="30">
        <f>IF(ISERROR(M49/M$24),0,(M49/M$24))</f>
        <v>-2.8193277650752115E-2</v>
      </c>
      <c r="AZ49" s="30">
        <f>IF(ISERROR(P49/P$24),0,(P49/P$24))</f>
        <v>-2.5083945344727378E-2</v>
      </c>
      <c r="BA49" s="30">
        <f>IF(ISERROR(S49/S$24),0,(S49/S$24))</f>
        <v>-2.9583073890828836E-2</v>
      </c>
      <c r="BB49" s="30">
        <f>IF(ISERROR(V49/V$24),0,(V49/V$24))</f>
        <v>-3.0656337949185757E-2</v>
      </c>
      <c r="BC49" s="30">
        <f>IF(ISERROR(Y49/Y$24),0,(Y49/Y$24))</f>
        <v>-2.9970224090455556E-2</v>
      </c>
      <c r="BD49" s="30">
        <f>IF(ISERROR(AB49/AB$24),0,(AB49/AB$24))</f>
        <v>-3.0343749164595972E-2</v>
      </c>
      <c r="BE49" s="30">
        <f>IF(ISERROR(AE49/AE$24),0,(AE49/AE$24))</f>
        <v>-3.1233870870155622E-2</v>
      </c>
      <c r="BF49" s="30">
        <f>IF(ISERROR(AH49/AH$24),0,(AH49/AH$24))</f>
        <v>-2.6422102097218087E-2</v>
      </c>
      <c r="BG49" s="30">
        <f>IF(ISERROR(AK49/AK$24),0,(AK49/AK$24))</f>
        <v>-3.295037327241692E-2</v>
      </c>
      <c r="BH49" s="743">
        <f t="shared" si="17"/>
        <v>-3.9714716126017686E-2</v>
      </c>
      <c r="BI49" s="743">
        <f>E49/$E$24</f>
        <v>-4.5645385992513096E-2</v>
      </c>
      <c r="BJ49" s="743">
        <f t="shared" si="32"/>
        <v>-2.9151885513229475E-2</v>
      </c>
      <c r="BK49" s="743">
        <f t="shared" si="33"/>
        <v>-4.6203079401556817E-2</v>
      </c>
      <c r="BL49" s="743">
        <f>J49/$J$24</f>
        <v>-2.8832965302413367E-2</v>
      </c>
      <c r="BM49" s="743">
        <f>K49/$K$24</f>
        <v>-2.9023395509846724E-2</v>
      </c>
      <c r="BN49" s="743">
        <f t="shared" si="38"/>
        <v>-2.8193277650752115E-2</v>
      </c>
      <c r="BO49" s="743">
        <f t="shared" ref="BO49:BO52" si="43">N49/$N$24</f>
        <v>-3.0127140979327661E-2</v>
      </c>
    </row>
    <row r="50" spans="1:67" ht="15.75" customHeight="1">
      <c r="A50" s="601" t="s">
        <v>1730</v>
      </c>
      <c r="B50" s="32"/>
      <c r="C50" s="33">
        <f t="shared" si="0"/>
        <v>-683912.0351024752</v>
      </c>
      <c r="D50" s="43">
        <f>'04 -Base Orçado 2026'!E80</f>
        <v>-43284.610030835247</v>
      </c>
      <c r="E50" s="43">
        <f>'Base Realizado'!D78</f>
        <v>-52795.14</v>
      </c>
      <c r="F50" s="562"/>
      <c r="G50" s="43">
        <f>'04 -Base Orçado 2026'!F80</f>
        <v>-58796.810690940008</v>
      </c>
      <c r="H50" s="43">
        <f>'Base Realizado'!F78</f>
        <v>-55997.450000000004</v>
      </c>
      <c r="I50" s="562"/>
      <c r="J50" s="43">
        <f>'04 -Base Orçado 2026'!G80</f>
        <v>-59255.221200426007</v>
      </c>
      <c r="K50" s="43">
        <f>'Base Realizado'!H78</f>
        <v>-53378.869999999995</v>
      </c>
      <c r="L50" s="562"/>
      <c r="M50" s="43">
        <f>'04 -Base Orçado 2026'!H80</f>
        <v>-60795.978212898</v>
      </c>
      <c r="N50" s="43">
        <f>'Base Realizado'!K78</f>
        <v>-60529.54</v>
      </c>
      <c r="O50" s="562"/>
      <c r="P50" s="43">
        <f>'04 -Base Orçado 2026'!I80</f>
        <v>-68332.069387386015</v>
      </c>
      <c r="Q50" s="43"/>
      <c r="R50" s="562"/>
      <c r="S50" s="43">
        <f>'04 -Base Orçado 2026'!J80</f>
        <v>-57939.817212054011</v>
      </c>
      <c r="T50" s="43"/>
      <c r="U50" s="562"/>
      <c r="V50" s="43">
        <f>'04 -Base Orçado 2026'!K80</f>
        <v>-55911.371300981991</v>
      </c>
      <c r="W50" s="43"/>
      <c r="X50" s="562"/>
      <c r="Y50" s="43">
        <f>'04 -Base Orçado 2026'!L80</f>
        <v>-57191.360619528015</v>
      </c>
      <c r="Z50" s="43"/>
      <c r="AA50" s="562"/>
      <c r="AB50" s="43">
        <f>'04 -Base Orçado 2026'!M80</f>
        <v>-56487.347180063996</v>
      </c>
      <c r="AC50" s="43"/>
      <c r="AD50" s="562"/>
      <c r="AE50" s="43">
        <f>'04 -Base Orçado 2026'!N80</f>
        <v>-54877.536663029998</v>
      </c>
      <c r="AF50" s="43"/>
      <c r="AG50" s="562"/>
      <c r="AH50" s="43">
        <f>'04 -Base Orçado 2026'!O80</f>
        <v>-64871.367444521995</v>
      </c>
      <c r="AI50" s="43"/>
      <c r="AJ50" s="562"/>
      <c r="AK50" s="43">
        <f>'04 -Base Orçado 2026'!P80</f>
        <v>-46168.545159810004</v>
      </c>
      <c r="AL50" s="43"/>
      <c r="AM50" s="562"/>
      <c r="AN50" s="577">
        <f t="shared" si="42"/>
        <v>-683912.0351024752</v>
      </c>
      <c r="AO50" s="577">
        <f t="shared" si="42"/>
        <v>-222701</v>
      </c>
      <c r="AP50" s="562"/>
      <c r="AQ50" s="577">
        <f t="shared" si="8"/>
        <v>-53778.880640733754</v>
      </c>
      <c r="AR50" s="577">
        <f t="shared" si="9"/>
        <v>-54057.153333333328</v>
      </c>
      <c r="AS50" s="577"/>
      <c r="AT50" s="588">
        <f>IF(ISERROR(C50/C$24),0,(C50/C$24))</f>
        <v>-2.4062252427799975E-2</v>
      </c>
      <c r="AU50" s="1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743">
        <f t="shared" si="17"/>
        <v>-2.6999999999999993E-2</v>
      </c>
      <c r="BI50" s="743">
        <f>E50/$E$24</f>
        <v>-3.943285494785824E-2</v>
      </c>
      <c r="BJ50" s="743">
        <f t="shared" si="32"/>
        <v>-2.3893805309734516E-2</v>
      </c>
      <c r="BK50" s="743">
        <f t="shared" si="33"/>
        <v>-3.7155090918832484E-2</v>
      </c>
      <c r="BL50" s="743">
        <f>J50/$J$24</f>
        <v>-2.3816658783911822E-2</v>
      </c>
      <c r="BM50" s="743">
        <f>K50/$K$24</f>
        <v>-2.2394108281907854E-2</v>
      </c>
      <c r="BN50" s="743">
        <f t="shared" si="38"/>
        <v>-2.3893805309734513E-2</v>
      </c>
      <c r="BO50" s="743">
        <f t="shared" si="43"/>
        <v>-2.6359761172564944E-2</v>
      </c>
    </row>
    <row r="51" spans="1:67" ht="15.75" customHeight="1">
      <c r="A51" s="601" t="s">
        <v>38</v>
      </c>
      <c r="B51" s="32"/>
      <c r="C51" s="33">
        <f t="shared" si="0"/>
        <v>-2325534.5957270707</v>
      </c>
      <c r="D51" s="43">
        <f>'04 -Base Orçado 2026'!E86</f>
        <v>-180339.1114220256</v>
      </c>
      <c r="E51" s="43">
        <f>'Base Realizado'!D86</f>
        <v>-208148.95</v>
      </c>
      <c r="F51" s="562"/>
      <c r="G51" s="43">
        <f>'04 -Base Orçado 2026'!F86</f>
        <v>-195316.66925310207</v>
      </c>
      <c r="H51" s="43">
        <f>'Base Realizado'!F86</f>
        <v>-221468.45</v>
      </c>
      <c r="I51" s="562"/>
      <c r="J51" s="43">
        <f>'04 -Base Orçado 2026'!G86</f>
        <v>-195562.2414608504</v>
      </c>
      <c r="K51" s="43">
        <f>'Base Realizado'!H86</f>
        <v>-238262.48</v>
      </c>
      <c r="L51" s="562"/>
      <c r="M51" s="43">
        <f>'04 -Base Orçado 2026'!H86</f>
        <v>-196387.63069893915</v>
      </c>
      <c r="N51" s="43">
        <f>'Base Realizado'!K86</f>
        <v>-252889.37</v>
      </c>
      <c r="O51" s="562"/>
      <c r="P51" s="43">
        <f>'04 -Base Orçado 2026'!I86</f>
        <v>-200424.74265256114</v>
      </c>
      <c r="Q51" s="43"/>
      <c r="R51" s="562"/>
      <c r="S51" s="43">
        <f>'04 -Base Orçado 2026'!J86</f>
        <v>-194857.57467241291</v>
      </c>
      <c r="T51" s="43"/>
      <c r="U51" s="562"/>
      <c r="V51" s="43">
        <f>'04 -Base Orçado 2026'!K86</f>
        <v>-193770.92868508902</v>
      </c>
      <c r="W51" s="43"/>
      <c r="X51" s="562"/>
      <c r="Y51" s="43">
        <f>'04 -Base Orçado 2026'!L86</f>
        <v>-194456.62370373533</v>
      </c>
      <c r="Z51" s="43"/>
      <c r="AA51" s="562"/>
      <c r="AB51" s="43">
        <f>'04 -Base Orçado 2026'!M86</f>
        <v>-194079.48109675723</v>
      </c>
      <c r="AC51" s="43"/>
      <c r="AD51" s="562"/>
      <c r="AE51" s="43">
        <f>'04 -Base Orçado 2026'!N86</f>
        <v>-193217.09964052099</v>
      </c>
      <c r="AF51" s="43"/>
      <c r="AG51" s="562"/>
      <c r="AH51" s="43">
        <f>'04 -Base Orçado 2026'!O86</f>
        <v>-198570.8318043543</v>
      </c>
      <c r="AI51" s="43"/>
      <c r="AJ51" s="562"/>
      <c r="AK51" s="43">
        <f>'04 -Base Orçado 2026'!P86</f>
        <v>-188551.66063672194</v>
      </c>
      <c r="AL51" s="43"/>
      <c r="AM51" s="562"/>
      <c r="AN51" s="577">
        <f t="shared" si="42"/>
        <v>-2325534.5957270707</v>
      </c>
      <c r="AO51" s="577">
        <f t="shared" si="42"/>
        <v>-920769.25</v>
      </c>
      <c r="AP51" s="562"/>
      <c r="AQ51" s="577">
        <f t="shared" si="8"/>
        <v>-190406.00737865936</v>
      </c>
      <c r="AR51" s="577">
        <f t="shared" si="9"/>
        <v>-222626.62666666668</v>
      </c>
      <c r="AS51" s="577"/>
      <c r="AT51" s="588">
        <f>IF(ISERROR(C51/C$24),0,(C51/C$24))</f>
        <v>-8.1819879750444857E-2</v>
      </c>
      <c r="AU51" s="1"/>
      <c r="AV51" s="30">
        <f>IF(ISERROR(D51/D$24),0,(D51/D$24))</f>
        <v>-0.11249162242482913</v>
      </c>
      <c r="AW51" s="30">
        <f>IF(ISERROR(G51/G$24),0,(G51/G$24))</f>
        <v>-7.9372646475849518E-2</v>
      </c>
      <c r="AX51" s="30">
        <f>IF(ISERROR(J51/J$24),0,(J51/J$24))</f>
        <v>-7.8603017279033668E-2</v>
      </c>
      <c r="AY51" s="30">
        <f>IF(ISERROR(M51/M$24),0,(M51/M$24))</f>
        <v>-7.7183523500983481E-2</v>
      </c>
      <c r="AZ51" s="30">
        <f>IF(ISERROR(P51/P$24),0,(P51/P$24))</f>
        <v>-7.0082902846755626E-2</v>
      </c>
      <c r="BA51" s="30">
        <f>IF(ISERROR(S51/S$24),0,(S51/S$24))</f>
        <v>-8.0357328973089379E-2</v>
      </c>
      <c r="BB51" s="30">
        <f>IF(ISERROR(V51/V$24),0,(V51/V$24))</f>
        <v>-8.2808286345977172E-2</v>
      </c>
      <c r="BC51" s="30">
        <f>IF(ISERROR(Y51/Y$24),0,(Y51/Y$24))</f>
        <v>-8.124144377112219E-2</v>
      </c>
      <c r="BD51" s="30">
        <f>IF(ISERROR(AB51/AB$24),0,(AB51/AB$24))</f>
        <v>-8.2094443577921311E-2</v>
      </c>
      <c r="BE51" s="30">
        <f>IF(ISERROR(AE51/AE$24),0,(AE51/AE$24))</f>
        <v>-8.4127168274161335E-2</v>
      </c>
      <c r="BF51" s="30">
        <f>IF(ISERROR(AH51/AH$24),0,(AH51/AH$24))</f>
        <v>-7.3138781903786337E-2</v>
      </c>
      <c r="BG51" s="30">
        <f>IF(ISERROR(AK51/AK$24),0,(AK51/AK$24))</f>
        <v>-9.7581950102313061E-2</v>
      </c>
      <c r="BH51" s="743">
        <f>D51/$D$24</f>
        <v>-0.11249162242482913</v>
      </c>
      <c r="BI51" s="743">
        <f>E51/$E$24</f>
        <v>-0.15546710081456358</v>
      </c>
      <c r="BJ51" s="743">
        <f t="shared" si="32"/>
        <v>-7.9372646475849518E-2</v>
      </c>
      <c r="BK51" s="743">
        <f t="shared" si="33"/>
        <v>-0.14694741270188028</v>
      </c>
      <c r="BL51" s="743">
        <f>J51/$J$24</f>
        <v>-7.8603017279033668E-2</v>
      </c>
      <c r="BM51" s="743">
        <f>K51/$K$24</f>
        <v>-9.9958574931164806E-2</v>
      </c>
      <c r="BN51" s="743">
        <f t="shared" si="38"/>
        <v>-7.7183523500983481E-2</v>
      </c>
      <c r="BO51" s="743">
        <f t="shared" si="43"/>
        <v>-0.11012975476569639</v>
      </c>
    </row>
    <row r="52" spans="1:67" ht="15.75" customHeight="1">
      <c r="A52" s="601" t="s">
        <v>195</v>
      </c>
      <c r="B52" s="32"/>
      <c r="C52" s="33">
        <f t="shared" si="0"/>
        <v>-253300.75374165751</v>
      </c>
      <c r="D52" s="43">
        <f>'04 -Base Orçado 2026'!E85</f>
        <v>-16031.337048457501</v>
      </c>
      <c r="E52" s="43">
        <f>'Base Realizado'!D84</f>
        <v>-50127.13</v>
      </c>
      <c r="F52" s="562"/>
      <c r="G52" s="43">
        <f>'04 -Base Orçado 2026'!F85</f>
        <v>-21776.596552200004</v>
      </c>
      <c r="H52" s="43">
        <f>'Base Realizado'!F83</f>
        <v>-26855.799999999996</v>
      </c>
      <c r="I52" s="562"/>
      <c r="J52" s="43">
        <f>'04 -Base Orçado 2026'!G85</f>
        <v>-21946.378222380001</v>
      </c>
      <c r="K52" s="43">
        <f>'Base Realizado'!H83</f>
        <v>-18412.43</v>
      </c>
      <c r="L52" s="562"/>
      <c r="M52" s="43">
        <f>'04 -Base Orçado 2026'!H85</f>
        <v>-22517.02896774</v>
      </c>
      <c r="N52" s="43">
        <f>'Base Realizado'!K83</f>
        <v>-22298.67</v>
      </c>
      <c r="O52" s="562"/>
      <c r="P52" s="43">
        <f>'04 -Base Orçado 2026'!I85</f>
        <v>-25308.173847180005</v>
      </c>
      <c r="Q52" s="43"/>
      <c r="R52" s="562"/>
      <c r="S52" s="43">
        <f>'04 -Base Orçado 2026'!J85</f>
        <v>-21459.191560020005</v>
      </c>
      <c r="T52" s="43"/>
      <c r="U52" s="562"/>
      <c r="V52" s="43">
        <f>'04 -Base Orçado 2026'!K85</f>
        <v>-20707.915296659998</v>
      </c>
      <c r="W52" s="43"/>
      <c r="X52" s="562"/>
      <c r="Y52" s="43">
        <f>'04 -Base Orçado 2026'!L85</f>
        <v>-21181.985414640007</v>
      </c>
      <c r="Z52" s="43"/>
      <c r="AA52" s="562"/>
      <c r="AB52" s="43">
        <f>'04 -Base Orçado 2026'!M85</f>
        <v>-20921.239696319997</v>
      </c>
      <c r="AC52" s="43"/>
      <c r="AD52" s="562"/>
      <c r="AE52" s="43">
        <f>'04 -Base Orçado 2026'!N85</f>
        <v>-20325.013578899998</v>
      </c>
      <c r="AF52" s="43"/>
      <c r="AG52" s="562"/>
      <c r="AH52" s="43">
        <f>'04 -Base Orçado 2026'!O85</f>
        <v>-24026.432386859997</v>
      </c>
      <c r="AI52" s="43"/>
      <c r="AJ52" s="562"/>
      <c r="AK52" s="43">
        <f>'04 -Base Orçado 2026'!P85</f>
        <v>-17099.461170300001</v>
      </c>
      <c r="AL52" s="43"/>
      <c r="AM52" s="562"/>
      <c r="AN52" s="577">
        <f>SUM(D52:AK52)</f>
        <v>-370994.78374165751</v>
      </c>
      <c r="AO52" s="577">
        <f>SUM(E52,H52,K52,N52,Q52,T52,W52,Z52,AC52,AF52,AI52,AL52)</f>
        <v>-117694.02999999998</v>
      </c>
      <c r="AP52" s="562"/>
      <c r="AQ52" s="577">
        <f t="shared" si="8"/>
        <v>-19918.103941012501</v>
      </c>
      <c r="AR52" s="577">
        <f t="shared" si="9"/>
        <v>-31798.453333333327</v>
      </c>
      <c r="AS52" s="577"/>
      <c r="AT52" s="588">
        <f>IF(ISERROR(C52/C$24),0,(C52/C$24))</f>
        <v>-8.9119453436296205E-3</v>
      </c>
      <c r="AU52" s="1"/>
      <c r="AV52" s="30">
        <f>IF(ISERROR(D52/D$24),0,(D52/D$24))</f>
        <v>-9.9999999999999985E-3</v>
      </c>
      <c r="AW52" s="30">
        <f>IF(ISERROR(G52/G$24),0,(G52/G$24))</f>
        <v>-8.8495575221238954E-3</v>
      </c>
      <c r="AX52" s="30">
        <f>IF(ISERROR(J52/J$24),0,(J52/J$24))</f>
        <v>-8.8209847347821557E-3</v>
      </c>
      <c r="AY52" s="30">
        <f>IF(ISERROR(M52/M$24),0,(M52/M$24))</f>
        <v>-8.8495575221238937E-3</v>
      </c>
      <c r="AZ52" s="30">
        <f>IF(ISERROR(P52/P$24),0,(P52/P$24))</f>
        <v>-8.8495575221238919E-3</v>
      </c>
      <c r="BA52" s="30">
        <f>IF(ISERROR(S52/S$24),0,(S52/S$24))</f>
        <v>-8.8495575221238954E-3</v>
      </c>
      <c r="BB52" s="30">
        <f>IF(ISERROR(V52/V$24),0,(V52/V$24))</f>
        <v>-8.8495575221238937E-3</v>
      </c>
      <c r="BC52" s="30">
        <f>IF(ISERROR(Y52/Y$24),0,(Y52/Y$24))</f>
        <v>-8.8495575221238937E-3</v>
      </c>
      <c r="BD52" s="30">
        <f>IF(ISERROR(AB52/AB$24),0,(AB52/AB$24))</f>
        <v>-8.8495575221238919E-3</v>
      </c>
      <c r="BE52" s="30">
        <f>IF(ISERROR(AE52/AE$24),0,(AE52/AE$24))</f>
        <v>-8.8495575221238937E-3</v>
      </c>
      <c r="BF52" s="30">
        <f>IF(ISERROR(AH52/AH$24),0,(AH52/AH$24))</f>
        <v>-8.8495575221238919E-3</v>
      </c>
      <c r="BG52" s="30">
        <f>IF(ISERROR(AK52/AK$24),0,(AK52/AK$24))</f>
        <v>-8.8495575221238937E-3</v>
      </c>
      <c r="BH52" s="743">
        <f>D52/$D$24</f>
        <v>-9.9999999999999985E-3</v>
      </c>
      <c r="BI52" s="743">
        <f>E52/$E$24</f>
        <v>-3.7440109946529798E-2</v>
      </c>
      <c r="BJ52" s="743">
        <f t="shared" si="32"/>
        <v>-8.8495575221238954E-3</v>
      </c>
      <c r="BK52" s="743">
        <f t="shared" si="33"/>
        <v>-1.7819198743835321E-2</v>
      </c>
      <c r="BL52" s="743">
        <f>J52/$J$24</f>
        <v>-8.8209847347821557E-3</v>
      </c>
      <c r="BM52" s="743">
        <f>K52/$K$24</f>
        <v>-7.7245912315687584E-3</v>
      </c>
      <c r="BN52" s="743">
        <f t="shared" si="38"/>
        <v>-8.8495575221238937E-3</v>
      </c>
      <c r="BO52" s="743">
        <f t="shared" si="43"/>
        <v>-9.7107563623618932E-3</v>
      </c>
    </row>
    <row r="53" spans="1:67" ht="18.75" customHeight="1">
      <c r="A53" s="16" t="s">
        <v>39</v>
      </c>
      <c r="B53" s="7"/>
      <c r="C53" s="45">
        <f t="shared" si="0"/>
        <v>7129080.9912707955</v>
      </c>
      <c r="D53" s="45">
        <f>D24+D26</f>
        <v>234614.42096292088</v>
      </c>
      <c r="E53" s="45">
        <f>E24+E26</f>
        <v>7160.4500000001863</v>
      </c>
      <c r="F53" s="672"/>
      <c r="G53" s="45">
        <f>G24+G26</f>
        <v>638544.23768246756</v>
      </c>
      <c r="H53" s="45">
        <f>H24+H26</f>
        <v>98951.38690000074</v>
      </c>
      <c r="I53" s="672"/>
      <c r="J53" s="45">
        <f>J24+J26</f>
        <v>666067.2985411617</v>
      </c>
      <c r="K53" s="45">
        <f>K24+K26</f>
        <v>743032.02609999967</v>
      </c>
      <c r="L53" s="672"/>
      <c r="M53" s="45">
        <f>M24+M26</f>
        <v>691628.5031092267</v>
      </c>
      <c r="N53" s="45">
        <f>N24+N26</f>
        <v>406058.946</v>
      </c>
      <c r="O53" s="672"/>
      <c r="P53" s="45">
        <f>P24+P26</f>
        <v>855943.09489243431</v>
      </c>
      <c r="Q53" s="45"/>
      <c r="R53" s="672"/>
      <c r="S53" s="45">
        <f>S24+S26</f>
        <v>629353.65557161206</v>
      </c>
      <c r="T53" s="45"/>
      <c r="U53" s="672"/>
      <c r="V53" s="45">
        <f>V24+V26</f>
        <v>567334.20387669723</v>
      </c>
      <c r="W53" s="45"/>
      <c r="X53" s="672"/>
      <c r="Y53" s="45">
        <f>Y24+Y26</f>
        <v>595242.69350269251</v>
      </c>
      <c r="Z53" s="45"/>
      <c r="AA53" s="672"/>
      <c r="AB53" s="45">
        <f>AB24+AB26</f>
        <v>579892.60308618727</v>
      </c>
      <c r="AC53" s="45"/>
      <c r="AD53" s="672"/>
      <c r="AE53" s="45">
        <f>AE24+AE26</f>
        <v>544792.79446786479</v>
      </c>
      <c r="AF53" s="45"/>
      <c r="AG53" s="672"/>
      <c r="AH53" s="45">
        <f>AH24+AH26</f>
        <v>762695.17743934994</v>
      </c>
      <c r="AI53" s="45"/>
      <c r="AJ53" s="672"/>
      <c r="AK53" s="45">
        <f>AK24+AK26</f>
        <v>362972.30813818052</v>
      </c>
      <c r="AL53" s="45"/>
      <c r="AM53" s="672"/>
      <c r="AN53" s="45">
        <f>SUM(D53,G53,J53,M53,P53,S53,V53,Y53,AB53,AE53,AH53,AK53)</f>
        <v>7129080.9912707955</v>
      </c>
      <c r="AO53" s="18">
        <f>SUM(E53,H53,K53,N53,Q53,T53,W53,Z53,AC53,AF53,AI53,AL53)</f>
        <v>1255202.8090000006</v>
      </c>
      <c r="AP53" s="672"/>
      <c r="AQ53" s="45">
        <f t="shared" si="8"/>
        <v>513075.31906218338</v>
      </c>
      <c r="AR53" s="45">
        <f t="shared" si="9"/>
        <v>283047.95433333353</v>
      </c>
      <c r="AS53" s="571"/>
      <c r="AT53" s="660">
        <f>IF(ISERROR(C53/C$24),0,(C53/C$24))</f>
        <v>0.25082428380498534</v>
      </c>
      <c r="AU53" s="1"/>
      <c r="AV53" s="46">
        <f>IF(ISERROR(D53/D$24),0,(D53/D$24))</f>
        <v>0.14634738216391935</v>
      </c>
      <c r="AW53" s="46">
        <f>IF(ISERROR(G53/G$24),0,(G53/G$24))</f>
        <v>0.2594911444608119</v>
      </c>
      <c r="AX53" s="46">
        <f>IF(ISERROR(J53/J$24),0,(J53/J$24))</f>
        <v>0.26771476428751784</v>
      </c>
      <c r="AY53" s="46">
        <f>IF(ISERROR(M53/M$24),0,(M53/M$24))</f>
        <v>0.27182121722073094</v>
      </c>
      <c r="AZ53" s="46">
        <f>IF(ISERROR(P53/P$24),0,(P53/P$24))</f>
        <v>0.29929925800471652</v>
      </c>
      <c r="BA53" s="46">
        <f>IF(ISERROR(S53/S$24),0,(S53/S$24))</f>
        <v>0.25953919844381779</v>
      </c>
      <c r="BB53" s="46">
        <f>IF(ISERROR(V53/V$24),0,(V53/V$24))</f>
        <v>0.2424510917467865</v>
      </c>
      <c r="BC53" s="46">
        <f>IF(ISERROR(Y53/Y$24),0,(Y53/Y$24))</f>
        <v>0.24868464181527078</v>
      </c>
      <c r="BD53" s="46">
        <f>IF(ISERROR(AB53/AB$24),0,(AB53/AB$24))</f>
        <v>0.24529105455295006</v>
      </c>
      <c r="BE53" s="46">
        <f>IF(ISERROR(AE53/AE$24),0,(AE53/AE$24))</f>
        <v>0.23720403204487864</v>
      </c>
      <c r="BF53" s="46">
        <f>IF(ISERROR(AH53/AH$24),0,(AH53/AH$24))</f>
        <v>0.28092039366973648</v>
      </c>
      <c r="BG53" s="46">
        <f>IF(ISERROR(AK53/AK$24),0,(AK53/AK$24))</f>
        <v>0.1878506163332252</v>
      </c>
      <c r="BH53" s="742"/>
      <c r="BI53" s="742"/>
      <c r="BJ53" s="742"/>
      <c r="BK53" s="742"/>
      <c r="BL53" s="742"/>
      <c r="BM53" s="742"/>
      <c r="BN53" s="742"/>
      <c r="BO53" s="742"/>
    </row>
    <row r="54" spans="1:67" ht="15" customHeight="1">
      <c r="A54" s="47"/>
      <c r="B54" s="48"/>
      <c r="C54" s="49">
        <f t="shared" si="0"/>
        <v>2.9466147947443622</v>
      </c>
      <c r="D54" s="49">
        <f>IF(ISERROR(D53/D24),"-",(D53/D24))</f>
        <v>0.14634738216391935</v>
      </c>
      <c r="E54" s="49">
        <f>IF(ISERROR(E53/E24),"-",(E53/E24))</f>
        <v>5.3481624674430045E-3</v>
      </c>
      <c r="F54" s="49"/>
      <c r="G54" s="49">
        <f>IF(ISERROR(G53/G24),"-",(G53/G24))</f>
        <v>0.2594911444608119</v>
      </c>
      <c r="H54" s="49">
        <f>IF(ISERROR(H53/H24),"-",(H53/H24))</f>
        <v>6.5655628547623093E-2</v>
      </c>
      <c r="I54" s="49"/>
      <c r="J54" s="49">
        <f>IF(ISERROR(J53/J24),"-",(J53/J24))</f>
        <v>0.26771476428751784</v>
      </c>
      <c r="K54" s="49">
        <f>IF(ISERROR(K53/K24),"-",(K53/K24))</f>
        <v>0.3117252135425268</v>
      </c>
      <c r="L54" s="49"/>
      <c r="M54" s="49">
        <f>IF(ISERROR(M53/M24),"-",(M53/M24))</f>
        <v>0.27182121722073094</v>
      </c>
      <c r="N54" s="49">
        <f>IF(ISERROR(N53/N24),"-",(N53/N24))</f>
        <v>0.17683294534442928</v>
      </c>
      <c r="O54" s="49"/>
      <c r="P54" s="49">
        <f>IF(ISERROR(P53/P24),"-",(P53/P24))</f>
        <v>0.29929925800471652</v>
      </c>
      <c r="Q54" s="49"/>
      <c r="R54" s="49"/>
      <c r="S54" s="49">
        <f>IF(ISERROR(S53/S24),"-",(S53/S24))</f>
        <v>0.25953919844381779</v>
      </c>
      <c r="T54" s="49"/>
      <c r="U54" s="49"/>
      <c r="V54" s="49">
        <f>IF(ISERROR(V53/V24),"-",(V53/V24))</f>
        <v>0.2424510917467865</v>
      </c>
      <c r="W54" s="49"/>
      <c r="X54" s="49"/>
      <c r="Y54" s="49">
        <f>IF(ISERROR(Y53/Y24),"-",(Y53/Y24))</f>
        <v>0.24868464181527078</v>
      </c>
      <c r="Z54" s="49"/>
      <c r="AA54" s="49"/>
      <c r="AB54" s="49">
        <f>IF(ISERROR(AB53/AB24),"-",(AB53/AB24))</f>
        <v>0.24529105455295006</v>
      </c>
      <c r="AC54" s="49"/>
      <c r="AD54" s="49"/>
      <c r="AE54" s="49">
        <f>IF(ISERROR(AE53/AE24),"-",(AE53/AE24))</f>
        <v>0.23720403204487864</v>
      </c>
      <c r="AF54" s="49"/>
      <c r="AG54" s="49"/>
      <c r="AH54" s="49">
        <f>IF(ISERROR(AH53/AH24),"-",(AH53/AH24))</f>
        <v>0.28092039366973648</v>
      </c>
      <c r="AI54" s="49"/>
      <c r="AJ54" s="49"/>
      <c r="AK54" s="49">
        <f>IF(ISERROR(AK53/AK24),"-",(AK53/AK24))</f>
        <v>0.1878506163332252</v>
      </c>
      <c r="AL54" s="49"/>
      <c r="AM54" s="49"/>
      <c r="AN54" s="572">
        <f>IF(ISERROR(AN53/AN24),"-",(AN53/AN24))</f>
        <v>0.25082428380498534</v>
      </c>
      <c r="AO54" s="572">
        <f>IF(ISERROR(AO53/AO24),"-",(AO53/AO24))</f>
        <v>0.16678470527026007</v>
      </c>
      <c r="AP54" s="49"/>
      <c r="AQ54" s="572">
        <f t="shared" si="8"/>
        <v>0.22451776363741635</v>
      </c>
      <c r="AR54" s="572">
        <f t="shared" si="9"/>
        <v>0.12757633485253098</v>
      </c>
      <c r="AS54" s="572"/>
      <c r="AT54" s="572"/>
      <c r="AU54" s="1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742"/>
      <c r="BI54" s="742"/>
      <c r="BJ54" s="742"/>
      <c r="BK54" s="742"/>
      <c r="BL54" s="742"/>
      <c r="BM54" s="742"/>
      <c r="BN54" s="742"/>
      <c r="BO54" s="742"/>
    </row>
    <row r="55" spans="1:67" ht="15" customHeight="1">
      <c r="AN55" s="567"/>
      <c r="AO55" s="567"/>
      <c r="AQ55" s="567"/>
      <c r="AR55" s="567"/>
      <c r="AT55" s="587"/>
      <c r="AU55" s="1"/>
      <c r="BH55" s="742"/>
      <c r="BI55" s="742"/>
      <c r="BJ55" s="742"/>
      <c r="BK55" s="742"/>
      <c r="BL55" s="742"/>
      <c r="BM55" s="742"/>
      <c r="BN55" s="742"/>
      <c r="BO55" s="742"/>
    </row>
    <row r="56" spans="1:67" ht="15.95" customHeight="1" thickBot="1">
      <c r="A56" s="35" t="s">
        <v>40</v>
      </c>
      <c r="B56" s="36"/>
      <c r="C56" s="37">
        <f t="shared" si="0"/>
        <v>-3682512.1877716822</v>
      </c>
      <c r="D56" s="38">
        <f t="shared" ref="D56:AK56" si="44">SUM(D57:D60)</f>
        <v>-238527.06349717441</v>
      </c>
      <c r="E56" s="38">
        <f t="shared" si="44"/>
        <v>-251830.75</v>
      </c>
      <c r="F56" s="565"/>
      <c r="G56" s="38">
        <f t="shared" si="44"/>
        <v>-285925.20947479992</v>
      </c>
      <c r="H56" s="38">
        <f t="shared" si="44"/>
        <v>-206571.36</v>
      </c>
      <c r="I56" s="565"/>
      <c r="J56" s="38">
        <f t="shared" si="44"/>
        <v>-283586.04746849654</v>
      </c>
      <c r="K56" s="38">
        <f t="shared" ref="K56" si="45">SUM(K57:K60)</f>
        <v>-234266.51</v>
      </c>
      <c r="L56" s="565"/>
      <c r="M56" s="38">
        <f t="shared" si="44"/>
        <v>-287185.14796049189</v>
      </c>
      <c r="N56" s="38">
        <f t="shared" si="44"/>
        <v>-201490.35</v>
      </c>
      <c r="O56" s="565"/>
      <c r="P56" s="38">
        <f t="shared" si="44"/>
        <v>-356172.60651590594</v>
      </c>
      <c r="Q56" s="505"/>
      <c r="R56" s="565"/>
      <c r="S56" s="38">
        <f t="shared" si="44"/>
        <v>-324082.36958580004</v>
      </c>
      <c r="T56" s="505"/>
      <c r="U56" s="565"/>
      <c r="V56" s="38">
        <f t="shared" si="44"/>
        <v>-317818.73117634002</v>
      </c>
      <c r="W56" s="505"/>
      <c r="X56" s="565"/>
      <c r="Y56" s="38">
        <f t="shared" si="44"/>
        <v>-321771.21037018072</v>
      </c>
      <c r="Z56" s="505"/>
      <c r="AA56" s="565"/>
      <c r="AB56" s="38">
        <f t="shared" si="44"/>
        <v>-319597.2871730508</v>
      </c>
      <c r="AC56" s="505"/>
      <c r="AD56" s="565"/>
      <c r="AE56" s="38">
        <f t="shared" si="44"/>
        <v>-314626.35305476404</v>
      </c>
      <c r="AF56" s="505"/>
      <c r="AG56" s="565"/>
      <c r="AH56" s="38">
        <f t="shared" si="44"/>
        <v>-345486.30450770468</v>
      </c>
      <c r="AI56" s="505"/>
      <c r="AJ56" s="565"/>
      <c r="AK56" s="38">
        <f t="shared" si="44"/>
        <v>-287733.85698697309</v>
      </c>
      <c r="AL56" s="505"/>
      <c r="AM56" s="565"/>
      <c r="AN56" s="579">
        <f t="shared" ref="AN56:AO59" si="46">SUM(D56,G56,J56,M56,P56,S56,V56,Y56,AB56,AE56,AH56,AK56)</f>
        <v>-3682512.1877716822</v>
      </c>
      <c r="AO56" s="579">
        <f t="shared" si="46"/>
        <v>-894158.97</v>
      </c>
      <c r="AP56" s="565"/>
      <c r="AQ56" s="579">
        <f t="shared" si="8"/>
        <v>-269346.10681349033</v>
      </c>
      <c r="AR56" s="579">
        <f t="shared" si="9"/>
        <v>-230889.54</v>
      </c>
      <c r="AS56" s="665"/>
      <c r="AT56" s="589">
        <f>SUM(AT57:AT60)</f>
        <v>-0.12956277018481649</v>
      </c>
      <c r="AU56" s="1"/>
      <c r="AV56" s="39">
        <f t="shared" ref="AV56:BG56" si="47">SUM(AV57:AV60)</f>
        <v>-0.14878800363075451</v>
      </c>
      <c r="AW56" s="39">
        <f t="shared" si="47"/>
        <v>-0.11619407937357129</v>
      </c>
      <c r="AX56" s="39">
        <f t="shared" si="47"/>
        <v>-0.11398273420649802</v>
      </c>
      <c r="AY56" s="39">
        <f t="shared" si="47"/>
        <v>-0.11286842016400875</v>
      </c>
      <c r="AZ56" s="39">
        <f t="shared" si="47"/>
        <v>-0.12454355609377643</v>
      </c>
      <c r="BA56" s="39">
        <f t="shared" si="47"/>
        <v>-0.13364835126869429</v>
      </c>
      <c r="BB56" s="39">
        <f t="shared" si="47"/>
        <v>-0.13582029397266712</v>
      </c>
      <c r="BC56" s="39">
        <f t="shared" si="47"/>
        <v>-0.13443181927442271</v>
      </c>
      <c r="BD56" s="39">
        <f t="shared" si="47"/>
        <v>-0.13518771439008714</v>
      </c>
      <c r="BE56" s="39">
        <f t="shared" si="47"/>
        <v>-0.13698903562970624</v>
      </c>
      <c r="BF56" s="39">
        <f t="shared" si="47"/>
        <v>-0.12725155676957806</v>
      </c>
      <c r="BG56" s="39">
        <f t="shared" si="47"/>
        <v>-0.14891213782171561</v>
      </c>
      <c r="BH56" s="742"/>
      <c r="BI56" s="742"/>
      <c r="BJ56" s="742"/>
      <c r="BK56" s="742"/>
      <c r="BL56" s="742"/>
      <c r="BM56" s="742"/>
      <c r="BN56" s="742"/>
      <c r="BO56" s="742"/>
    </row>
    <row r="57" spans="1:67" ht="15" customHeight="1">
      <c r="A57" s="40" t="s">
        <v>41</v>
      </c>
      <c r="B57" s="32"/>
      <c r="C57" s="33">
        <f t="shared" si="0"/>
        <v>-2230770.7380082505</v>
      </c>
      <c r="D57" s="22">
        <f>'04 -Base Orçado 2026'!E102</f>
        <v>-172743.8997233469</v>
      </c>
      <c r="E57" s="22">
        <f>'Base Realizado'!D102</f>
        <v>-160621.07</v>
      </c>
      <c r="F57" s="22"/>
      <c r="G57" s="22">
        <f>'04 -Base Orçado 2026'!F102</f>
        <v>-187494.99305885591</v>
      </c>
      <c r="H57" s="22">
        <f>'Base Realizado'!F102</f>
        <v>-143661.06</v>
      </c>
      <c r="I57" s="22"/>
      <c r="J57" s="22">
        <f>'04 -Base Orçado 2026'!G102</f>
        <v>-187824.98071301775</v>
      </c>
      <c r="K57" s="22">
        <f>'Base Realizado'!H102</f>
        <v>-172246.94</v>
      </c>
      <c r="L57" s="22"/>
      <c r="M57" s="22">
        <f>'04 -Base Orçado 2026'!H102</f>
        <v>-188934.09750169949</v>
      </c>
      <c r="N57" s="22">
        <f>'Base Realizado'!K102</f>
        <v>-109749.19</v>
      </c>
      <c r="O57" s="22"/>
      <c r="P57" s="22">
        <f>'04 -Base Orçado 2026'!I102</f>
        <v>-194358.96668937907</v>
      </c>
      <c r="Q57" s="22"/>
      <c r="R57" s="22"/>
      <c r="S57" s="22">
        <f>'04 -Base Orçado 2026'!J102</f>
        <v>-186878.08471605484</v>
      </c>
      <c r="T57" s="22"/>
      <c r="U57" s="22"/>
      <c r="V57" s="22">
        <f>'04 -Base Orçado 2026'!K102</f>
        <v>-185417.90417058839</v>
      </c>
      <c r="W57" s="22"/>
      <c r="X57" s="22"/>
      <c r="Y57" s="22">
        <f>'04 -Base Orçado 2026'!L102</f>
        <v>-186339.3068518943</v>
      </c>
      <c r="Z57" s="22"/>
      <c r="AA57" s="22"/>
      <c r="AB57" s="22">
        <f>'04 -Base Orçado 2026'!M102</f>
        <v>-185832.52147376756</v>
      </c>
      <c r="AC57" s="22"/>
      <c r="AD57" s="22"/>
      <c r="AE57" s="22">
        <f>'04 -Base Orçado 2026'!N102</f>
        <v>-184673.69639195004</v>
      </c>
      <c r="AF57" s="22"/>
      <c r="AG57" s="22"/>
      <c r="AH57" s="22">
        <f>'04 -Base Orçado 2026'!O102</f>
        <v>-191867.7739871011</v>
      </c>
      <c r="AI57" s="22"/>
      <c r="AJ57" s="22"/>
      <c r="AK57" s="22">
        <f>'04 -Base Orçado 2026'!P102</f>
        <v>-178404.51273059507</v>
      </c>
      <c r="AL57" s="22"/>
      <c r="AM57" s="22"/>
      <c r="AN57" s="577">
        <f t="shared" si="46"/>
        <v>-2230770.7380082505</v>
      </c>
      <c r="AO57" s="577">
        <f t="shared" si="46"/>
        <v>-586278.26</v>
      </c>
      <c r="AP57" s="22"/>
      <c r="AQ57" s="577">
        <f t="shared" si="8"/>
        <v>-182687.95783174018</v>
      </c>
      <c r="AR57" s="577">
        <f t="shared" si="9"/>
        <v>-158843.02333333335</v>
      </c>
      <c r="AS57" s="577"/>
      <c r="AT57" s="588">
        <f>IF(ISERROR(C57/C$24),0,(C57/C$24))</f>
        <v>-7.8485778654942551E-2</v>
      </c>
      <c r="AU57" s="1"/>
      <c r="AV57" s="30">
        <f>IF(ISERROR(D57/D$24),0,(D57/D$24))</f>
        <v>-0.10775389426421417</v>
      </c>
      <c r="AW57" s="30">
        <f>IF(ISERROR(G57/G$24),0,(G57/G$24))</f>
        <v>-7.6194079373571283E-2</v>
      </c>
      <c r="AX57" s="30">
        <f>IF(ISERROR(J57/J$24),0,(J57/J$24))</f>
        <v>-7.5493152942691266E-2</v>
      </c>
      <c r="AY57" s="30">
        <f>IF(ISERROR(M57/M$24),0,(M57/M$24))</f>
        <v>-7.4254164087424371E-2</v>
      </c>
      <c r="AZ57" s="30">
        <f>IF(ISERROR(P57/P$24),0,(P57/P$24))</f>
        <v>-6.7961871371840357E-2</v>
      </c>
      <c r="BA57" s="30">
        <f>IF(ISERROR(S57/S$24),0,(S57/S$24))</f>
        <v>-7.7066666546758214E-2</v>
      </c>
      <c r="BB57" s="30">
        <f>IF(ISERROR(V57/V$24),0,(V57/V$24))</f>
        <v>-7.9238609250731035E-2</v>
      </c>
      <c r="BC57" s="30">
        <f>IF(ISERROR(Y57/Y$24),0,(Y57/Y$24))</f>
        <v>-7.7850134552486627E-2</v>
      </c>
      <c r="BD57" s="30">
        <f>IF(ISERROR(AB57/AB$24),0,(AB57/AB$24))</f>
        <v>-7.8606029668151056E-2</v>
      </c>
      <c r="BE57" s="30">
        <f>IF(ISERROR(AE57/AE$24),0,(AE57/AE$24))</f>
        <v>-8.0407350907770153E-2</v>
      </c>
      <c r="BF57" s="30">
        <f>IF(ISERROR(AH57/AH$24),0,(AH57/AH$24))</f>
        <v>-7.0669872047641982E-2</v>
      </c>
      <c r="BG57" s="30">
        <f>IF(ISERROR(AK57/AK$24),0,(AK57/AK$24))</f>
        <v>-9.2330453099779539E-2</v>
      </c>
      <c r="BH57" s="743">
        <f>D57/$D$24</f>
        <v>-0.10775389426421417</v>
      </c>
      <c r="BI57" s="743">
        <f>E57/$E$24</f>
        <v>-0.11996837881062129</v>
      </c>
      <c r="BJ57" s="743">
        <f t="shared" ref="BJ57:BJ59" si="48">G57/$G$24</f>
        <v>-7.6194079373571283E-2</v>
      </c>
      <c r="BK57" s="743">
        <f>H57/$H$24</f>
        <v>-9.5321121690288543E-2</v>
      </c>
      <c r="BL57" s="743">
        <f>J57/$J$24</f>
        <v>-7.5493152942691266E-2</v>
      </c>
      <c r="BM57" s="743">
        <f>K57/$K$24</f>
        <v>-7.22629876875866E-2</v>
      </c>
      <c r="BN57" s="743">
        <f t="shared" ref="BN57:BN59" si="49">M57/$M$24</f>
        <v>-7.4254164087424371E-2</v>
      </c>
      <c r="BO57" s="743">
        <f t="shared" ref="BO57:BO59" si="50">N57/$N$24</f>
        <v>-4.7794224725356459E-2</v>
      </c>
    </row>
    <row r="58" spans="1:67" ht="17.25" customHeight="1">
      <c r="A58" s="40" t="s">
        <v>42</v>
      </c>
      <c r="B58" s="32"/>
      <c r="C58" s="33">
        <f t="shared" si="0"/>
        <v>-568291.55582354695</v>
      </c>
      <c r="D58" s="22">
        <f>'04 -Base Orçado 2026'!E116</f>
        <v>-32062.674096915005</v>
      </c>
      <c r="E58" s="22">
        <f>'Base Realizado'!D118</f>
        <v>-73694.5</v>
      </c>
      <c r="F58" s="22"/>
      <c r="G58" s="22">
        <f>'04 -Base Orçado 2026'!F116</f>
        <v>-49215.108207972007</v>
      </c>
      <c r="H58" s="22">
        <f>'Base Realizado'!F118</f>
        <v>-42956.530000000006</v>
      </c>
      <c r="I58" s="22"/>
      <c r="J58" s="22">
        <f>'04 -Base Orçado 2026'!G116</f>
        <v>-49598.814782578789</v>
      </c>
      <c r="K58" s="22">
        <f>'Base Realizado'!H118</f>
        <v>-34777.839999999997</v>
      </c>
      <c r="L58" s="22"/>
      <c r="M58" s="22">
        <f>'04 -Base Orçado 2026'!H116</f>
        <v>-50888.485467092396</v>
      </c>
      <c r="N58" s="22">
        <f>'Base Realizado'!K118</f>
        <v>-65831.88</v>
      </c>
      <c r="O58" s="22"/>
      <c r="P58" s="22">
        <f>'04 -Base Orçado 2026'!I116</f>
        <v>-57196.472894626822</v>
      </c>
      <c r="Q58" s="22"/>
      <c r="R58" s="22"/>
      <c r="S58" s="22">
        <f>'04 -Base Orçado 2026'!J116</f>
        <v>-48497.7729256452</v>
      </c>
      <c r="T58" s="22"/>
      <c r="U58" s="22"/>
      <c r="V58" s="22">
        <f>'04 -Base Orçado 2026'!K116</f>
        <v>-46799.8885704516</v>
      </c>
      <c r="W58" s="22"/>
      <c r="X58" s="22"/>
      <c r="Y58" s="22">
        <f>'04 -Base Orçado 2026'!L116</f>
        <v>-47871.287037086411</v>
      </c>
      <c r="Z58" s="22"/>
      <c r="AA58" s="22"/>
      <c r="AB58" s="22">
        <f>'04 -Base Orçado 2026'!M116</f>
        <v>-47282.001713683203</v>
      </c>
      <c r="AC58" s="22"/>
      <c r="AD58" s="22"/>
      <c r="AE58" s="22">
        <f>'04 -Base Orçado 2026'!N116</f>
        <v>-45934.530688314</v>
      </c>
      <c r="AF58" s="22"/>
      <c r="AG58" s="22"/>
      <c r="AH58" s="22">
        <f>'04 -Base Orçado 2026'!O116</f>
        <v>-54299.737194303598</v>
      </c>
      <c r="AI58" s="22"/>
      <c r="AJ58" s="22"/>
      <c r="AK58" s="22">
        <f>'04 -Base Orçado 2026'!P116</f>
        <v>-38644.782244877999</v>
      </c>
      <c r="AL58" s="22"/>
      <c r="AM58" s="22"/>
      <c r="AN58" s="577">
        <f t="shared" si="46"/>
        <v>-568291.55582354695</v>
      </c>
      <c r="AO58" s="577">
        <f t="shared" si="46"/>
        <v>-217260.75</v>
      </c>
      <c r="AP58" s="22"/>
      <c r="AQ58" s="577">
        <f t="shared" si="8"/>
        <v>-43625.5323624886</v>
      </c>
      <c r="AR58" s="577">
        <f t="shared" si="9"/>
        <v>-50476.29</v>
      </c>
      <c r="AS58" s="577"/>
      <c r="AT58" s="584">
        <f>IF(ISERROR(C58/C$24),0,(C58/C$24))</f>
        <v>-1.9994347470087204E-2</v>
      </c>
      <c r="AU58" s="1"/>
      <c r="AV58" s="30">
        <f>IF(ISERROR(D58/D$24),0,(D58/D$24))</f>
        <v>-0.02</v>
      </c>
      <c r="AW58" s="30">
        <f>IF(ISERROR(G58/G$24),0,(G58/G$24))</f>
        <v>-0.02</v>
      </c>
      <c r="AX58" s="30">
        <f>IF(ISERROR(J58/J$24),0,(J58/J$24))</f>
        <v>-1.9935425500607666E-2</v>
      </c>
      <c r="AY58" s="30">
        <f>IF(ISERROR(M58/M$24),0,(M58/M$24))</f>
        <v>-1.9999999999999997E-2</v>
      </c>
      <c r="AZ58" s="30">
        <f>IF(ISERROR(P58/P$24),0,(P58/P$24))</f>
        <v>-0.02</v>
      </c>
      <c r="BA58" s="30">
        <f>IF(ISERROR(S58/S$24),0,(S58/S$24))</f>
        <v>-0.02</v>
      </c>
      <c r="BB58" s="30">
        <f>IF(ISERROR(V58/V$24),0,(V58/V$24))</f>
        <v>-0.02</v>
      </c>
      <c r="BC58" s="30">
        <f>IF(ISERROR(Y58/Y$24),0,(Y58/Y$24))</f>
        <v>-0.02</v>
      </c>
      <c r="BD58" s="30">
        <f>IF(ISERROR(AB58/AB$24),0,(AB58/AB$24))</f>
        <v>-0.02</v>
      </c>
      <c r="BE58" s="30">
        <f>IF(ISERROR(AE58/AE$24),0,(AE58/AE$24))</f>
        <v>-0.02</v>
      </c>
      <c r="BF58" s="30">
        <f>IF(ISERROR(AH58/AH$24),0,(AH58/AH$24))</f>
        <v>-0.02</v>
      </c>
      <c r="BG58" s="30">
        <f>IF(ISERROR(AK58/AK$24),0,(AK58/AK$24))</f>
        <v>-1.9999999999999997E-2</v>
      </c>
      <c r="BH58" s="743">
        <f>D58/$D$24</f>
        <v>-0.02</v>
      </c>
      <c r="BI58" s="743">
        <f>E58/$E$24</f>
        <v>-5.504265220160301E-2</v>
      </c>
      <c r="BJ58" s="743">
        <f t="shared" si="48"/>
        <v>-0.02</v>
      </c>
      <c r="BK58" s="743">
        <f t="shared" ref="BK58:BK59" si="51">H58/$H$24</f>
        <v>-2.850225818689164E-2</v>
      </c>
      <c r="BL58" s="743">
        <f>J58/$J$24</f>
        <v>-1.9935425500607666E-2</v>
      </c>
      <c r="BM58" s="743">
        <f>K58/$K$24</f>
        <v>-1.4590393441653339E-2</v>
      </c>
      <c r="BN58" s="743">
        <f t="shared" si="49"/>
        <v>-1.9999999999999997E-2</v>
      </c>
      <c r="BO58" s="743">
        <f t="shared" si="50"/>
        <v>-2.8668855476862286E-2</v>
      </c>
    </row>
    <row r="59" spans="1:67" ht="15" customHeight="1">
      <c r="A59" s="40" t="s">
        <v>1756</v>
      </c>
      <c r="B59" s="32"/>
      <c r="C59" s="33">
        <f t="shared" si="0"/>
        <v>-883449.8939398845</v>
      </c>
      <c r="D59" s="681">
        <f>'04 -Base Orçado 2026'!E120</f>
        <v>-33720.489676912512</v>
      </c>
      <c r="E59" s="681">
        <f>'Base Realizado'!D122</f>
        <v>-17515.179999999997</v>
      </c>
      <c r="F59" s="22"/>
      <c r="G59" s="22">
        <f>'04 -Base Orçado 2026'!F117</f>
        <v>-49215.108207972007</v>
      </c>
      <c r="H59" s="681">
        <f>'Base Realizado'!F122</f>
        <v>-18701.310000000001</v>
      </c>
      <c r="I59" s="22"/>
      <c r="J59" s="22">
        <f>'04 -Base Orçado 2026'!G120</f>
        <v>-46162.251972900012</v>
      </c>
      <c r="K59" s="681">
        <f>'Base Realizado'!H122</f>
        <v>-26100.82</v>
      </c>
      <c r="L59" s="22"/>
      <c r="M59" s="22">
        <f>'04 -Base Orçado 2026'!H120</f>
        <v>-47362.564991700005</v>
      </c>
      <c r="N59" s="681">
        <f>'Base Realizado'!K122</f>
        <v>-25909.279999999999</v>
      </c>
      <c r="O59" s="22"/>
      <c r="P59" s="22">
        <f>'04 -Base Orçado 2026'!I120</f>
        <v>-104617.16693190002</v>
      </c>
      <c r="Q59" s="22"/>
      <c r="R59" s="22"/>
      <c r="S59" s="22">
        <f>'04 -Base Orçado 2026'!J120</f>
        <v>-88706.511944099999</v>
      </c>
      <c r="T59" s="22"/>
      <c r="U59" s="22"/>
      <c r="V59" s="22">
        <f>'04 -Base Orçado 2026'!K120</f>
        <v>-85600.938435300006</v>
      </c>
      <c r="W59" s="22"/>
      <c r="X59" s="22"/>
      <c r="Y59" s="22">
        <f>'04 -Base Orçado 2026'!L120</f>
        <v>-87560.616481200006</v>
      </c>
      <c r="Z59" s="22"/>
      <c r="AA59" s="22"/>
      <c r="AB59" s="22">
        <f>'04 -Base Orçado 2026'!M120</f>
        <v>-86482.763985600002</v>
      </c>
      <c r="AC59" s="22"/>
      <c r="AD59" s="22"/>
      <c r="AE59" s="22">
        <f>'04 -Base Orçado 2026'!N120</f>
        <v>-84018.125974499999</v>
      </c>
      <c r="AF59" s="22"/>
      <c r="AG59" s="22"/>
      <c r="AH59" s="22">
        <f>'04 -Base Orçado 2026'!O120</f>
        <v>-99318.793326300001</v>
      </c>
      <c r="AI59" s="22"/>
      <c r="AJ59" s="22"/>
      <c r="AK59" s="22">
        <f>'04 -Base Orçado 2026'!P120</f>
        <v>-70684.562011500006</v>
      </c>
      <c r="AL59" s="22"/>
      <c r="AM59" s="22"/>
      <c r="AN59" s="577">
        <f t="shared" si="46"/>
        <v>-883449.8939398845</v>
      </c>
      <c r="AO59" s="577">
        <f t="shared" si="46"/>
        <v>-88226.59</v>
      </c>
      <c r="AP59" s="22"/>
      <c r="AQ59" s="577">
        <f t="shared" si="8"/>
        <v>-43032.616619261506</v>
      </c>
      <c r="AR59" s="577">
        <f t="shared" si="9"/>
        <v>-20772.436666666665</v>
      </c>
      <c r="AS59" s="577"/>
      <c r="AT59" s="588">
        <f>IF(ISERROR(C59/C$24),0,(C59/C$24))</f>
        <v>-3.1082644059786745E-2</v>
      </c>
      <c r="AU59" s="1"/>
      <c r="AV59" s="30">
        <f>IF(ISERROR(D59/D$24),0,(D59/D$24))</f>
        <v>-2.1034109366540338E-2</v>
      </c>
      <c r="AW59" s="30">
        <f>IF(ISERROR(G59/G$24),0,(G59/G$24))</f>
        <v>-0.02</v>
      </c>
      <c r="AX59" s="30">
        <f>IF(ISERROR(J59/J$24),0,(J59/J$24))</f>
        <v>-1.8554155763199069E-2</v>
      </c>
      <c r="AY59" s="30">
        <f>IF(ISERROR(M59/M$24),0,(M59/M$24))</f>
        <v>-1.8614256076584366E-2</v>
      </c>
      <c r="AZ59" s="30">
        <f>IF(ISERROR(P59/P$24),0,(P59/P$24))</f>
        <v>-3.658168472193607E-2</v>
      </c>
      <c r="BA59" s="30">
        <f>IF(ISERROR(S59/S$24),0,(S59/S$24))</f>
        <v>-3.6581684721936077E-2</v>
      </c>
      <c r="BB59" s="30">
        <f>IF(ISERROR(V59/V$24),0,(V59/V$24))</f>
        <v>-3.6581684721936077E-2</v>
      </c>
      <c r="BC59" s="30">
        <f>IF(ISERROR(Y59/Y$24),0,(Y59/Y$24))</f>
        <v>-3.658168472193607E-2</v>
      </c>
      <c r="BD59" s="30">
        <f>IF(ISERROR(AB59/AB$24),0,(AB59/AB$24))</f>
        <v>-3.658168472193607E-2</v>
      </c>
      <c r="BE59" s="30">
        <f>IF(ISERROR(AE59/AE$24),0,(AE59/AE$24))</f>
        <v>-3.6581684721936077E-2</v>
      </c>
      <c r="BF59" s="30">
        <f>IF(ISERROR(AH59/AH$24),0,(AH59/AH$24))</f>
        <v>-3.6581684721936077E-2</v>
      </c>
      <c r="BG59" s="30">
        <f>IF(ISERROR(AK59/AK$24),0,(AK59/AK$24))</f>
        <v>-3.6581684721936077E-2</v>
      </c>
      <c r="BH59" s="743">
        <f>D59/$D$24</f>
        <v>-2.1034109366540338E-2</v>
      </c>
      <c r="BI59" s="743">
        <f>E59/$E$24</f>
        <v>-1.3082142642781656E-2</v>
      </c>
      <c r="BJ59" s="743">
        <f t="shared" si="48"/>
        <v>-0.02</v>
      </c>
      <c r="BK59" s="743">
        <f t="shared" si="51"/>
        <v>-1.2408580629140633E-2</v>
      </c>
      <c r="BL59" s="743">
        <f>J59/$J$24</f>
        <v>-1.8554155763199069E-2</v>
      </c>
      <c r="BM59" s="743">
        <f>K59/$K$24</f>
        <v>-1.0950111707621127E-2</v>
      </c>
      <c r="BN59" s="743">
        <f t="shared" si="49"/>
        <v>-1.8614256076584366E-2</v>
      </c>
      <c r="BO59" s="743">
        <f t="shared" si="50"/>
        <v>-1.1283126105916442E-2</v>
      </c>
    </row>
    <row r="60" spans="1:67" ht="6" hidden="1" customHeight="1">
      <c r="A60" s="31" t="s">
        <v>44</v>
      </c>
      <c r="B60" s="32"/>
      <c r="C60" s="33">
        <f t="shared" si="0"/>
        <v>0</v>
      </c>
      <c r="D60" s="22">
        <v>0</v>
      </c>
      <c r="E60" s="22"/>
      <c r="F60" s="22"/>
      <c r="G60" s="22">
        <f>'04 -Base Orçado 2026'!F118</f>
        <v>0</v>
      </c>
      <c r="H60" s="22">
        <f>'Base Realizado'!F105</f>
        <v>-1252.46</v>
      </c>
      <c r="I60" s="22"/>
      <c r="J60" s="22">
        <v>0</v>
      </c>
      <c r="K60" s="22">
        <f>'Base Realizado'!H105</f>
        <v>-1140.9100000000001</v>
      </c>
      <c r="L60" s="22"/>
      <c r="M60" s="22">
        <v>0</v>
      </c>
      <c r="N60" s="22">
        <f>'Base Realizado'!N105</f>
        <v>0</v>
      </c>
      <c r="O60" s="22"/>
      <c r="P60" s="22">
        <v>0</v>
      </c>
      <c r="Q60" s="22"/>
      <c r="R60" s="22"/>
      <c r="S60" s="22">
        <v>0</v>
      </c>
      <c r="T60" s="22"/>
      <c r="U60" s="22"/>
      <c r="V60" s="22">
        <v>0</v>
      </c>
      <c r="W60" s="22"/>
      <c r="X60" s="22"/>
      <c r="Y60" s="22">
        <v>0</v>
      </c>
      <c r="Z60" s="22"/>
      <c r="AA60" s="22"/>
      <c r="AB60" s="22">
        <v>0</v>
      </c>
      <c r="AC60" s="22"/>
      <c r="AD60" s="22"/>
      <c r="AE60" s="22">
        <v>0</v>
      </c>
      <c r="AF60" s="22"/>
      <c r="AG60" s="22"/>
      <c r="AH60" s="22">
        <v>0</v>
      </c>
      <c r="AI60" s="22"/>
      <c r="AJ60" s="22"/>
      <c r="AK60" s="22">
        <v>0</v>
      </c>
      <c r="AL60" s="22"/>
      <c r="AM60" s="22"/>
      <c r="AN60" s="577">
        <f>SUM(D60:AK60)</f>
        <v>-2393.37</v>
      </c>
      <c r="AO60" s="577"/>
      <c r="AP60" s="22"/>
      <c r="AQ60" s="577">
        <f t="shared" si="8"/>
        <v>0</v>
      </c>
      <c r="AR60" s="577">
        <f t="shared" si="9"/>
        <v>-1196.6849999999999</v>
      </c>
      <c r="AS60" s="577"/>
      <c r="AT60" s="588">
        <f>IF(ISERROR(C60/C$24),0,(C60/C$24))</f>
        <v>0</v>
      </c>
      <c r="AU60" s="1"/>
      <c r="AV60" s="30">
        <f>IF(ISERROR(D60/D$24),0,(D60/D$24))</f>
        <v>0</v>
      </c>
      <c r="AW60" s="30">
        <f>IF(ISERROR(G60/G$24),0,(G60/G$24))</f>
        <v>0</v>
      </c>
      <c r="AX60" s="30">
        <f>IF(ISERROR(J60/J$24),0,(J60/J$24))</f>
        <v>0</v>
      </c>
      <c r="AY60" s="30">
        <f>IF(ISERROR(M60/M$24),0,(M60/M$24))</f>
        <v>0</v>
      </c>
      <c r="AZ60" s="30">
        <f>IF(ISERROR(P60/P$24),0,(P60/P$24))</f>
        <v>0</v>
      </c>
      <c r="BA60" s="30">
        <f>IF(ISERROR(S60/S$24),0,(S60/S$24))</f>
        <v>0</v>
      </c>
      <c r="BB60" s="30">
        <f>IF(ISERROR(V60/V$24),0,(V60/V$24))</f>
        <v>0</v>
      </c>
      <c r="BC60" s="30">
        <f>IF(ISERROR(Y60/Y$24),0,(Y60/Y$24))</f>
        <v>0</v>
      </c>
      <c r="BD60" s="30">
        <f>IF(ISERROR(AB60/AB$24),0,(AB60/AB$24))</f>
        <v>0</v>
      </c>
      <c r="BE60" s="30">
        <f>IF(ISERROR(AE60/AE$24),0,(AE60/AE$24))</f>
        <v>0</v>
      </c>
      <c r="BF60" s="30">
        <f>IF(ISERROR(AH60/AH$24),0,(AH60/AH$24))</f>
        <v>0</v>
      </c>
      <c r="BG60" s="30">
        <f>IF(ISERROR(AK60/AK$24),0,(AK60/AK$24))</f>
        <v>0</v>
      </c>
      <c r="BH60" s="742"/>
      <c r="BI60" s="742"/>
      <c r="BJ60" s="742"/>
      <c r="BK60" s="742"/>
    </row>
    <row r="61" spans="1:67" ht="6.75" customHeight="1">
      <c r="A61" s="31"/>
      <c r="B61" s="32"/>
      <c r="C61" s="33">
        <f t="shared" si="0"/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577">
        <f>SUM(D61:AK61)</f>
        <v>0</v>
      </c>
      <c r="AO61" s="577"/>
      <c r="AP61" s="22"/>
      <c r="AQ61" s="577"/>
      <c r="AR61" s="577"/>
      <c r="AS61" s="577"/>
      <c r="AT61" s="588"/>
      <c r="AU61" s="1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742"/>
      <c r="BI61" s="742"/>
      <c r="BJ61" s="742"/>
      <c r="BK61" s="742"/>
    </row>
    <row r="62" spans="1:67" ht="16.5" customHeight="1">
      <c r="A62" s="339" t="s">
        <v>54</v>
      </c>
      <c r="B62" s="7"/>
      <c r="C62" s="11">
        <f t="shared" si="0"/>
        <v>3446568.8034991133</v>
      </c>
      <c r="D62" s="12">
        <f t="shared" ref="D62:AK62" si="52">D53+D56</f>
        <v>-3912.6425342535367</v>
      </c>
      <c r="E62" s="12">
        <f t="shared" si="52"/>
        <v>-244670.29999999981</v>
      </c>
      <c r="F62" s="12"/>
      <c r="G62" s="12">
        <f t="shared" si="52"/>
        <v>352619.02820766764</v>
      </c>
      <c r="H62" s="12">
        <f t="shared" si="52"/>
        <v>-107619.97309999925</v>
      </c>
      <c r="I62" s="12"/>
      <c r="J62" s="12">
        <f t="shared" si="52"/>
        <v>382481.25107266515</v>
      </c>
      <c r="K62" s="12">
        <f t="shared" ref="K62" si="53">K53+K56</f>
        <v>508765.51609999966</v>
      </c>
      <c r="L62" s="12"/>
      <c r="M62" s="12">
        <f t="shared" si="52"/>
        <v>404443.35514873482</v>
      </c>
      <c r="N62" s="12">
        <f t="shared" si="52"/>
        <v>204568.59599999999</v>
      </c>
      <c r="O62" s="12"/>
      <c r="P62" s="12">
        <f t="shared" si="52"/>
        <v>499770.48837652837</v>
      </c>
      <c r="Q62" s="12"/>
      <c r="R62" s="12"/>
      <c r="S62" s="12">
        <f t="shared" si="52"/>
        <v>305271.28598581202</v>
      </c>
      <c r="T62" s="12"/>
      <c r="U62" s="12"/>
      <c r="V62" s="12">
        <f t="shared" si="52"/>
        <v>249515.4727003572</v>
      </c>
      <c r="W62" s="12"/>
      <c r="X62" s="12"/>
      <c r="Y62" s="12">
        <f t="shared" si="52"/>
        <v>273471.48313251178</v>
      </c>
      <c r="Z62" s="12"/>
      <c r="AA62" s="12"/>
      <c r="AB62" s="12">
        <f t="shared" si="52"/>
        <v>260295.31591313647</v>
      </c>
      <c r="AC62" s="12"/>
      <c r="AD62" s="12"/>
      <c r="AE62" s="12">
        <f t="shared" si="52"/>
        <v>230166.44141310075</v>
      </c>
      <c r="AF62" s="12"/>
      <c r="AG62" s="12"/>
      <c r="AH62" s="12">
        <f t="shared" si="52"/>
        <v>417208.87293164525</v>
      </c>
      <c r="AI62" s="12"/>
      <c r="AJ62" s="12"/>
      <c r="AK62" s="12">
        <f t="shared" si="52"/>
        <v>75238.451151207439</v>
      </c>
      <c r="AL62" s="12"/>
      <c r="AM62" s="12"/>
      <c r="AN62" s="575">
        <f>SUM(D62,G62,J62,M62,P62,S62,V62,Y62,AB62,AE62,AH62,AK62)</f>
        <v>3446568.8034991133</v>
      </c>
      <c r="AO62" s="575">
        <f>SUM(E62,H62,K62,N62,Q62,T62,W62,Z62,AC62,AF62,AI62,AL62)</f>
        <v>361043.83900000062</v>
      </c>
      <c r="AP62" s="12"/>
      <c r="AQ62" s="575">
        <f t="shared" si="8"/>
        <v>243729.21224869307</v>
      </c>
      <c r="AR62" s="575">
        <f t="shared" si="9"/>
        <v>52158.414333333531</v>
      </c>
      <c r="AS62" s="575"/>
      <c r="AT62" s="584">
        <f>IF(ISERROR(C62/C$24),0,(C62/C$24))</f>
        <v>0.12126151362016885</v>
      </c>
      <c r="AU62" s="1"/>
      <c r="AV62" s="28">
        <f>IF(ISERROR(D62/D$24),0,(D62/D$24))</f>
        <v>-2.4406214668351708E-3</v>
      </c>
      <c r="AW62" s="28">
        <f>IF(ISERROR(G62/G$24),0,(G62/G$24))</f>
        <v>0.14329706508724058</v>
      </c>
      <c r="AX62" s="28">
        <f>IF(ISERROR(J62/J$24),0,(J62/J$24))</f>
        <v>0.15373203008101982</v>
      </c>
      <c r="AY62" s="28">
        <f>IF(ISERROR(M62/M$24),0,(M62/M$24))</f>
        <v>0.15895279705672222</v>
      </c>
      <c r="AZ62" s="28">
        <f>IF(ISERROR(P62/P$24),0,(P62/P$24))</f>
        <v>0.17475570191094006</v>
      </c>
      <c r="BA62" s="28">
        <f>IF(ISERROR(S62/S$24),0,(S62/S$24))</f>
        <v>0.12589084717512347</v>
      </c>
      <c r="BB62" s="28">
        <f>IF(ISERROR(V62/V$24),0,(V62/V$24))</f>
        <v>0.10663079777411935</v>
      </c>
      <c r="BC62" s="28">
        <f>IF(ISERROR(Y62/Y$24),0,(Y62/Y$24))</f>
        <v>0.11425282254084809</v>
      </c>
      <c r="BD62" s="28">
        <f>IF(ISERROR(AB62/AB$24),0,(AB62/AB$24))</f>
        <v>0.11010334016286291</v>
      </c>
      <c r="BE62" s="28">
        <f>IF(ISERROR(AE62/AE$24),0,(AE62/AE$24))</f>
        <v>0.10021499641517242</v>
      </c>
      <c r="BF62" s="28">
        <f>IF(ISERROR(AH62/AH$24),0,(AH62/AH$24))</f>
        <v>0.1536688369001584</v>
      </c>
      <c r="BG62" s="28">
        <f>IF(ISERROR(AK62/AK$24),0,(AK62/AK$24))</f>
        <v>3.8938478511509576E-2</v>
      </c>
    </row>
    <row r="63" spans="1:67" ht="16.5" customHeight="1">
      <c r="A63" s="47" t="s">
        <v>442</v>
      </c>
      <c r="B63" s="48"/>
      <c r="C63" s="49">
        <f t="shared" si="0"/>
        <v>1.3779970921488818</v>
      </c>
      <c r="D63" s="49">
        <f>IF(ISERROR(D62/D24),"-",(D62/D24))</f>
        <v>-2.4406214668351708E-3</v>
      </c>
      <c r="E63" s="49">
        <f>IF(ISERROR(E62/E24),"-",(E62/E24))</f>
        <v>-0.18274501118756295</v>
      </c>
      <c r="F63" s="49"/>
      <c r="G63" s="49">
        <f>IF(ISERROR(G62/G24),"-",(G62/G24))</f>
        <v>0.14329706508724058</v>
      </c>
      <c r="H63" s="49">
        <f>IF(ISERROR(H62/H24),"-",(H62/H24))</f>
        <v>-7.1407356678076919E-2</v>
      </c>
      <c r="I63" s="49"/>
      <c r="J63" s="49">
        <f>IF(ISERROR(J62/J24),"-",(J62/J24))</f>
        <v>0.15373203008101982</v>
      </c>
      <c r="K63" s="49">
        <f>IF(ISERROR(K62/K24),"-",(K62/K24))</f>
        <v>0.21344307321687639</v>
      </c>
      <c r="L63" s="49"/>
      <c r="M63" s="49">
        <f>IF(ISERROR(M62/M24),"-",(M62/M24))</f>
        <v>0.15895279705672222</v>
      </c>
      <c r="N63" s="49">
        <f>IF(ISERROR(N62/N24),"-",(N62/N24))</f>
        <v>8.9086739036294077E-2</v>
      </c>
      <c r="O63" s="49"/>
      <c r="P63" s="49">
        <f>IF(ISERROR(P62/P24),"-",(P62/P24))</f>
        <v>0.17475570191094006</v>
      </c>
      <c r="Q63" s="49"/>
      <c r="R63" s="49"/>
      <c r="S63" s="49">
        <f>IF(ISERROR(S62/S24),"-",(S62/S24))</f>
        <v>0.12589084717512347</v>
      </c>
      <c r="T63" s="49"/>
      <c r="U63" s="49"/>
      <c r="V63" s="49">
        <f>IF(ISERROR(V62/V24),"-",(V62/V24))</f>
        <v>0.10663079777411935</v>
      </c>
      <c r="W63" s="49"/>
      <c r="X63" s="49"/>
      <c r="Y63" s="49">
        <f>IF(ISERROR(Y62/Y24),"-",(Y62/Y24))</f>
        <v>0.11425282254084809</v>
      </c>
      <c r="Z63" s="49"/>
      <c r="AA63" s="49"/>
      <c r="AB63" s="49">
        <f>IF(ISERROR(AB62/AB24),"-",(AB62/AB24))</f>
        <v>0.11010334016286291</v>
      </c>
      <c r="AC63" s="49"/>
      <c r="AD63" s="49"/>
      <c r="AE63" s="49">
        <f>IF(ISERROR(AE62/AE24),"-",(AE62/AE24))</f>
        <v>0.10021499641517242</v>
      </c>
      <c r="AF63" s="49"/>
      <c r="AG63" s="49"/>
      <c r="AH63" s="49">
        <f>IF(ISERROR(AH62/AH24),"-",(AH62/AH24))</f>
        <v>0.1536688369001584</v>
      </c>
      <c r="AI63" s="49"/>
      <c r="AJ63" s="49"/>
      <c r="AK63" s="49">
        <f>IF(ISERROR(AK62/AK24),"-",(AK62/AK24))</f>
        <v>3.8938478511509576E-2</v>
      </c>
      <c r="AL63" s="49"/>
      <c r="AM63" s="49"/>
      <c r="AN63" s="572">
        <f>IF(ISERROR(AN62/AN24),"-",(AN62/AN24))</f>
        <v>0.12126151362016885</v>
      </c>
      <c r="AO63" s="572">
        <f>IF(ISERROR(AO62/AO24),"-",(AO62/AO24))</f>
        <v>4.7973594263409823E-2</v>
      </c>
      <c r="AP63" s="49"/>
      <c r="AQ63" s="572">
        <f t="shared" si="8"/>
        <v>9.819615790047509E-2</v>
      </c>
      <c r="AR63" s="572">
        <f t="shared" si="9"/>
        <v>-1.3569764882921165E-2</v>
      </c>
      <c r="AS63" s="572"/>
      <c r="AT63" s="584"/>
      <c r="AU63" s="1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</row>
    <row r="64" spans="1:67" ht="6.75" customHeight="1" thickBot="1">
      <c r="A64" s="35"/>
      <c r="B64" s="36"/>
      <c r="C64" s="51">
        <f t="shared" si="0"/>
        <v>0</v>
      </c>
      <c r="D64" s="38"/>
      <c r="E64" s="505"/>
      <c r="F64" s="505"/>
      <c r="G64" s="38"/>
      <c r="H64" s="505"/>
      <c r="I64" s="505"/>
      <c r="J64" s="38"/>
      <c r="K64" s="505"/>
      <c r="L64" s="505"/>
      <c r="M64" s="38"/>
      <c r="N64" s="505"/>
      <c r="O64" s="505"/>
      <c r="P64" s="38"/>
      <c r="Q64" s="505"/>
      <c r="R64" s="505"/>
      <c r="S64" s="38"/>
      <c r="T64" s="505"/>
      <c r="U64" s="505"/>
      <c r="V64" s="38"/>
      <c r="W64" s="505"/>
      <c r="X64" s="505"/>
      <c r="Y64" s="38"/>
      <c r="Z64" s="505"/>
      <c r="AA64" s="505"/>
      <c r="AB64" s="38"/>
      <c r="AC64" s="505"/>
      <c r="AD64" s="505"/>
      <c r="AE64" s="38"/>
      <c r="AF64" s="505"/>
      <c r="AG64" s="505"/>
      <c r="AH64" s="38"/>
      <c r="AI64" s="505"/>
      <c r="AJ64" s="505"/>
      <c r="AK64" s="38"/>
      <c r="AL64" s="505"/>
      <c r="AM64" s="505"/>
      <c r="AN64" s="580">
        <f>SUM(D64:AK64)</f>
        <v>0</v>
      </c>
      <c r="AO64" s="580"/>
      <c r="AP64" s="505"/>
      <c r="AQ64" s="580"/>
      <c r="AR64" s="580"/>
      <c r="AS64" s="580"/>
      <c r="AT64" s="590"/>
      <c r="AU64" s="1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</row>
    <row r="65" spans="1:59" ht="12.75" customHeight="1">
      <c r="A65" s="8" t="s">
        <v>45</v>
      </c>
      <c r="B65" s="6"/>
      <c r="C65" s="33">
        <f t="shared" si="0"/>
        <v>0</v>
      </c>
      <c r="D65" s="22">
        <f>'04 -Base Orçado 2026'!E126</f>
        <v>0</v>
      </c>
      <c r="E65" s="22">
        <f>'04 -Base Orçado 2026'!F126</f>
        <v>0</v>
      </c>
      <c r="F65" s="22"/>
      <c r="G65" s="22">
        <f>'04 -Base Orçado 2026'!F126</f>
        <v>0</v>
      </c>
      <c r="H65" s="22"/>
      <c r="I65" s="22"/>
      <c r="J65" s="22">
        <f>'04 -Base Orçado 2026'!G126</f>
        <v>0</v>
      </c>
      <c r="K65" s="22"/>
      <c r="L65" s="22"/>
      <c r="M65" s="22">
        <f>'04 -Base Orçado 2026'!H126</f>
        <v>0</v>
      </c>
      <c r="N65" s="22"/>
      <c r="O65" s="22"/>
      <c r="P65" s="22">
        <f>'04 -Base Orçado 2026'!I126</f>
        <v>0</v>
      </c>
      <c r="Q65" s="22"/>
      <c r="R65" s="22"/>
      <c r="S65" s="22">
        <f>'04 -Base Orçado 2026'!J126</f>
        <v>0</v>
      </c>
      <c r="T65" s="22"/>
      <c r="U65" s="22"/>
      <c r="V65" s="22">
        <f>'04 -Base Orçado 2026'!K126</f>
        <v>0</v>
      </c>
      <c r="W65" s="22"/>
      <c r="X65" s="22"/>
      <c r="Y65" s="22">
        <f>'04 -Base Orçado 2026'!L126</f>
        <v>0</v>
      </c>
      <c r="Z65" s="22"/>
      <c r="AA65" s="22"/>
      <c r="AB65" s="22">
        <f>'04 -Base Orçado 2026'!M126</f>
        <v>0</v>
      </c>
      <c r="AC65" s="22"/>
      <c r="AD65" s="22"/>
      <c r="AE65" s="22">
        <f>'04 -Base Orçado 2026'!N126</f>
        <v>0</v>
      </c>
      <c r="AF65" s="22"/>
      <c r="AG65" s="22"/>
      <c r="AH65" s="22">
        <f>'04 -Base Orçado 2026'!O126</f>
        <v>0</v>
      </c>
      <c r="AI65" s="22"/>
      <c r="AJ65" s="22"/>
      <c r="AK65" s="22">
        <f>'04 -Base Orçado 2026'!P126</f>
        <v>0</v>
      </c>
      <c r="AL65" s="22"/>
      <c r="AM65" s="22"/>
      <c r="AN65" s="577">
        <f>SUM(D65:AK65)</f>
        <v>0</v>
      </c>
      <c r="AO65" s="575">
        <f>SUM(E65,H65,K65,N65,Q65,T65,W65,Z65,AC65,AF65,AI65,AL65)</f>
        <v>0</v>
      </c>
      <c r="AP65" s="22"/>
      <c r="AQ65" s="577">
        <f t="shared" si="8"/>
        <v>0</v>
      </c>
      <c r="AR65" s="577">
        <f t="shared" si="9"/>
        <v>0</v>
      </c>
      <c r="AS65" s="577"/>
      <c r="AT65" s="588">
        <f>IF(ISERROR(C65/C$24),0,(C65/C$24))</f>
        <v>0</v>
      </c>
      <c r="AU65" s="1"/>
      <c r="AV65" s="30">
        <f>IF(ISERROR(D65/D$24),0,(D65/D$24))</f>
        <v>0</v>
      </c>
      <c r="AW65" s="30">
        <f>IF(ISERROR(G65/G$24),0,(G65/G$24))</f>
        <v>0</v>
      </c>
      <c r="AX65" s="30">
        <f>IF(ISERROR(J65/J$24),0,(J65/J$24))</f>
        <v>0</v>
      </c>
      <c r="AY65" s="30">
        <f>IF(ISERROR(M65/M$24),0,(M65/M$24))</f>
        <v>0</v>
      </c>
      <c r="AZ65" s="30">
        <f>IF(ISERROR(P65/P$24),0,(P65/P$24))</f>
        <v>0</v>
      </c>
      <c r="BA65" s="30">
        <f>IF(ISERROR(S65/S$24),0,(S65/S$24))</f>
        <v>0</v>
      </c>
      <c r="BB65" s="30">
        <f>IF(ISERROR(V65/V$24),0,(V65/V$24))</f>
        <v>0</v>
      </c>
      <c r="BC65" s="30">
        <f>IF(ISERROR(Y65/Y$24),0,(Y65/Y$24))</f>
        <v>0</v>
      </c>
      <c r="BD65" s="30">
        <f>IF(ISERROR(AB65/AB$24),0,(AB65/AB$24))</f>
        <v>0</v>
      </c>
      <c r="BE65" s="30">
        <f>IF(ISERROR(AE65/AE$24),0,(AE65/AE$24))</f>
        <v>0</v>
      </c>
      <c r="BF65" s="30">
        <f>IF(ISERROR(AH65/AH$24),0,(AH65/AH$24))</f>
        <v>0</v>
      </c>
      <c r="BG65" s="30">
        <f>IF(ISERROR(AK65/AK$24),0,(AK65/AK$24))</f>
        <v>0</v>
      </c>
    </row>
    <row r="66" spans="1:59" ht="12.75" customHeight="1">
      <c r="A66" s="8" t="s">
        <v>46</v>
      </c>
      <c r="B66" s="6"/>
      <c r="C66" s="33">
        <f t="shared" si="0"/>
        <v>0</v>
      </c>
      <c r="D66" s="22">
        <v>0</v>
      </c>
      <c r="E66" s="22">
        <f>'04 -Base Orçado 2026'!F127</f>
        <v>0</v>
      </c>
      <c r="F66" s="22"/>
      <c r="G66" s="22">
        <v>0</v>
      </c>
      <c r="H66" s="22"/>
      <c r="I66" s="22"/>
      <c r="J66" s="22">
        <v>0</v>
      </c>
      <c r="K66" s="22"/>
      <c r="L66" s="22"/>
      <c r="M66" s="22">
        <v>0</v>
      </c>
      <c r="N66" s="22"/>
      <c r="O66" s="22"/>
      <c r="P66" s="22">
        <v>0</v>
      </c>
      <c r="Q66" s="22"/>
      <c r="R66" s="22"/>
      <c r="S66" s="22">
        <v>0</v>
      </c>
      <c r="T66" s="22"/>
      <c r="U66" s="22"/>
      <c r="V66" s="22">
        <v>0</v>
      </c>
      <c r="W66" s="22"/>
      <c r="X66" s="22"/>
      <c r="Y66" s="22">
        <v>0</v>
      </c>
      <c r="Z66" s="22"/>
      <c r="AA66" s="22"/>
      <c r="AB66" s="22">
        <v>0</v>
      </c>
      <c r="AC66" s="22"/>
      <c r="AD66" s="22"/>
      <c r="AE66" s="22">
        <v>0</v>
      </c>
      <c r="AF66" s="22"/>
      <c r="AG66" s="22"/>
      <c r="AH66" s="22">
        <v>0</v>
      </c>
      <c r="AI66" s="22"/>
      <c r="AJ66" s="22"/>
      <c r="AK66" s="22">
        <v>0</v>
      </c>
      <c r="AL66" s="22"/>
      <c r="AM66" s="22"/>
      <c r="AN66" s="577">
        <f>SUM(D66:AK66)</f>
        <v>0</v>
      </c>
      <c r="AO66" s="575">
        <f>SUM(E66,H66,K66,N66,Q66,T66,W66,Z66,AC66,AF66,AI66,AL66)</f>
        <v>0</v>
      </c>
      <c r="AP66" s="22"/>
      <c r="AQ66" s="577">
        <f t="shared" si="8"/>
        <v>0</v>
      </c>
      <c r="AR66" s="577">
        <f t="shared" si="9"/>
        <v>0</v>
      </c>
      <c r="AS66" s="577"/>
      <c r="AT66" s="588">
        <f>IF(ISERROR(C66/C$24),0,(C66/C$24))</f>
        <v>0</v>
      </c>
      <c r="AU66" s="1"/>
      <c r="AV66" s="30">
        <f>IF(ISERROR(D66/D$24),0,(D66/D$24))</f>
        <v>0</v>
      </c>
      <c r="AW66" s="30">
        <f>IF(ISERROR(G66/G$24),0,(G66/G$24))</f>
        <v>0</v>
      </c>
      <c r="AX66" s="30">
        <f>IF(ISERROR(J66/J$24),0,(J66/J$24))</f>
        <v>0</v>
      </c>
      <c r="AY66" s="30">
        <f>IF(ISERROR(M66/M$24),0,(M66/M$24))</f>
        <v>0</v>
      </c>
      <c r="AZ66" s="30">
        <f>IF(ISERROR(P66/P$24),0,(P66/P$24))</f>
        <v>0</v>
      </c>
      <c r="BA66" s="30">
        <f>IF(ISERROR(S66/S$24),0,(S66/S$24))</f>
        <v>0</v>
      </c>
      <c r="BB66" s="30">
        <f>IF(ISERROR(V66/V$24),0,(V66/V$24))</f>
        <v>0</v>
      </c>
      <c r="BC66" s="30">
        <f>IF(ISERROR(Y66/Y$24),0,(Y66/Y$24))</f>
        <v>0</v>
      </c>
      <c r="BD66" s="30">
        <f>IF(ISERROR(AB66/AB$24),0,(AB66/AB$24))</f>
        <v>0</v>
      </c>
      <c r="BE66" s="30">
        <f>IF(ISERROR(AE66/AE$24),0,(AE66/AE$24))</f>
        <v>0</v>
      </c>
      <c r="BF66" s="30">
        <f>IF(ISERROR(AH66/AH$24),0,(AH66/AH$24))</f>
        <v>0</v>
      </c>
      <c r="BG66" s="30">
        <f>IF(ISERROR(AK66/AK$24),0,(AK66/AK$24))</f>
        <v>0</v>
      </c>
    </row>
    <row r="67" spans="1:59" ht="15.75" customHeight="1">
      <c r="A67" s="339" t="s">
        <v>439</v>
      </c>
      <c r="B67" s="7"/>
      <c r="C67" s="11">
        <f t="shared" si="0"/>
        <v>3446568.8034991133</v>
      </c>
      <c r="D67" s="12">
        <f t="shared" ref="D67:AK67" si="54">D62+D65+D66</f>
        <v>-3912.6425342535367</v>
      </c>
      <c r="E67" s="12">
        <f t="shared" si="54"/>
        <v>-244670.29999999981</v>
      </c>
      <c r="F67" s="12"/>
      <c r="G67" s="12">
        <f t="shared" si="54"/>
        <v>352619.02820766764</v>
      </c>
      <c r="H67" s="12">
        <f t="shared" ref="H67" si="55">H62+H65+H66</f>
        <v>-107619.97309999925</v>
      </c>
      <c r="I67" s="12"/>
      <c r="J67" s="12">
        <f t="shared" si="54"/>
        <v>382481.25107266515</v>
      </c>
      <c r="K67" s="12">
        <f t="shared" si="54"/>
        <v>508765.51609999966</v>
      </c>
      <c r="L67" s="12"/>
      <c r="M67" s="12">
        <f t="shared" si="54"/>
        <v>404443.35514873482</v>
      </c>
      <c r="N67" s="12">
        <f t="shared" ref="N67" si="56">N62+N65+N66</f>
        <v>204568.59599999999</v>
      </c>
      <c r="O67" s="12"/>
      <c r="P67" s="12">
        <f t="shared" si="54"/>
        <v>499770.48837652837</v>
      </c>
      <c r="Q67" s="12"/>
      <c r="R67" s="12"/>
      <c r="S67" s="12">
        <f t="shared" si="54"/>
        <v>305271.28598581202</v>
      </c>
      <c r="T67" s="12"/>
      <c r="U67" s="12"/>
      <c r="V67" s="12">
        <f t="shared" si="54"/>
        <v>249515.4727003572</v>
      </c>
      <c r="W67" s="12"/>
      <c r="X67" s="12"/>
      <c r="Y67" s="12">
        <f t="shared" si="54"/>
        <v>273471.48313251178</v>
      </c>
      <c r="Z67" s="12"/>
      <c r="AA67" s="12"/>
      <c r="AB67" s="12">
        <f t="shared" si="54"/>
        <v>260295.31591313647</v>
      </c>
      <c r="AC67" s="12"/>
      <c r="AD67" s="12"/>
      <c r="AE67" s="12">
        <f t="shared" si="54"/>
        <v>230166.44141310075</v>
      </c>
      <c r="AF67" s="12"/>
      <c r="AG67" s="12"/>
      <c r="AH67" s="12">
        <f t="shared" si="54"/>
        <v>417208.87293164525</v>
      </c>
      <c r="AI67" s="12"/>
      <c r="AJ67" s="12"/>
      <c r="AK67" s="12">
        <f t="shared" si="54"/>
        <v>75238.451151207439</v>
      </c>
      <c r="AL67" s="12"/>
      <c r="AM67" s="12"/>
      <c r="AN67" s="575">
        <f>SUM(D67,G67,J67,M67,P67,S67,V67,Y67,AB67,AE67,AH67,AK67)</f>
        <v>3446568.8034991133</v>
      </c>
      <c r="AO67" s="575">
        <f>SUM(E67,H67,K67,N67,Q67,T67,W67,Z67,AC67,AF67,AI67,AL67)</f>
        <v>361043.83900000062</v>
      </c>
      <c r="AP67" s="12"/>
      <c r="AQ67" s="575">
        <f t="shared" si="8"/>
        <v>243729.21224869307</v>
      </c>
      <c r="AR67" s="575">
        <f t="shared" si="9"/>
        <v>52158.414333333531</v>
      </c>
      <c r="AS67" s="575"/>
      <c r="AT67" s="584">
        <f>SUM(AT64:AT66)</f>
        <v>0</v>
      </c>
      <c r="AU67" s="1"/>
      <c r="AV67" s="28">
        <f t="shared" ref="AV67:BG67" si="57">SUM(AV64:AV66)</f>
        <v>0</v>
      </c>
      <c r="AW67" s="28">
        <f t="shared" si="57"/>
        <v>0</v>
      </c>
      <c r="AX67" s="28">
        <f t="shared" si="57"/>
        <v>0</v>
      </c>
      <c r="AY67" s="28">
        <f t="shared" si="57"/>
        <v>0</v>
      </c>
      <c r="AZ67" s="28">
        <f t="shared" si="57"/>
        <v>0</v>
      </c>
      <c r="BA67" s="28">
        <f t="shared" si="57"/>
        <v>0</v>
      </c>
      <c r="BB67" s="28">
        <f t="shared" si="57"/>
        <v>0</v>
      </c>
      <c r="BC67" s="28">
        <f t="shared" si="57"/>
        <v>0</v>
      </c>
      <c r="BD67" s="28">
        <f t="shared" si="57"/>
        <v>0</v>
      </c>
      <c r="BE67" s="28">
        <f t="shared" si="57"/>
        <v>0</v>
      </c>
      <c r="BF67" s="28">
        <f t="shared" si="57"/>
        <v>0</v>
      </c>
      <c r="BG67" s="28">
        <f t="shared" si="57"/>
        <v>0</v>
      </c>
    </row>
    <row r="68" spans="1:59" ht="18" customHeight="1" thickBot="1">
      <c r="A68" s="53" t="s">
        <v>443</v>
      </c>
      <c r="B68" s="54"/>
      <c r="C68" s="55">
        <f t="shared" si="0"/>
        <v>1.3779970921488818</v>
      </c>
      <c r="D68" s="55">
        <f>IF(ISERROR(D67/D24),"-",(D67/D24))</f>
        <v>-2.4406214668351708E-3</v>
      </c>
      <c r="E68" s="55">
        <f>IF(ISERROR(E67/E24),"-",(E67/E24))</f>
        <v>-0.18274501118756295</v>
      </c>
      <c r="F68" s="561"/>
      <c r="G68" s="55">
        <f>IF(ISERROR(G67/G24),"-",(G67/G24))</f>
        <v>0.14329706508724058</v>
      </c>
      <c r="H68" s="55">
        <f>IF(ISERROR(H67/H24),"-",(H67/H24))</f>
        <v>-7.1407356678076919E-2</v>
      </c>
      <c r="I68" s="561"/>
      <c r="J68" s="55">
        <f>IF(ISERROR(J67/J24),"-",(J67/J24))</f>
        <v>0.15373203008101982</v>
      </c>
      <c r="K68" s="55">
        <f>IF(ISERROR(K67/K24),"-",(K67/K24))</f>
        <v>0.21344307321687639</v>
      </c>
      <c r="L68" s="561"/>
      <c r="M68" s="55">
        <f>IF(ISERROR(M67/M24),"-",(M67/M24))</f>
        <v>0.15895279705672222</v>
      </c>
      <c r="N68" s="55">
        <f>IF(ISERROR(N67/N24),"-",(N67/N24))</f>
        <v>8.9086739036294077E-2</v>
      </c>
      <c r="O68" s="561"/>
      <c r="P68" s="55">
        <f>IF(ISERROR(P67/P24),"-",(P67/P24))</f>
        <v>0.17475570191094006</v>
      </c>
      <c r="Q68" s="561"/>
      <c r="R68" s="561"/>
      <c r="S68" s="55">
        <f>IF(ISERROR(S67/S24),"-",(S67/S24))</f>
        <v>0.12589084717512347</v>
      </c>
      <c r="T68" s="561"/>
      <c r="U68" s="561"/>
      <c r="V68" s="55">
        <f>IF(ISERROR(V67/V24),"-",(V67/V24))</f>
        <v>0.10663079777411935</v>
      </c>
      <c r="W68" s="561"/>
      <c r="X68" s="561"/>
      <c r="Y68" s="55">
        <f>IF(ISERROR(Y67/Y24),"-",(Y67/Y24))</f>
        <v>0.11425282254084809</v>
      </c>
      <c r="Z68" s="561"/>
      <c r="AA68" s="561"/>
      <c r="AB68" s="55">
        <f>IF(ISERROR(AB67/AB24),"-",(AB67/AB24))</f>
        <v>0.11010334016286291</v>
      </c>
      <c r="AC68" s="561"/>
      <c r="AD68" s="561"/>
      <c r="AE68" s="55">
        <f>IF(ISERROR(AE67/AE24),"-",(AE67/AE24))</f>
        <v>0.10021499641517242</v>
      </c>
      <c r="AF68" s="561"/>
      <c r="AG68" s="561"/>
      <c r="AH68" s="55">
        <f>IF(ISERROR(AH67/AH24),"-",(AH67/AH24))</f>
        <v>0.1536688369001584</v>
      </c>
      <c r="AI68" s="561"/>
      <c r="AJ68" s="561"/>
      <c r="AK68" s="55">
        <f>IF(ISERROR(AK67/AK24),"-",(AK67/AK24))</f>
        <v>3.8938478511509576E-2</v>
      </c>
      <c r="AL68" s="561"/>
      <c r="AM68" s="561"/>
      <c r="AN68" s="573">
        <f>IF(ISERROR(AN67/AN24),"-",(AN67/AN24))</f>
        <v>0.12126151362016885</v>
      </c>
      <c r="AO68" s="573">
        <f>IF(ISERROR(AO67/AO24),"-",(AO67/AO24))</f>
        <v>4.7973594263409823E-2</v>
      </c>
      <c r="AP68" s="561"/>
      <c r="AQ68" s="573">
        <f t="shared" si="8"/>
        <v>9.819615790047509E-2</v>
      </c>
      <c r="AR68" s="573">
        <f t="shared" si="9"/>
        <v>-1.3569764882921165E-2</v>
      </c>
      <c r="AS68" s="573"/>
      <c r="AT68" s="573"/>
      <c r="AU68" s="1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</row>
    <row r="69" spans="1:59" ht="16.5" customHeight="1">
      <c r="A69" s="8" t="s">
        <v>47</v>
      </c>
      <c r="B69" s="6"/>
      <c r="C69" s="11">
        <f t="shared" si="0"/>
        <v>-215378.4997707</v>
      </c>
      <c r="D69" s="44">
        <f>'04 -Base Orçado 2026'!E130</f>
        <v>-12151.527811500004</v>
      </c>
      <c r="E69" s="44">
        <f>'Base Realizado'!D132</f>
        <v>-2305.52</v>
      </c>
      <c r="F69" s="44"/>
      <c r="G69" s="44">
        <f>'04 -Base Orçado 2026'!F130</f>
        <v>-18652.179613200002</v>
      </c>
      <c r="H69" s="44">
        <f>'Base Realizado'!F132</f>
        <v>-776.05999999999983</v>
      </c>
      <c r="I69" s="44"/>
      <c r="J69" s="44">
        <f>'04 -Base Orçado 2026'!G130</f>
        <v>-18797.601704279998</v>
      </c>
      <c r="K69" s="44">
        <f>'Base Realizado'!H132</f>
        <v>-451.00000000000006</v>
      </c>
      <c r="L69" s="44"/>
      <c r="M69" s="44">
        <f>'04 -Base Orçado 2026'!H130</f>
        <v>-19286.377816439999</v>
      </c>
      <c r="N69" s="44">
        <f>'Base Realizado'!N132</f>
        <v>0</v>
      </c>
      <c r="O69" s="44"/>
      <c r="P69" s="44">
        <f>'04 -Base Orçado 2026'!I130</f>
        <v>-21677.060653080007</v>
      </c>
      <c r="Q69" s="44"/>
      <c r="R69" s="44"/>
      <c r="S69" s="44">
        <f>'04 -Base Orçado 2026'!J130</f>
        <v>-18380.314590119997</v>
      </c>
      <c r="T69" s="44"/>
      <c r="U69" s="44"/>
      <c r="V69" s="44">
        <f>'04 -Base Orçado 2026'!K130</f>
        <v>-17736.82836996</v>
      </c>
      <c r="W69" s="44"/>
      <c r="X69" s="44"/>
      <c r="Y69" s="44">
        <f>'04 -Base Orçado 2026'!L130</f>
        <v>-18142.880847840006</v>
      </c>
      <c r="Z69" s="44"/>
      <c r="AA69" s="44"/>
      <c r="AB69" s="44">
        <f>'04 -Base Orçado 2026'!M130</f>
        <v>-17919.545857919999</v>
      </c>
      <c r="AC69" s="44"/>
      <c r="AD69" s="44"/>
      <c r="AE69" s="44">
        <f>'04 -Base Orçado 2026'!N130</f>
        <v>-17408.863823399999</v>
      </c>
      <c r="AF69" s="44"/>
      <c r="AG69" s="44"/>
      <c r="AH69" s="44">
        <f>'04 -Base Orçado 2026'!O130</f>
        <v>-20579.218211160001</v>
      </c>
      <c r="AI69" s="44"/>
      <c r="AJ69" s="44"/>
      <c r="AK69" s="44">
        <f>'04 -Base Orçado 2026'!P130</f>
        <v>-14646.1004718</v>
      </c>
      <c r="AL69" s="44"/>
      <c r="AM69" s="44"/>
      <c r="AN69" s="582">
        <f>SUM(D69,G69,J69,M69,P69,S69,V69,Y69,AB69,AE69,AH69,AK69)</f>
        <v>-215378.4997707</v>
      </c>
      <c r="AO69" s="577">
        <f>SUM(E69,H69,K69,N69,Q69,T69,W69,Z69,AC69,AF69,AI69,AL69)</f>
        <v>-3532.58</v>
      </c>
      <c r="AP69" s="44"/>
      <c r="AQ69" s="582">
        <f t="shared" si="8"/>
        <v>-16533.769709660002</v>
      </c>
      <c r="AR69" s="582">
        <f t="shared" si="9"/>
        <v>-1177.5266666666666</v>
      </c>
      <c r="AS69" s="666"/>
      <c r="AT69" s="584">
        <f>IF(ISERROR(C69/C$24),0,(C69/C$24))</f>
        <v>-7.5777169621337546E-3</v>
      </c>
      <c r="AU69" s="1"/>
      <c r="AV69" s="57">
        <f>IF(ISERROR(D69/D$24),0,(D69/D$24))</f>
        <v>-7.5798592311857082E-3</v>
      </c>
      <c r="AW69" s="57">
        <f>IF(ISERROR(G69/G$24),0,(G69/G$24))</f>
        <v>-7.5798592311857064E-3</v>
      </c>
      <c r="AX69" s="57">
        <f>IF(ISERROR(J69/J$24),0,(J69/J$24))</f>
        <v>-7.5553859504197988E-3</v>
      </c>
      <c r="AY69" s="57">
        <f>IF(ISERROR(M69/M$24),0,(M69/M$24))</f>
        <v>-7.5798592311857056E-3</v>
      </c>
      <c r="AZ69" s="57">
        <f>IF(ISERROR(P69/P$24),0,(P69/P$24))</f>
        <v>-7.5798592311857064E-3</v>
      </c>
      <c r="BA69" s="57">
        <f>IF(ISERROR(S69/S$24),0,(S69/S$24))</f>
        <v>-7.5798592311857056E-3</v>
      </c>
      <c r="BB69" s="57">
        <f>IF(ISERROR(V69/V$24),0,(V69/V$24))</f>
        <v>-7.5798592311857073E-3</v>
      </c>
      <c r="BC69" s="57">
        <f>IF(ISERROR(Y69/Y$24),0,(Y69/Y$24))</f>
        <v>-7.5798592311857073E-3</v>
      </c>
      <c r="BD69" s="57">
        <f>IF(ISERROR(AB69/AB$24),0,(AB69/AB$24))</f>
        <v>-7.5798592311857056E-3</v>
      </c>
      <c r="BE69" s="57">
        <f>IF(ISERROR(AE69/AE$24),0,(AE69/AE$24))</f>
        <v>-7.5798592311857064E-3</v>
      </c>
      <c r="BF69" s="57">
        <f>IF(ISERROR(AH69/AH$24),0,(AH69/AH$24))</f>
        <v>-7.5798592311857073E-3</v>
      </c>
      <c r="BG69" s="57">
        <f t="shared" ref="BG69:BG72" si="58">IF(ISERROR(AK69/AK$24),0,(AK69/AK$24))</f>
        <v>-7.5798592311857064E-3</v>
      </c>
    </row>
    <row r="70" spans="1:59" ht="12.75" hidden="1" customHeight="1">
      <c r="A70" s="58" t="s">
        <v>48</v>
      </c>
      <c r="B70" s="59"/>
      <c r="C70" s="60">
        <f t="shared" si="0"/>
        <v>0</v>
      </c>
      <c r="D70" s="61">
        <v>0</v>
      </c>
      <c r="E70" s="61"/>
      <c r="F70" s="563"/>
      <c r="G70" s="61">
        <v>0</v>
      </c>
      <c r="H70" s="61"/>
      <c r="I70" s="563"/>
      <c r="J70" s="61">
        <v>0</v>
      </c>
      <c r="K70" s="61"/>
      <c r="L70" s="563"/>
      <c r="M70" s="61">
        <v>0</v>
      </c>
      <c r="N70" s="61"/>
      <c r="O70" s="563"/>
      <c r="P70" s="61">
        <v>0</v>
      </c>
      <c r="Q70" s="61"/>
      <c r="R70" s="563"/>
      <c r="S70" s="61">
        <v>0</v>
      </c>
      <c r="T70" s="61"/>
      <c r="U70" s="563"/>
      <c r="V70" s="61">
        <v>0</v>
      </c>
      <c r="W70" s="61"/>
      <c r="X70" s="563"/>
      <c r="Y70" s="61">
        <v>0</v>
      </c>
      <c r="Z70" s="61"/>
      <c r="AA70" s="563"/>
      <c r="AB70" s="61">
        <v>0</v>
      </c>
      <c r="AC70" s="61"/>
      <c r="AD70" s="563"/>
      <c r="AE70" s="61">
        <v>0</v>
      </c>
      <c r="AF70" s="61"/>
      <c r="AG70" s="563"/>
      <c r="AH70" s="61">
        <v>0</v>
      </c>
      <c r="AI70" s="61"/>
      <c r="AJ70" s="563"/>
      <c r="AK70" s="61">
        <v>0</v>
      </c>
      <c r="AL70" s="61"/>
      <c r="AM70" s="563"/>
      <c r="AN70" s="575">
        <f>SUM(D70:AK70)</f>
        <v>0</v>
      </c>
      <c r="AO70" s="577"/>
      <c r="AP70" s="563"/>
      <c r="AQ70" s="575">
        <f t="shared" si="8"/>
        <v>0</v>
      </c>
      <c r="AR70" s="575" t="e">
        <f t="shared" si="9"/>
        <v>#DIV/0!</v>
      </c>
      <c r="AS70" s="575"/>
      <c r="AT70" s="584">
        <f>IF(ISERROR(C70/C$24),0,(C70/C$24))</f>
        <v>0</v>
      </c>
      <c r="AU70" s="1"/>
      <c r="AV70" s="62">
        <f>IF(ISERROR(D70/D$24),0,(D70/D$24))</f>
        <v>0</v>
      </c>
      <c r="AW70" s="62">
        <f>IF(ISERROR(G70/G$24),0,(G70/G$24))</f>
        <v>0</v>
      </c>
      <c r="AX70" s="62">
        <f>IF(ISERROR(J70/J$24),0,(J70/J$24))</f>
        <v>0</v>
      </c>
      <c r="AY70" s="62">
        <f>IF(ISERROR(M70/M$24),0,(M70/M$24))</f>
        <v>0</v>
      </c>
      <c r="AZ70" s="62">
        <f>IF(ISERROR(P70/P$24),0,(P70/P$24))</f>
        <v>0</v>
      </c>
      <c r="BA70" s="62">
        <f>IF(ISERROR(S70/S$24),0,(S70/S$24))</f>
        <v>0</v>
      </c>
      <c r="BB70" s="62">
        <f>IF(ISERROR(V70/V$24),0,(V70/V$24))</f>
        <v>0</v>
      </c>
      <c r="BC70" s="62">
        <f>IF(ISERROR(Y70/Y$24),0,(Y70/Y$24))</f>
        <v>0</v>
      </c>
      <c r="BD70" s="62">
        <f>IF(ISERROR(AB70/AB$24),0,(AB70/AB$24))</f>
        <v>0</v>
      </c>
      <c r="BE70" s="62">
        <f>IF(ISERROR(AE70/AE$24),0,(AE70/AE$24))</f>
        <v>0</v>
      </c>
      <c r="BF70" s="62">
        <f>IF(ISERROR(AH70/AH$24),0,(AH70/AH$24))</f>
        <v>0</v>
      </c>
      <c r="BG70" s="62">
        <f t="shared" si="58"/>
        <v>0</v>
      </c>
    </row>
    <row r="71" spans="1:59" ht="16.5" customHeight="1" thickBot="1">
      <c r="A71" s="63" t="s">
        <v>49</v>
      </c>
      <c r="B71" s="64"/>
      <c r="C71" s="51">
        <f t="shared" si="0"/>
        <v>0</v>
      </c>
      <c r="D71" s="65"/>
      <c r="E71" s="506"/>
      <c r="F71" s="506"/>
      <c r="G71" s="65"/>
      <c r="H71" s="506"/>
      <c r="I71" s="506"/>
      <c r="J71" s="65"/>
      <c r="K71" s="506"/>
      <c r="L71" s="506"/>
      <c r="M71" s="65"/>
      <c r="N71" s="506"/>
      <c r="O71" s="506"/>
      <c r="P71" s="65"/>
      <c r="Q71" s="506"/>
      <c r="R71" s="506"/>
      <c r="S71" s="65"/>
      <c r="T71" s="506"/>
      <c r="U71" s="506"/>
      <c r="V71" s="65"/>
      <c r="W71" s="506"/>
      <c r="X71" s="506"/>
      <c r="Y71" s="65"/>
      <c r="Z71" s="506"/>
      <c r="AA71" s="506"/>
      <c r="AB71" s="65"/>
      <c r="AC71" s="506"/>
      <c r="AD71" s="506"/>
      <c r="AE71" s="65"/>
      <c r="AF71" s="506"/>
      <c r="AG71" s="506"/>
      <c r="AH71" s="65"/>
      <c r="AI71" s="506"/>
      <c r="AJ71" s="506"/>
      <c r="AK71" s="65"/>
      <c r="AL71" s="506"/>
      <c r="AM71" s="506"/>
      <c r="AN71" s="581">
        <f>SUM(D71,G71,J71,M71,P71,S71,V71,Y71,AB71,AE71,AH71,AK71)</f>
        <v>0</v>
      </c>
      <c r="AO71" s="581">
        <f>SUM(E71,H71,K71,N71,Q71,T71,W71,Z71,AC71,AF71,AI71,AL71)</f>
        <v>0</v>
      </c>
      <c r="AP71" s="506"/>
      <c r="AQ71" s="581"/>
      <c r="AR71" s="581"/>
      <c r="AS71" s="666"/>
      <c r="AT71" s="590"/>
      <c r="AU71" s="1"/>
      <c r="AV71" s="66">
        <f>IF(ISERROR(D71/D$24),0,(D71/D$24))</f>
        <v>0</v>
      </c>
      <c r="AW71" s="66">
        <f>IF(ISERROR(G71/G$24),0,(G71/G$24))</f>
        <v>0</v>
      </c>
      <c r="AX71" s="66">
        <f>IF(ISERROR(J71/J$24),0,(J71/J$24))</f>
        <v>0</v>
      </c>
      <c r="AY71" s="66">
        <f>IF(ISERROR(M71/M$24),0,(M71/M$24))</f>
        <v>0</v>
      </c>
      <c r="AZ71" s="66">
        <f>IF(ISERROR(P71/P$24),0,(P71/P$24))</f>
        <v>0</v>
      </c>
      <c r="BA71" s="66">
        <f>IF(ISERROR(S71/S$24),0,(S71/S$24))</f>
        <v>0</v>
      </c>
      <c r="BB71" s="66">
        <f>IF(ISERROR(V71/V$24),0,(V71/V$24))</f>
        <v>0</v>
      </c>
      <c r="BC71" s="66">
        <f>IF(ISERROR(Y71/Y$24),0,(Y71/Y$24))</f>
        <v>0</v>
      </c>
      <c r="BD71" s="66">
        <f>IF(ISERROR(AB71/AB$24),0,(AB71/AB$24))</f>
        <v>0</v>
      </c>
      <c r="BE71" s="66">
        <f>IF(ISERROR(AE71/AE$24),0,(AE71/AE$24))</f>
        <v>0</v>
      </c>
      <c r="BF71" s="66">
        <f>IF(ISERROR(AH71/AH$24),0,(AH71/AH$24))</f>
        <v>0</v>
      </c>
      <c r="BG71" s="66">
        <f t="shared" si="58"/>
        <v>0</v>
      </c>
    </row>
    <row r="72" spans="1:59" ht="15.6" customHeight="1">
      <c r="A72" s="16" t="s">
        <v>50</v>
      </c>
      <c r="B72" s="7"/>
      <c r="C72" s="45">
        <f t="shared" ref="C72:C73" si="59">SUM(D72,G72,J72,M72,P72,S72,V72,Y72,AB72,AE72,AH72,AK72)</f>
        <v>3231190.3037284133</v>
      </c>
      <c r="D72" s="45">
        <f t="shared" ref="D72:AK72" si="60">D67+SUM(D69:D71)</f>
        <v>-16064.17034575354</v>
      </c>
      <c r="E72" s="45">
        <f>E67+SUM(E69:E71)</f>
        <v>-246975.8199999998</v>
      </c>
      <c r="F72" s="672"/>
      <c r="G72" s="45">
        <f t="shared" si="60"/>
        <v>333966.84859446762</v>
      </c>
      <c r="H72" s="45">
        <f>H67+SUM(H69:H71)</f>
        <v>-108396.03309999924</v>
      </c>
      <c r="I72" s="672"/>
      <c r="J72" s="45">
        <f t="shared" si="60"/>
        <v>363683.64936838514</v>
      </c>
      <c r="K72" s="45">
        <f>K67+SUM(K69:K71)</f>
        <v>508314.51609999966</v>
      </c>
      <c r="L72" s="672"/>
      <c r="M72" s="45">
        <f t="shared" si="60"/>
        <v>385156.9773322948</v>
      </c>
      <c r="N72" s="45">
        <f>N67+SUM(N69:N71)</f>
        <v>204568.59599999999</v>
      </c>
      <c r="O72" s="672"/>
      <c r="P72" s="45">
        <f t="shared" si="60"/>
        <v>478093.42772344837</v>
      </c>
      <c r="Q72" s="45"/>
      <c r="R72" s="672"/>
      <c r="S72" s="45">
        <f t="shared" si="60"/>
        <v>286890.97139569203</v>
      </c>
      <c r="T72" s="45"/>
      <c r="U72" s="672"/>
      <c r="V72" s="45">
        <f t="shared" si="60"/>
        <v>231778.64433039719</v>
      </c>
      <c r="W72" s="45"/>
      <c r="X72" s="672"/>
      <c r="Y72" s="45">
        <f t="shared" si="60"/>
        <v>255328.60228467177</v>
      </c>
      <c r="Z72" s="45"/>
      <c r="AA72" s="672"/>
      <c r="AB72" s="45">
        <f t="shared" si="60"/>
        <v>242375.77005521648</v>
      </c>
      <c r="AC72" s="45"/>
      <c r="AD72" s="672"/>
      <c r="AE72" s="45">
        <f t="shared" si="60"/>
        <v>212757.57758970076</v>
      </c>
      <c r="AF72" s="45"/>
      <c r="AG72" s="672"/>
      <c r="AH72" s="45">
        <f t="shared" si="60"/>
        <v>396629.65472048527</v>
      </c>
      <c r="AI72" s="45"/>
      <c r="AJ72" s="672"/>
      <c r="AK72" s="45">
        <f t="shared" si="60"/>
        <v>60592.350679407435</v>
      </c>
      <c r="AL72" s="45"/>
      <c r="AM72" s="672"/>
      <c r="AN72" s="45">
        <f>SUM(D72,G72,J72,M72,P72,S72,V72,Y72,AB72,AE72,AH72,AK72)</f>
        <v>3231190.3037284133</v>
      </c>
      <c r="AO72" s="45">
        <f>SUM(E72,H72,K72,N72,Q72,T72,W72,Z72,AC72,AF72,AI72,AL72)</f>
        <v>357511.25900000066</v>
      </c>
      <c r="AP72" s="672"/>
      <c r="AQ72" s="45">
        <f t="shared" si="8"/>
        <v>227195.4425390331</v>
      </c>
      <c r="AR72" s="45">
        <f>AVERAGE(E72,H72,K72)</f>
        <v>50980.88766666688</v>
      </c>
      <c r="AS72" s="571"/>
      <c r="AT72" s="660">
        <f>IF(ISERROR(C72/C$24),0,(C72/C$24))</f>
        <v>0.11368379665803509</v>
      </c>
      <c r="AU72" s="1"/>
      <c r="AV72" s="46">
        <f>IF(ISERROR(D72/D$24),0,(D72/D$24))</f>
        <v>-1.0020480698020879E-2</v>
      </c>
      <c r="AW72" s="46">
        <f>IF(ISERROR(G72/G$24),0,(G72/G$24))</f>
        <v>0.13571720585605487</v>
      </c>
      <c r="AX72" s="46">
        <f>IF(ISERROR(J72/J$24),0,(J72/J$24))</f>
        <v>0.1461766441306</v>
      </c>
      <c r="AY72" s="46">
        <f>IF(ISERROR(M72/M$24),0,(M72/M$24))</f>
        <v>0.15137293782553649</v>
      </c>
      <c r="AZ72" s="46">
        <f>IF(ISERROR(P72/P$24),0,(P72/P$24))</f>
        <v>0.16717584267975436</v>
      </c>
      <c r="BA72" s="46">
        <f>IF(ISERROR(S72/S$24),0,(S72/S$24))</f>
        <v>0.11831098794393777</v>
      </c>
      <c r="BB72" s="46">
        <f>IF(ISERROR(V72/V$24),0,(V72/V$24))</f>
        <v>9.9050938542933648E-2</v>
      </c>
      <c r="BC72" s="46">
        <f>IF(ISERROR(Y72/Y$24),0,(Y72/Y$24))</f>
        <v>0.10667296330966239</v>
      </c>
      <c r="BD72" s="46">
        <f>IF(ISERROR(AB72/AB$24),0,(AB72/AB$24))</f>
        <v>0.10252348093167722</v>
      </c>
      <c r="BE72" s="46">
        <f>IF(ISERROR(AE72/AE$24),0,(AE72/AE$24))</f>
        <v>9.2635137183986721E-2</v>
      </c>
      <c r="BF72" s="46">
        <f>IF(ISERROR(AH72/AH$24),0,(AH72/AH$24))</f>
        <v>0.14608897766897272</v>
      </c>
      <c r="BG72" s="46">
        <f t="shared" si="58"/>
        <v>3.1358619280323866E-2</v>
      </c>
    </row>
    <row r="73" spans="1:59" ht="15.95" customHeight="1" thickBot="1">
      <c r="A73" s="53" t="s">
        <v>51</v>
      </c>
      <c r="B73" s="54"/>
      <c r="C73" s="55">
        <f t="shared" si="59"/>
        <v>1.287063254655419</v>
      </c>
      <c r="D73" s="55">
        <f>IF(ISERROR(D72/D24),"-",(D72/D24))</f>
        <v>-1.0020480698020879E-2</v>
      </c>
      <c r="E73" s="55">
        <f>IF(ISERROR(E72/E24),"-",(E72/E24))</f>
        <v>-0.18446701127581702</v>
      </c>
      <c r="F73" s="561"/>
      <c r="G73" s="55">
        <f>IF(ISERROR(G72/G24),"-",(G72/G24))</f>
        <v>0.13571720585605487</v>
      </c>
      <c r="H73" s="55">
        <f>IF(ISERROR(H72/H24),"-",(H72/H24))</f>
        <v>-7.1922283337388523E-2</v>
      </c>
      <c r="I73" s="561"/>
      <c r="J73" s="55">
        <f>IF(ISERROR(J72/J24),"-",(J72/J24))</f>
        <v>0.1461766441306</v>
      </c>
      <c r="K73" s="55">
        <f>IF(ISERROR(K72/K24),"-",(K72/K24))</f>
        <v>0.21325386458741044</v>
      </c>
      <c r="L73" s="561"/>
      <c r="M73" s="55">
        <f>IF(ISERROR(M72/M24),"-",(M72/M24))</f>
        <v>0.15137293782553649</v>
      </c>
      <c r="N73" s="55">
        <f>IF(ISERROR(N72/N24),"-",(N72/N24))</f>
        <v>8.9086739036294077E-2</v>
      </c>
      <c r="O73" s="561"/>
      <c r="P73" s="55">
        <f>IF(ISERROR(P72/P24),"-",(P72/P24))</f>
        <v>0.16717584267975436</v>
      </c>
      <c r="Q73" s="561"/>
      <c r="R73" s="561"/>
      <c r="S73" s="55">
        <f>IF(ISERROR(S72/S24),"-",(S72/S24))</f>
        <v>0.11831098794393777</v>
      </c>
      <c r="T73" s="561"/>
      <c r="U73" s="561"/>
      <c r="V73" s="55">
        <f>IF(ISERROR(V72/V24),"-",(V72/V24))</f>
        <v>9.9050938542933648E-2</v>
      </c>
      <c r="W73" s="561"/>
      <c r="X73" s="561"/>
      <c r="Y73" s="55">
        <f>IF(ISERROR(Y72/Y24),"-",(Y72/Y24))</f>
        <v>0.10667296330966239</v>
      </c>
      <c r="Z73" s="561"/>
      <c r="AA73" s="561"/>
      <c r="AB73" s="55">
        <f>IF(ISERROR(AB72/AB24),"-",(AB72/AB24))</f>
        <v>0.10252348093167722</v>
      </c>
      <c r="AC73" s="561"/>
      <c r="AD73" s="561"/>
      <c r="AE73" s="55">
        <f>IF(ISERROR(AE72/AE24),"-",(AE72/AE24))</f>
        <v>9.2635137183986721E-2</v>
      </c>
      <c r="AF73" s="561"/>
      <c r="AG73" s="561"/>
      <c r="AH73" s="55">
        <f>IF(ISERROR(AH72/AH24),"-",(AH72/AH24))</f>
        <v>0.14608897766897272</v>
      </c>
      <c r="AI73" s="561"/>
      <c r="AJ73" s="561"/>
      <c r="AK73" s="55">
        <f>IF(ISERROR(AK72/AK24),"-",(AK72/AK24))</f>
        <v>3.1358619280323866E-2</v>
      </c>
      <c r="AL73" s="561"/>
      <c r="AM73" s="561"/>
      <c r="AN73" s="573">
        <f>IF(ISERROR(AN72/AN24),"-",(AN72/AN24))</f>
        <v>0.11368379665803509</v>
      </c>
      <c r="AO73" s="573">
        <f>IF(ISERROR(AO72/AO24),"-",(AO72/AO24))</f>
        <v>4.7504203731521998E-2</v>
      </c>
      <c r="AP73" s="561"/>
      <c r="AQ73" s="573">
        <f t="shared" si="8"/>
        <v>9.0624456429544656E-2</v>
      </c>
      <c r="AR73" s="573">
        <f t="shared" si="9"/>
        <v>-1.4378476675265031E-2</v>
      </c>
      <c r="AS73" s="573"/>
      <c r="AT73" s="573"/>
      <c r="AU73" s="1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</row>
    <row r="74" spans="1:59" ht="15" customHeight="1">
      <c r="AN74" s="11"/>
      <c r="AO74" s="11"/>
      <c r="AQ74" s="11"/>
      <c r="AU74" s="1"/>
    </row>
    <row r="75" spans="1:59" ht="15" customHeight="1">
      <c r="D75" s="536"/>
      <c r="AU75" s="1"/>
    </row>
    <row r="76" spans="1:59" ht="15" customHeight="1">
      <c r="AU76" s="1"/>
    </row>
    <row r="77" spans="1:59" ht="15" customHeight="1">
      <c r="AU77" s="1"/>
    </row>
    <row r="87" spans="1:42" ht="12.75" customHeight="1">
      <c r="A87" s="2" t="s">
        <v>52</v>
      </c>
      <c r="B87" s="1"/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P87" s="3"/>
    </row>
    <row r="88" spans="1:42" ht="12.75" customHeight="1">
      <c r="A88" s="2"/>
      <c r="B88" s="1"/>
      <c r="C88" s="1"/>
      <c r="D88" s="3"/>
      <c r="E88" s="3"/>
      <c r="F88" s="3"/>
      <c r="G88" s="3"/>
      <c r="H88" s="3"/>
      <c r="I88" s="3"/>
      <c r="J88" s="67"/>
      <c r="K88" s="6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P88" s="3"/>
    </row>
    <row r="89" spans="1:42" ht="12.75" customHeight="1">
      <c r="A89" s="2"/>
      <c r="B89" s="1"/>
      <c r="C89" s="6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P89" s="3"/>
    </row>
    <row r="90" spans="1:42" ht="12.75" customHeight="1">
      <c r="A90" s="2"/>
      <c r="B90" s="1"/>
      <c r="C90" s="6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P90" s="3"/>
    </row>
    <row r="91" spans="1:42" ht="12.75" customHeight="1">
      <c r="A91" s="2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P91" s="3"/>
    </row>
    <row r="92" spans="1:42" ht="12.75" customHeight="1">
      <c r="A92" s="2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P92" s="3"/>
    </row>
    <row r="93" spans="1:42" ht="12.75" customHeight="1">
      <c r="A93" s="2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P93" s="3"/>
    </row>
    <row r="94" spans="1:42" ht="12.75" customHeight="1">
      <c r="A94" s="2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P94" s="3"/>
    </row>
    <row r="95" spans="1:42" ht="12.75" customHeight="1">
      <c r="A95" s="2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P95" s="3"/>
    </row>
    <row r="96" spans="1:42" ht="12.75" hidden="1" customHeight="1">
      <c r="A96" s="16" t="s">
        <v>14</v>
      </c>
      <c r="B96" s="1"/>
      <c r="C96" s="69">
        <f>C10</f>
        <v>30776390.092980005</v>
      </c>
      <c r="D96" s="3">
        <f>D10</f>
        <v>1735932.5445000003</v>
      </c>
      <c r="E96" s="3"/>
      <c r="F96" s="3"/>
      <c r="G96" s="3">
        <f>G10</f>
        <v>2664597.0876000002</v>
      </c>
      <c r="H96" s="3"/>
      <c r="I96" s="3"/>
      <c r="J96" s="3">
        <f>J10</f>
        <v>2693404.6549199997</v>
      </c>
      <c r="K96" s="3"/>
      <c r="L96" s="3"/>
      <c r="M96" s="3">
        <f>M10</f>
        <v>2755196.8309200001</v>
      </c>
      <c r="N96" s="3"/>
      <c r="O96" s="3"/>
      <c r="P96" s="3">
        <f>P10</f>
        <v>3096722.9504400007</v>
      </c>
      <c r="Q96" s="3"/>
      <c r="R96" s="3"/>
      <c r="S96" s="3">
        <f>S10</f>
        <v>2625759.2271599998</v>
      </c>
      <c r="T96" s="3"/>
      <c r="U96" s="3"/>
      <c r="V96" s="3">
        <f>V10</f>
        <v>2533832.6242799996</v>
      </c>
      <c r="W96" s="3"/>
      <c r="X96" s="3"/>
      <c r="Y96" s="3">
        <f>Y10</f>
        <v>2591840.1211200007</v>
      </c>
      <c r="Z96" s="3"/>
      <c r="AA96" s="3"/>
      <c r="AB96" s="3">
        <f>AB10</f>
        <v>2559935.12256</v>
      </c>
      <c r="AC96" s="3"/>
      <c r="AD96" s="3"/>
      <c r="AE96" s="3">
        <f>AE10</f>
        <v>2486980.5461999997</v>
      </c>
      <c r="AF96" s="3"/>
      <c r="AG96" s="3"/>
      <c r="AH96" s="3">
        <f>AH10</f>
        <v>2939888.3158800001</v>
      </c>
      <c r="AI96" s="3"/>
      <c r="AJ96" s="3"/>
      <c r="AK96" s="3">
        <f>AK10</f>
        <v>2092300.0674000001</v>
      </c>
      <c r="AL96" s="3"/>
      <c r="AM96" s="3"/>
      <c r="AP96" s="3"/>
    </row>
    <row r="97" spans="1:42" ht="12.75" hidden="1" customHeight="1">
      <c r="A97" s="16" t="s">
        <v>24</v>
      </c>
      <c r="B97" s="1"/>
      <c r="C97" s="69">
        <f>C24</f>
        <v>28422610.774057351</v>
      </c>
      <c r="D97" s="3">
        <f>D24</f>
        <v>1603133.7048457502</v>
      </c>
      <c r="E97" s="3"/>
      <c r="F97" s="3"/>
      <c r="G97" s="3">
        <f>G24</f>
        <v>2460755.4103986002</v>
      </c>
      <c r="H97" s="3"/>
      <c r="I97" s="3"/>
      <c r="J97" s="3">
        <f>J24</f>
        <v>2487973.7220089398</v>
      </c>
      <c r="K97" s="3"/>
      <c r="L97" s="3"/>
      <c r="M97" s="3">
        <f>M24</f>
        <v>2544424.2733546202</v>
      </c>
      <c r="N97" s="3"/>
      <c r="O97" s="3"/>
      <c r="P97" s="3">
        <f>P24</f>
        <v>2859823.6447313409</v>
      </c>
      <c r="Q97" s="3"/>
      <c r="R97" s="3"/>
      <c r="S97" s="3">
        <f>S24</f>
        <v>2424888.6462822598</v>
      </c>
      <c r="T97" s="3"/>
      <c r="U97" s="3"/>
      <c r="V97" s="3">
        <f>V24</f>
        <v>2339994.4285225798</v>
      </c>
      <c r="W97" s="3"/>
      <c r="X97" s="3"/>
      <c r="Y97" s="3">
        <f>Y24</f>
        <v>2393564.3518543206</v>
      </c>
      <c r="Z97" s="3"/>
      <c r="AA97" s="3"/>
      <c r="AB97" s="3">
        <f>AB24</f>
        <v>2364100.0856841602</v>
      </c>
      <c r="AC97" s="3"/>
      <c r="AD97" s="3"/>
      <c r="AE97" s="3">
        <f>AE24</f>
        <v>2296726.5344157</v>
      </c>
      <c r="AF97" s="3"/>
      <c r="AG97" s="3"/>
      <c r="AH97" s="3">
        <f>AH24</f>
        <v>2714986.85971518</v>
      </c>
      <c r="AI97" s="3"/>
      <c r="AJ97" s="3"/>
      <c r="AK97" s="3">
        <f>AK24</f>
        <v>1932239.1122439001</v>
      </c>
      <c r="AL97" s="3"/>
      <c r="AM97" s="3"/>
      <c r="AP97" s="3"/>
    </row>
    <row r="98" spans="1:42" ht="12.75" hidden="1" customHeight="1">
      <c r="A98" s="2" t="s">
        <v>53</v>
      </c>
      <c r="B98" s="1"/>
      <c r="C98" s="69">
        <f>C26+C56+C65+C66+C69+C70+C71</f>
        <v>-25191420.470328938</v>
      </c>
      <c r="D98" s="3">
        <f>D26+D56+D65+D66+D69+D70+D71</f>
        <v>-1619197.8751915039</v>
      </c>
      <c r="E98" s="3"/>
      <c r="F98" s="3"/>
      <c r="G98" s="3">
        <f>G26+G56+G65+G66+G69+G70+G71</f>
        <v>-2126788.5618041325</v>
      </c>
      <c r="H98" s="3"/>
      <c r="I98" s="3"/>
      <c r="J98" s="3">
        <f>J26+J56+J65+J66+J69+J70+J71</f>
        <v>-2124290.0726405545</v>
      </c>
      <c r="K98" s="3"/>
      <c r="L98" s="3"/>
      <c r="M98" s="3">
        <f>M26+M56+M65+M66+M69+M70+M71</f>
        <v>-2159267.2960223253</v>
      </c>
      <c r="N98" s="3"/>
      <c r="O98" s="3"/>
      <c r="P98" s="3">
        <f>P26+P56+P65+P66+P69+P70+P71</f>
        <v>-2381730.2170078927</v>
      </c>
      <c r="Q98" s="3"/>
      <c r="R98" s="3"/>
      <c r="S98" s="3">
        <f>S26+S56+S65+S66+S69+S70+S71</f>
        <v>-2137997.674886568</v>
      </c>
      <c r="T98" s="3"/>
      <c r="U98" s="3"/>
      <c r="V98" s="3">
        <f>V26+V56+V65+V66+V69+V70+V71</f>
        <v>-2108215.7841921826</v>
      </c>
      <c r="W98" s="3"/>
      <c r="X98" s="3"/>
      <c r="Y98" s="3">
        <f>Y26+Y56+Y65+Y66+Y69+Y70+Y71</f>
        <v>-2138235.7495696489</v>
      </c>
      <c r="Z98" s="3"/>
      <c r="AA98" s="3"/>
      <c r="AB98" s="3">
        <f>AB26+AB56+AB65+AB66+AB69+AB70+AB71</f>
        <v>-2121724.3156289435</v>
      </c>
      <c r="AC98" s="3"/>
      <c r="AD98" s="3"/>
      <c r="AE98" s="3">
        <f>AE26+AE56+AE65+AE66+AE69+AE70+AE71</f>
        <v>-2083968.9568259993</v>
      </c>
      <c r="AF98" s="3"/>
      <c r="AG98" s="3"/>
      <c r="AH98" s="3">
        <f>AH26+AH56+AH65+AH66+AH69+AH70+AH71</f>
        <v>-2318357.2049946948</v>
      </c>
      <c r="AI98" s="3"/>
      <c r="AJ98" s="3"/>
      <c r="AK98" s="3">
        <f>AK26+AK56+AK65+AK66+AK69+AK70+AK71</f>
        <v>-1871646.7615644925</v>
      </c>
      <c r="AL98" s="3"/>
      <c r="AM98" s="3"/>
      <c r="AP98" s="3"/>
    </row>
    <row r="99" spans="1:42" ht="12.75" hidden="1" customHeight="1">
      <c r="A99" s="5" t="s">
        <v>54</v>
      </c>
      <c r="B99" s="1"/>
      <c r="C99" s="69">
        <f t="shared" ref="C99:AK99" si="61">C62</f>
        <v>3446568.8034991133</v>
      </c>
      <c r="D99" s="3">
        <f t="shared" si="61"/>
        <v>-3912.6425342535367</v>
      </c>
      <c r="E99" s="3"/>
      <c r="F99" s="3"/>
      <c r="G99" s="3">
        <f t="shared" si="61"/>
        <v>352619.02820766764</v>
      </c>
      <c r="H99" s="3"/>
      <c r="I99" s="3"/>
      <c r="J99" s="3">
        <f t="shared" si="61"/>
        <v>382481.25107266515</v>
      </c>
      <c r="K99" s="3"/>
      <c r="L99" s="3"/>
      <c r="M99" s="3">
        <f t="shared" si="61"/>
        <v>404443.35514873482</v>
      </c>
      <c r="N99" s="3"/>
      <c r="O99" s="3"/>
      <c r="P99" s="3">
        <f t="shared" si="61"/>
        <v>499770.48837652837</v>
      </c>
      <c r="Q99" s="3"/>
      <c r="R99" s="3"/>
      <c r="S99" s="3">
        <f t="shared" si="61"/>
        <v>305271.28598581202</v>
      </c>
      <c r="T99" s="3"/>
      <c r="U99" s="3"/>
      <c r="V99" s="3">
        <f t="shared" si="61"/>
        <v>249515.4727003572</v>
      </c>
      <c r="W99" s="3"/>
      <c r="X99" s="3"/>
      <c r="Y99" s="3">
        <f t="shared" si="61"/>
        <v>273471.48313251178</v>
      </c>
      <c r="Z99" s="3"/>
      <c r="AA99" s="3"/>
      <c r="AB99" s="3">
        <f t="shared" si="61"/>
        <v>260295.31591313647</v>
      </c>
      <c r="AC99" s="3"/>
      <c r="AD99" s="3"/>
      <c r="AE99" s="3">
        <f t="shared" si="61"/>
        <v>230166.44141310075</v>
      </c>
      <c r="AF99" s="3"/>
      <c r="AG99" s="3"/>
      <c r="AH99" s="3">
        <f t="shared" si="61"/>
        <v>417208.87293164525</v>
      </c>
      <c r="AI99" s="3"/>
      <c r="AJ99" s="3"/>
      <c r="AK99" s="3">
        <f t="shared" si="61"/>
        <v>75238.451151207439</v>
      </c>
      <c r="AL99" s="3"/>
      <c r="AM99" s="3"/>
      <c r="AP99" s="3"/>
    </row>
    <row r="100" spans="1:42" ht="12.75" hidden="1" customHeight="1">
      <c r="A100" s="70" t="s">
        <v>55</v>
      </c>
      <c r="B100" s="71"/>
      <c r="C100" s="72">
        <f t="shared" ref="C100:AK100" si="62">IF(ISERROR(C99/C97),0,(C99/C97))</f>
        <v>0.12126151362016885</v>
      </c>
      <c r="D100" s="72">
        <f t="shared" si="62"/>
        <v>-2.4406214668351708E-3</v>
      </c>
      <c r="E100" s="72"/>
      <c r="F100" s="72"/>
      <c r="G100" s="72">
        <f t="shared" si="62"/>
        <v>0.14329706508724058</v>
      </c>
      <c r="H100" s="72"/>
      <c r="I100" s="72"/>
      <c r="J100" s="72">
        <f t="shared" si="62"/>
        <v>0.15373203008101982</v>
      </c>
      <c r="K100" s="72"/>
      <c r="L100" s="72"/>
      <c r="M100" s="72">
        <f t="shared" si="62"/>
        <v>0.15895279705672222</v>
      </c>
      <c r="N100" s="72"/>
      <c r="O100" s="72"/>
      <c r="P100" s="72">
        <f t="shared" si="62"/>
        <v>0.17475570191094006</v>
      </c>
      <c r="Q100" s="72"/>
      <c r="R100" s="72"/>
      <c r="S100" s="72">
        <f t="shared" si="62"/>
        <v>0.12589084717512347</v>
      </c>
      <c r="T100" s="72"/>
      <c r="U100" s="72"/>
      <c r="V100" s="72">
        <f t="shared" si="62"/>
        <v>0.10663079777411935</v>
      </c>
      <c r="W100" s="72"/>
      <c r="X100" s="72"/>
      <c r="Y100" s="72">
        <f t="shared" si="62"/>
        <v>0.11425282254084809</v>
      </c>
      <c r="Z100" s="72"/>
      <c r="AA100" s="72"/>
      <c r="AB100" s="72">
        <f t="shared" si="62"/>
        <v>0.11010334016286291</v>
      </c>
      <c r="AC100" s="72"/>
      <c r="AD100" s="72"/>
      <c r="AE100" s="72">
        <f t="shared" si="62"/>
        <v>0.10021499641517242</v>
      </c>
      <c r="AF100" s="72"/>
      <c r="AG100" s="72"/>
      <c r="AH100" s="72">
        <f t="shared" si="62"/>
        <v>0.1536688369001584</v>
      </c>
      <c r="AI100" s="72"/>
      <c r="AJ100" s="72"/>
      <c r="AK100" s="72">
        <f t="shared" si="62"/>
        <v>3.8938478511509576E-2</v>
      </c>
      <c r="AL100" s="72"/>
      <c r="AM100" s="72"/>
      <c r="AP100" s="72"/>
    </row>
    <row r="101" spans="1:42" ht="12.75" hidden="1" customHeight="1">
      <c r="A101" s="16" t="s">
        <v>56</v>
      </c>
      <c r="B101" s="1"/>
      <c r="C101" s="69">
        <f t="shared" ref="C101:AK101" si="63">C97+C98</f>
        <v>3231190.3037284128</v>
      </c>
      <c r="D101" s="3">
        <f t="shared" si="63"/>
        <v>-16064.170345753664</v>
      </c>
      <c r="E101" s="3"/>
      <c r="F101" s="3"/>
      <c r="G101" s="3">
        <f t="shared" si="63"/>
        <v>333966.84859446762</v>
      </c>
      <c r="H101" s="3"/>
      <c r="I101" s="3"/>
      <c r="J101" s="3">
        <f t="shared" si="63"/>
        <v>363683.64936838532</v>
      </c>
      <c r="K101" s="3"/>
      <c r="L101" s="3"/>
      <c r="M101" s="3">
        <f t="shared" si="63"/>
        <v>385156.97733229492</v>
      </c>
      <c r="N101" s="3"/>
      <c r="O101" s="3"/>
      <c r="P101" s="3">
        <f t="shared" si="63"/>
        <v>478093.42772344826</v>
      </c>
      <c r="Q101" s="3"/>
      <c r="R101" s="3"/>
      <c r="S101" s="3">
        <f t="shared" si="63"/>
        <v>286890.97139569186</v>
      </c>
      <c r="T101" s="3"/>
      <c r="U101" s="3"/>
      <c r="V101" s="3">
        <f t="shared" si="63"/>
        <v>231778.64433039725</v>
      </c>
      <c r="W101" s="3"/>
      <c r="X101" s="3"/>
      <c r="Y101" s="3">
        <f t="shared" si="63"/>
        <v>255328.60228467174</v>
      </c>
      <c r="Z101" s="3"/>
      <c r="AA101" s="3"/>
      <c r="AB101" s="3">
        <f t="shared" si="63"/>
        <v>242375.77005521674</v>
      </c>
      <c r="AC101" s="3"/>
      <c r="AD101" s="3"/>
      <c r="AE101" s="3">
        <f t="shared" si="63"/>
        <v>212757.5775897007</v>
      </c>
      <c r="AF101" s="3"/>
      <c r="AG101" s="3"/>
      <c r="AH101" s="3">
        <f t="shared" si="63"/>
        <v>396629.65472048521</v>
      </c>
      <c r="AI101" s="3"/>
      <c r="AJ101" s="3"/>
      <c r="AK101" s="3">
        <f t="shared" si="63"/>
        <v>60592.350679407595</v>
      </c>
      <c r="AL101" s="3"/>
      <c r="AM101" s="3"/>
      <c r="AP101" s="3"/>
    </row>
    <row r="102" spans="1:42" ht="12.75" hidden="1" customHeight="1">
      <c r="A102" s="70" t="s">
        <v>57</v>
      </c>
      <c r="B102" s="71"/>
      <c r="C102" s="72">
        <f t="shared" ref="C102:AK102" si="64">IF(ISERROR(C101/C97),0,(C101/C97))</f>
        <v>0.11368379665803507</v>
      </c>
      <c r="D102" s="72">
        <f t="shared" si="64"/>
        <v>-1.0020480698020955E-2</v>
      </c>
      <c r="E102" s="72"/>
      <c r="F102" s="72"/>
      <c r="G102" s="72">
        <f t="shared" si="64"/>
        <v>0.13571720585605487</v>
      </c>
      <c r="H102" s="72"/>
      <c r="I102" s="72"/>
      <c r="J102" s="72">
        <f t="shared" si="64"/>
        <v>0.14617664413060008</v>
      </c>
      <c r="K102" s="72"/>
      <c r="L102" s="72"/>
      <c r="M102" s="72">
        <f t="shared" si="64"/>
        <v>0.15137293782553654</v>
      </c>
      <c r="N102" s="72"/>
      <c r="O102" s="72"/>
      <c r="P102" s="72">
        <f t="shared" si="64"/>
        <v>0.16717584267975433</v>
      </c>
      <c r="Q102" s="72"/>
      <c r="R102" s="72"/>
      <c r="S102" s="72">
        <f t="shared" si="64"/>
        <v>0.1183109879439377</v>
      </c>
      <c r="T102" s="72"/>
      <c r="U102" s="72"/>
      <c r="V102" s="72">
        <f t="shared" si="64"/>
        <v>9.9050938542933675E-2</v>
      </c>
      <c r="W102" s="72"/>
      <c r="X102" s="72"/>
      <c r="Y102" s="72">
        <f t="shared" si="64"/>
        <v>0.10667296330966237</v>
      </c>
      <c r="Z102" s="72"/>
      <c r="AA102" s="72"/>
      <c r="AB102" s="72">
        <f t="shared" si="64"/>
        <v>0.10252348093167733</v>
      </c>
      <c r="AC102" s="72"/>
      <c r="AD102" s="72"/>
      <c r="AE102" s="72">
        <f t="shared" si="64"/>
        <v>9.2635137183986693E-2</v>
      </c>
      <c r="AF102" s="72"/>
      <c r="AG102" s="72"/>
      <c r="AH102" s="72">
        <f t="shared" si="64"/>
        <v>0.14608897766897269</v>
      </c>
      <c r="AI102" s="72"/>
      <c r="AJ102" s="72"/>
      <c r="AK102" s="72">
        <f t="shared" si="64"/>
        <v>3.1358619280323949E-2</v>
      </c>
      <c r="AL102" s="72"/>
      <c r="AM102" s="72"/>
      <c r="AP102" s="72"/>
    </row>
    <row r="103" spans="1:42" ht="15" hidden="1" customHeight="1"/>
    <row r="104" spans="1:42" ht="15" hidden="1" customHeight="1"/>
    <row r="105" spans="1:42" ht="12.75" hidden="1" customHeight="1">
      <c r="J105" s="3">
        <f>J72-J101</f>
        <v>0</v>
      </c>
      <c r="K105" s="3"/>
    </row>
  </sheetData>
  <mergeCells count="14">
    <mergeCell ref="AK5:AL5"/>
    <mergeCell ref="AN5:AO5"/>
    <mergeCell ref="AQ5:AR5"/>
    <mergeCell ref="S5:T5"/>
    <mergeCell ref="V5:W5"/>
    <mergeCell ref="Y5:Z5"/>
    <mergeCell ref="AH5:AI5"/>
    <mergeCell ref="AE5:AF5"/>
    <mergeCell ref="AB5:AC5"/>
    <mergeCell ref="D5:E5"/>
    <mergeCell ref="G5:H5"/>
    <mergeCell ref="J5:K5"/>
    <mergeCell ref="M5:N5"/>
    <mergeCell ref="P5:Q5"/>
  </mergeCells>
  <pageMargins left="0.19685039370078741" right="0.19685039370078741" top="0.19685039370078741" bottom="0.19685039370078741" header="0" footer="0"/>
  <pageSetup paperSize="9" scale="48" orientation="landscape" r:id="rId1"/>
  <ignoredErrors>
    <ignoredError sqref="E8 E28 AN25:AN68 BI28 BK28:BK74 BM28:BM59 BN28 BN44:BN52 BN57:BN59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AC165"/>
  <sheetViews>
    <sheetView showGridLines="0" zoomScale="95" zoomScaleNormal="95" workbookViewId="0">
      <pane xSplit="2" ySplit="5" topLeftCell="C117" activePane="bottomRight" state="frozen"/>
      <selection pane="topRight" activeCell="B1" sqref="B1"/>
      <selection pane="bottomLeft" activeCell="A5" sqref="A5"/>
      <selection pane="bottomRight" activeCell="W104" sqref="W104"/>
    </sheetView>
  </sheetViews>
  <sheetFormatPr defaultColWidth="12.5703125" defaultRowHeight="15" customHeight="1" outlineLevelRow="1" outlineLevelCol="1"/>
  <cols>
    <col min="1" max="1" width="1.7109375" customWidth="1"/>
    <col min="2" max="2" width="36" customWidth="1"/>
    <col min="3" max="3" width="14.140625" hidden="1" customWidth="1"/>
    <col min="4" max="4" width="3" bestFit="1" customWidth="1"/>
    <col min="5" max="16" width="12.42578125" customWidth="1"/>
    <col min="17" max="17" width="0.85546875" customWidth="1"/>
    <col min="18" max="18" width="12.42578125" customWidth="1"/>
    <col min="19" max="19" width="1.42578125" customWidth="1"/>
    <col min="20" max="20" width="8.140625" hidden="1" customWidth="1" outlineLevel="1"/>
    <col min="21" max="21" width="6.42578125" hidden="1" customWidth="1" outlineLevel="1"/>
    <col min="22" max="22" width="3.7109375" hidden="1" customWidth="1" outlineLevel="1"/>
    <col min="23" max="23" width="12.42578125" customWidth="1" collapsed="1"/>
    <col min="24" max="29" width="12.42578125" customWidth="1"/>
  </cols>
  <sheetData>
    <row r="1" spans="2:21" ht="21" customHeight="1">
      <c r="B1" s="73"/>
      <c r="C1" s="74"/>
      <c r="D1" s="74"/>
      <c r="E1" s="862" t="s">
        <v>414</v>
      </c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1"/>
      <c r="T1" s="76"/>
    </row>
    <row r="2" spans="2:21" ht="8.25" customHeight="1">
      <c r="B2" s="73"/>
      <c r="C2" s="74"/>
      <c r="D2" s="74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1"/>
      <c r="T2" s="76"/>
    </row>
    <row r="3" spans="2:21" ht="27.75" customHeight="1">
      <c r="B3" s="73"/>
      <c r="C3" s="74"/>
      <c r="D3" s="74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1"/>
      <c r="T3" s="76"/>
    </row>
    <row r="4" spans="2:21" ht="7.5" customHeight="1">
      <c r="B4" s="78"/>
      <c r="C4" s="79"/>
      <c r="D4" s="79"/>
      <c r="E4" s="80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74"/>
      <c r="R4" s="82"/>
      <c r="S4" s="1"/>
      <c r="T4" s="76"/>
    </row>
    <row r="5" spans="2:21" ht="12.75" customHeight="1">
      <c r="B5" s="343" t="s">
        <v>58</v>
      </c>
      <c r="C5" s="344" t="s">
        <v>59</v>
      </c>
      <c r="D5" s="344"/>
      <c r="E5" s="487" t="s">
        <v>1277</v>
      </c>
      <c r="F5" s="487" t="s">
        <v>1278</v>
      </c>
      <c r="G5" s="487" t="s">
        <v>1279</v>
      </c>
      <c r="H5" s="487" t="s">
        <v>1280</v>
      </c>
      <c r="I5" s="487" t="s">
        <v>1281</v>
      </c>
      <c r="J5" s="487" t="s">
        <v>1282</v>
      </c>
      <c r="K5" s="487" t="s">
        <v>1283</v>
      </c>
      <c r="L5" s="487" t="s">
        <v>1284</v>
      </c>
      <c r="M5" s="487" t="s">
        <v>1285</v>
      </c>
      <c r="N5" s="487" t="s">
        <v>1286</v>
      </c>
      <c r="O5" s="487" t="s">
        <v>1287</v>
      </c>
      <c r="P5" s="487" t="s">
        <v>1288</v>
      </c>
      <c r="Q5" s="74"/>
      <c r="R5" s="346" t="s">
        <v>61</v>
      </c>
      <c r="S5" s="85"/>
      <c r="T5" s="86"/>
    </row>
    <row r="6" spans="2:21" ht="5.25" customHeight="1">
      <c r="B6" s="87"/>
      <c r="C6" s="76"/>
      <c r="D6" s="76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74"/>
      <c r="R6" s="89"/>
      <c r="S6" s="1"/>
      <c r="T6" s="76"/>
    </row>
    <row r="7" spans="2:21" ht="12.75" customHeight="1">
      <c r="B7" s="90" t="s">
        <v>12</v>
      </c>
      <c r="C7" s="91" t="s">
        <v>62</v>
      </c>
      <c r="D7" s="408"/>
      <c r="E7" s="92">
        <f>'Base Faturamento'!K6</f>
        <v>5786.4418150000001</v>
      </c>
      <c r="F7" s="92">
        <f>'Base Faturamento'!K7</f>
        <v>7860.1684000000005</v>
      </c>
      <c r="G7" s="92">
        <f>'Base Faturamento'!K8</f>
        <v>7921.4503599999998</v>
      </c>
      <c r="H7" s="92">
        <f>'Base Faturamento'!K9</f>
        <v>8127.4242800000002</v>
      </c>
      <c r="I7" s="92">
        <f>'Base Faturamento'!K10</f>
        <v>9134.8759600000012</v>
      </c>
      <c r="J7" s="92">
        <f>'Base Faturamento'!K11</f>
        <v>7745.6024399999997</v>
      </c>
      <c r="K7" s="92">
        <f>'Base Faturamento'!K12</f>
        <v>7474.4325200000003</v>
      </c>
      <c r="L7" s="92">
        <f>'Base Faturamento'!K13</f>
        <v>7645.5460800000001</v>
      </c>
      <c r="M7" s="92">
        <f>'Base Faturamento'!K14</f>
        <v>7551.4310399999995</v>
      </c>
      <c r="N7" s="92">
        <f>'Base Faturamento'!K15</f>
        <v>7336.2257999999993</v>
      </c>
      <c r="O7" s="92">
        <f>'Base Faturamento'!K16</f>
        <v>8672.2369199999994</v>
      </c>
      <c r="P7" s="92">
        <f>'Base Faturamento'!K17</f>
        <v>6171.9766</v>
      </c>
      <c r="Q7" s="74"/>
      <c r="R7" s="93">
        <f>SUM(E7:P7)</f>
        <v>91427.812214999998</v>
      </c>
      <c r="S7" s="94"/>
      <c r="T7" s="95"/>
    </row>
    <row r="8" spans="2:21" ht="13.5" customHeight="1">
      <c r="B8" s="96" t="s">
        <v>63</v>
      </c>
      <c r="C8" s="97" t="s">
        <v>62</v>
      </c>
      <c r="D8" s="97"/>
      <c r="E8" s="98">
        <f>E10/E7</f>
        <v>300</v>
      </c>
      <c r="F8" s="98">
        <f t="shared" ref="F8:P8" si="0">F10/F7</f>
        <v>300</v>
      </c>
      <c r="G8" s="98">
        <f t="shared" si="0"/>
        <v>300</v>
      </c>
      <c r="H8" s="98">
        <f t="shared" si="0"/>
        <v>300</v>
      </c>
      <c r="I8" s="98">
        <f t="shared" si="0"/>
        <v>300</v>
      </c>
      <c r="J8" s="98">
        <f t="shared" si="0"/>
        <v>300</v>
      </c>
      <c r="K8" s="98">
        <f t="shared" si="0"/>
        <v>300</v>
      </c>
      <c r="L8" s="98">
        <f t="shared" si="0"/>
        <v>300</v>
      </c>
      <c r="M8" s="98">
        <f t="shared" si="0"/>
        <v>300</v>
      </c>
      <c r="N8" s="98">
        <f t="shared" si="0"/>
        <v>300</v>
      </c>
      <c r="O8" s="98">
        <f t="shared" si="0"/>
        <v>300</v>
      </c>
      <c r="P8" s="98">
        <f t="shared" si="0"/>
        <v>300</v>
      </c>
      <c r="Q8" s="74"/>
      <c r="R8" s="98">
        <f t="shared" ref="R8" si="1">R11/R7</f>
        <v>336.53170041678004</v>
      </c>
      <c r="S8" s="99"/>
      <c r="T8" s="100"/>
    </row>
    <row r="9" spans="2:21" ht="4.5" customHeight="1">
      <c r="B9" s="78"/>
      <c r="C9" s="79"/>
      <c r="D9" s="79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74"/>
      <c r="R9" s="102"/>
      <c r="S9" s="99"/>
      <c r="T9" s="100"/>
    </row>
    <row r="10" spans="2:21" ht="13.5" customHeight="1">
      <c r="B10" s="103" t="s">
        <v>64</v>
      </c>
      <c r="C10" s="104" t="s">
        <v>65</v>
      </c>
      <c r="D10" s="409"/>
      <c r="E10" s="105">
        <f>'Base Faturamento'!I6</f>
        <v>1735932.5445000001</v>
      </c>
      <c r="F10" s="105">
        <f>'Base Faturamento'!I7</f>
        <v>2358050.52</v>
      </c>
      <c r="G10" s="105">
        <f>'Base Faturamento'!I8</f>
        <v>2376435.108</v>
      </c>
      <c r="H10" s="105">
        <f>'Base Faturamento'!I9</f>
        <v>2438227.284</v>
      </c>
      <c r="I10" s="105">
        <f>'Base Faturamento'!I10</f>
        <v>2740462.7880000002</v>
      </c>
      <c r="J10" s="105">
        <f>'Base Faturamento'!I11</f>
        <v>2323680.7319999998</v>
      </c>
      <c r="K10" s="105">
        <f>'Base Faturamento'!I12</f>
        <v>2242329.7560000001</v>
      </c>
      <c r="L10" s="105">
        <f>'Base Faturamento'!I13</f>
        <v>2293663.824</v>
      </c>
      <c r="M10" s="105">
        <f>'Base Faturamento'!I14</f>
        <v>2265429.3119999999</v>
      </c>
      <c r="N10" s="105">
        <f>'Base Faturamento'!I15</f>
        <v>2200867.7399999998</v>
      </c>
      <c r="O10" s="105">
        <f>'Base Faturamento'!I16</f>
        <v>2601671.0759999999</v>
      </c>
      <c r="P10" s="105">
        <f>'Base Faturamento'!I17</f>
        <v>1851592.98</v>
      </c>
      <c r="Q10" s="74"/>
      <c r="R10" s="106">
        <f t="shared" ref="R10:R19" si="2">SUM(E10:P10)</f>
        <v>27428343.664500002</v>
      </c>
      <c r="S10" s="1"/>
      <c r="T10" s="107"/>
    </row>
    <row r="11" spans="2:21" ht="13.5" customHeight="1">
      <c r="B11" s="501" t="s">
        <v>1741</v>
      </c>
      <c r="C11" s="347"/>
      <c r="D11" s="347"/>
      <c r="E11" s="345">
        <f>SUM(E13:E19)-E13</f>
        <v>1735932.5445000003</v>
      </c>
      <c r="F11" s="345">
        <f t="shared" ref="F11:P11" si="3">SUM(F13:F19)</f>
        <v>2664597.0876000002</v>
      </c>
      <c r="G11" s="345">
        <f t="shared" si="3"/>
        <v>2685371.6720399996</v>
      </c>
      <c r="H11" s="345">
        <f t="shared" si="3"/>
        <v>2755196.8309200001</v>
      </c>
      <c r="I11" s="345">
        <f t="shared" si="3"/>
        <v>3096722.9504400007</v>
      </c>
      <c r="J11" s="345">
        <f t="shared" si="3"/>
        <v>2625759.2271599998</v>
      </c>
      <c r="K11" s="345">
        <f t="shared" si="3"/>
        <v>2533832.6242799996</v>
      </c>
      <c r="L11" s="345">
        <f t="shared" si="3"/>
        <v>2591840.1211200007</v>
      </c>
      <c r="M11" s="345">
        <f t="shared" si="3"/>
        <v>2559935.12256</v>
      </c>
      <c r="N11" s="345">
        <f t="shared" si="3"/>
        <v>2486980.5461999997</v>
      </c>
      <c r="O11" s="345">
        <f t="shared" si="3"/>
        <v>2939888.3158800001</v>
      </c>
      <c r="P11" s="345">
        <f t="shared" si="3"/>
        <v>2092300.0674000001</v>
      </c>
      <c r="Q11" s="74"/>
      <c r="R11" s="345">
        <f t="shared" si="2"/>
        <v>30768357.110100001</v>
      </c>
      <c r="S11" s="1"/>
      <c r="T11" s="348">
        <f>SUM(T14:T19)</f>
        <v>1</v>
      </c>
      <c r="U11" s="337"/>
    </row>
    <row r="12" spans="2:21" ht="4.5" customHeight="1">
      <c r="B12" s="108"/>
      <c r="C12" s="109"/>
      <c r="D12" s="109"/>
      <c r="E12" s="653">
        <v>1735932.5445000001</v>
      </c>
      <c r="F12" s="653">
        <v>2358050.5200000005</v>
      </c>
      <c r="G12" s="653">
        <v>2376435.108</v>
      </c>
      <c r="H12" s="653">
        <v>2438227.284</v>
      </c>
      <c r="I12" s="653">
        <v>2740462.7880000006</v>
      </c>
      <c r="J12" s="653">
        <v>2323680.7320000003</v>
      </c>
      <c r="K12" s="653">
        <v>2242329.7559999996</v>
      </c>
      <c r="L12" s="653">
        <v>2293663.8240000005</v>
      </c>
      <c r="M12" s="653">
        <v>2265429.3119999999</v>
      </c>
      <c r="N12" s="653">
        <v>2200867.7399999998</v>
      </c>
      <c r="O12" s="653">
        <v>2601671.0759999999</v>
      </c>
      <c r="P12" s="653">
        <v>1851592.98</v>
      </c>
      <c r="Q12" s="74"/>
      <c r="R12" s="110"/>
      <c r="S12" s="1"/>
      <c r="T12" s="111"/>
    </row>
    <row r="13" spans="2:21" ht="13.5" customHeight="1">
      <c r="B13" s="649" t="s">
        <v>144</v>
      </c>
      <c r="C13" s="650"/>
      <c r="D13" s="650"/>
      <c r="E13" s="651">
        <f>E12*13%</f>
        <v>225671.23078500002</v>
      </c>
      <c r="F13" s="651">
        <f t="shared" ref="F13:P13" si="4">F12*13%</f>
        <v>306546.56760000007</v>
      </c>
      <c r="G13" s="651">
        <f t="shared" si="4"/>
        <v>308936.56404000003</v>
      </c>
      <c r="H13" s="651">
        <f t="shared" si="4"/>
        <v>316969.54691999999</v>
      </c>
      <c r="I13" s="651">
        <f t="shared" si="4"/>
        <v>356260.1624400001</v>
      </c>
      <c r="J13" s="651">
        <f t="shared" si="4"/>
        <v>302078.49516000005</v>
      </c>
      <c r="K13" s="651">
        <f t="shared" si="4"/>
        <v>291502.86827999994</v>
      </c>
      <c r="L13" s="651">
        <f t="shared" si="4"/>
        <v>298176.29712000006</v>
      </c>
      <c r="M13" s="651">
        <f t="shared" si="4"/>
        <v>294505.81056000001</v>
      </c>
      <c r="N13" s="651">
        <f t="shared" si="4"/>
        <v>286112.80619999999</v>
      </c>
      <c r="O13" s="651">
        <f t="shared" si="4"/>
        <v>338217.23988000001</v>
      </c>
      <c r="P13" s="651">
        <f t="shared" si="4"/>
        <v>240707.08740000002</v>
      </c>
      <c r="Q13" s="652"/>
      <c r="R13" s="117">
        <f t="shared" si="2"/>
        <v>3565684.6763850008</v>
      </c>
      <c r="S13" s="1"/>
      <c r="T13" s="114"/>
    </row>
    <row r="14" spans="2:21" ht="13.5" customHeight="1">
      <c r="B14" s="642" t="s">
        <v>15</v>
      </c>
      <c r="C14" s="643" t="s">
        <v>62</v>
      </c>
      <c r="D14" s="643"/>
      <c r="E14" s="423">
        <f t="shared" ref="E14:P19" si="5">E$10*$T14</f>
        <v>34718.650890000004</v>
      </c>
      <c r="F14" s="423">
        <f t="shared" si="5"/>
        <v>47161.010399999999</v>
      </c>
      <c r="G14" s="423">
        <f t="shared" si="5"/>
        <v>47528.702160000001</v>
      </c>
      <c r="H14" s="423">
        <f t="shared" si="5"/>
        <v>48764.545680000003</v>
      </c>
      <c r="I14" s="423">
        <f t="shared" si="5"/>
        <v>54809.255760000007</v>
      </c>
      <c r="J14" s="423">
        <f t="shared" si="5"/>
        <v>46473.61464</v>
      </c>
      <c r="K14" s="423">
        <f t="shared" si="5"/>
        <v>44846.595120000005</v>
      </c>
      <c r="L14" s="423">
        <f t="shared" si="5"/>
        <v>45873.27648</v>
      </c>
      <c r="M14" s="423">
        <f t="shared" si="5"/>
        <v>45308.586239999997</v>
      </c>
      <c r="N14" s="423">
        <f t="shared" si="5"/>
        <v>44017.354799999994</v>
      </c>
      <c r="O14" s="423">
        <f t="shared" si="5"/>
        <v>52033.421519999996</v>
      </c>
      <c r="P14" s="423">
        <f t="shared" si="5"/>
        <v>37031.859600000003</v>
      </c>
      <c r="Q14" s="648"/>
      <c r="R14" s="423">
        <f t="shared" si="2"/>
        <v>548566.8732899999</v>
      </c>
      <c r="S14" s="1"/>
      <c r="T14" s="114">
        <v>0.02</v>
      </c>
    </row>
    <row r="15" spans="2:21" ht="13.5" customHeight="1">
      <c r="B15" s="115" t="s">
        <v>16</v>
      </c>
      <c r="C15" s="116" t="s">
        <v>62</v>
      </c>
      <c r="D15" s="410"/>
      <c r="E15" s="117">
        <f t="shared" si="5"/>
        <v>121515.27811500002</v>
      </c>
      <c r="F15" s="117">
        <f t="shared" si="5"/>
        <v>165063.53640000001</v>
      </c>
      <c r="G15" s="117">
        <f t="shared" si="5"/>
        <v>166350.45756000001</v>
      </c>
      <c r="H15" s="117">
        <f t="shared" si="5"/>
        <v>170675.90988000002</v>
      </c>
      <c r="I15" s="117">
        <f t="shared" si="5"/>
        <v>191832.39516000004</v>
      </c>
      <c r="J15" s="117">
        <f t="shared" si="5"/>
        <v>162657.65124000001</v>
      </c>
      <c r="K15" s="117">
        <f t="shared" si="5"/>
        <v>156963.08292000002</v>
      </c>
      <c r="L15" s="117">
        <f t="shared" si="5"/>
        <v>160556.46768000003</v>
      </c>
      <c r="M15" s="117">
        <f t="shared" si="5"/>
        <v>158580.05184</v>
      </c>
      <c r="N15" s="117">
        <f t="shared" si="5"/>
        <v>154060.74179999999</v>
      </c>
      <c r="O15" s="117">
        <f t="shared" si="5"/>
        <v>182116.97532</v>
      </c>
      <c r="P15" s="117">
        <f t="shared" si="5"/>
        <v>129611.50860000002</v>
      </c>
      <c r="Q15" s="74"/>
      <c r="R15" s="117">
        <f t="shared" si="2"/>
        <v>1919984.0565150003</v>
      </c>
      <c r="S15" s="1"/>
      <c r="T15" s="118">
        <v>7.0000000000000007E-2</v>
      </c>
    </row>
    <row r="16" spans="2:21" ht="13.5" customHeight="1">
      <c r="B16" s="115" t="s">
        <v>17</v>
      </c>
      <c r="C16" s="116" t="s">
        <v>62</v>
      </c>
      <c r="D16" s="410"/>
      <c r="E16" s="117">
        <f t="shared" si="5"/>
        <v>1138771.7491920001</v>
      </c>
      <c r="F16" s="117">
        <f t="shared" si="5"/>
        <v>1546881.14112</v>
      </c>
      <c r="G16" s="117">
        <f t="shared" si="5"/>
        <v>1558941.4308480001</v>
      </c>
      <c r="H16" s="117">
        <f t="shared" si="5"/>
        <v>1599477.098304</v>
      </c>
      <c r="I16" s="117">
        <f t="shared" si="5"/>
        <v>1797743.5889280003</v>
      </c>
      <c r="J16" s="117">
        <f t="shared" si="5"/>
        <v>1524334.5601919999</v>
      </c>
      <c r="K16" s="117">
        <f t="shared" si="5"/>
        <v>1470968.319936</v>
      </c>
      <c r="L16" s="117">
        <f t="shared" si="5"/>
        <v>1504643.4685440001</v>
      </c>
      <c r="M16" s="117">
        <f t="shared" si="5"/>
        <v>1486121.628672</v>
      </c>
      <c r="N16" s="117">
        <f t="shared" si="5"/>
        <v>1443769.2374399998</v>
      </c>
      <c r="O16" s="117">
        <f t="shared" si="5"/>
        <v>1706696.2258560001</v>
      </c>
      <c r="P16" s="117">
        <f t="shared" si="5"/>
        <v>1214644.9948800001</v>
      </c>
      <c r="Q16" s="74"/>
      <c r="R16" s="117">
        <f t="shared" si="2"/>
        <v>17992993.443911999</v>
      </c>
      <c r="S16" s="1"/>
      <c r="T16" s="119">
        <v>0.65600000000000003</v>
      </c>
    </row>
    <row r="17" spans="2:22" ht="13.5" customHeight="1">
      <c r="B17" s="115" t="s">
        <v>18</v>
      </c>
      <c r="C17" s="116" t="s">
        <v>62</v>
      </c>
      <c r="D17" s="410"/>
      <c r="E17" s="117">
        <f t="shared" si="5"/>
        <v>173593.25445000001</v>
      </c>
      <c r="F17" s="117">
        <f t="shared" si="5"/>
        <v>235805.05200000003</v>
      </c>
      <c r="G17" s="117">
        <f t="shared" si="5"/>
        <v>237643.51080000002</v>
      </c>
      <c r="H17" s="117">
        <f t="shared" si="5"/>
        <v>243822.72840000002</v>
      </c>
      <c r="I17" s="117">
        <f t="shared" si="5"/>
        <v>274046.27880000003</v>
      </c>
      <c r="J17" s="117">
        <f t="shared" si="5"/>
        <v>232368.07319999998</v>
      </c>
      <c r="K17" s="117">
        <f t="shared" si="5"/>
        <v>224232.97560000001</v>
      </c>
      <c r="L17" s="117">
        <f t="shared" si="5"/>
        <v>229366.3824</v>
      </c>
      <c r="M17" s="117">
        <f t="shared" si="5"/>
        <v>226542.93119999999</v>
      </c>
      <c r="N17" s="117">
        <f t="shared" si="5"/>
        <v>220086.77399999998</v>
      </c>
      <c r="O17" s="117">
        <f t="shared" si="5"/>
        <v>260167.10759999999</v>
      </c>
      <c r="P17" s="117">
        <f t="shared" si="5"/>
        <v>185159.29800000001</v>
      </c>
      <c r="Q17" s="74"/>
      <c r="R17" s="117">
        <f t="shared" si="2"/>
        <v>2742834.3664500001</v>
      </c>
      <c r="S17" s="1"/>
      <c r="T17" s="119">
        <v>0.1</v>
      </c>
    </row>
    <row r="18" spans="2:22" ht="13.5" customHeight="1">
      <c r="B18" s="115" t="s">
        <v>19</v>
      </c>
      <c r="C18" s="116" t="s">
        <v>62</v>
      </c>
      <c r="D18" s="410"/>
      <c r="E18" s="117">
        <f t="shared" si="5"/>
        <v>260389.88167500001</v>
      </c>
      <c r="F18" s="117">
        <f t="shared" si="5"/>
        <v>353707.57799999998</v>
      </c>
      <c r="G18" s="117">
        <f t="shared" si="5"/>
        <v>356465.26620000001</v>
      </c>
      <c r="H18" s="117">
        <f t="shared" si="5"/>
        <v>365734.09259999997</v>
      </c>
      <c r="I18" s="117">
        <f t="shared" si="5"/>
        <v>411069.41820000001</v>
      </c>
      <c r="J18" s="117">
        <f t="shared" si="5"/>
        <v>348552.10979999998</v>
      </c>
      <c r="K18" s="117">
        <f t="shared" si="5"/>
        <v>336349.46340000001</v>
      </c>
      <c r="L18" s="117">
        <f t="shared" si="5"/>
        <v>344049.5736</v>
      </c>
      <c r="M18" s="117">
        <f t="shared" si="5"/>
        <v>339814.39679999999</v>
      </c>
      <c r="N18" s="117">
        <f t="shared" si="5"/>
        <v>330130.16099999996</v>
      </c>
      <c r="O18" s="117">
        <f t="shared" si="5"/>
        <v>390250.66139999998</v>
      </c>
      <c r="P18" s="117">
        <f t="shared" si="5"/>
        <v>277738.94699999999</v>
      </c>
      <c r="Q18" s="74"/>
      <c r="R18" s="117">
        <f t="shared" si="2"/>
        <v>4114251.5496750004</v>
      </c>
      <c r="S18" s="1"/>
      <c r="T18" s="119">
        <v>0.15</v>
      </c>
    </row>
    <row r="19" spans="2:22" ht="13.5" customHeight="1">
      <c r="B19" s="392" t="s">
        <v>548</v>
      </c>
      <c r="C19" s="121" t="s">
        <v>62</v>
      </c>
      <c r="D19" s="121"/>
      <c r="E19" s="122">
        <f t="shared" si="5"/>
        <v>6943.7301780000007</v>
      </c>
      <c r="F19" s="122">
        <f t="shared" si="5"/>
        <v>9432.2020800000009</v>
      </c>
      <c r="G19" s="122">
        <f t="shared" si="5"/>
        <v>9505.7404320000005</v>
      </c>
      <c r="H19" s="122">
        <f t="shared" si="5"/>
        <v>9752.9091360000002</v>
      </c>
      <c r="I19" s="122">
        <f t="shared" si="5"/>
        <v>10961.851152000001</v>
      </c>
      <c r="J19" s="122">
        <f t="shared" si="5"/>
        <v>9294.7229279999992</v>
      </c>
      <c r="K19" s="122">
        <f t="shared" si="5"/>
        <v>8969.3190240000004</v>
      </c>
      <c r="L19" s="122">
        <f t="shared" si="5"/>
        <v>9174.6552960000008</v>
      </c>
      <c r="M19" s="122">
        <f t="shared" si="5"/>
        <v>9061.717247999999</v>
      </c>
      <c r="N19" s="122">
        <f t="shared" si="5"/>
        <v>8803.4709599999987</v>
      </c>
      <c r="O19" s="122">
        <f t="shared" si="5"/>
        <v>10406.684304</v>
      </c>
      <c r="P19" s="122">
        <f t="shared" si="5"/>
        <v>7406.3719200000005</v>
      </c>
      <c r="Q19" s="74"/>
      <c r="R19" s="123">
        <f t="shared" si="2"/>
        <v>109713.37465799999</v>
      </c>
      <c r="S19" s="1"/>
      <c r="T19" s="124">
        <v>4.0000000000000001E-3</v>
      </c>
      <c r="U19" s="99"/>
    </row>
    <row r="20" spans="2:22" ht="4.5" customHeight="1">
      <c r="B20" s="87"/>
      <c r="C20" s="125"/>
      <c r="D20" s="125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74"/>
      <c r="R20" s="101"/>
      <c r="S20" s="1"/>
      <c r="T20" s="107"/>
      <c r="U20" s="99"/>
    </row>
    <row r="21" spans="2:22" ht="13.5" customHeight="1">
      <c r="B21" s="475" t="s">
        <v>67</v>
      </c>
      <c r="C21" s="344"/>
      <c r="D21" s="344"/>
      <c r="E21" s="345">
        <f t="shared" ref="E21:P21" si="6">SUM(E22:E29)</f>
        <v>-184265.56202484999</v>
      </c>
      <c r="F21" s="345">
        <f t="shared" si="6"/>
        <v>-276922.00575820002</v>
      </c>
      <c r="G21" s="345">
        <f t="shared" si="6"/>
        <v>-279096.62674977997</v>
      </c>
      <c r="H21" s="345">
        <f t="shared" si="6"/>
        <v>-286405.71428794001</v>
      </c>
      <c r="I21" s="345">
        <f t="shared" si="6"/>
        <v>-322155.64087858004</v>
      </c>
      <c r="J21" s="345">
        <f t="shared" si="6"/>
        <v>-272856.57538462</v>
      </c>
      <c r="K21" s="345">
        <f t="shared" si="6"/>
        <v>-263233.97518845997</v>
      </c>
      <c r="L21" s="345">
        <f t="shared" si="6"/>
        <v>-269306.02542184008</v>
      </c>
      <c r="M21" s="345">
        <f t="shared" si="6"/>
        <v>-265966.30616991996</v>
      </c>
      <c r="N21" s="345">
        <f t="shared" si="6"/>
        <v>-258329.64062589995</v>
      </c>
      <c r="O21" s="345">
        <f t="shared" si="6"/>
        <v>-305738.66322465998</v>
      </c>
      <c r="P21" s="345">
        <f t="shared" si="6"/>
        <v>-217015.67563930003</v>
      </c>
      <c r="Q21" s="74"/>
      <c r="R21" s="345">
        <f t="shared" ref="R21:R29" si="7">SUM(E21:P21)</f>
        <v>-3201292.41135405</v>
      </c>
      <c r="S21" s="1"/>
      <c r="T21" s="348" t="s">
        <v>68</v>
      </c>
      <c r="U21" s="1"/>
    </row>
    <row r="22" spans="2:22" ht="13.5" customHeight="1">
      <c r="B22" s="127" t="s">
        <v>69</v>
      </c>
      <c r="C22" s="128" t="s">
        <v>70</v>
      </c>
      <c r="D22" s="411"/>
      <c r="E22" s="129">
        <f t="shared" ref="E22:P22" si="8">-(E11*$T$22)</f>
        <v>-69437.301780000009</v>
      </c>
      <c r="F22" s="129">
        <f t="shared" si="8"/>
        <v>-106583.88350400001</v>
      </c>
      <c r="G22" s="129">
        <f t="shared" si="8"/>
        <v>-107414.86688159998</v>
      </c>
      <c r="H22" s="129">
        <f t="shared" si="8"/>
        <v>-110207.87323680001</v>
      </c>
      <c r="I22" s="129">
        <f t="shared" si="8"/>
        <v>-123868.91801760004</v>
      </c>
      <c r="J22" s="129">
        <f t="shared" si="8"/>
        <v>-105030.36908639999</v>
      </c>
      <c r="K22" s="129">
        <f t="shared" si="8"/>
        <v>-101353.30497119999</v>
      </c>
      <c r="L22" s="129">
        <f t="shared" si="8"/>
        <v>-103673.60484480004</v>
      </c>
      <c r="M22" s="129">
        <f t="shared" si="8"/>
        <v>-102397.4049024</v>
      </c>
      <c r="N22" s="129">
        <f t="shared" si="8"/>
        <v>-99479.221847999986</v>
      </c>
      <c r="O22" s="129">
        <f t="shared" si="8"/>
        <v>-117595.53263520001</v>
      </c>
      <c r="P22" s="129">
        <f t="shared" si="8"/>
        <v>-83692.00269600001</v>
      </c>
      <c r="Q22" s="74"/>
      <c r="R22" s="129">
        <f t="shared" si="7"/>
        <v>-1230734.284404</v>
      </c>
      <c r="S22" s="1"/>
      <c r="T22" s="130">
        <v>0.04</v>
      </c>
      <c r="U22" s="1"/>
    </row>
    <row r="23" spans="2:22" ht="13.5" customHeight="1">
      <c r="B23" s="127" t="s">
        <v>71</v>
      </c>
      <c r="C23" s="128" t="s">
        <v>72</v>
      </c>
      <c r="D23" s="411"/>
      <c r="E23" s="129">
        <f t="shared" ref="E23:P23" si="9">-(E11*$T$23)</f>
        <v>-52077.976335000007</v>
      </c>
      <c r="F23" s="129">
        <f t="shared" si="9"/>
        <v>-79937.912628000005</v>
      </c>
      <c r="G23" s="129">
        <f t="shared" si="9"/>
        <v>-80561.150161199985</v>
      </c>
      <c r="H23" s="129">
        <f t="shared" si="9"/>
        <v>-82655.904927600001</v>
      </c>
      <c r="I23" s="129">
        <f t="shared" si="9"/>
        <v>-92901.688513200017</v>
      </c>
      <c r="J23" s="129">
        <f t="shared" si="9"/>
        <v>-78772.776814799989</v>
      </c>
      <c r="K23" s="129">
        <f t="shared" si="9"/>
        <v>-76014.97872839999</v>
      </c>
      <c r="L23" s="129">
        <f t="shared" si="9"/>
        <v>-77755.203633600016</v>
      </c>
      <c r="M23" s="129">
        <f t="shared" si="9"/>
        <v>-76798.053676800002</v>
      </c>
      <c r="N23" s="129">
        <f t="shared" si="9"/>
        <v>-74609.416385999983</v>
      </c>
      <c r="O23" s="129">
        <f t="shared" si="9"/>
        <v>-88196.649476399994</v>
      </c>
      <c r="P23" s="129">
        <f t="shared" si="9"/>
        <v>-62769.002022000001</v>
      </c>
      <c r="Q23" s="74"/>
      <c r="R23" s="117">
        <f t="shared" si="7"/>
        <v>-923050.71330300008</v>
      </c>
      <c r="S23" s="1"/>
      <c r="T23" s="131">
        <v>0.03</v>
      </c>
      <c r="U23" s="1"/>
    </row>
    <row r="24" spans="2:22" ht="13.5" customHeight="1">
      <c r="B24" s="132" t="s">
        <v>73</v>
      </c>
      <c r="C24" s="133" t="s">
        <v>74</v>
      </c>
      <c r="D24" s="133"/>
      <c r="E24" s="117">
        <f t="shared" ref="E24:P24" si="10">-E11*$T$24</f>
        <v>-11283.561539250002</v>
      </c>
      <c r="F24" s="117">
        <f t="shared" si="10"/>
        <v>-17319.881069400002</v>
      </c>
      <c r="G24" s="117">
        <f t="shared" si="10"/>
        <v>-17454.915868259995</v>
      </c>
      <c r="H24" s="117">
        <f t="shared" si="10"/>
        <v>-17908.779400979998</v>
      </c>
      <c r="I24" s="117">
        <f t="shared" si="10"/>
        <v>-20128.699177860002</v>
      </c>
      <c r="J24" s="117">
        <f t="shared" si="10"/>
        <v>-17067.434976539997</v>
      </c>
      <c r="K24" s="117">
        <f t="shared" si="10"/>
        <v>-16469.912057819998</v>
      </c>
      <c r="L24" s="117">
        <f t="shared" si="10"/>
        <v>-16846.960787280004</v>
      </c>
      <c r="M24" s="117">
        <f t="shared" si="10"/>
        <v>-16639.57829664</v>
      </c>
      <c r="N24" s="117">
        <f t="shared" si="10"/>
        <v>-16165.373550299997</v>
      </c>
      <c r="O24" s="117">
        <f t="shared" si="10"/>
        <v>-19109.27405322</v>
      </c>
      <c r="P24" s="117">
        <f t="shared" si="10"/>
        <v>-13599.950438100001</v>
      </c>
      <c r="Q24" s="74"/>
      <c r="R24" s="117">
        <f t="shared" si="7"/>
        <v>-199994.32121565001</v>
      </c>
      <c r="S24" s="1"/>
      <c r="T24" s="134">
        <v>6.4999999999999997E-3</v>
      </c>
      <c r="U24" s="1"/>
    </row>
    <row r="25" spans="2:22" ht="13.5" hidden="1" customHeight="1">
      <c r="B25" s="132" t="s">
        <v>75</v>
      </c>
      <c r="C25" s="133" t="s">
        <v>76</v>
      </c>
      <c r="D25" s="133"/>
      <c r="E25" s="117">
        <f t="shared" ref="E25:P25" si="11">-E11*$T$25</f>
        <v>0</v>
      </c>
      <c r="F25" s="117">
        <f t="shared" si="11"/>
        <v>0</v>
      </c>
      <c r="G25" s="117">
        <f t="shared" si="11"/>
        <v>0</v>
      </c>
      <c r="H25" s="117">
        <f t="shared" si="11"/>
        <v>0</v>
      </c>
      <c r="I25" s="117">
        <f t="shared" si="11"/>
        <v>0</v>
      </c>
      <c r="J25" s="117">
        <f t="shared" si="11"/>
        <v>0</v>
      </c>
      <c r="K25" s="117">
        <f t="shared" si="11"/>
        <v>0</v>
      </c>
      <c r="L25" s="117">
        <f t="shared" si="11"/>
        <v>0</v>
      </c>
      <c r="M25" s="117">
        <f t="shared" si="11"/>
        <v>0</v>
      </c>
      <c r="N25" s="117">
        <f t="shared" si="11"/>
        <v>0</v>
      </c>
      <c r="O25" s="117">
        <f t="shared" si="11"/>
        <v>0</v>
      </c>
      <c r="P25" s="117">
        <f t="shared" si="11"/>
        <v>0</v>
      </c>
      <c r="Q25" s="74"/>
      <c r="R25" s="117">
        <f t="shared" si="7"/>
        <v>0</v>
      </c>
      <c r="S25" s="1"/>
      <c r="T25" s="134">
        <v>0</v>
      </c>
      <c r="U25" s="1"/>
    </row>
    <row r="26" spans="2:22" ht="13.5" customHeight="1">
      <c r="B26" s="132" t="s">
        <v>77</v>
      </c>
      <c r="C26" s="133" t="s">
        <v>78</v>
      </c>
      <c r="D26" s="133"/>
      <c r="E26" s="117">
        <f t="shared" ref="E26:P26" si="12">-((E10*$T$26)*$U$26)-E158</f>
        <v>-32718.650890000004</v>
      </c>
      <c r="F26" s="117">
        <f t="shared" si="12"/>
        <v>-47613.382940800002</v>
      </c>
      <c r="G26" s="117">
        <f t="shared" si="12"/>
        <v>-48000.194672319994</v>
      </c>
      <c r="H26" s="117">
        <f t="shared" si="12"/>
        <v>-49300.302055360007</v>
      </c>
      <c r="I26" s="117">
        <f t="shared" si="12"/>
        <v>-55659.33705952001</v>
      </c>
      <c r="J26" s="117">
        <f t="shared" si="12"/>
        <v>-46890.242601279999</v>
      </c>
      <c r="K26" s="117">
        <f t="shared" si="12"/>
        <v>-45178.61806624</v>
      </c>
      <c r="L26" s="117">
        <f t="shared" si="12"/>
        <v>-46258.686856960005</v>
      </c>
      <c r="M26" s="117">
        <f t="shared" si="12"/>
        <v>-45664.632724479998</v>
      </c>
      <c r="N26" s="117">
        <f t="shared" si="12"/>
        <v>-44306.257249599992</v>
      </c>
      <c r="O26" s="117">
        <f t="shared" si="12"/>
        <v>-52739.159439039999</v>
      </c>
      <c r="P26" s="117">
        <f t="shared" si="12"/>
        <v>-36957.516299200004</v>
      </c>
      <c r="Q26" s="74"/>
      <c r="R26" s="117">
        <f t="shared" si="7"/>
        <v>-551286.98085479997</v>
      </c>
      <c r="S26" s="1"/>
      <c r="T26" s="134">
        <v>0.08</v>
      </c>
      <c r="U26" s="352">
        <v>0.15</v>
      </c>
    </row>
    <row r="27" spans="2:22" ht="13.5" customHeight="1">
      <c r="B27" s="132" t="s">
        <v>79</v>
      </c>
      <c r="C27" s="133" t="s">
        <v>80</v>
      </c>
      <c r="D27" s="133"/>
      <c r="E27" s="117">
        <f t="shared" ref="E27:P27" si="13">-(E10*$T$27)*$U$27</f>
        <v>-18748.0714806</v>
      </c>
      <c r="F27" s="117">
        <f t="shared" si="13"/>
        <v>-25466.945615999997</v>
      </c>
      <c r="G27" s="117">
        <f t="shared" si="13"/>
        <v>-25665.499166399997</v>
      </c>
      <c r="H27" s="117">
        <f t="shared" si="13"/>
        <v>-26332.854667199997</v>
      </c>
      <c r="I27" s="117">
        <f t="shared" si="13"/>
        <v>-29596.9981104</v>
      </c>
      <c r="J27" s="117">
        <f t="shared" si="13"/>
        <v>-25095.751905599995</v>
      </c>
      <c r="K27" s="117">
        <f t="shared" si="13"/>
        <v>-24217.161364800002</v>
      </c>
      <c r="L27" s="117">
        <f t="shared" si="13"/>
        <v>-24771.5692992</v>
      </c>
      <c r="M27" s="117">
        <f t="shared" si="13"/>
        <v>-24466.636569599996</v>
      </c>
      <c r="N27" s="117">
        <f t="shared" si="13"/>
        <v>-23769.371591999996</v>
      </c>
      <c r="O27" s="117">
        <f t="shared" si="13"/>
        <v>-28098.047620799996</v>
      </c>
      <c r="P27" s="117">
        <f t="shared" si="13"/>
        <v>-19997.204183999998</v>
      </c>
      <c r="Q27" s="74"/>
      <c r="R27" s="117">
        <f t="shared" si="7"/>
        <v>-296226.11157659994</v>
      </c>
      <c r="S27" s="1"/>
      <c r="T27" s="134">
        <v>0.12</v>
      </c>
      <c r="U27" s="353">
        <v>0.09</v>
      </c>
    </row>
    <row r="28" spans="2:22" ht="13.5" hidden="1" customHeight="1">
      <c r="B28" s="135" t="s">
        <v>77</v>
      </c>
      <c r="C28" s="136" t="s">
        <v>81</v>
      </c>
      <c r="D28" s="412"/>
      <c r="E28" s="117">
        <f t="shared" ref="E28:P28" si="14">-E15*$T$25</f>
        <v>0</v>
      </c>
      <c r="F28" s="117">
        <f t="shared" si="14"/>
        <v>0</v>
      </c>
      <c r="G28" s="117">
        <f t="shared" si="14"/>
        <v>0</v>
      </c>
      <c r="H28" s="117">
        <f t="shared" si="14"/>
        <v>0</v>
      </c>
      <c r="I28" s="117">
        <f t="shared" si="14"/>
        <v>0</v>
      </c>
      <c r="J28" s="117">
        <f t="shared" si="14"/>
        <v>0</v>
      </c>
      <c r="K28" s="117">
        <f t="shared" si="14"/>
        <v>0</v>
      </c>
      <c r="L28" s="117">
        <f t="shared" si="14"/>
        <v>0</v>
      </c>
      <c r="M28" s="117">
        <f t="shared" si="14"/>
        <v>0</v>
      </c>
      <c r="N28" s="117">
        <f t="shared" si="14"/>
        <v>0</v>
      </c>
      <c r="O28" s="117">
        <f t="shared" si="14"/>
        <v>0</v>
      </c>
      <c r="P28" s="117">
        <f t="shared" si="14"/>
        <v>0</v>
      </c>
      <c r="Q28" s="74"/>
      <c r="R28" s="117">
        <f t="shared" si="7"/>
        <v>0</v>
      </c>
      <c r="S28" s="1"/>
      <c r="T28" s="137">
        <v>0</v>
      </c>
      <c r="U28" s="138"/>
    </row>
    <row r="29" spans="2:22" ht="13.5" hidden="1" customHeight="1">
      <c r="B29" s="139" t="s">
        <v>82</v>
      </c>
      <c r="C29" s="140" t="s">
        <v>83</v>
      </c>
      <c r="D29" s="140"/>
      <c r="E29" s="141">
        <v>0</v>
      </c>
      <c r="F29" s="141">
        <v>0</v>
      </c>
      <c r="G29" s="141">
        <v>0</v>
      </c>
      <c r="H29" s="141">
        <v>0</v>
      </c>
      <c r="I29" s="141">
        <v>0</v>
      </c>
      <c r="J29" s="141">
        <v>0</v>
      </c>
      <c r="K29" s="141">
        <v>0</v>
      </c>
      <c r="L29" s="141">
        <v>0</v>
      </c>
      <c r="M29" s="141">
        <v>0</v>
      </c>
      <c r="N29" s="141">
        <v>0</v>
      </c>
      <c r="O29" s="141">
        <v>0</v>
      </c>
      <c r="P29" s="141">
        <v>0</v>
      </c>
      <c r="Q29" s="74"/>
      <c r="R29" s="141">
        <f t="shared" si="7"/>
        <v>0</v>
      </c>
      <c r="S29" s="1"/>
      <c r="T29" s="142">
        <v>0</v>
      </c>
      <c r="U29" s="1"/>
    </row>
    <row r="30" spans="2:22" ht="4.5" customHeight="1">
      <c r="B30" s="87"/>
      <c r="C30" s="125"/>
      <c r="D30" s="125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74"/>
      <c r="R30" s="101"/>
      <c r="S30" s="1"/>
      <c r="T30" s="107"/>
      <c r="U30" s="99"/>
    </row>
    <row r="31" spans="2:22" ht="13.5" customHeight="1">
      <c r="B31" s="349" t="s">
        <v>84</v>
      </c>
      <c r="C31" s="344"/>
      <c r="D31" s="344"/>
      <c r="E31" s="345">
        <f t="shared" ref="E31:R31" si="15">SUM(E32:E45)</f>
        <v>-513002.78555064002</v>
      </c>
      <c r="F31" s="345">
        <f t="shared" si="15"/>
        <v>-787441.73132755212</v>
      </c>
      <c r="G31" s="345">
        <f t="shared" si="15"/>
        <v>-793581.03652126086</v>
      </c>
      <c r="H31" s="345">
        <f t="shared" si="15"/>
        <v>-814215.7674734781</v>
      </c>
      <c r="I31" s="345">
        <f t="shared" si="15"/>
        <v>-915143.56631402916</v>
      </c>
      <c r="J31" s="345">
        <f t="shared" si="15"/>
        <v>-775964.3668103232</v>
      </c>
      <c r="K31" s="345">
        <f t="shared" si="15"/>
        <v>-748798.21712722548</v>
      </c>
      <c r="L31" s="345">
        <f t="shared" si="15"/>
        <v>-765940.59259338258</v>
      </c>
      <c r="M31" s="345">
        <f t="shared" si="15"/>
        <v>-756512.02741893125</v>
      </c>
      <c r="N31" s="345">
        <f t="shared" si="15"/>
        <v>-734952.491013024</v>
      </c>
      <c r="O31" s="345">
        <f t="shared" si="15"/>
        <v>-868795.79510885756</v>
      </c>
      <c r="P31" s="345">
        <f t="shared" si="15"/>
        <v>-618316.51591804798</v>
      </c>
      <c r="Q31" s="74"/>
      <c r="R31" s="345">
        <f t="shared" si="15"/>
        <v>-9092664.8931767531</v>
      </c>
      <c r="S31" s="1"/>
      <c r="T31" s="350">
        <f>SUM(T32:T45)</f>
        <v>1.0000000000000002</v>
      </c>
      <c r="U31" s="351">
        <v>1</v>
      </c>
      <c r="V31" s="351">
        <f>T31-U31</f>
        <v>0</v>
      </c>
    </row>
    <row r="32" spans="2:22" ht="13.5" hidden="1" customHeight="1" outlineLevel="1">
      <c r="B32" s="144" t="s">
        <v>435</v>
      </c>
      <c r="C32" s="145" t="s">
        <v>85</v>
      </c>
      <c r="D32" s="413"/>
      <c r="E32" s="129">
        <f t="shared" ref="E32:P45" si="16">-E$49*$T32</f>
        <v>-256501.39277532004</v>
      </c>
      <c r="F32" s="129">
        <f t="shared" si="16"/>
        <v>-393720.86566377606</v>
      </c>
      <c r="G32" s="129">
        <f t="shared" si="16"/>
        <v>-396790.51826063031</v>
      </c>
      <c r="H32" s="129">
        <f t="shared" si="16"/>
        <v>-407107.88373673917</v>
      </c>
      <c r="I32" s="129">
        <f t="shared" si="16"/>
        <v>-457571.78315701458</v>
      </c>
      <c r="J32" s="129">
        <f t="shared" si="16"/>
        <v>-387982.1834051616</v>
      </c>
      <c r="K32" s="129">
        <f t="shared" si="16"/>
        <v>-374399.1085636128</v>
      </c>
      <c r="L32" s="129">
        <f t="shared" si="16"/>
        <v>-382970.29629669129</v>
      </c>
      <c r="M32" s="129">
        <f t="shared" si="16"/>
        <v>-378256.01370946562</v>
      </c>
      <c r="N32" s="129">
        <f t="shared" si="16"/>
        <v>-367476.245506512</v>
      </c>
      <c r="O32" s="129">
        <f t="shared" si="16"/>
        <v>-434397.89755442878</v>
      </c>
      <c r="P32" s="129">
        <f t="shared" si="16"/>
        <v>-309158.25795902399</v>
      </c>
      <c r="Q32" s="74"/>
      <c r="R32" s="129">
        <f t="shared" ref="R32:R45" si="17">SUM(E32:P32)</f>
        <v>-4546332.4465883756</v>
      </c>
      <c r="S32" s="1"/>
      <c r="T32" s="131">
        <v>0.5</v>
      </c>
      <c r="U32" s="1"/>
    </row>
    <row r="33" spans="2:21" ht="13.5" hidden="1" customHeight="1" outlineLevel="1">
      <c r="B33" s="146" t="s">
        <v>32</v>
      </c>
      <c r="C33" s="147" t="s">
        <v>86</v>
      </c>
      <c r="D33" s="147"/>
      <c r="E33" s="117">
        <f t="shared" si="16"/>
        <v>-25650.139277532006</v>
      </c>
      <c r="F33" s="117">
        <f t="shared" si="16"/>
        <v>-39372.086566377606</v>
      </c>
      <c r="G33" s="117">
        <f t="shared" si="16"/>
        <v>-39679.051826063034</v>
      </c>
      <c r="H33" s="117">
        <f t="shared" si="16"/>
        <v>-40710.788373673917</v>
      </c>
      <c r="I33" s="117">
        <f t="shared" si="16"/>
        <v>-45757.178315701458</v>
      </c>
      <c r="J33" s="117">
        <f t="shared" si="16"/>
        <v>-38798.218340516163</v>
      </c>
      <c r="K33" s="117">
        <f t="shared" si="16"/>
        <v>-37439.910856361283</v>
      </c>
      <c r="L33" s="117">
        <f t="shared" si="16"/>
        <v>-38297.02962966913</v>
      </c>
      <c r="M33" s="117">
        <f t="shared" si="16"/>
        <v>-37825.601370946562</v>
      </c>
      <c r="N33" s="117">
        <f t="shared" si="16"/>
        <v>-36747.624550651199</v>
      </c>
      <c r="O33" s="117">
        <f t="shared" si="16"/>
        <v>-43439.789755442878</v>
      </c>
      <c r="P33" s="117">
        <f t="shared" si="16"/>
        <v>-30915.825795902401</v>
      </c>
      <c r="Q33" s="74"/>
      <c r="R33" s="117">
        <f t="shared" si="17"/>
        <v>-454633.24465883762</v>
      </c>
      <c r="S33" s="1"/>
      <c r="T33" s="134">
        <v>0.05</v>
      </c>
      <c r="U33" s="1"/>
    </row>
    <row r="34" spans="2:21" ht="13.5" hidden="1" customHeight="1" outlineLevel="1">
      <c r="B34" s="146" t="s">
        <v>28</v>
      </c>
      <c r="C34" s="147" t="s">
        <v>87</v>
      </c>
      <c r="D34" s="147"/>
      <c r="E34" s="117">
        <f t="shared" si="16"/>
        <v>-76950.417832596009</v>
      </c>
      <c r="F34" s="117">
        <f t="shared" si="16"/>
        <v>-118116.25969913282</v>
      </c>
      <c r="G34" s="117">
        <f t="shared" si="16"/>
        <v>-119037.15547818909</v>
      </c>
      <c r="H34" s="117">
        <f t="shared" si="16"/>
        <v>-122132.36512102175</v>
      </c>
      <c r="I34" s="117">
        <f t="shared" si="16"/>
        <v>-137271.53494710437</v>
      </c>
      <c r="J34" s="117">
        <f t="shared" si="16"/>
        <v>-116394.65502154847</v>
      </c>
      <c r="K34" s="117">
        <f t="shared" si="16"/>
        <v>-112319.73256908383</v>
      </c>
      <c r="L34" s="117">
        <f t="shared" si="16"/>
        <v>-114891.08888900738</v>
      </c>
      <c r="M34" s="117">
        <f t="shared" si="16"/>
        <v>-113476.80411283969</v>
      </c>
      <c r="N34" s="117">
        <f t="shared" si="16"/>
        <v>-110242.8736519536</v>
      </c>
      <c r="O34" s="117">
        <f t="shared" si="16"/>
        <v>-130319.36926632863</v>
      </c>
      <c r="P34" s="117">
        <f t="shared" si="16"/>
        <v>-92747.4773877072</v>
      </c>
      <c r="Q34" s="74"/>
      <c r="R34" s="117">
        <f t="shared" si="17"/>
        <v>-1363899.7339765129</v>
      </c>
      <c r="S34" s="1"/>
      <c r="T34" s="134">
        <v>0.15</v>
      </c>
      <c r="U34" s="1"/>
    </row>
    <row r="35" spans="2:21" ht="13.5" hidden="1" customHeight="1" outlineLevel="1">
      <c r="B35" s="146" t="s">
        <v>29</v>
      </c>
      <c r="C35" s="147" t="s">
        <v>88</v>
      </c>
      <c r="D35" s="147"/>
      <c r="E35" s="117">
        <f t="shared" si="16"/>
        <v>-25650.139277532006</v>
      </c>
      <c r="F35" s="117">
        <f t="shared" si="16"/>
        <v>-39372.086566377606</v>
      </c>
      <c r="G35" s="117">
        <f t="shared" si="16"/>
        <v>-39679.051826063034</v>
      </c>
      <c r="H35" s="117">
        <f t="shared" si="16"/>
        <v>-40710.788373673917</v>
      </c>
      <c r="I35" s="117">
        <f t="shared" si="16"/>
        <v>-45757.178315701458</v>
      </c>
      <c r="J35" s="117">
        <f t="shared" si="16"/>
        <v>-38798.218340516163</v>
      </c>
      <c r="K35" s="117">
        <f t="shared" si="16"/>
        <v>-37439.910856361283</v>
      </c>
      <c r="L35" s="117">
        <f t="shared" si="16"/>
        <v>-38297.02962966913</v>
      </c>
      <c r="M35" s="117">
        <f t="shared" si="16"/>
        <v>-37825.601370946562</v>
      </c>
      <c r="N35" s="117">
        <f t="shared" si="16"/>
        <v>-36747.624550651199</v>
      </c>
      <c r="O35" s="117">
        <f t="shared" si="16"/>
        <v>-43439.789755442878</v>
      </c>
      <c r="P35" s="117">
        <f t="shared" si="16"/>
        <v>-30915.825795902401</v>
      </c>
      <c r="Q35" s="74"/>
      <c r="R35" s="117">
        <f t="shared" si="17"/>
        <v>-454633.24465883762</v>
      </c>
      <c r="S35" s="1"/>
      <c r="T35" s="134">
        <v>0.05</v>
      </c>
    </row>
    <row r="36" spans="2:21" ht="13.5" hidden="1" customHeight="1" outlineLevel="1">
      <c r="B36" s="146" t="s">
        <v>31</v>
      </c>
      <c r="C36" s="147" t="s">
        <v>89</v>
      </c>
      <c r="D36" s="147"/>
      <c r="E36" s="117">
        <f t="shared" si="16"/>
        <v>-20520.111422025602</v>
      </c>
      <c r="F36" s="117">
        <f t="shared" si="16"/>
        <v>-31497.669253102085</v>
      </c>
      <c r="G36" s="117">
        <f t="shared" si="16"/>
        <v>-31743.241460850426</v>
      </c>
      <c r="H36" s="117">
        <f t="shared" si="16"/>
        <v>-32568.630698939134</v>
      </c>
      <c r="I36" s="117">
        <f t="shared" si="16"/>
        <v>-36605.742652561166</v>
      </c>
      <c r="J36" s="117">
        <f t="shared" si="16"/>
        <v>-31038.574672412928</v>
      </c>
      <c r="K36" s="117">
        <f t="shared" si="16"/>
        <v>-29951.928685089024</v>
      </c>
      <c r="L36" s="117">
        <f t="shared" si="16"/>
        <v>-30637.623703735302</v>
      </c>
      <c r="M36" s="117">
        <f t="shared" si="16"/>
        <v>-30260.481096757252</v>
      </c>
      <c r="N36" s="117">
        <f t="shared" si="16"/>
        <v>-29398.099640520959</v>
      </c>
      <c r="O36" s="117">
        <f t="shared" si="16"/>
        <v>-34751.831804354304</v>
      </c>
      <c r="P36" s="117">
        <f t="shared" si="16"/>
        <v>-24732.660636721921</v>
      </c>
      <c r="Q36" s="74"/>
      <c r="R36" s="117">
        <f t="shared" si="17"/>
        <v>-363706.59572707018</v>
      </c>
      <c r="S36" s="1"/>
      <c r="T36" s="134">
        <v>0.04</v>
      </c>
    </row>
    <row r="37" spans="2:21" ht="13.5" hidden="1" customHeight="1" outlineLevel="1">
      <c r="B37" s="146" t="s">
        <v>30</v>
      </c>
      <c r="C37" s="147" t="s">
        <v>90</v>
      </c>
      <c r="D37" s="147"/>
      <c r="E37" s="117">
        <f t="shared" si="16"/>
        <v>-35910.194988544812</v>
      </c>
      <c r="F37" s="117">
        <f t="shared" si="16"/>
        <v>-55120.921192928654</v>
      </c>
      <c r="G37" s="117">
        <f t="shared" si="16"/>
        <v>-55550.672556488251</v>
      </c>
      <c r="H37" s="117">
        <f t="shared" si="16"/>
        <v>-56995.103723143489</v>
      </c>
      <c r="I37" s="117">
        <f t="shared" si="16"/>
        <v>-64060.049641982048</v>
      </c>
      <c r="J37" s="117">
        <f t="shared" si="16"/>
        <v>-54317.505676722627</v>
      </c>
      <c r="K37" s="117">
        <f t="shared" si="16"/>
        <v>-52415.8751989058</v>
      </c>
      <c r="L37" s="117">
        <f t="shared" si="16"/>
        <v>-53615.841481536787</v>
      </c>
      <c r="M37" s="117">
        <f t="shared" si="16"/>
        <v>-52955.84191932519</v>
      </c>
      <c r="N37" s="117">
        <f t="shared" si="16"/>
        <v>-51446.674370911685</v>
      </c>
      <c r="O37" s="117">
        <f t="shared" si="16"/>
        <v>-60815.705657620034</v>
      </c>
      <c r="P37" s="117">
        <f t="shared" si="16"/>
        <v>-43282.156114263365</v>
      </c>
      <c r="Q37" s="74"/>
      <c r="R37" s="117">
        <f t="shared" si="17"/>
        <v>-636486.54252237268</v>
      </c>
      <c r="S37" s="1"/>
      <c r="T37" s="134">
        <v>7.0000000000000007E-2</v>
      </c>
    </row>
    <row r="38" spans="2:21" ht="13.5" hidden="1" customHeight="1" outlineLevel="1">
      <c r="B38" s="146" t="s">
        <v>436</v>
      </c>
      <c r="C38" s="147" t="s">
        <v>91</v>
      </c>
      <c r="D38" s="147"/>
      <c r="E38" s="117">
        <f t="shared" si="16"/>
        <v>-20520.111422025602</v>
      </c>
      <c r="F38" s="117">
        <f t="shared" si="16"/>
        <v>-31497.669253102085</v>
      </c>
      <c r="G38" s="117">
        <f t="shared" si="16"/>
        <v>-31743.241460850426</v>
      </c>
      <c r="H38" s="117">
        <f t="shared" si="16"/>
        <v>-32568.630698939134</v>
      </c>
      <c r="I38" s="117">
        <f t="shared" si="16"/>
        <v>-36605.742652561166</v>
      </c>
      <c r="J38" s="117">
        <f t="shared" si="16"/>
        <v>-31038.574672412928</v>
      </c>
      <c r="K38" s="117">
        <f t="shared" si="16"/>
        <v>-29951.928685089024</v>
      </c>
      <c r="L38" s="117">
        <f t="shared" si="16"/>
        <v>-30637.623703735302</v>
      </c>
      <c r="M38" s="117">
        <f t="shared" si="16"/>
        <v>-30260.481096757252</v>
      </c>
      <c r="N38" s="117">
        <f t="shared" si="16"/>
        <v>-29398.099640520959</v>
      </c>
      <c r="O38" s="117">
        <f t="shared" si="16"/>
        <v>-34751.831804354304</v>
      </c>
      <c r="P38" s="117">
        <f t="shared" si="16"/>
        <v>-24732.660636721921</v>
      </c>
      <c r="Q38" s="74"/>
      <c r="R38" s="117">
        <f t="shared" si="17"/>
        <v>-363706.59572707018</v>
      </c>
      <c r="S38" s="1"/>
      <c r="T38" s="134">
        <v>0.04</v>
      </c>
    </row>
    <row r="39" spans="2:21" ht="13.5" hidden="1" customHeight="1" outlineLevel="1">
      <c r="B39" s="146" t="s">
        <v>437</v>
      </c>
      <c r="C39" s="147" t="s">
        <v>92</v>
      </c>
      <c r="D39" s="147"/>
      <c r="E39" s="117">
        <f t="shared" si="16"/>
        <v>-25650.139277532006</v>
      </c>
      <c r="F39" s="117">
        <f t="shared" si="16"/>
        <v>-39372.086566377606</v>
      </c>
      <c r="G39" s="117">
        <f t="shared" si="16"/>
        <v>-39679.051826063034</v>
      </c>
      <c r="H39" s="117">
        <f t="shared" si="16"/>
        <v>-40710.788373673917</v>
      </c>
      <c r="I39" s="117">
        <f t="shared" si="16"/>
        <v>-45757.178315701458</v>
      </c>
      <c r="J39" s="117">
        <f t="shared" si="16"/>
        <v>-38798.218340516163</v>
      </c>
      <c r="K39" s="117">
        <f t="shared" si="16"/>
        <v>-37439.910856361283</v>
      </c>
      <c r="L39" s="117">
        <f t="shared" si="16"/>
        <v>-38297.02962966913</v>
      </c>
      <c r="M39" s="117">
        <f t="shared" si="16"/>
        <v>-37825.601370946562</v>
      </c>
      <c r="N39" s="117">
        <f t="shared" si="16"/>
        <v>-36747.624550651199</v>
      </c>
      <c r="O39" s="117">
        <f t="shared" si="16"/>
        <v>-43439.789755442878</v>
      </c>
      <c r="P39" s="117">
        <f t="shared" si="16"/>
        <v>-30915.825795902401</v>
      </c>
      <c r="Q39" s="74"/>
      <c r="R39" s="117">
        <f t="shared" si="17"/>
        <v>-454633.24465883762</v>
      </c>
      <c r="S39" s="1"/>
      <c r="T39" s="134">
        <v>0.05</v>
      </c>
    </row>
    <row r="40" spans="2:21" ht="13.5" hidden="1" customHeight="1" outlineLevel="1">
      <c r="B40" s="146" t="s">
        <v>438</v>
      </c>
      <c r="C40" s="147" t="s">
        <v>93</v>
      </c>
      <c r="D40" s="147"/>
      <c r="E40" s="117">
        <f t="shared" si="16"/>
        <v>-12312.066853215361</v>
      </c>
      <c r="F40" s="117">
        <f t="shared" si="16"/>
        <v>-18898.601551861251</v>
      </c>
      <c r="G40" s="117">
        <f t="shared" si="16"/>
        <v>-19045.944876510257</v>
      </c>
      <c r="H40" s="117">
        <f t="shared" si="16"/>
        <v>-19541.178419363481</v>
      </c>
      <c r="I40" s="117">
        <f t="shared" si="16"/>
        <v>-21963.4455915367</v>
      </c>
      <c r="J40" s="117">
        <f t="shared" si="16"/>
        <v>-18623.144803447758</v>
      </c>
      <c r="K40" s="117">
        <f t="shared" si="16"/>
        <v>-17971.157211053414</v>
      </c>
      <c r="L40" s="117">
        <f t="shared" si="16"/>
        <v>-18382.574222241183</v>
      </c>
      <c r="M40" s="117">
        <f t="shared" si="16"/>
        <v>-18156.288658054349</v>
      </c>
      <c r="N40" s="117">
        <f t="shared" si="16"/>
        <v>-17638.859784312575</v>
      </c>
      <c r="O40" s="117">
        <f t="shared" si="16"/>
        <v>-20851.099082612582</v>
      </c>
      <c r="P40" s="117">
        <f t="shared" si="16"/>
        <v>-14839.596382033153</v>
      </c>
      <c r="Q40" s="74"/>
      <c r="R40" s="117">
        <f t="shared" si="17"/>
        <v>-218223.95743624208</v>
      </c>
      <c r="S40" s="1"/>
      <c r="T40" s="134">
        <v>2.4E-2</v>
      </c>
    </row>
    <row r="41" spans="2:21" ht="13.5" hidden="1" customHeight="1" outlineLevel="1">
      <c r="B41" s="146" t="s">
        <v>169</v>
      </c>
      <c r="C41" s="147" t="s">
        <v>94</v>
      </c>
      <c r="D41" s="147"/>
      <c r="E41" s="117">
        <f t="shared" si="16"/>
        <v>-12825.069638766003</v>
      </c>
      <c r="F41" s="117">
        <f t="shared" si="16"/>
        <v>-19686.043283188803</v>
      </c>
      <c r="G41" s="117">
        <f t="shared" si="16"/>
        <v>-19839.525913031517</v>
      </c>
      <c r="H41" s="117">
        <f t="shared" si="16"/>
        <v>-20355.394186836958</v>
      </c>
      <c r="I41" s="117">
        <f t="shared" si="16"/>
        <v>-22878.589157850729</v>
      </c>
      <c r="J41" s="117">
        <f t="shared" si="16"/>
        <v>-19399.109170258082</v>
      </c>
      <c r="K41" s="117">
        <f t="shared" si="16"/>
        <v>-18719.955428180641</v>
      </c>
      <c r="L41" s="117">
        <f t="shared" si="16"/>
        <v>-19148.514814834565</v>
      </c>
      <c r="M41" s="117">
        <f t="shared" si="16"/>
        <v>-18912.800685473281</v>
      </c>
      <c r="N41" s="117">
        <f t="shared" si="16"/>
        <v>-18373.812275325599</v>
      </c>
      <c r="O41" s="117">
        <f t="shared" si="16"/>
        <v>-21719.894877721439</v>
      </c>
      <c r="P41" s="117">
        <f t="shared" si="16"/>
        <v>-15457.912897951201</v>
      </c>
      <c r="Q41" s="74"/>
      <c r="R41" s="117">
        <f t="shared" si="17"/>
        <v>-227316.62232941881</v>
      </c>
      <c r="S41" s="1"/>
      <c r="T41" s="134">
        <v>2.5000000000000001E-2</v>
      </c>
    </row>
    <row r="42" spans="2:21" ht="13.5" hidden="1" customHeight="1" outlineLevel="1">
      <c r="B42" s="146" t="s">
        <v>191</v>
      </c>
      <c r="C42" s="147" t="s">
        <v>95</v>
      </c>
      <c r="D42" s="147"/>
      <c r="E42" s="117">
        <f t="shared" si="16"/>
        <v>-513.00278555064006</v>
      </c>
      <c r="F42" s="117">
        <f t="shared" si="16"/>
        <v>-787.44173132755213</v>
      </c>
      <c r="G42" s="117">
        <f t="shared" si="16"/>
        <v>-793.58103652126067</v>
      </c>
      <c r="H42" s="117">
        <f t="shared" si="16"/>
        <v>-814.21576747347831</v>
      </c>
      <c r="I42" s="117">
        <f t="shared" si="16"/>
        <v>-915.14356631402916</v>
      </c>
      <c r="J42" s="117">
        <f t="shared" si="16"/>
        <v>-775.96436681032321</v>
      </c>
      <c r="K42" s="117">
        <f t="shared" si="16"/>
        <v>-748.7982171272256</v>
      </c>
      <c r="L42" s="117">
        <f t="shared" si="16"/>
        <v>-765.94059259338258</v>
      </c>
      <c r="M42" s="117">
        <f t="shared" si="16"/>
        <v>-756.51202741893121</v>
      </c>
      <c r="N42" s="117">
        <f t="shared" si="16"/>
        <v>-734.95249101302397</v>
      </c>
      <c r="O42" s="117">
        <f t="shared" si="16"/>
        <v>-868.79579510885753</v>
      </c>
      <c r="P42" s="117">
        <f t="shared" si="16"/>
        <v>-618.31651591804803</v>
      </c>
      <c r="Q42" s="74"/>
      <c r="R42" s="117">
        <f t="shared" si="17"/>
        <v>-9092.664893176754</v>
      </c>
      <c r="S42" s="1"/>
      <c r="T42" s="134">
        <v>1E-3</v>
      </c>
    </row>
    <row r="43" spans="2:21" ht="13.5" hidden="1" customHeight="1" outlineLevel="1">
      <c r="B43" s="146" t="s">
        <v>33</v>
      </c>
      <c r="C43" s="147" t="s">
        <v>96</v>
      </c>
      <c r="D43" s="147"/>
      <c r="E43" s="117">
        <f t="shared" si="16"/>
        <v>0</v>
      </c>
      <c r="F43" s="117">
        <f t="shared" si="16"/>
        <v>0</v>
      </c>
      <c r="G43" s="117">
        <f t="shared" si="16"/>
        <v>0</v>
      </c>
      <c r="H43" s="117">
        <f t="shared" si="16"/>
        <v>0</v>
      </c>
      <c r="I43" s="117">
        <f t="shared" si="16"/>
        <v>0</v>
      </c>
      <c r="J43" s="117">
        <f t="shared" si="16"/>
        <v>0</v>
      </c>
      <c r="K43" s="117">
        <f t="shared" si="16"/>
        <v>0</v>
      </c>
      <c r="L43" s="117">
        <f t="shared" si="16"/>
        <v>0</v>
      </c>
      <c r="M43" s="117">
        <f t="shared" si="16"/>
        <v>0</v>
      </c>
      <c r="N43" s="117">
        <f t="shared" si="16"/>
        <v>0</v>
      </c>
      <c r="O43" s="117">
        <f t="shared" si="16"/>
        <v>0</v>
      </c>
      <c r="P43" s="117">
        <f t="shared" si="16"/>
        <v>0</v>
      </c>
      <c r="Q43" s="74"/>
      <c r="R43" s="117">
        <f t="shared" si="17"/>
        <v>0</v>
      </c>
      <c r="S43" s="1"/>
      <c r="T43" s="134">
        <v>0</v>
      </c>
    </row>
    <row r="44" spans="2:21" ht="13.5" hidden="1" customHeight="1" outlineLevel="1">
      <c r="B44" s="146" t="s">
        <v>34</v>
      </c>
      <c r="C44" s="147" t="s">
        <v>97</v>
      </c>
      <c r="D44" s="147"/>
      <c r="E44" s="117">
        <f t="shared" si="16"/>
        <v>0</v>
      </c>
      <c r="F44" s="117">
        <f t="shared" si="16"/>
        <v>0</v>
      </c>
      <c r="G44" s="117">
        <f t="shared" si="16"/>
        <v>0</v>
      </c>
      <c r="H44" s="117">
        <f t="shared" si="16"/>
        <v>0</v>
      </c>
      <c r="I44" s="117">
        <f t="shared" si="16"/>
        <v>0</v>
      </c>
      <c r="J44" s="117">
        <f t="shared" si="16"/>
        <v>0</v>
      </c>
      <c r="K44" s="117">
        <f t="shared" si="16"/>
        <v>0</v>
      </c>
      <c r="L44" s="117">
        <f t="shared" si="16"/>
        <v>0</v>
      </c>
      <c r="M44" s="117">
        <f t="shared" si="16"/>
        <v>0</v>
      </c>
      <c r="N44" s="117">
        <f t="shared" si="16"/>
        <v>0</v>
      </c>
      <c r="O44" s="117">
        <f t="shared" si="16"/>
        <v>0</v>
      </c>
      <c r="P44" s="117">
        <f t="shared" si="16"/>
        <v>0</v>
      </c>
      <c r="Q44" s="74"/>
      <c r="R44" s="117">
        <f t="shared" si="17"/>
        <v>0</v>
      </c>
      <c r="S44" s="1"/>
      <c r="T44" s="134">
        <v>0</v>
      </c>
    </row>
    <row r="45" spans="2:21" ht="13.5" hidden="1" customHeight="1" outlineLevel="1">
      <c r="B45" s="148" t="s">
        <v>35</v>
      </c>
      <c r="C45" s="149" t="s">
        <v>98</v>
      </c>
      <c r="D45" s="149"/>
      <c r="E45" s="141">
        <f t="shared" si="16"/>
        <v>0</v>
      </c>
      <c r="F45" s="141">
        <f t="shared" si="16"/>
        <v>0</v>
      </c>
      <c r="G45" s="141">
        <f t="shared" si="16"/>
        <v>0</v>
      </c>
      <c r="H45" s="141">
        <f t="shared" si="16"/>
        <v>0</v>
      </c>
      <c r="I45" s="141">
        <f t="shared" si="16"/>
        <v>0</v>
      </c>
      <c r="J45" s="141">
        <f t="shared" si="16"/>
        <v>0</v>
      </c>
      <c r="K45" s="141">
        <f t="shared" si="16"/>
        <v>0</v>
      </c>
      <c r="L45" s="141">
        <f t="shared" si="16"/>
        <v>0</v>
      </c>
      <c r="M45" s="141">
        <f t="shared" si="16"/>
        <v>0</v>
      </c>
      <c r="N45" s="141">
        <f t="shared" si="16"/>
        <v>0</v>
      </c>
      <c r="O45" s="141">
        <f t="shared" si="16"/>
        <v>0</v>
      </c>
      <c r="P45" s="141">
        <f t="shared" si="16"/>
        <v>0</v>
      </c>
      <c r="Q45" s="74"/>
      <c r="R45" s="141">
        <f t="shared" si="17"/>
        <v>0</v>
      </c>
      <c r="S45" s="1"/>
      <c r="T45" s="142">
        <v>0</v>
      </c>
    </row>
    <row r="46" spans="2:21" ht="7.5" customHeight="1" collapsed="1">
      <c r="B46" s="87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4"/>
      <c r="R46" s="76"/>
      <c r="S46" s="1"/>
      <c r="T46" s="76"/>
    </row>
    <row r="47" spans="2:21" ht="13.5" customHeight="1">
      <c r="B47" s="150" t="s">
        <v>99</v>
      </c>
      <c r="C47" s="151"/>
      <c r="D47" s="151"/>
      <c r="E47" s="152">
        <v>0.32</v>
      </c>
      <c r="F47" s="152">
        <f t="shared" ref="F47:P47" si="18">$E$47</f>
        <v>0.32</v>
      </c>
      <c r="G47" s="152">
        <f t="shared" si="18"/>
        <v>0.32</v>
      </c>
      <c r="H47" s="152">
        <f t="shared" si="18"/>
        <v>0.32</v>
      </c>
      <c r="I47" s="152">
        <f t="shared" si="18"/>
        <v>0.32</v>
      </c>
      <c r="J47" s="152">
        <f t="shared" si="18"/>
        <v>0.32</v>
      </c>
      <c r="K47" s="152">
        <f t="shared" si="18"/>
        <v>0.32</v>
      </c>
      <c r="L47" s="152">
        <f t="shared" si="18"/>
        <v>0.32</v>
      </c>
      <c r="M47" s="152">
        <f t="shared" si="18"/>
        <v>0.32</v>
      </c>
      <c r="N47" s="152">
        <f t="shared" si="18"/>
        <v>0.32</v>
      </c>
      <c r="O47" s="152">
        <f t="shared" si="18"/>
        <v>0.32</v>
      </c>
      <c r="P47" s="152">
        <f t="shared" si="18"/>
        <v>0.32</v>
      </c>
      <c r="Q47" s="74"/>
      <c r="R47" s="152">
        <f>P47</f>
        <v>0.32</v>
      </c>
      <c r="S47" s="1"/>
      <c r="T47" s="76"/>
    </row>
    <row r="48" spans="2:21" ht="13.5" customHeight="1">
      <c r="B48" s="150" t="s">
        <v>100</v>
      </c>
      <c r="C48" s="151"/>
      <c r="D48" s="151"/>
      <c r="E48" s="153">
        <f t="shared" ref="E48:P48" si="19">E11+E22+E23+E24</f>
        <v>1603133.7048457502</v>
      </c>
      <c r="F48" s="153">
        <f t="shared" si="19"/>
        <v>2460755.4103986002</v>
      </c>
      <c r="G48" s="153">
        <f t="shared" si="19"/>
        <v>2479940.7391289393</v>
      </c>
      <c r="H48" s="153">
        <f t="shared" si="19"/>
        <v>2544424.2733546197</v>
      </c>
      <c r="I48" s="153">
        <f t="shared" si="19"/>
        <v>2859823.6447313409</v>
      </c>
      <c r="J48" s="153">
        <f t="shared" si="19"/>
        <v>2424888.6462822598</v>
      </c>
      <c r="K48" s="153">
        <f t="shared" si="19"/>
        <v>2339994.4285225798</v>
      </c>
      <c r="L48" s="153">
        <f t="shared" si="19"/>
        <v>2393564.3518543206</v>
      </c>
      <c r="M48" s="153">
        <f t="shared" si="19"/>
        <v>2364100.0856841602</v>
      </c>
      <c r="N48" s="153">
        <f t="shared" si="19"/>
        <v>2296726.5344157</v>
      </c>
      <c r="O48" s="153">
        <f t="shared" si="19"/>
        <v>2714986.85971518</v>
      </c>
      <c r="P48" s="153">
        <f t="shared" si="19"/>
        <v>1932239.1122439001</v>
      </c>
      <c r="Q48" s="74"/>
      <c r="R48" s="153">
        <f t="shared" ref="R48:R49" si="20">SUM(E48:P48)</f>
        <v>28414577.791177347</v>
      </c>
      <c r="S48" s="1"/>
      <c r="T48" s="76"/>
    </row>
    <row r="49" spans="2:22" ht="13.5" customHeight="1">
      <c r="B49" s="150" t="s">
        <v>26</v>
      </c>
      <c r="C49" s="151"/>
      <c r="D49" s="151"/>
      <c r="E49" s="153">
        <f t="shared" ref="E49:P49" si="21">E48*E47</f>
        <v>513002.78555064008</v>
      </c>
      <c r="F49" s="153">
        <f t="shared" si="21"/>
        <v>787441.73132755212</v>
      </c>
      <c r="G49" s="153">
        <f t="shared" si="21"/>
        <v>793581.03652126063</v>
      </c>
      <c r="H49" s="153">
        <f t="shared" si="21"/>
        <v>814215.76747347834</v>
      </c>
      <c r="I49" s="153">
        <f t="shared" si="21"/>
        <v>915143.56631402916</v>
      </c>
      <c r="J49" s="153">
        <f t="shared" si="21"/>
        <v>775964.3668103232</v>
      </c>
      <c r="K49" s="153">
        <f t="shared" si="21"/>
        <v>748798.21712722559</v>
      </c>
      <c r="L49" s="153">
        <f t="shared" si="21"/>
        <v>765940.59259338258</v>
      </c>
      <c r="M49" s="153">
        <f t="shared" si="21"/>
        <v>756512.02741893125</v>
      </c>
      <c r="N49" s="153">
        <f t="shared" si="21"/>
        <v>734952.491013024</v>
      </c>
      <c r="O49" s="153">
        <f t="shared" si="21"/>
        <v>868795.79510885756</v>
      </c>
      <c r="P49" s="153">
        <f t="shared" si="21"/>
        <v>618316.51591804798</v>
      </c>
      <c r="Q49" s="74"/>
      <c r="R49" s="153">
        <f t="shared" si="20"/>
        <v>9092664.8931767512</v>
      </c>
      <c r="S49" s="1"/>
      <c r="T49" s="76"/>
    </row>
    <row r="50" spans="2:22" ht="15" customHeight="1">
      <c r="Q50" s="74"/>
    </row>
    <row r="51" spans="2:22" ht="13.5" customHeight="1">
      <c r="B51" s="349" t="s">
        <v>101</v>
      </c>
      <c r="C51" s="344"/>
      <c r="D51" s="344"/>
      <c r="E51" s="345">
        <f t="shared" ref="E51:P51" si="22">SUM(E52:E75)</f>
        <v>-552193.43983087095</v>
      </c>
      <c r="F51" s="345">
        <f t="shared" si="22"/>
        <v>-677648.6673120826</v>
      </c>
      <c r="G51" s="345">
        <f t="shared" si="22"/>
        <v>-679825.88606286072</v>
      </c>
      <c r="H51" s="345">
        <f t="shared" si="22"/>
        <v>-687143.70489233849</v>
      </c>
      <c r="I51" s="345">
        <f t="shared" si="22"/>
        <v>-722936.33763775032</v>
      </c>
      <c r="J51" s="345">
        <f t="shared" si="22"/>
        <v>-673578.38045583782</v>
      </c>
      <c r="K51" s="345">
        <f t="shared" si="22"/>
        <v>-681736.13223592611</v>
      </c>
      <c r="L51" s="345">
        <f t="shared" si="22"/>
        <v>-687815.43602034205</v>
      </c>
      <c r="M51" s="345">
        <f t="shared" si="22"/>
        <v>-684471.72720590059</v>
      </c>
      <c r="N51" s="345">
        <f t="shared" si="22"/>
        <v>-676825.93905236037</v>
      </c>
      <c r="O51" s="345">
        <f t="shared" si="22"/>
        <v>-724291.59553123626</v>
      </c>
      <c r="P51" s="345">
        <f t="shared" si="22"/>
        <v>-635462.62122083968</v>
      </c>
      <c r="Q51" s="74"/>
      <c r="R51" s="345">
        <f t="shared" ref="R51:R75" si="23">SUM(E51:P51)</f>
        <v>-8083929.8674583454</v>
      </c>
      <c r="S51" s="1"/>
      <c r="T51" s="350" t="s">
        <v>68</v>
      </c>
    </row>
    <row r="52" spans="2:22" ht="13.5" customHeight="1">
      <c r="B52" s="115" t="s">
        <v>1734</v>
      </c>
      <c r="C52" s="154" t="s">
        <v>103</v>
      </c>
      <c r="D52" s="414" t="s">
        <v>549</v>
      </c>
      <c r="E52" s="609">
        <v>-305252.27600000007</v>
      </c>
      <c r="F52" s="609">
        <v>-305252.27600000007</v>
      </c>
      <c r="G52" s="609">
        <v>-305252.27600000007</v>
      </c>
      <c r="H52" s="609">
        <v>-305252.27600000007</v>
      </c>
      <c r="I52" s="609">
        <v>-305252.27600000007</v>
      </c>
      <c r="J52" s="609">
        <v>-305252.27600000007</v>
      </c>
      <c r="K52" s="609">
        <v>-322695.26320000004</v>
      </c>
      <c r="L52" s="609">
        <v>-322695.26320000004</v>
      </c>
      <c r="M52" s="609">
        <v>-322695.26320000004</v>
      </c>
      <c r="N52" s="609">
        <v>-322695.26320000004</v>
      </c>
      <c r="O52" s="609">
        <v>-322695.26320000004</v>
      </c>
      <c r="P52" s="609">
        <v>-322695.26320000004</v>
      </c>
      <c r="Q52" s="74"/>
      <c r="R52" s="117">
        <f t="shared" si="23"/>
        <v>-3767685.2352</v>
      </c>
      <c r="S52" s="1"/>
      <c r="T52" s="134"/>
    </row>
    <row r="53" spans="2:22" ht="13.5" customHeight="1">
      <c r="B53" s="155" t="s">
        <v>104</v>
      </c>
      <c r="C53" s="156" t="s">
        <v>105</v>
      </c>
      <c r="D53" s="414" t="s">
        <v>549</v>
      </c>
      <c r="E53" s="117">
        <f>'Base Folha'!$P$90</f>
        <v>-17829.310422000002</v>
      </c>
      <c r="F53" s="117">
        <f>'Base Folha'!$P$90</f>
        <v>-17829.310422000002</v>
      </c>
      <c r="G53" s="117">
        <f>'Base Folha'!$P$90</f>
        <v>-17829.310422000002</v>
      </c>
      <c r="H53" s="117">
        <f>'Base Folha'!$P$90</f>
        <v>-17829.310422000002</v>
      </c>
      <c r="I53" s="117">
        <f>'Base Folha'!$P$90</f>
        <v>-17829.310422000002</v>
      </c>
      <c r="J53" s="117">
        <f>'Base Folha'!$P$90</f>
        <v>-17829.310422000002</v>
      </c>
      <c r="K53" s="117">
        <f>'Base Folha'!$P$90</f>
        <v>-17829.310422000002</v>
      </c>
      <c r="L53" s="117">
        <f>'Base Folha'!$P$90</f>
        <v>-17829.310422000002</v>
      </c>
      <c r="M53" s="117">
        <f>'Base Folha'!$P$90</f>
        <v>-17829.310422000002</v>
      </c>
      <c r="N53" s="117">
        <f>'Base Folha'!$P$90</f>
        <v>-17829.310422000002</v>
      </c>
      <c r="O53" s="117">
        <f>'Base Folha'!$P$90</f>
        <v>-17829.310422000002</v>
      </c>
      <c r="P53" s="117">
        <f>'Base Folha'!$P$90</f>
        <v>-17829.310422000002</v>
      </c>
      <c r="Q53" s="74"/>
      <c r="R53" s="117">
        <f t="shared" si="23"/>
        <v>-213951.72506400009</v>
      </c>
      <c r="S53" s="1"/>
      <c r="T53" s="134"/>
    </row>
    <row r="54" spans="2:22" ht="13.5" customHeight="1">
      <c r="B54" s="155" t="s">
        <v>106</v>
      </c>
      <c r="C54" s="156" t="s">
        <v>107</v>
      </c>
      <c r="D54" s="414" t="s">
        <v>549</v>
      </c>
      <c r="E54" s="117">
        <f>'Base Folha'!$O$90</f>
        <v>-12048.421703999998</v>
      </c>
      <c r="F54" s="117">
        <f>'Base Folha'!$O$90</f>
        <v>-12048.421703999998</v>
      </c>
      <c r="G54" s="117">
        <f>'Base Folha'!$O$90</f>
        <v>-12048.421703999998</v>
      </c>
      <c r="H54" s="117">
        <f>'Base Folha'!$O$90</f>
        <v>-12048.421703999998</v>
      </c>
      <c r="I54" s="117">
        <f>'Base Folha'!$O$90</f>
        <v>-12048.421703999998</v>
      </c>
      <c r="J54" s="117">
        <f>'Base Folha'!$O$90</f>
        <v>-12048.421703999998</v>
      </c>
      <c r="K54" s="117">
        <f>'Base Folha'!$O$90</f>
        <v>-12048.421703999998</v>
      </c>
      <c r="L54" s="117">
        <f>'Base Folha'!$O$90</f>
        <v>-12048.421703999998</v>
      </c>
      <c r="M54" s="117">
        <f>'Base Folha'!$O$90</f>
        <v>-12048.421703999998</v>
      </c>
      <c r="N54" s="117">
        <f>'Base Folha'!$O$90</f>
        <v>-12048.421703999998</v>
      </c>
      <c r="O54" s="117">
        <f>'Base Folha'!$O$90</f>
        <v>-12048.421703999998</v>
      </c>
      <c r="P54" s="117">
        <f>'Base Folha'!$O$90</f>
        <v>-12048.421703999998</v>
      </c>
      <c r="Q54" s="74"/>
      <c r="R54" s="117">
        <f t="shared" si="23"/>
        <v>-144581.06044799997</v>
      </c>
      <c r="S54" s="1"/>
      <c r="T54" s="134"/>
    </row>
    <row r="55" spans="2:22" ht="13.5" customHeight="1">
      <c r="B55" s="155" t="s">
        <v>108</v>
      </c>
      <c r="C55" s="156" t="s">
        <v>109</v>
      </c>
      <c r="D55" s="414" t="s">
        <v>550</v>
      </c>
      <c r="E55" s="117">
        <f>'Base Folha'!$R$90+'Base Gorjeta'!D21</f>
        <v>-46592.981382054553</v>
      </c>
      <c r="F55" s="117">
        <f>'Base Folha'!$R$90+'Base Gorjeta'!E21</f>
        <v>-74845.081004536158</v>
      </c>
      <c r="G55" s="117">
        <f>'Base Folha'!$R$90+'Base Gorjeta'!F21</f>
        <v>-75428.61217421398</v>
      </c>
      <c r="H55" s="117">
        <f>'Base Folha'!$R$90+'Base Gorjeta'!G21</f>
        <v>-77389.910449607414</v>
      </c>
      <c r="I55" s="117">
        <f>'Base Folha'!$R$90+'Base Gorjeta'!H21</f>
        <v>-86982.936802294222</v>
      </c>
      <c r="J55" s="117">
        <f>'Base Folha'!$R$90+'Base Gorjeta'!I21</f>
        <v>-73754.175807573396</v>
      </c>
      <c r="K55" s="117">
        <f>'Base Folha'!$R$90+'Base Gorjeta'!J21</f>
        <v>-71172.076596010229</v>
      </c>
      <c r="L55" s="117">
        <f>'Base Folha'!$R$90+'Base Gorjeta'!K21</f>
        <v>-72801.432050935953</v>
      </c>
      <c r="M55" s="117">
        <f>'Base Folha'!$R$90+'Base Gorjeta'!L21</f>
        <v>-71905.261964739679</v>
      </c>
      <c r="N55" s="117">
        <f>'Base Folha'!$R$90+'Base Gorjeta'!M21</f>
        <v>-69856.062405554563</v>
      </c>
      <c r="O55" s="117">
        <f>'Base Folha'!$R$90+'Base Gorjeta'!N21</f>
        <v>-82577.655049722496</v>
      </c>
      <c r="P55" s="117">
        <f>'Base Folha'!$R$90+'Base Gorjeta'!O21</f>
        <v>-58769.998946218722</v>
      </c>
      <c r="Q55" s="74"/>
      <c r="R55" s="117">
        <f t="shared" si="23"/>
        <v>-862076.18463346141</v>
      </c>
      <c r="S55" s="1"/>
      <c r="T55" s="134"/>
    </row>
    <row r="56" spans="2:22" ht="13.5" customHeight="1">
      <c r="B56" s="155" t="s">
        <v>110</v>
      </c>
      <c r="C56" s="156" t="s">
        <v>111</v>
      </c>
      <c r="D56" s="414" t="s">
        <v>550</v>
      </c>
      <c r="E56" s="117">
        <f>'Base Folha'!$Q$90+'Base Gorjeta'!D20</f>
        <v>-31570.42328745878</v>
      </c>
      <c r="F56" s="117">
        <f>'Base Folha'!$Q$90+'Base Gorjeta'!E20</f>
        <v>-39299.307497640344</v>
      </c>
      <c r="G56" s="117">
        <f>'Base Folha'!$Q$90+'Base Gorjeta'!F20</f>
        <v>-39472.205621989327</v>
      </c>
      <c r="H56" s="117">
        <f>'Base Folha'!$Q$90+'Base Gorjeta'!G20</f>
        <v>-40053.331036920717</v>
      </c>
      <c r="I56" s="117">
        <f>'Base Folha'!$Q$90+'Base Gorjeta'!H20</f>
        <v>-42895.709215494586</v>
      </c>
      <c r="J56" s="117">
        <f>'Base Folha'!$Q$90+'Base Gorjeta'!I20</f>
        <v>-38976.076328169896</v>
      </c>
      <c r="K56" s="117">
        <f>'Base Folha'!$Q$90+'Base Gorjeta'!J20</f>
        <v>-38211.009895114141</v>
      </c>
      <c r="L56" s="117">
        <f>'Base Folha'!$Q$90+'Base Gorjeta'!K20</f>
        <v>-38693.781881758805</v>
      </c>
      <c r="M56" s="117">
        <f>'Base Folha'!$Q$90+'Base Gorjeta'!L20</f>
        <v>-38428.250004367314</v>
      </c>
      <c r="N56" s="117">
        <f>'Base Folha'!$Q$90+'Base Gorjeta'!M20</f>
        <v>-37821.079764608759</v>
      </c>
      <c r="O56" s="117">
        <f>'Base Folha'!$Q$90+'Base Gorjeta'!N20</f>
        <v>-41590.440548065926</v>
      </c>
      <c r="P56" s="117">
        <f>'Base Folha'!$Q$90+'Base Gorjeta'!O20</f>
        <v>-34536.320221101851</v>
      </c>
      <c r="Q56" s="74"/>
      <c r="R56" s="117">
        <f t="shared" si="23"/>
        <v>-461547.93530269049</v>
      </c>
      <c r="S56" s="1"/>
      <c r="T56" s="134"/>
    </row>
    <row r="57" spans="2:22" ht="13.5" customHeight="1">
      <c r="B57" s="155" t="s">
        <v>112</v>
      </c>
      <c r="C57" s="156" t="s">
        <v>113</v>
      </c>
      <c r="D57" s="414" t="s">
        <v>549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  <c r="O57" s="117">
        <v>0</v>
      </c>
      <c r="P57" s="117">
        <v>0</v>
      </c>
      <c r="Q57" s="74"/>
      <c r="R57" s="117">
        <f t="shared" si="23"/>
        <v>0</v>
      </c>
      <c r="S57" s="1"/>
      <c r="T57" s="134"/>
    </row>
    <row r="58" spans="2:22" ht="13.5" customHeight="1">
      <c r="B58" s="155" t="s">
        <v>114</v>
      </c>
      <c r="C58" s="156" t="s">
        <v>115</v>
      </c>
      <c r="D58" s="414" t="s">
        <v>549</v>
      </c>
      <c r="E58" s="117">
        <f>'Base Folha'!$S$90</f>
        <v>-9975.2600000000057</v>
      </c>
      <c r="F58" s="117">
        <f>'Base Folha'!$S$90</f>
        <v>-9975.2600000000057</v>
      </c>
      <c r="G58" s="117">
        <f>'Base Folha'!$S$90</f>
        <v>-9975.2600000000057</v>
      </c>
      <c r="H58" s="117">
        <f>'Base Folha'!$S$90</f>
        <v>-9975.2600000000057</v>
      </c>
      <c r="I58" s="117">
        <f>'Base Folha'!$S$90</f>
        <v>-9975.2600000000057</v>
      </c>
      <c r="J58" s="117">
        <f>'Base Folha'!$S$90</f>
        <v>-9975.2600000000057</v>
      </c>
      <c r="K58" s="117">
        <f>'Base Folha'!$S$90</f>
        <v>-9975.2600000000057</v>
      </c>
      <c r="L58" s="117">
        <f>'Base Folha'!$S$90</f>
        <v>-9975.2600000000057</v>
      </c>
      <c r="M58" s="117">
        <f>'Base Folha'!$S$90</f>
        <v>-9975.2600000000057</v>
      </c>
      <c r="N58" s="117">
        <f>'Base Folha'!$S$90</f>
        <v>-9975.2600000000057</v>
      </c>
      <c r="O58" s="117">
        <f>'Base Folha'!$S$90</f>
        <v>-9975.2600000000057</v>
      </c>
      <c r="P58" s="117">
        <f>'Base Folha'!$S$90</f>
        <v>-9975.2600000000057</v>
      </c>
      <c r="Q58" s="74"/>
      <c r="R58" s="117">
        <f t="shared" si="23"/>
        <v>-119703.1200000001</v>
      </c>
      <c r="S58" s="1"/>
      <c r="T58" s="134"/>
    </row>
    <row r="59" spans="2:22" ht="13.5" hidden="1" customHeight="1">
      <c r="B59" s="155" t="s">
        <v>116</v>
      </c>
      <c r="C59" s="156" t="s">
        <v>117</v>
      </c>
      <c r="D59" s="414" t="s">
        <v>549</v>
      </c>
      <c r="E59" s="117">
        <f>'Base Folha'!$M$90</f>
        <v>0</v>
      </c>
      <c r="F59" s="117">
        <f>'Base Folha'!$M$90</f>
        <v>0</v>
      </c>
      <c r="G59" s="117">
        <f>'Base Folha'!$M$90</f>
        <v>0</v>
      </c>
      <c r="H59" s="117">
        <f>'Base Folha'!$M$90</f>
        <v>0</v>
      </c>
      <c r="I59" s="117">
        <f>'Base Folha'!$M$90</f>
        <v>0</v>
      </c>
      <c r="J59" s="117">
        <f>'Base Folha'!$M$90</f>
        <v>0</v>
      </c>
      <c r="K59" s="117">
        <f>'Base Folha'!$M$90</f>
        <v>0</v>
      </c>
      <c r="L59" s="117">
        <f>'Base Folha'!$M$90</f>
        <v>0</v>
      </c>
      <c r="M59" s="117">
        <f>'Base Folha'!$M$90</f>
        <v>0</v>
      </c>
      <c r="N59" s="117">
        <f>'Base Folha'!$M$90</f>
        <v>0</v>
      </c>
      <c r="O59" s="117">
        <f>'Base Folha'!$M$90</f>
        <v>0</v>
      </c>
      <c r="P59" s="117">
        <f>'Base Folha'!$M$90</f>
        <v>0</v>
      </c>
      <c r="Q59" s="74"/>
      <c r="R59" s="117">
        <f t="shared" si="23"/>
        <v>0</v>
      </c>
      <c r="S59" s="1"/>
      <c r="T59" s="134"/>
    </row>
    <row r="60" spans="2:22" ht="13.5" hidden="1" customHeight="1">
      <c r="B60" s="155" t="s">
        <v>118</v>
      </c>
      <c r="C60" s="156" t="s">
        <v>119</v>
      </c>
      <c r="D60" s="414" t="s">
        <v>549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  <c r="O60" s="117">
        <v>0</v>
      </c>
      <c r="P60" s="117">
        <v>0</v>
      </c>
      <c r="Q60" s="74"/>
      <c r="R60" s="117">
        <f t="shared" si="23"/>
        <v>0</v>
      </c>
      <c r="S60" s="1"/>
      <c r="T60" s="134"/>
    </row>
    <row r="61" spans="2:22" ht="13.5" customHeight="1">
      <c r="B61" s="155" t="s">
        <v>120</v>
      </c>
      <c r="C61" s="156" t="s">
        <v>121</v>
      </c>
      <c r="D61" s="414" t="s">
        <v>549</v>
      </c>
      <c r="E61" s="117">
        <f>'Base Folha'!$T$90</f>
        <v>-21693.796000000002</v>
      </c>
      <c r="F61" s="117">
        <f>'Base Folha'!$T$90</f>
        <v>-21693.796000000002</v>
      </c>
      <c r="G61" s="117">
        <f>'Base Folha'!$T$90</f>
        <v>-21693.796000000002</v>
      </c>
      <c r="H61" s="117">
        <f>'Base Folha'!$T$90</f>
        <v>-21693.796000000002</v>
      </c>
      <c r="I61" s="117">
        <f>'Base Folha'!$T$90</f>
        <v>-21693.796000000002</v>
      </c>
      <c r="J61" s="117">
        <f>'Base Folha'!$T$90</f>
        <v>-21693.796000000002</v>
      </c>
      <c r="K61" s="117">
        <f>'Base Folha'!$T$90</f>
        <v>-21693.796000000002</v>
      </c>
      <c r="L61" s="117">
        <f>'Base Folha'!$T$90</f>
        <v>-21693.796000000002</v>
      </c>
      <c r="M61" s="117">
        <f>'Base Folha'!$T$90</f>
        <v>-21693.796000000002</v>
      </c>
      <c r="N61" s="117">
        <f>'Base Folha'!$T$90</f>
        <v>-21693.796000000002</v>
      </c>
      <c r="O61" s="117">
        <f>'Base Folha'!$T$90</f>
        <v>-21693.796000000002</v>
      </c>
      <c r="P61" s="117">
        <f>'Base Folha'!$T$90</f>
        <v>-21693.796000000002</v>
      </c>
      <c r="Q61" s="74"/>
      <c r="R61" s="117">
        <f t="shared" si="23"/>
        <v>-260325.55200000003</v>
      </c>
      <c r="S61" s="1"/>
      <c r="T61" s="134"/>
      <c r="V61" s="389"/>
    </row>
    <row r="62" spans="2:22" ht="13.5" customHeight="1">
      <c r="B62" s="155" t="s">
        <v>124</v>
      </c>
      <c r="C62" s="156" t="s">
        <v>125</v>
      </c>
      <c r="D62" s="414" t="s">
        <v>549</v>
      </c>
      <c r="E62" s="117">
        <f t="shared" ref="E62:P62" si="24">E$52*$T$62</f>
        <v>-6105.0455200000015</v>
      </c>
      <c r="F62" s="117">
        <f t="shared" si="24"/>
        <v>-6105.0455200000015</v>
      </c>
      <c r="G62" s="117">
        <f t="shared" si="24"/>
        <v>-6105.0455200000015</v>
      </c>
      <c r="H62" s="117">
        <f t="shared" si="24"/>
        <v>-6105.0455200000015</v>
      </c>
      <c r="I62" s="117">
        <f t="shared" si="24"/>
        <v>-6105.0455200000015</v>
      </c>
      <c r="J62" s="117">
        <f t="shared" si="24"/>
        <v>-6105.0455200000015</v>
      </c>
      <c r="K62" s="117">
        <f t="shared" si="24"/>
        <v>-6453.9052640000009</v>
      </c>
      <c r="L62" s="117">
        <f t="shared" si="24"/>
        <v>-6453.9052640000009</v>
      </c>
      <c r="M62" s="117">
        <f t="shared" si="24"/>
        <v>-6453.9052640000009</v>
      </c>
      <c r="N62" s="117">
        <f t="shared" si="24"/>
        <v>-6453.9052640000009</v>
      </c>
      <c r="O62" s="117">
        <f t="shared" si="24"/>
        <v>-6453.9052640000009</v>
      </c>
      <c r="P62" s="117">
        <f t="shared" si="24"/>
        <v>-6453.9052640000009</v>
      </c>
      <c r="Q62" s="74"/>
      <c r="R62" s="117">
        <f t="shared" si="23"/>
        <v>-75353.704704000003</v>
      </c>
      <c r="S62" s="1"/>
      <c r="T62" s="134">
        <v>0.02</v>
      </c>
    </row>
    <row r="63" spans="2:22" ht="13.5" customHeight="1">
      <c r="B63" s="155" t="s">
        <v>127</v>
      </c>
      <c r="C63" s="156" t="s">
        <v>128</v>
      </c>
      <c r="D63" s="414" t="s">
        <v>549</v>
      </c>
      <c r="E63" s="117">
        <f>'Base Folha'!$U$90</f>
        <v>-800.5199999999985</v>
      </c>
      <c r="F63" s="117">
        <f>'Base Folha'!$U$90</f>
        <v>-800.5199999999985</v>
      </c>
      <c r="G63" s="117">
        <f>'Base Folha'!$U$90</f>
        <v>-800.5199999999985</v>
      </c>
      <c r="H63" s="117">
        <f>'Base Folha'!$U$90</f>
        <v>-800.5199999999985</v>
      </c>
      <c r="I63" s="117">
        <f>'Base Folha'!$U$90</f>
        <v>-800.5199999999985</v>
      </c>
      <c r="J63" s="117">
        <f>'Base Folha'!$U$90</f>
        <v>-800.5199999999985</v>
      </c>
      <c r="K63" s="117">
        <f>'Base Folha'!$U$90</f>
        <v>-800.5199999999985</v>
      </c>
      <c r="L63" s="117">
        <f>'Base Folha'!$U$90</f>
        <v>-800.5199999999985</v>
      </c>
      <c r="M63" s="117">
        <f>'Base Folha'!$U$90</f>
        <v>-800.5199999999985</v>
      </c>
      <c r="N63" s="117">
        <f>'Base Folha'!$U$90</f>
        <v>-800.5199999999985</v>
      </c>
      <c r="O63" s="117">
        <f>'Base Folha'!$U$90</f>
        <v>-800.5199999999985</v>
      </c>
      <c r="P63" s="117">
        <f>'Base Folha'!$U$90</f>
        <v>-800.5199999999985</v>
      </c>
      <c r="Q63" s="74"/>
      <c r="R63" s="117">
        <f t="shared" si="23"/>
        <v>-9606.2399999999816</v>
      </c>
      <c r="S63" s="1"/>
      <c r="T63" s="134"/>
    </row>
    <row r="64" spans="2:22" ht="13.5" customHeight="1">
      <c r="B64" s="155" t="s">
        <v>656</v>
      </c>
      <c r="C64" s="156"/>
      <c r="D64" s="414" t="s">
        <v>549</v>
      </c>
      <c r="E64" s="117">
        <f>'Base Folha'!$Y$90</f>
        <v>-579.59999999999911</v>
      </c>
      <c r="F64" s="117">
        <f>'Base Folha'!$Y$90</f>
        <v>-579.59999999999911</v>
      </c>
      <c r="G64" s="117">
        <f>'Base Folha'!$Y$90</f>
        <v>-579.59999999999911</v>
      </c>
      <c r="H64" s="117">
        <f>'Base Folha'!$Y$90</f>
        <v>-579.59999999999911</v>
      </c>
      <c r="I64" s="117">
        <f>'Base Folha'!$Y$90</f>
        <v>-579.59999999999911</v>
      </c>
      <c r="J64" s="117">
        <f>'Base Folha'!$Y$90</f>
        <v>-579.59999999999911</v>
      </c>
      <c r="K64" s="117">
        <f>'Base Folha'!$Y$90</f>
        <v>-579.59999999999911</v>
      </c>
      <c r="L64" s="117">
        <f>'Base Folha'!$Y$90</f>
        <v>-579.59999999999911</v>
      </c>
      <c r="M64" s="117">
        <f>'Base Folha'!$Y$90</f>
        <v>-579.59999999999911</v>
      </c>
      <c r="N64" s="117">
        <f>'Base Folha'!$Y$90</f>
        <v>-579.59999999999911</v>
      </c>
      <c r="O64" s="117">
        <f>'Base Folha'!$Y$90</f>
        <v>-579.59999999999911</v>
      </c>
      <c r="P64" s="117">
        <f>'Base Folha'!$Y$90</f>
        <v>-579.59999999999911</v>
      </c>
      <c r="Q64" s="74"/>
      <c r="R64" s="117"/>
      <c r="S64" s="1"/>
      <c r="T64" s="134"/>
    </row>
    <row r="65" spans="2:29" ht="13.5" customHeight="1">
      <c r="B65" s="155" t="s">
        <v>130</v>
      </c>
      <c r="C65" s="156" t="s">
        <v>131</v>
      </c>
      <c r="D65" s="414" t="s">
        <v>549</v>
      </c>
      <c r="E65" s="117">
        <f>'Base Folha'!$W$90</f>
        <v>-6986.25</v>
      </c>
      <c r="F65" s="117">
        <f>'Base Folha'!$W$90</f>
        <v>-6986.25</v>
      </c>
      <c r="G65" s="117">
        <f>'Base Folha'!$W$90</f>
        <v>-6986.25</v>
      </c>
      <c r="H65" s="117">
        <f>'Base Folha'!$W$90</f>
        <v>-6986.25</v>
      </c>
      <c r="I65" s="117">
        <f>'Base Folha'!$W$90</f>
        <v>-6986.25</v>
      </c>
      <c r="J65" s="117">
        <f>'Base Folha'!$W$90</f>
        <v>-6986.25</v>
      </c>
      <c r="K65" s="117">
        <f>'Base Folha'!$W$90</f>
        <v>-6986.25</v>
      </c>
      <c r="L65" s="117">
        <f>'Base Folha'!$W$90</f>
        <v>-6986.25</v>
      </c>
      <c r="M65" s="117">
        <f>'Base Folha'!$W$90</f>
        <v>-6986.25</v>
      </c>
      <c r="N65" s="117">
        <f>'Base Folha'!$W$90</f>
        <v>-6986.25</v>
      </c>
      <c r="O65" s="117">
        <f>'Base Folha'!$W$90</f>
        <v>-6986.25</v>
      </c>
      <c r="P65" s="117">
        <f>'Base Folha'!$W$90</f>
        <v>-6986.25</v>
      </c>
      <c r="Q65" s="74"/>
      <c r="R65" s="117">
        <f t="shared" si="23"/>
        <v>-83835</v>
      </c>
      <c r="T65" s="134">
        <v>3.0000000000000001E-3</v>
      </c>
    </row>
    <row r="66" spans="2:29" ht="13.5" customHeight="1">
      <c r="B66" s="745" t="s">
        <v>544</v>
      </c>
      <c r="C66" s="156" t="s">
        <v>134</v>
      </c>
      <c r="D66" s="414" t="s">
        <v>549</v>
      </c>
      <c r="E66" s="685">
        <f>($E$11+$E$22+$E$23+$E$24)*-$T$66</f>
        <v>-16031.337048457503</v>
      </c>
      <c r="F66" s="685">
        <f t="shared" ref="F66:P66" si="25">(F11+F22+F23+F24)*-$T$66</f>
        <v>-24607.554103986004</v>
      </c>
      <c r="G66" s="685">
        <f t="shared" si="25"/>
        <v>-24799.407391289395</v>
      </c>
      <c r="H66" s="685">
        <f t="shared" si="25"/>
        <v>-25444.242733546198</v>
      </c>
      <c r="I66" s="685">
        <f t="shared" si="25"/>
        <v>-28598.236447313411</v>
      </c>
      <c r="J66" s="685">
        <f t="shared" si="25"/>
        <v>-24248.8864628226</v>
      </c>
      <c r="K66" s="685">
        <f t="shared" si="25"/>
        <v>-23399.9442852258</v>
      </c>
      <c r="L66" s="685">
        <f t="shared" si="25"/>
        <v>-23935.643518543206</v>
      </c>
      <c r="M66" s="685">
        <f t="shared" si="25"/>
        <v>-23641.000856841601</v>
      </c>
      <c r="N66" s="685">
        <f t="shared" si="25"/>
        <v>-22967.265344157</v>
      </c>
      <c r="O66" s="685">
        <f t="shared" si="25"/>
        <v>-27149.868597151799</v>
      </c>
      <c r="P66" s="685">
        <f t="shared" si="25"/>
        <v>-19322.391122438999</v>
      </c>
      <c r="Q66" s="74"/>
      <c r="R66" s="117">
        <f t="shared" si="23"/>
        <v>-284145.77791177348</v>
      </c>
      <c r="T66" s="134">
        <v>0.01</v>
      </c>
    </row>
    <row r="67" spans="2:29" ht="13.5" customHeight="1">
      <c r="B67" s="369" t="s">
        <v>137</v>
      </c>
      <c r="C67" s="443" t="s">
        <v>138</v>
      </c>
      <c r="D67" s="414" t="s">
        <v>549</v>
      </c>
      <c r="E67" s="444">
        <f>'Base Folha'!$L$90</f>
        <v>0</v>
      </c>
      <c r="F67" s="444">
        <f>'Base Folha'!$L$90</f>
        <v>0</v>
      </c>
      <c r="G67" s="444">
        <f>'Base Folha'!$L$90</f>
        <v>0</v>
      </c>
      <c r="H67" s="444">
        <f>'Base Folha'!$L$90</f>
        <v>0</v>
      </c>
      <c r="I67" s="444">
        <f>'Base Folha'!$L$90</f>
        <v>0</v>
      </c>
      <c r="J67" s="444">
        <f>'Base Folha'!$L$90</f>
        <v>0</v>
      </c>
      <c r="K67" s="444">
        <f>'Base Folha'!$L$90</f>
        <v>0</v>
      </c>
      <c r="L67" s="444">
        <f>'Base Folha'!$L$90</f>
        <v>0</v>
      </c>
      <c r="M67" s="444">
        <f>'Base Folha'!$L$90</f>
        <v>0</v>
      </c>
      <c r="N67" s="444">
        <f>'Base Folha'!$L$90</f>
        <v>0</v>
      </c>
      <c r="O67" s="444">
        <f>'Base Folha'!$L$90</f>
        <v>0</v>
      </c>
      <c r="P67" s="444">
        <f>'Base Folha'!$L$90</f>
        <v>0</v>
      </c>
      <c r="Q67" s="74"/>
      <c r="R67" s="444">
        <f t="shared" si="23"/>
        <v>0</v>
      </c>
      <c r="T67" s="134"/>
    </row>
    <row r="68" spans="2:29" ht="13.5" customHeight="1">
      <c r="B68" s="390" t="s">
        <v>144</v>
      </c>
      <c r="C68" s="154" t="s">
        <v>141</v>
      </c>
      <c r="D68" s="414" t="s">
        <v>550</v>
      </c>
      <c r="E68" s="117">
        <f>E69+E13</f>
        <v>74471.506159049983</v>
      </c>
      <c r="F68" s="117">
        <f t="shared" ref="F68:P68" si="26">F69+F13</f>
        <v>74460.161270040029</v>
      </c>
      <c r="G68" s="117">
        <f t="shared" si="26"/>
        <v>75040.691405316029</v>
      </c>
      <c r="H68" s="117">
        <f t="shared" si="26"/>
        <v>76991.902946867951</v>
      </c>
      <c r="I68" s="117">
        <f t="shared" si="26"/>
        <v>86535.593456675997</v>
      </c>
      <c r="J68" s="117">
        <f t="shared" si="26"/>
        <v>73374.86647436404</v>
      </c>
      <c r="K68" s="117">
        <f t="shared" si="26"/>
        <v>70806.046705211949</v>
      </c>
      <c r="L68" s="117">
        <f t="shared" si="26"/>
        <v>72427.022570447967</v>
      </c>
      <c r="M68" s="117">
        <f t="shared" si="26"/>
        <v>71535.461385023984</v>
      </c>
      <c r="N68" s="117">
        <f t="shared" si="26"/>
        <v>69496.800625979988</v>
      </c>
      <c r="O68" s="117">
        <f t="shared" si="26"/>
        <v>82152.967566851963</v>
      </c>
      <c r="P68" s="117">
        <f t="shared" si="26"/>
        <v>58467.751529459987</v>
      </c>
      <c r="Q68" s="74"/>
      <c r="R68" s="117">
        <f t="shared" si="23"/>
        <v>885760.77209529001</v>
      </c>
      <c r="T68" s="134"/>
    </row>
    <row r="69" spans="2:29" ht="13.5" customHeight="1">
      <c r="B69" s="390" t="s">
        <v>140</v>
      </c>
      <c r="C69" s="154" t="s">
        <v>145</v>
      </c>
      <c r="D69" s="414" t="s">
        <v>550</v>
      </c>
      <c r="E69" s="117">
        <f>-'Base Gorjeta'!D5</f>
        <v>-151199.72462595004</v>
      </c>
      <c r="F69" s="117">
        <f>-'Base Gorjeta'!E5</f>
        <v>-232086.40632996004</v>
      </c>
      <c r="G69" s="117">
        <f>-'Base Gorjeta'!F5</f>
        <v>-233895.872634684</v>
      </c>
      <c r="H69" s="117">
        <f>-'Base Gorjeta'!G5</f>
        <v>-239977.64397313204</v>
      </c>
      <c r="I69" s="117">
        <f>-'Base Gorjeta'!H5</f>
        <v>-269724.5689833241</v>
      </c>
      <c r="J69" s="117">
        <f>-'Base Gorjeta'!I5</f>
        <v>-228703.62868563601</v>
      </c>
      <c r="K69" s="117">
        <f>-'Base Gorjeta'!J5</f>
        <v>-220696.82157478799</v>
      </c>
      <c r="L69" s="117">
        <f>-'Base Gorjeta'!K5</f>
        <v>-225749.27454955209</v>
      </c>
      <c r="M69" s="117">
        <f>-'Base Gorjeta'!L5</f>
        <v>-222970.34917497603</v>
      </c>
      <c r="N69" s="117">
        <f>-'Base Gorjeta'!M5</f>
        <v>-216616.00557402</v>
      </c>
      <c r="O69" s="117">
        <f>-'Base Gorjeta'!N5</f>
        <v>-256064.27231314805</v>
      </c>
      <c r="P69" s="117">
        <f>-'Base Gorjeta'!O5</f>
        <v>-182239.33587054003</v>
      </c>
      <c r="Q69" s="74"/>
      <c r="R69" s="117">
        <f t="shared" ref="R69" si="27">SUM(E69:P69)</f>
        <v>-2679923.9042897108</v>
      </c>
      <c r="T69" s="134"/>
    </row>
    <row r="70" spans="2:29" ht="13.5" customHeight="1">
      <c r="B70" s="421" t="s">
        <v>142</v>
      </c>
      <c r="C70" s="422" t="s">
        <v>143</v>
      </c>
      <c r="D70" s="414" t="s">
        <v>549</v>
      </c>
      <c r="E70" s="407"/>
      <c r="F70" s="407"/>
      <c r="G70" s="407"/>
      <c r="H70" s="407"/>
      <c r="I70" s="407"/>
      <c r="J70" s="407"/>
      <c r="K70" s="407"/>
      <c r="L70" s="407"/>
      <c r="M70" s="407"/>
      <c r="N70" s="407"/>
      <c r="O70" s="407"/>
      <c r="P70" s="407"/>
      <c r="Q70" s="74"/>
      <c r="R70" s="407">
        <f t="shared" si="23"/>
        <v>0</v>
      </c>
      <c r="T70" s="134"/>
    </row>
    <row r="71" spans="2:29" ht="13.5" hidden="1" customHeight="1">
      <c r="B71" s="419" t="s">
        <v>148</v>
      </c>
      <c r="C71" s="420" t="s">
        <v>62</v>
      </c>
      <c r="D71" s="420"/>
      <c r="E71" s="423">
        <f>'Base Folha'!$N$90</f>
        <v>0</v>
      </c>
      <c r="F71" s="423">
        <f>'Base Folha'!$N$90</f>
        <v>0</v>
      </c>
      <c r="G71" s="423">
        <f>'Base Folha'!$N$90</f>
        <v>0</v>
      </c>
      <c r="H71" s="423">
        <f>'Base Folha'!$N$90</f>
        <v>0</v>
      </c>
      <c r="I71" s="423">
        <f>'Base Folha'!$N$90</f>
        <v>0</v>
      </c>
      <c r="J71" s="423">
        <f>'Base Folha'!$N$90</f>
        <v>0</v>
      </c>
      <c r="K71" s="423">
        <f>'Base Folha'!$N$90</f>
        <v>0</v>
      </c>
      <c r="L71" s="423">
        <f>'Base Folha'!$N$90</f>
        <v>0</v>
      </c>
      <c r="M71" s="423">
        <f>'Base Folha'!$N$90</f>
        <v>0</v>
      </c>
      <c r="N71" s="423">
        <f>'Base Folha'!$N$90</f>
        <v>0</v>
      </c>
      <c r="O71" s="423">
        <f>'Base Folha'!$N$90</f>
        <v>0</v>
      </c>
      <c r="P71" s="423">
        <f>'Base Folha'!$N$90</f>
        <v>0</v>
      </c>
      <c r="Q71" s="74"/>
      <c r="R71" s="423">
        <f t="shared" si="23"/>
        <v>0</v>
      </c>
      <c r="T71" s="134"/>
    </row>
    <row r="72" spans="2:29" ht="13.5" hidden="1" customHeight="1">
      <c r="B72" s="155" t="s">
        <v>149</v>
      </c>
      <c r="C72" s="156" t="s">
        <v>62</v>
      </c>
      <c r="D72" s="156"/>
      <c r="E72" s="117">
        <v>0</v>
      </c>
      <c r="F72" s="117">
        <v>0</v>
      </c>
      <c r="G72" s="117">
        <v>0</v>
      </c>
      <c r="H72" s="117">
        <v>0</v>
      </c>
      <c r="I72" s="117">
        <v>0</v>
      </c>
      <c r="J72" s="117">
        <v>0</v>
      </c>
      <c r="K72" s="117">
        <v>0</v>
      </c>
      <c r="L72" s="117">
        <v>0</v>
      </c>
      <c r="M72" s="117">
        <v>0</v>
      </c>
      <c r="N72" s="117">
        <v>0</v>
      </c>
      <c r="O72" s="117">
        <v>0</v>
      </c>
      <c r="P72" s="117">
        <v>0</v>
      </c>
      <c r="Q72" s="74"/>
      <c r="R72" s="117">
        <f t="shared" si="23"/>
        <v>0</v>
      </c>
      <c r="T72" s="134"/>
    </row>
    <row r="73" spans="2:29" ht="13.5" hidden="1" customHeight="1">
      <c r="B73" s="155" t="s">
        <v>150</v>
      </c>
      <c r="C73" s="156" t="s">
        <v>62</v>
      </c>
      <c r="D73" s="156"/>
      <c r="E73" s="117">
        <v>0</v>
      </c>
      <c r="F73" s="117">
        <v>0</v>
      </c>
      <c r="G73" s="117">
        <v>0</v>
      </c>
      <c r="H73" s="117">
        <v>0</v>
      </c>
      <c r="I73" s="117">
        <v>0</v>
      </c>
      <c r="J73" s="117">
        <v>0</v>
      </c>
      <c r="K73" s="117">
        <v>0</v>
      </c>
      <c r="L73" s="117">
        <v>0</v>
      </c>
      <c r="M73" s="117">
        <v>0</v>
      </c>
      <c r="N73" s="117">
        <v>0</v>
      </c>
      <c r="O73" s="117">
        <v>0</v>
      </c>
      <c r="P73" s="117">
        <v>0</v>
      </c>
      <c r="Q73" s="74"/>
      <c r="R73" s="117">
        <f t="shared" si="23"/>
        <v>0</v>
      </c>
      <c r="T73" s="134"/>
    </row>
    <row r="74" spans="2:29" ht="13.5" hidden="1" customHeight="1">
      <c r="B74" s="155" t="s">
        <v>151</v>
      </c>
      <c r="C74" s="156" t="s">
        <v>62</v>
      </c>
      <c r="D74" s="156"/>
      <c r="E74" s="117">
        <v>0</v>
      </c>
      <c r="F74" s="117">
        <v>0</v>
      </c>
      <c r="G74" s="117">
        <v>0</v>
      </c>
      <c r="H74" s="117">
        <v>0</v>
      </c>
      <c r="I74" s="117">
        <v>0</v>
      </c>
      <c r="J74" s="117">
        <v>0</v>
      </c>
      <c r="K74" s="117">
        <v>0</v>
      </c>
      <c r="L74" s="117">
        <v>0</v>
      </c>
      <c r="M74" s="117">
        <v>0</v>
      </c>
      <c r="N74" s="117">
        <v>0</v>
      </c>
      <c r="O74" s="117">
        <v>0</v>
      </c>
      <c r="P74" s="117">
        <v>0</v>
      </c>
      <c r="Q74" s="74"/>
      <c r="R74" s="117">
        <f t="shared" si="23"/>
        <v>0</v>
      </c>
      <c r="T74" s="134"/>
    </row>
    <row r="75" spans="2:29" ht="13.5" hidden="1" customHeight="1">
      <c r="B75" s="155" t="s">
        <v>152</v>
      </c>
      <c r="C75" s="156" t="s">
        <v>62</v>
      </c>
      <c r="D75" s="156"/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7">
        <v>0</v>
      </c>
      <c r="Q75" s="74"/>
      <c r="R75" s="117">
        <f t="shared" si="23"/>
        <v>0</v>
      </c>
      <c r="T75" s="134"/>
    </row>
    <row r="76" spans="2:29" ht="13.5" customHeight="1">
      <c r="B76" s="354" t="s">
        <v>153</v>
      </c>
      <c r="C76" s="355"/>
      <c r="D76" s="355"/>
      <c r="E76" s="356">
        <f t="shared" ref="E76:P76" si="28">SUM(E77:E79)</f>
        <v>-63668</v>
      </c>
      <c r="F76" s="356">
        <f t="shared" si="28"/>
        <v>-71735.66</v>
      </c>
      <c r="G76" s="356">
        <f t="shared" si="28"/>
        <v>-71735.66</v>
      </c>
      <c r="H76" s="356">
        <f t="shared" si="28"/>
        <v>-71735.66</v>
      </c>
      <c r="I76" s="356">
        <f t="shared" si="28"/>
        <v>-71735.66</v>
      </c>
      <c r="J76" s="356">
        <f t="shared" si="28"/>
        <v>-71735.66</v>
      </c>
      <c r="K76" s="356">
        <f t="shared" si="28"/>
        <v>-71735.66</v>
      </c>
      <c r="L76" s="356">
        <f t="shared" si="28"/>
        <v>-71735.66</v>
      </c>
      <c r="M76" s="356">
        <f t="shared" si="28"/>
        <v>-71735.66</v>
      </c>
      <c r="N76" s="356">
        <f t="shared" si="28"/>
        <v>-71735.66</v>
      </c>
      <c r="O76" s="356">
        <f t="shared" si="28"/>
        <v>-71735.66</v>
      </c>
      <c r="P76" s="356">
        <f t="shared" si="28"/>
        <v>-63668</v>
      </c>
      <c r="Q76" s="74"/>
      <c r="R76" s="356">
        <f>SUM(R77:R79)</f>
        <v>-844692.6</v>
      </c>
      <c r="S76" s="1"/>
      <c r="T76" s="357" t="s">
        <v>68</v>
      </c>
      <c r="U76" s="163"/>
      <c r="V76" s="163"/>
      <c r="W76" s="163"/>
    </row>
    <row r="77" spans="2:29" ht="13.5" customHeight="1">
      <c r="B77" s="164" t="s">
        <v>154</v>
      </c>
      <c r="C77" s="165" t="s">
        <v>155</v>
      </c>
      <c r="D77" s="414" t="s">
        <v>549</v>
      </c>
      <c r="E77" s="166">
        <v>-45000</v>
      </c>
      <c r="F77" s="166">
        <v>-45000</v>
      </c>
      <c r="G77" s="166">
        <v>-45000</v>
      </c>
      <c r="H77" s="166">
        <v>-45000</v>
      </c>
      <c r="I77" s="166">
        <v>-45000</v>
      </c>
      <c r="J77" s="166">
        <v>-45000</v>
      </c>
      <c r="K77" s="166">
        <v>-45000</v>
      </c>
      <c r="L77" s="166">
        <v>-45000</v>
      </c>
      <c r="M77" s="166">
        <v>-45000</v>
      </c>
      <c r="N77" s="166">
        <v>-45000</v>
      </c>
      <c r="O77" s="166">
        <v>-45000</v>
      </c>
      <c r="P77" s="166">
        <v>-45000</v>
      </c>
      <c r="Q77" s="74"/>
      <c r="R77" s="166">
        <f t="shared" ref="R77:R79" si="29">SUM(E77:P77)</f>
        <v>-540000</v>
      </c>
      <c r="S77" s="167"/>
      <c r="T77" s="168"/>
      <c r="U77" s="167"/>
      <c r="V77" s="167"/>
      <c r="W77" s="167"/>
      <c r="X77" s="167"/>
      <c r="Y77" s="167"/>
      <c r="Z77" s="167"/>
      <c r="AA77" s="167"/>
      <c r="AB77" s="167"/>
      <c r="AC77" s="167"/>
    </row>
    <row r="78" spans="2:29" ht="13.5" customHeight="1">
      <c r="B78" s="370" t="s">
        <v>445</v>
      </c>
      <c r="C78" s="170" t="s">
        <v>156</v>
      </c>
      <c r="D78" s="414" t="s">
        <v>549</v>
      </c>
      <c r="E78" s="160">
        <v>-18668</v>
      </c>
      <c r="F78" s="160">
        <v>-18668</v>
      </c>
      <c r="G78" s="160">
        <v>-18668</v>
      </c>
      <c r="H78" s="160">
        <v>-18668</v>
      </c>
      <c r="I78" s="160">
        <v>-18668</v>
      </c>
      <c r="J78" s="160">
        <v>-18668</v>
      </c>
      <c r="K78" s="160">
        <v>-18668</v>
      </c>
      <c r="L78" s="160">
        <v>-18668</v>
      </c>
      <c r="M78" s="160">
        <v>-18668</v>
      </c>
      <c r="N78" s="160">
        <v>-18668</v>
      </c>
      <c r="O78" s="160">
        <v>-18668</v>
      </c>
      <c r="P78" s="160">
        <v>-18668</v>
      </c>
      <c r="Q78" s="74"/>
      <c r="R78" s="160">
        <f t="shared" si="29"/>
        <v>-224016</v>
      </c>
      <c r="S78" s="1"/>
      <c r="T78" s="76"/>
    </row>
    <row r="79" spans="2:29" ht="13.5" customHeight="1">
      <c r="B79" s="370" t="s">
        <v>157</v>
      </c>
      <c r="C79" s="170" t="s">
        <v>158</v>
      </c>
      <c r="D79" s="414" t="s">
        <v>549</v>
      </c>
      <c r="E79" s="160"/>
      <c r="F79" s="160">
        <v>-8067.66</v>
      </c>
      <c r="G79" s="160">
        <v>-8067.66</v>
      </c>
      <c r="H79" s="160">
        <v>-8067.66</v>
      </c>
      <c r="I79" s="160">
        <v>-8067.66</v>
      </c>
      <c r="J79" s="160">
        <v>-8067.66</v>
      </c>
      <c r="K79" s="160">
        <v>-8067.66</v>
      </c>
      <c r="L79" s="160">
        <v>-8067.66</v>
      </c>
      <c r="M79" s="160">
        <v>-8067.66</v>
      </c>
      <c r="N79" s="160">
        <v>-8067.66</v>
      </c>
      <c r="O79" s="160">
        <v>-8067.66</v>
      </c>
      <c r="P79" s="160"/>
      <c r="Q79" s="74"/>
      <c r="R79" s="160">
        <f t="shared" si="29"/>
        <v>-80676.60000000002</v>
      </c>
      <c r="S79" s="1"/>
      <c r="T79" s="76"/>
    </row>
    <row r="80" spans="2:29" ht="13.5" customHeight="1">
      <c r="B80" s="476" t="s">
        <v>1729</v>
      </c>
      <c r="C80" s="170" t="s">
        <v>160</v>
      </c>
      <c r="D80" s="345"/>
      <c r="E80" s="345">
        <f t="shared" ref="E80:P80" si="30">SUM(E81:E83)</f>
        <v>-43284.610030835247</v>
      </c>
      <c r="F80" s="345">
        <f t="shared" si="30"/>
        <v>-58796.810690940008</v>
      </c>
      <c r="G80" s="345">
        <f t="shared" si="30"/>
        <v>-59255.221200426007</v>
      </c>
      <c r="H80" s="345">
        <f t="shared" si="30"/>
        <v>-60795.978212898</v>
      </c>
      <c r="I80" s="345">
        <f t="shared" si="30"/>
        <v>-68332.069387386015</v>
      </c>
      <c r="J80" s="345">
        <f t="shared" si="30"/>
        <v>-57939.817212054011</v>
      </c>
      <c r="K80" s="345">
        <f t="shared" si="30"/>
        <v>-55911.371300981991</v>
      </c>
      <c r="L80" s="345">
        <f t="shared" si="30"/>
        <v>-57191.360619528015</v>
      </c>
      <c r="M80" s="345">
        <f t="shared" si="30"/>
        <v>-56487.347180063996</v>
      </c>
      <c r="N80" s="345">
        <f t="shared" si="30"/>
        <v>-54877.536663029998</v>
      </c>
      <c r="O80" s="345">
        <f t="shared" si="30"/>
        <v>-64871.367444521995</v>
      </c>
      <c r="P80" s="345">
        <f t="shared" si="30"/>
        <v>-46168.545159810004</v>
      </c>
      <c r="Q80" s="74"/>
      <c r="R80" s="356">
        <f>SUM(R81:R83)</f>
        <v>-683912.03510247532</v>
      </c>
      <c r="S80" s="1"/>
      <c r="T80" s="76"/>
    </row>
    <row r="81" spans="2:23" ht="13.5" customHeight="1">
      <c r="B81" s="393" t="s">
        <v>162</v>
      </c>
      <c r="C81" s="174" t="s">
        <v>163</v>
      </c>
      <c r="D81" s="414" t="s">
        <v>550</v>
      </c>
      <c r="E81" s="117">
        <v>-16031.337048457501</v>
      </c>
      <c r="F81" s="117">
        <v>-21776.596552200004</v>
      </c>
      <c r="G81" s="117">
        <v>-21946.378222380001</v>
      </c>
      <c r="H81" s="117">
        <v>-22517.02896774</v>
      </c>
      <c r="I81" s="117">
        <v>-25308.173847180005</v>
      </c>
      <c r="J81" s="117">
        <v>-21459.191560020005</v>
      </c>
      <c r="K81" s="117">
        <v>-20707.915296659998</v>
      </c>
      <c r="L81" s="117">
        <v>-21181.985414640007</v>
      </c>
      <c r="M81" s="117">
        <v>-20921.239696319997</v>
      </c>
      <c r="N81" s="117">
        <v>-20325.013578899998</v>
      </c>
      <c r="O81" s="117">
        <v>-24026.432386859997</v>
      </c>
      <c r="P81" s="117">
        <v>-17099.461170300001</v>
      </c>
      <c r="Q81" s="74"/>
      <c r="R81" s="117">
        <f>SUM(E81:P81)</f>
        <v>-253300.75374165751</v>
      </c>
      <c r="S81" s="1"/>
      <c r="T81" s="76"/>
    </row>
    <row r="82" spans="2:23" ht="12.95" customHeight="1">
      <c r="B82" s="370" t="s">
        <v>183</v>
      </c>
      <c r="C82" s="170" t="s">
        <v>62</v>
      </c>
      <c r="D82" s="414" t="s">
        <v>550</v>
      </c>
      <c r="E82" s="160">
        <v>-19237.604458148999</v>
      </c>
      <c r="F82" s="160">
        <v>-26131.915862640006</v>
      </c>
      <c r="G82" s="160">
        <v>-26335.653866856002</v>
      </c>
      <c r="H82" s="160">
        <v>-27020.434761288001</v>
      </c>
      <c r="I82" s="160">
        <v>-30369.808616616006</v>
      </c>
      <c r="J82" s="160">
        <v>-25751.029872024006</v>
      </c>
      <c r="K82" s="160">
        <v>-24849.498355991997</v>
      </c>
      <c r="L82" s="160">
        <v>-25418.382497568007</v>
      </c>
      <c r="M82" s="160">
        <v>-25105.487635583995</v>
      </c>
      <c r="N82" s="160">
        <v>-24390.016294679997</v>
      </c>
      <c r="O82" s="160">
        <v>-28831.718864231996</v>
      </c>
      <c r="P82" s="160">
        <v>-20519.353404360001</v>
      </c>
      <c r="Q82" s="74"/>
      <c r="R82" s="160">
        <f>SUM(E82:P82)</f>
        <v>-303960.90448998899</v>
      </c>
      <c r="S82" s="1"/>
      <c r="T82" s="76"/>
    </row>
    <row r="83" spans="2:23" ht="12.95" customHeight="1">
      <c r="B83" s="370" t="s">
        <v>189</v>
      </c>
      <c r="C83" s="170"/>
      <c r="D83" s="414" t="s">
        <v>550</v>
      </c>
      <c r="E83" s="160">
        <v>-8015.6685242287504</v>
      </c>
      <c r="F83" s="160">
        <v>-10888.298276100002</v>
      </c>
      <c r="G83" s="160">
        <v>-10973.18911119</v>
      </c>
      <c r="H83" s="160">
        <v>-11258.51448387</v>
      </c>
      <c r="I83" s="160">
        <v>-12654.086923590003</v>
      </c>
      <c r="J83" s="160">
        <v>-10729.595780010002</v>
      </c>
      <c r="K83" s="160">
        <v>-10353.957648329999</v>
      </c>
      <c r="L83" s="160">
        <v>-10590.992707320003</v>
      </c>
      <c r="M83" s="160">
        <v>-10460.619848159999</v>
      </c>
      <c r="N83" s="160">
        <v>-10162.506789449999</v>
      </c>
      <c r="O83" s="160">
        <v>-12013.216193429998</v>
      </c>
      <c r="P83" s="160">
        <v>-8549.7305851500005</v>
      </c>
      <c r="Q83" s="74"/>
      <c r="R83" s="160">
        <f>SUM(E83:P83)</f>
        <v>-126650.37687082875</v>
      </c>
      <c r="S83" s="1"/>
      <c r="T83" s="76"/>
    </row>
    <row r="84" spans="2:23" ht="12.95" customHeight="1">
      <c r="B84" s="476" t="s">
        <v>916</v>
      </c>
      <c r="C84" s="424"/>
      <c r="D84" s="345"/>
      <c r="E84" s="345">
        <f>SUM(E85)</f>
        <v>-16031.337048457501</v>
      </c>
      <c r="F84" s="345">
        <f t="shared" ref="F84:P84" si="31">SUM(F85)</f>
        <v>-21776.596552200004</v>
      </c>
      <c r="G84" s="345">
        <f t="shared" si="31"/>
        <v>-21946.378222380001</v>
      </c>
      <c r="H84" s="345">
        <f t="shared" si="31"/>
        <v>-22517.02896774</v>
      </c>
      <c r="I84" s="345">
        <f t="shared" si="31"/>
        <v>-25308.173847180005</v>
      </c>
      <c r="J84" s="345">
        <f t="shared" si="31"/>
        <v>-21459.191560020005</v>
      </c>
      <c r="K84" s="345">
        <f t="shared" si="31"/>
        <v>-20707.915296659998</v>
      </c>
      <c r="L84" s="345">
        <f t="shared" si="31"/>
        <v>-21181.985414640007</v>
      </c>
      <c r="M84" s="345">
        <f t="shared" si="31"/>
        <v>-20921.239696319997</v>
      </c>
      <c r="N84" s="345">
        <f t="shared" si="31"/>
        <v>-20325.013578899998</v>
      </c>
      <c r="O84" s="345">
        <f t="shared" si="31"/>
        <v>-24026.432386859997</v>
      </c>
      <c r="P84" s="345">
        <f t="shared" si="31"/>
        <v>-17099.461170300001</v>
      </c>
      <c r="Q84" s="74"/>
      <c r="R84" s="345">
        <f>SUM(R85)</f>
        <v>-253300.75374165751</v>
      </c>
      <c r="S84" s="1"/>
      <c r="T84" s="76"/>
    </row>
    <row r="85" spans="2:23" ht="12.95" customHeight="1">
      <c r="B85" s="395" t="s">
        <v>195</v>
      </c>
      <c r="C85" s="424"/>
      <c r="D85" s="414" t="s">
        <v>550</v>
      </c>
      <c r="E85" s="608">
        <v>-16031.337048457501</v>
      </c>
      <c r="F85" s="608">
        <v>-21776.596552200004</v>
      </c>
      <c r="G85" s="608">
        <v>-21946.378222380001</v>
      </c>
      <c r="H85" s="608">
        <v>-22517.02896774</v>
      </c>
      <c r="I85" s="608">
        <v>-25308.173847180005</v>
      </c>
      <c r="J85" s="608">
        <v>-21459.191560020005</v>
      </c>
      <c r="K85" s="608">
        <v>-20707.915296659998</v>
      </c>
      <c r="L85" s="608">
        <v>-21181.985414640007</v>
      </c>
      <c r="M85" s="608">
        <v>-20921.239696319997</v>
      </c>
      <c r="N85" s="608">
        <v>-20325.013578899998</v>
      </c>
      <c r="O85" s="608">
        <v>-24026.432386859997</v>
      </c>
      <c r="P85" s="608">
        <v>-17099.461170300001</v>
      </c>
      <c r="Q85" s="74"/>
      <c r="R85" s="129">
        <f t="shared" ref="R85" si="32">SUM(E85:P85)</f>
        <v>-253300.75374165751</v>
      </c>
      <c r="S85" s="1"/>
      <c r="T85" s="76"/>
    </row>
    <row r="86" spans="2:23" ht="12.75" customHeight="1">
      <c r="B86" s="349" t="s">
        <v>161</v>
      </c>
      <c r="C86" s="344"/>
      <c r="D86" s="344"/>
      <c r="E86" s="345">
        <f t="shared" ref="E86:P86" si="33">SUM(E87:E100)</f>
        <v>-180339.1114220256</v>
      </c>
      <c r="F86" s="345">
        <f t="shared" si="33"/>
        <v>-195316.66925310207</v>
      </c>
      <c r="G86" s="345">
        <f t="shared" si="33"/>
        <v>-195562.2414608504</v>
      </c>
      <c r="H86" s="345">
        <f t="shared" si="33"/>
        <v>-196387.63069893915</v>
      </c>
      <c r="I86" s="345">
        <f t="shared" si="33"/>
        <v>-200424.74265256114</v>
      </c>
      <c r="J86" s="345">
        <f t="shared" si="33"/>
        <v>-194857.57467241291</v>
      </c>
      <c r="K86" s="345">
        <f t="shared" si="33"/>
        <v>-193770.92868508902</v>
      </c>
      <c r="L86" s="345">
        <f t="shared" si="33"/>
        <v>-194456.62370373533</v>
      </c>
      <c r="M86" s="345">
        <f t="shared" si="33"/>
        <v>-194079.48109675723</v>
      </c>
      <c r="N86" s="345">
        <f t="shared" si="33"/>
        <v>-193217.09964052099</v>
      </c>
      <c r="O86" s="345">
        <f t="shared" si="33"/>
        <v>-198570.8318043543</v>
      </c>
      <c r="P86" s="345">
        <f t="shared" si="33"/>
        <v>-188551.66063672194</v>
      </c>
      <c r="Q86" s="74"/>
      <c r="R86" s="345">
        <f>SUM(R87:R100)</f>
        <v>-2279884.5957270702</v>
      </c>
      <c r="S86" s="1"/>
      <c r="T86" s="350" t="s">
        <v>68</v>
      </c>
    </row>
    <row r="87" spans="2:23" ht="13.5" customHeight="1">
      <c r="B87" s="394" t="s">
        <v>164</v>
      </c>
      <c r="C87" s="145" t="s">
        <v>165</v>
      </c>
      <c r="D87" s="414" t="s">
        <v>549</v>
      </c>
      <c r="E87" s="117">
        <v>-25000</v>
      </c>
      <c r="F87" s="117">
        <v>-25000</v>
      </c>
      <c r="G87" s="117">
        <v>-25000</v>
      </c>
      <c r="H87" s="117">
        <v>-25000</v>
      </c>
      <c r="I87" s="117">
        <v>-25000</v>
      </c>
      <c r="J87" s="117">
        <v>-25000</v>
      </c>
      <c r="K87" s="117">
        <v>-25000</v>
      </c>
      <c r="L87" s="117">
        <v>-25000</v>
      </c>
      <c r="M87" s="117">
        <v>-25000</v>
      </c>
      <c r="N87" s="117">
        <v>-25000</v>
      </c>
      <c r="O87" s="117">
        <v>-25000</v>
      </c>
      <c r="P87" s="117">
        <v>-25000</v>
      </c>
      <c r="Q87" s="74"/>
      <c r="R87" s="129">
        <f t="shared" ref="R87" si="34">SUM(E87:P87)</f>
        <v>-300000</v>
      </c>
      <c r="S87" s="162"/>
      <c r="T87" s="134">
        <f>-R87/R11</f>
        <v>9.7502768485978799E-3</v>
      </c>
      <c r="U87" s="177"/>
      <c r="V87" s="177"/>
      <c r="W87" s="177"/>
    </row>
    <row r="88" spans="2:23" ht="13.5" customHeight="1">
      <c r="B88" s="395" t="s">
        <v>166</v>
      </c>
      <c r="C88" s="147" t="s">
        <v>167</v>
      </c>
      <c r="D88" s="414" t="s">
        <v>549</v>
      </c>
      <c r="E88" s="117">
        <v>-4150</v>
      </c>
      <c r="F88" s="117">
        <v>-4150</v>
      </c>
      <c r="G88" s="117">
        <v>-4150</v>
      </c>
      <c r="H88" s="117">
        <v>-4150</v>
      </c>
      <c r="I88" s="117">
        <v>-4150</v>
      </c>
      <c r="J88" s="117">
        <v>-4150</v>
      </c>
      <c r="K88" s="117">
        <v>-4150</v>
      </c>
      <c r="L88" s="117">
        <v>-4150</v>
      </c>
      <c r="M88" s="117">
        <v>-4150</v>
      </c>
      <c r="N88" s="117">
        <v>-4150</v>
      </c>
      <c r="O88" s="117">
        <v>-4150</v>
      </c>
      <c r="P88" s="117">
        <v>-4150</v>
      </c>
      <c r="Q88" s="74"/>
      <c r="R88" s="117">
        <v>-4150</v>
      </c>
      <c r="S88" s="162"/>
      <c r="T88" s="134">
        <v>2.3999999999999998E-3</v>
      </c>
      <c r="U88" s="177"/>
      <c r="V88" s="177"/>
      <c r="W88" s="177"/>
    </row>
    <row r="89" spans="2:23" ht="13.5" customHeight="1">
      <c r="B89" s="395" t="s">
        <v>173</v>
      </c>
      <c r="C89" s="147" t="s">
        <v>174</v>
      </c>
      <c r="D89" s="414" t="s">
        <v>550</v>
      </c>
      <c r="E89" s="117">
        <f>(E$11+E$22+E$23+E$24)*-$T89</f>
        <v>-1603.1337048457503</v>
      </c>
      <c r="F89" s="117">
        <f t="shared" ref="F89:P89" si="35">(F$11+F$22+F$23+F$24)*-$T89</f>
        <v>-2460.7554103986004</v>
      </c>
      <c r="G89" s="117">
        <f t="shared" si="35"/>
        <v>-2479.9407391289392</v>
      </c>
      <c r="H89" s="117">
        <f t="shared" si="35"/>
        <v>-2544.4242733546198</v>
      </c>
      <c r="I89" s="117">
        <f t="shared" si="35"/>
        <v>-2859.8236447313411</v>
      </c>
      <c r="J89" s="117">
        <f t="shared" si="35"/>
        <v>-2424.8886462822597</v>
      </c>
      <c r="K89" s="117">
        <f t="shared" si="35"/>
        <v>-2339.9944285225797</v>
      </c>
      <c r="L89" s="117">
        <f t="shared" si="35"/>
        <v>-2393.5643518543206</v>
      </c>
      <c r="M89" s="117">
        <f t="shared" si="35"/>
        <v>-2364.1000856841601</v>
      </c>
      <c r="N89" s="117">
        <f t="shared" si="35"/>
        <v>-2296.7265344156999</v>
      </c>
      <c r="O89" s="117">
        <f t="shared" si="35"/>
        <v>-2714.9868597151799</v>
      </c>
      <c r="P89" s="117">
        <f t="shared" si="35"/>
        <v>-1932.2391122439001</v>
      </c>
      <c r="Q89" s="74"/>
      <c r="R89" s="129">
        <f t="shared" ref="R89:R101" si="36">SUM(E89:P89)</f>
        <v>-28414.577791177351</v>
      </c>
      <c r="T89" s="134">
        <v>1E-3</v>
      </c>
      <c r="U89" s="163"/>
      <c r="V89" s="163"/>
      <c r="W89" s="163"/>
    </row>
    <row r="90" spans="2:23" ht="13.5" customHeight="1">
      <c r="B90" s="395" t="s">
        <v>175</v>
      </c>
      <c r="C90" s="156" t="s">
        <v>176</v>
      </c>
      <c r="D90" s="414" t="s">
        <v>549</v>
      </c>
      <c r="E90" s="117">
        <v>-2800</v>
      </c>
      <c r="F90" s="117">
        <v>-2800</v>
      </c>
      <c r="G90" s="117">
        <v>-2800</v>
      </c>
      <c r="H90" s="117">
        <v>-2800</v>
      </c>
      <c r="I90" s="117">
        <v>-2800</v>
      </c>
      <c r="J90" s="117">
        <v>-2800</v>
      </c>
      <c r="K90" s="117">
        <v>-2800</v>
      </c>
      <c r="L90" s="117">
        <v>-2800</v>
      </c>
      <c r="M90" s="117">
        <v>-2800</v>
      </c>
      <c r="N90" s="117">
        <v>-2800</v>
      </c>
      <c r="O90" s="117">
        <v>-2800</v>
      </c>
      <c r="P90" s="117">
        <v>-2800</v>
      </c>
      <c r="Q90" s="74"/>
      <c r="R90" s="129">
        <f t="shared" si="36"/>
        <v>-33600</v>
      </c>
      <c r="S90" s="177"/>
      <c r="T90" s="134">
        <f>-R90/R11</f>
        <v>1.0920310070429626E-3</v>
      </c>
    </row>
    <row r="91" spans="2:23" ht="13.5" customHeight="1">
      <c r="B91" s="395" t="s">
        <v>177</v>
      </c>
      <c r="C91" s="147" t="s">
        <v>178</v>
      </c>
      <c r="D91" s="414" t="s">
        <v>549</v>
      </c>
      <c r="E91" s="117">
        <v>-26000</v>
      </c>
      <c r="F91" s="117">
        <v>-30000</v>
      </c>
      <c r="G91" s="117">
        <v>-30000</v>
      </c>
      <c r="H91" s="117">
        <v>-30000</v>
      </c>
      <c r="I91" s="117">
        <v>-30000</v>
      </c>
      <c r="J91" s="117">
        <v>-30000</v>
      </c>
      <c r="K91" s="117">
        <v>-30000</v>
      </c>
      <c r="L91" s="117">
        <v>-30000</v>
      </c>
      <c r="M91" s="117">
        <v>-30000</v>
      </c>
      <c r="N91" s="117">
        <v>-30000</v>
      </c>
      <c r="O91" s="117">
        <v>-30000</v>
      </c>
      <c r="P91" s="117">
        <v>-30000</v>
      </c>
      <c r="Q91" s="74"/>
      <c r="R91" s="129">
        <f t="shared" si="36"/>
        <v>-356000</v>
      </c>
      <c r="S91" s="177"/>
      <c r="T91" s="134">
        <f>-R91/R11</f>
        <v>1.1570328527002818E-2</v>
      </c>
    </row>
    <row r="92" spans="2:23" ht="13.5" customHeight="1">
      <c r="B92" s="396" t="s">
        <v>181</v>
      </c>
      <c r="C92" s="179" t="s">
        <v>182</v>
      </c>
      <c r="D92" s="414" t="s">
        <v>550</v>
      </c>
      <c r="E92" s="117">
        <f t="shared" ref="E92:P92" si="37">(E$11+E$22+E$23+E$24)*-$T92</f>
        <v>-1603.1337048457503</v>
      </c>
      <c r="F92" s="117">
        <f t="shared" si="37"/>
        <v>-2460.7554103986004</v>
      </c>
      <c r="G92" s="117">
        <f t="shared" si="37"/>
        <v>-2479.9407391289392</v>
      </c>
      <c r="H92" s="117">
        <f t="shared" si="37"/>
        <v>-2544.4242733546198</v>
      </c>
      <c r="I92" s="117">
        <f t="shared" si="37"/>
        <v>-2859.8236447313411</v>
      </c>
      <c r="J92" s="117">
        <f t="shared" si="37"/>
        <v>-2424.8886462822597</v>
      </c>
      <c r="K92" s="117">
        <f t="shared" si="37"/>
        <v>-2339.9944285225797</v>
      </c>
      <c r="L92" s="117">
        <f t="shared" si="37"/>
        <v>-2393.5643518543206</v>
      </c>
      <c r="M92" s="117">
        <f t="shared" si="37"/>
        <v>-2364.1000856841601</v>
      </c>
      <c r="N92" s="117">
        <f t="shared" si="37"/>
        <v>-2296.7265344156999</v>
      </c>
      <c r="O92" s="117">
        <f t="shared" si="37"/>
        <v>-2714.9868597151799</v>
      </c>
      <c r="P92" s="117">
        <f t="shared" si="37"/>
        <v>-1932.2391122439001</v>
      </c>
      <c r="Q92" s="74"/>
      <c r="R92" s="129">
        <f t="shared" si="36"/>
        <v>-28414.577791177351</v>
      </c>
      <c r="S92" s="177"/>
      <c r="T92" s="134">
        <v>1E-3</v>
      </c>
      <c r="U92" s="177"/>
      <c r="V92" s="177"/>
      <c r="W92" s="177"/>
    </row>
    <row r="93" spans="2:23" ht="13.5" customHeight="1">
      <c r="B93" s="395" t="s">
        <v>193</v>
      </c>
      <c r="C93" s="180" t="s">
        <v>188</v>
      </c>
      <c r="D93" s="414" t="s">
        <v>550</v>
      </c>
      <c r="E93" s="117">
        <v>-2300</v>
      </c>
      <c r="F93" s="117">
        <v>-2300</v>
      </c>
      <c r="G93" s="117">
        <v>-2300</v>
      </c>
      <c r="H93" s="117">
        <v>-2300</v>
      </c>
      <c r="I93" s="117">
        <v>-2300</v>
      </c>
      <c r="J93" s="117">
        <v>-2300</v>
      </c>
      <c r="K93" s="117">
        <v>-2300</v>
      </c>
      <c r="L93" s="117">
        <v>-2300</v>
      </c>
      <c r="M93" s="117">
        <v>-2300</v>
      </c>
      <c r="N93" s="117">
        <v>-2300</v>
      </c>
      <c r="O93" s="117">
        <v>-2300</v>
      </c>
      <c r="P93" s="117">
        <v>-2300</v>
      </c>
      <c r="Q93" s="74"/>
      <c r="R93" s="129">
        <f t="shared" si="36"/>
        <v>-27600</v>
      </c>
      <c r="S93" s="177"/>
      <c r="T93" s="134">
        <v>1E-3</v>
      </c>
      <c r="U93" s="163"/>
      <c r="V93" s="163"/>
      <c r="W93" s="163"/>
    </row>
    <row r="94" spans="2:23" ht="13.5" customHeight="1">
      <c r="B94" s="396" t="s">
        <v>197</v>
      </c>
      <c r="C94" s="147" t="s">
        <v>194</v>
      </c>
      <c r="D94" s="414" t="s">
        <v>550</v>
      </c>
      <c r="E94" s="117">
        <f t="shared" ref="E94:P95" si="38">(E$11+E$22+E$23+E$24)*-$T94</f>
        <v>-3847.5208916298002</v>
      </c>
      <c r="F94" s="117">
        <f t="shared" si="38"/>
        <v>-5905.8129849566394</v>
      </c>
      <c r="G94" s="117">
        <f t="shared" si="38"/>
        <v>-5951.8577739094535</v>
      </c>
      <c r="H94" s="117">
        <f t="shared" si="38"/>
        <v>-6106.618256051087</v>
      </c>
      <c r="I94" s="117">
        <f t="shared" si="38"/>
        <v>-6863.5767473552178</v>
      </c>
      <c r="J94" s="117">
        <f t="shared" si="38"/>
        <v>-5819.732751077423</v>
      </c>
      <c r="K94" s="117">
        <f t="shared" si="38"/>
        <v>-5615.9866284541913</v>
      </c>
      <c r="L94" s="117">
        <f t="shared" si="38"/>
        <v>-5744.5544444503694</v>
      </c>
      <c r="M94" s="117">
        <f t="shared" si="38"/>
        <v>-5673.8402056419836</v>
      </c>
      <c r="N94" s="117">
        <f t="shared" si="38"/>
        <v>-5512.1436825976798</v>
      </c>
      <c r="O94" s="117">
        <f t="shared" si="38"/>
        <v>-6515.9684633164316</v>
      </c>
      <c r="P94" s="117">
        <f t="shared" si="38"/>
        <v>-4637.3738693853602</v>
      </c>
      <c r="Q94" s="74"/>
      <c r="R94" s="129">
        <f t="shared" si="36"/>
        <v>-68194.986698825625</v>
      </c>
      <c r="S94" s="177"/>
      <c r="T94" s="134">
        <v>2.3999999999999998E-3</v>
      </c>
      <c r="U94" s="163"/>
      <c r="V94" s="163"/>
      <c r="W94" s="163"/>
    </row>
    <row r="95" spans="2:23" ht="13.5" customHeight="1">
      <c r="B95" s="396" t="s">
        <v>1743</v>
      </c>
      <c r="C95" s="147"/>
      <c r="D95" s="414" t="s">
        <v>550</v>
      </c>
      <c r="E95" s="117">
        <f t="shared" si="38"/>
        <v>-3847.5208916298002</v>
      </c>
      <c r="F95" s="117">
        <f t="shared" si="38"/>
        <v>-5905.8129849566394</v>
      </c>
      <c r="G95" s="117">
        <f t="shared" si="38"/>
        <v>-5951.8577739094535</v>
      </c>
      <c r="H95" s="117">
        <f t="shared" si="38"/>
        <v>-6106.618256051087</v>
      </c>
      <c r="I95" s="117">
        <f t="shared" si="38"/>
        <v>-6863.5767473552178</v>
      </c>
      <c r="J95" s="117">
        <f t="shared" si="38"/>
        <v>-5819.732751077423</v>
      </c>
      <c r="K95" s="117">
        <f t="shared" si="38"/>
        <v>-5615.9866284541913</v>
      </c>
      <c r="L95" s="117">
        <f t="shared" si="38"/>
        <v>-5744.5544444503694</v>
      </c>
      <c r="M95" s="117">
        <f t="shared" si="38"/>
        <v>-5673.8402056419836</v>
      </c>
      <c r="N95" s="117">
        <f t="shared" si="38"/>
        <v>-5512.1436825976798</v>
      </c>
      <c r="O95" s="117">
        <f t="shared" si="38"/>
        <v>-6515.9684633164316</v>
      </c>
      <c r="P95" s="117">
        <f t="shared" si="38"/>
        <v>-4637.3738693853602</v>
      </c>
      <c r="Q95" s="74"/>
      <c r="R95" s="129">
        <f t="shared" ref="R95" si="39">SUM(E95:P95)</f>
        <v>-68194.986698825625</v>
      </c>
      <c r="S95" s="177"/>
      <c r="T95" s="134">
        <v>2.3999999999999998E-3</v>
      </c>
      <c r="U95" s="163"/>
      <c r="V95" s="163"/>
      <c r="W95" s="163"/>
    </row>
    <row r="96" spans="2:23" ht="13.5" customHeight="1">
      <c r="B96" s="369" t="s">
        <v>444</v>
      </c>
      <c r="C96" s="147"/>
      <c r="D96" s="414" t="s">
        <v>550</v>
      </c>
      <c r="E96" s="117">
        <f t="shared" ref="E96:P96" si="40">(E11+E22+E23+E24)*-$T$96</f>
        <v>-1603.1337048457503</v>
      </c>
      <c r="F96" s="117">
        <f t="shared" si="40"/>
        <v>-2460.7554103986004</v>
      </c>
      <c r="G96" s="117">
        <f t="shared" si="40"/>
        <v>-2479.9407391289392</v>
      </c>
      <c r="H96" s="117">
        <f t="shared" si="40"/>
        <v>-2544.4242733546198</v>
      </c>
      <c r="I96" s="117">
        <f t="shared" si="40"/>
        <v>-2859.8236447313411</v>
      </c>
      <c r="J96" s="117">
        <f t="shared" si="40"/>
        <v>-2424.8886462822597</v>
      </c>
      <c r="K96" s="117">
        <f t="shared" si="40"/>
        <v>-2339.9944285225797</v>
      </c>
      <c r="L96" s="117">
        <f t="shared" si="40"/>
        <v>-2393.5643518543206</v>
      </c>
      <c r="M96" s="117">
        <f t="shared" si="40"/>
        <v>-2364.1000856841601</v>
      </c>
      <c r="N96" s="117">
        <f t="shared" si="40"/>
        <v>-2296.7265344156999</v>
      </c>
      <c r="O96" s="117">
        <f t="shared" si="40"/>
        <v>-2714.9868597151799</v>
      </c>
      <c r="P96" s="117">
        <f t="shared" si="40"/>
        <v>-1932.2391122439001</v>
      </c>
      <c r="Q96" s="74"/>
      <c r="R96" s="117">
        <f>SUM(E96:P96)</f>
        <v>-28414.577791177351</v>
      </c>
      <c r="S96" s="1"/>
      <c r="T96" s="134">
        <v>1E-3</v>
      </c>
      <c r="U96" s="163"/>
      <c r="V96" s="163"/>
      <c r="W96" s="163"/>
    </row>
    <row r="97" spans="2:23" ht="13.5" customHeight="1">
      <c r="B97" s="155" t="s">
        <v>130</v>
      </c>
      <c r="C97" s="147" t="s">
        <v>196</v>
      </c>
      <c r="D97" s="414" t="s">
        <v>550</v>
      </c>
      <c r="E97" s="117">
        <f t="shared" ref="E97:P97" si="41">(E$11+E$22+E$23+E$24)*-$T97</f>
        <v>-3206.2674096915007</v>
      </c>
      <c r="F97" s="117">
        <f t="shared" si="41"/>
        <v>-4921.5108207972007</v>
      </c>
      <c r="G97" s="117">
        <f t="shared" si="41"/>
        <v>-4959.8814782578784</v>
      </c>
      <c r="H97" s="117">
        <f t="shared" si="41"/>
        <v>-5088.8485467092396</v>
      </c>
      <c r="I97" s="117">
        <f t="shared" si="41"/>
        <v>-5719.6472894626822</v>
      </c>
      <c r="J97" s="117">
        <f t="shared" si="41"/>
        <v>-4849.7772925645195</v>
      </c>
      <c r="K97" s="117">
        <f t="shared" si="41"/>
        <v>-4679.9888570451594</v>
      </c>
      <c r="L97" s="117">
        <f t="shared" si="41"/>
        <v>-4787.1287037086413</v>
      </c>
      <c r="M97" s="117">
        <f t="shared" si="41"/>
        <v>-4728.2001713683203</v>
      </c>
      <c r="N97" s="117">
        <f t="shared" si="41"/>
        <v>-4593.4530688313998</v>
      </c>
      <c r="O97" s="117">
        <f t="shared" si="41"/>
        <v>-5429.9737194303598</v>
      </c>
      <c r="P97" s="117">
        <f t="shared" si="41"/>
        <v>-3864.4782244878002</v>
      </c>
      <c r="Q97" s="74"/>
      <c r="R97" s="129">
        <f t="shared" si="36"/>
        <v>-56829.155582354702</v>
      </c>
      <c r="S97" s="177"/>
      <c r="T97" s="134">
        <v>2E-3</v>
      </c>
      <c r="U97" s="163"/>
      <c r="V97" s="163"/>
      <c r="W97" s="163"/>
    </row>
    <row r="98" spans="2:23" ht="13.5" customHeight="1">
      <c r="B98" s="396" t="s">
        <v>551</v>
      </c>
      <c r="C98" s="179" t="s">
        <v>198</v>
      </c>
      <c r="D98" s="414" t="s">
        <v>550</v>
      </c>
      <c r="E98" s="117">
        <f>(E$11+E$22+E$23+E$24)*-$T98</f>
        <v>-4809.4011145372506</v>
      </c>
      <c r="F98" s="117">
        <f t="shared" ref="F98:P98" si="42">(F$11+F$22+F$23+F$24)*-$T98</f>
        <v>-7382.2662311958002</v>
      </c>
      <c r="G98" s="117">
        <f t="shared" si="42"/>
        <v>-7439.822217386818</v>
      </c>
      <c r="H98" s="117">
        <f t="shared" si="42"/>
        <v>-7633.2728200638594</v>
      </c>
      <c r="I98" s="117">
        <f t="shared" si="42"/>
        <v>-8579.4709341940234</v>
      </c>
      <c r="J98" s="117">
        <f t="shared" si="42"/>
        <v>-7274.6659388467797</v>
      </c>
      <c r="K98" s="117">
        <f t="shared" si="42"/>
        <v>-7019.9832855677396</v>
      </c>
      <c r="L98" s="117">
        <f t="shared" si="42"/>
        <v>-7180.6930555629624</v>
      </c>
      <c r="M98" s="117">
        <f t="shared" si="42"/>
        <v>-7092.3002570524804</v>
      </c>
      <c r="N98" s="117">
        <f t="shared" si="42"/>
        <v>-6890.1796032471002</v>
      </c>
      <c r="O98" s="117">
        <f t="shared" si="42"/>
        <v>-8144.9605791455406</v>
      </c>
      <c r="P98" s="117">
        <f t="shared" si="42"/>
        <v>-5796.7173367317</v>
      </c>
      <c r="Q98" s="74"/>
      <c r="R98" s="129">
        <f t="shared" si="36"/>
        <v>-85243.733373532057</v>
      </c>
      <c r="S98" s="177"/>
      <c r="T98" s="134">
        <v>3.0000000000000001E-3</v>
      </c>
      <c r="U98" s="177"/>
      <c r="V98" s="177"/>
      <c r="W98" s="177"/>
    </row>
    <row r="99" spans="2:23" ht="13.5" customHeight="1">
      <c r="B99" s="395" t="s">
        <v>207</v>
      </c>
      <c r="C99" s="179" t="s">
        <v>203</v>
      </c>
      <c r="D99" s="414" t="s">
        <v>549</v>
      </c>
      <c r="E99" s="117">
        <v>-2819</v>
      </c>
      <c r="F99" s="117">
        <v>-2819</v>
      </c>
      <c r="G99" s="117">
        <v>-2819</v>
      </c>
      <c r="H99" s="117">
        <v>-2819</v>
      </c>
      <c r="I99" s="117">
        <v>-2819</v>
      </c>
      <c r="J99" s="117">
        <v>-2819</v>
      </c>
      <c r="K99" s="117">
        <v>-2819</v>
      </c>
      <c r="L99" s="117">
        <v>-2819</v>
      </c>
      <c r="M99" s="117">
        <v>-2819</v>
      </c>
      <c r="N99" s="117">
        <v>-2819</v>
      </c>
      <c r="O99" s="117">
        <v>-2819</v>
      </c>
      <c r="P99" s="117">
        <v>-2819</v>
      </c>
      <c r="Q99" s="74"/>
      <c r="R99" s="129">
        <f t="shared" si="36"/>
        <v>-33828</v>
      </c>
      <c r="S99" s="162"/>
      <c r="T99" s="134">
        <f>-R99/R11</f>
        <v>1.099441217447897E-3</v>
      </c>
      <c r="U99" s="163"/>
      <c r="V99" s="163"/>
      <c r="W99" s="163"/>
    </row>
    <row r="100" spans="2:23" ht="13.5" customHeight="1">
      <c r="B100" s="396" t="s">
        <v>546</v>
      </c>
      <c r="C100" s="179" t="s">
        <v>206</v>
      </c>
      <c r="D100" s="414" t="s">
        <v>549</v>
      </c>
      <c r="E100" s="117">
        <v>-96750</v>
      </c>
      <c r="F100" s="117">
        <v>-96750</v>
      </c>
      <c r="G100" s="117">
        <v>-96750</v>
      </c>
      <c r="H100" s="117">
        <v>-96750</v>
      </c>
      <c r="I100" s="117">
        <v>-96750</v>
      </c>
      <c r="J100" s="117">
        <v>-96750</v>
      </c>
      <c r="K100" s="117">
        <v>-96750</v>
      </c>
      <c r="L100" s="117">
        <v>-96750</v>
      </c>
      <c r="M100" s="117">
        <v>-96750</v>
      </c>
      <c r="N100" s="117">
        <v>-96750</v>
      </c>
      <c r="O100" s="117">
        <v>-96750</v>
      </c>
      <c r="P100" s="117">
        <v>-96750</v>
      </c>
      <c r="Q100" s="74"/>
      <c r="R100" s="129">
        <f t="shared" si="36"/>
        <v>-1161000</v>
      </c>
      <c r="S100" s="177"/>
      <c r="T100" s="134">
        <f>-R100/R11</f>
        <v>3.7733571404073796E-2</v>
      </c>
    </row>
    <row r="101" spans="2:23" ht="13.5" customHeight="1">
      <c r="B101" s="146" t="s">
        <v>1297</v>
      </c>
      <c r="C101" s="406"/>
      <c r="D101" s="414" t="s">
        <v>549</v>
      </c>
      <c r="E101" s="407">
        <v>-50000</v>
      </c>
      <c r="F101" s="407">
        <v>-50000</v>
      </c>
      <c r="G101" s="407">
        <v>-50000</v>
      </c>
      <c r="H101" s="407">
        <v>-50000</v>
      </c>
      <c r="I101" s="407">
        <v>-50000</v>
      </c>
      <c r="J101" s="407">
        <v>-50000</v>
      </c>
      <c r="K101" s="407">
        <v>-50000</v>
      </c>
      <c r="L101" s="407">
        <v>-50000</v>
      </c>
      <c r="M101" s="407">
        <v>-50000</v>
      </c>
      <c r="N101" s="407">
        <v>-50000</v>
      </c>
      <c r="O101" s="407">
        <v>-50000</v>
      </c>
      <c r="P101" s="407">
        <v>-50000</v>
      </c>
      <c r="Q101" s="74"/>
      <c r="R101" s="129">
        <f t="shared" si="36"/>
        <v>-600000</v>
      </c>
      <c r="S101" s="1"/>
      <c r="T101" s="397"/>
    </row>
    <row r="102" spans="2:23" ht="12.75" customHeight="1">
      <c r="B102" s="349" t="s">
        <v>209</v>
      </c>
      <c r="C102" s="344"/>
      <c r="D102" s="344"/>
      <c r="E102" s="345">
        <f t="shared" ref="E102:P102" si="43">SUM(E103:E114)</f>
        <v>-172743.8997233469</v>
      </c>
      <c r="F102" s="345">
        <f t="shared" si="43"/>
        <v>-187494.99305885591</v>
      </c>
      <c r="G102" s="345">
        <f t="shared" si="43"/>
        <v>-187824.98071301775</v>
      </c>
      <c r="H102" s="345">
        <f t="shared" si="43"/>
        <v>-188934.09750169949</v>
      </c>
      <c r="I102" s="345">
        <f t="shared" si="43"/>
        <v>-194358.96668937907</v>
      </c>
      <c r="J102" s="345">
        <f t="shared" si="43"/>
        <v>-186878.08471605484</v>
      </c>
      <c r="K102" s="345">
        <f t="shared" si="43"/>
        <v>-185417.90417058839</v>
      </c>
      <c r="L102" s="345">
        <f t="shared" si="43"/>
        <v>-186339.3068518943</v>
      </c>
      <c r="M102" s="345">
        <f t="shared" si="43"/>
        <v>-185832.52147376756</v>
      </c>
      <c r="N102" s="345">
        <f t="shared" si="43"/>
        <v>-184673.69639195004</v>
      </c>
      <c r="O102" s="345">
        <f t="shared" si="43"/>
        <v>-191867.7739871011</v>
      </c>
      <c r="P102" s="345">
        <f t="shared" si="43"/>
        <v>-178404.51273059507</v>
      </c>
      <c r="Q102" s="74"/>
      <c r="R102" s="345">
        <f>SUM(R103:R114)</f>
        <v>-2230770.73800825</v>
      </c>
      <c r="S102" s="1"/>
      <c r="T102" s="350" t="s">
        <v>68</v>
      </c>
    </row>
    <row r="103" spans="2:23" ht="13.5" customHeight="1">
      <c r="B103" s="391" t="s">
        <v>547</v>
      </c>
      <c r="C103" s="147" t="s">
        <v>210</v>
      </c>
      <c r="D103" s="414" t="s">
        <v>549</v>
      </c>
      <c r="E103" s="129">
        <f t="shared" ref="E103:P103" si="44">-66000-(6600*70)/100</f>
        <v>-70620</v>
      </c>
      <c r="F103" s="129">
        <f t="shared" si="44"/>
        <v>-70620</v>
      </c>
      <c r="G103" s="129">
        <f t="shared" si="44"/>
        <v>-70620</v>
      </c>
      <c r="H103" s="129">
        <f t="shared" si="44"/>
        <v>-70620</v>
      </c>
      <c r="I103" s="129">
        <f t="shared" si="44"/>
        <v>-70620</v>
      </c>
      <c r="J103" s="129">
        <f t="shared" si="44"/>
        <v>-70620</v>
      </c>
      <c r="K103" s="129">
        <f t="shared" si="44"/>
        <v>-70620</v>
      </c>
      <c r="L103" s="129">
        <f t="shared" si="44"/>
        <v>-70620</v>
      </c>
      <c r="M103" s="129">
        <f t="shared" si="44"/>
        <v>-70620</v>
      </c>
      <c r="N103" s="129">
        <f t="shared" si="44"/>
        <v>-70620</v>
      </c>
      <c r="O103" s="129">
        <f t="shared" si="44"/>
        <v>-70620</v>
      </c>
      <c r="P103" s="129">
        <f t="shared" si="44"/>
        <v>-70620</v>
      </c>
      <c r="Q103" s="74"/>
      <c r="R103" s="129">
        <f t="shared" ref="R103:R113" si="45">SUM(E103:P103)</f>
        <v>-847440</v>
      </c>
      <c r="S103" s="1"/>
      <c r="T103" s="134">
        <f>-R103/$R$11</f>
        <v>2.754258204191929E-2</v>
      </c>
      <c r="U103" s="609"/>
    </row>
    <row r="104" spans="2:23" ht="13.5" customHeight="1">
      <c r="B104" s="146" t="s">
        <v>552</v>
      </c>
      <c r="C104" s="159" t="s">
        <v>188</v>
      </c>
      <c r="D104" s="414" t="s">
        <v>549</v>
      </c>
      <c r="E104" s="129">
        <v>-1000</v>
      </c>
      <c r="F104" s="129">
        <v>-1000</v>
      </c>
      <c r="G104" s="129">
        <v>-1000</v>
      </c>
      <c r="H104" s="129">
        <v>-1000</v>
      </c>
      <c r="I104" s="129">
        <v>-1000</v>
      </c>
      <c r="J104" s="129">
        <v>-1000</v>
      </c>
      <c r="K104" s="129">
        <v>-1000</v>
      </c>
      <c r="L104" s="129">
        <v>-1000</v>
      </c>
      <c r="M104" s="129">
        <v>-1000</v>
      </c>
      <c r="N104" s="129">
        <v>-1000</v>
      </c>
      <c r="O104" s="129">
        <v>-1000</v>
      </c>
      <c r="P104" s="129">
        <v>-1000</v>
      </c>
      <c r="Q104" s="74"/>
      <c r="R104" s="160">
        <f t="shared" si="45"/>
        <v>-12000</v>
      </c>
      <c r="S104" s="1"/>
      <c r="T104" s="134">
        <f>-R104/$R$11</f>
        <v>3.9001107394391518E-4</v>
      </c>
    </row>
    <row r="105" spans="2:23" ht="13.5" customHeight="1">
      <c r="B105" s="146" t="s">
        <v>212</v>
      </c>
      <c r="C105" s="147" t="s">
        <v>213</v>
      </c>
      <c r="D105" s="414" t="s">
        <v>549</v>
      </c>
      <c r="E105" s="129">
        <v>-1550</v>
      </c>
      <c r="F105" s="129">
        <v>-1550</v>
      </c>
      <c r="G105" s="129">
        <v>-1550</v>
      </c>
      <c r="H105" s="129">
        <v>-1550</v>
      </c>
      <c r="I105" s="129">
        <v>-1550</v>
      </c>
      <c r="J105" s="129">
        <v>-1550</v>
      </c>
      <c r="K105" s="129">
        <v>-1550</v>
      </c>
      <c r="L105" s="129">
        <v>-1550</v>
      </c>
      <c r="M105" s="129">
        <v>-1550</v>
      </c>
      <c r="N105" s="129">
        <v>-1550</v>
      </c>
      <c r="O105" s="129">
        <v>-1550</v>
      </c>
      <c r="P105" s="129">
        <v>-1550</v>
      </c>
      <c r="Q105" s="74"/>
      <c r="R105" s="129">
        <f t="shared" si="45"/>
        <v>-18600</v>
      </c>
      <c r="S105" s="162"/>
      <c r="T105" s="134">
        <f>-R105/$R$11</f>
        <v>6.0451716461306856E-4</v>
      </c>
      <c r="U105" s="162"/>
      <c r="V105" s="162"/>
      <c r="W105" s="162"/>
    </row>
    <row r="106" spans="2:23" ht="13.5" customHeight="1">
      <c r="B106" s="146" t="s">
        <v>214</v>
      </c>
      <c r="C106" s="179" t="s">
        <v>215</v>
      </c>
      <c r="D106" s="414" t="s">
        <v>550</v>
      </c>
      <c r="E106" s="129">
        <f t="shared" ref="E106:P107" si="46">(E$11+E$22+E$23+E$24)*-$T106</f>
        <v>-4809.4011145372506</v>
      </c>
      <c r="F106" s="129">
        <f t="shared" si="46"/>
        <v>-7382.2662311958002</v>
      </c>
      <c r="G106" s="129">
        <f t="shared" si="46"/>
        <v>-7439.822217386818</v>
      </c>
      <c r="H106" s="129">
        <f t="shared" si="46"/>
        <v>-7633.2728200638594</v>
      </c>
      <c r="I106" s="129">
        <f t="shared" si="46"/>
        <v>-8579.4709341940234</v>
      </c>
      <c r="J106" s="129">
        <f t="shared" si="46"/>
        <v>-7274.6659388467797</v>
      </c>
      <c r="K106" s="129">
        <f t="shared" si="46"/>
        <v>-7019.9832855677396</v>
      </c>
      <c r="L106" s="129">
        <f t="shared" si="46"/>
        <v>-7180.6930555629624</v>
      </c>
      <c r="M106" s="129">
        <f t="shared" si="46"/>
        <v>-7092.3002570524804</v>
      </c>
      <c r="N106" s="129">
        <f t="shared" si="46"/>
        <v>-6890.1796032471002</v>
      </c>
      <c r="O106" s="129">
        <f t="shared" si="46"/>
        <v>-8144.9605791455406</v>
      </c>
      <c r="P106" s="129">
        <f t="shared" si="46"/>
        <v>-5796.7173367317</v>
      </c>
      <c r="Q106" s="74"/>
      <c r="R106" s="175">
        <f t="shared" si="45"/>
        <v>-85243.733373532057</v>
      </c>
      <c r="S106" s="162"/>
      <c r="T106" s="134">
        <v>3.0000000000000001E-3</v>
      </c>
      <c r="U106" s="163"/>
      <c r="V106" s="163"/>
      <c r="W106" s="163"/>
    </row>
    <row r="107" spans="2:23" ht="13.5" customHeight="1">
      <c r="B107" s="146" t="s">
        <v>216</v>
      </c>
      <c r="C107" s="171" t="s">
        <v>217</v>
      </c>
      <c r="D107" s="414" t="s">
        <v>550</v>
      </c>
      <c r="E107" s="129">
        <f t="shared" si="46"/>
        <v>-22443.871867840502</v>
      </c>
      <c r="F107" s="129">
        <f t="shared" si="46"/>
        <v>-34450.575745580405</v>
      </c>
      <c r="G107" s="129">
        <f t="shared" si="46"/>
        <v>-34719.17034780515</v>
      </c>
      <c r="H107" s="129">
        <f t="shared" si="46"/>
        <v>-35621.939826964677</v>
      </c>
      <c r="I107" s="129">
        <f t="shared" si="46"/>
        <v>-40037.531026238772</v>
      </c>
      <c r="J107" s="129">
        <f t="shared" si="46"/>
        <v>-33948.441047951637</v>
      </c>
      <c r="K107" s="129">
        <f t="shared" si="46"/>
        <v>-32759.921999316117</v>
      </c>
      <c r="L107" s="129">
        <f t="shared" si="46"/>
        <v>-33509.900925960486</v>
      </c>
      <c r="M107" s="129">
        <f t="shared" si="46"/>
        <v>-33097.401199578242</v>
      </c>
      <c r="N107" s="129">
        <f t="shared" si="46"/>
        <v>-32154.171481819802</v>
      </c>
      <c r="O107" s="129">
        <f t="shared" si="46"/>
        <v>-38009.816036012518</v>
      </c>
      <c r="P107" s="129">
        <f t="shared" si="46"/>
        <v>-27051.347571414601</v>
      </c>
      <c r="Q107" s="74"/>
      <c r="R107" s="160">
        <f t="shared" si="45"/>
        <v>-397804.08907648298</v>
      </c>
      <c r="S107" s="1"/>
      <c r="T107" s="134">
        <v>1.4E-2</v>
      </c>
    </row>
    <row r="108" spans="2:23" ht="13.5" customHeight="1">
      <c r="B108" s="146" t="s">
        <v>553</v>
      </c>
      <c r="C108" s="147" t="s">
        <v>219</v>
      </c>
      <c r="D108" s="414" t="s">
        <v>549</v>
      </c>
      <c r="E108" s="129">
        <v>-12000</v>
      </c>
      <c r="F108" s="129">
        <v>-12000</v>
      </c>
      <c r="G108" s="129">
        <v>-12000</v>
      </c>
      <c r="H108" s="129">
        <v>-12000</v>
      </c>
      <c r="I108" s="129">
        <v>-12000</v>
      </c>
      <c r="J108" s="129">
        <v>-12000</v>
      </c>
      <c r="K108" s="129">
        <v>-12000</v>
      </c>
      <c r="L108" s="129">
        <v>-12000</v>
      </c>
      <c r="M108" s="129">
        <v>-12000</v>
      </c>
      <c r="N108" s="129">
        <v>-12000</v>
      </c>
      <c r="O108" s="129">
        <v>-12000</v>
      </c>
      <c r="P108" s="129">
        <v>-12000</v>
      </c>
      <c r="Q108" s="74"/>
      <c r="R108" s="129">
        <f t="shared" si="45"/>
        <v>-144000</v>
      </c>
      <c r="S108" s="1"/>
      <c r="T108" s="134">
        <f>-R108/$R$11</f>
        <v>4.6801328873269819E-3</v>
      </c>
    </row>
    <row r="109" spans="2:23" ht="13.5" customHeight="1">
      <c r="B109" s="146" t="s">
        <v>221</v>
      </c>
      <c r="C109" s="147" t="s">
        <v>222</v>
      </c>
      <c r="D109" s="414" t="s">
        <v>549</v>
      </c>
      <c r="E109" s="129">
        <v>-14000</v>
      </c>
      <c r="F109" s="129">
        <v>-14000</v>
      </c>
      <c r="G109" s="129">
        <v>-14000</v>
      </c>
      <c r="H109" s="129">
        <v>-14000</v>
      </c>
      <c r="I109" s="129">
        <v>-14000</v>
      </c>
      <c r="J109" s="129">
        <v>-14000</v>
      </c>
      <c r="K109" s="129">
        <v>-14000</v>
      </c>
      <c r="L109" s="129">
        <v>-14000</v>
      </c>
      <c r="M109" s="129">
        <v>-14000</v>
      </c>
      <c r="N109" s="129">
        <v>-14000</v>
      </c>
      <c r="O109" s="129">
        <v>-14000</v>
      </c>
      <c r="P109" s="129">
        <v>-14000</v>
      </c>
      <c r="Q109" s="74"/>
      <c r="R109" s="129">
        <f t="shared" si="45"/>
        <v>-168000</v>
      </c>
      <c r="S109" s="162"/>
      <c r="T109" s="134">
        <f>-R109/$R$11</f>
        <v>5.4601550352148124E-3</v>
      </c>
    </row>
    <row r="110" spans="2:23" ht="13.5" customHeight="1">
      <c r="B110" s="146" t="s">
        <v>223</v>
      </c>
      <c r="C110" s="147" t="s">
        <v>224</v>
      </c>
      <c r="D110" s="414" t="s">
        <v>549</v>
      </c>
      <c r="E110" s="129">
        <f>-22000-15000-4000</f>
        <v>-41000</v>
      </c>
      <c r="F110" s="129">
        <f t="shared" ref="F110:P110" si="47">-22000-15000-4000</f>
        <v>-41000</v>
      </c>
      <c r="G110" s="129">
        <f t="shared" si="47"/>
        <v>-41000</v>
      </c>
      <c r="H110" s="129">
        <f t="shared" si="47"/>
        <v>-41000</v>
      </c>
      <c r="I110" s="129">
        <f t="shared" si="47"/>
        <v>-41000</v>
      </c>
      <c r="J110" s="129">
        <f t="shared" si="47"/>
        <v>-41000</v>
      </c>
      <c r="K110" s="129">
        <f t="shared" si="47"/>
        <v>-41000</v>
      </c>
      <c r="L110" s="129">
        <f t="shared" si="47"/>
        <v>-41000</v>
      </c>
      <c r="M110" s="129">
        <f t="shared" si="47"/>
        <v>-41000</v>
      </c>
      <c r="N110" s="129">
        <f t="shared" si="47"/>
        <v>-41000</v>
      </c>
      <c r="O110" s="129">
        <f t="shared" si="47"/>
        <v>-41000</v>
      </c>
      <c r="P110" s="129">
        <f t="shared" si="47"/>
        <v>-41000</v>
      </c>
      <c r="Q110" s="74"/>
      <c r="R110" s="129">
        <f t="shared" si="45"/>
        <v>-492000</v>
      </c>
      <c r="S110" s="162"/>
      <c r="T110" s="134">
        <f>-R110/$R$11</f>
        <v>1.5990454031700522E-2</v>
      </c>
    </row>
    <row r="111" spans="2:23" ht="13.5" customHeight="1">
      <c r="B111" s="146" t="s">
        <v>225</v>
      </c>
      <c r="C111" s="147" t="s">
        <v>226</v>
      </c>
      <c r="D111" s="414" t="s">
        <v>549</v>
      </c>
      <c r="E111" s="129">
        <v>-5000</v>
      </c>
      <c r="F111" s="129">
        <v>-5000</v>
      </c>
      <c r="G111" s="129">
        <v>-5000</v>
      </c>
      <c r="H111" s="129">
        <v>-5000</v>
      </c>
      <c r="I111" s="129">
        <v>-5000</v>
      </c>
      <c r="J111" s="129">
        <v>-5000</v>
      </c>
      <c r="K111" s="129">
        <v>-5000</v>
      </c>
      <c r="L111" s="129">
        <v>-5000</v>
      </c>
      <c r="M111" s="129">
        <v>-5000</v>
      </c>
      <c r="N111" s="129">
        <v>-5000</v>
      </c>
      <c r="O111" s="129">
        <v>-5000</v>
      </c>
      <c r="P111" s="129">
        <v>-5000</v>
      </c>
      <c r="Q111" s="74"/>
      <c r="R111" s="129">
        <f t="shared" si="45"/>
        <v>-60000</v>
      </c>
      <c r="S111" s="162"/>
      <c r="T111" s="134">
        <v>2E-3</v>
      </c>
    </row>
    <row r="112" spans="2:23" ht="13.5" customHeight="1">
      <c r="B112" s="146" t="s">
        <v>227</v>
      </c>
      <c r="C112" s="147" t="s">
        <v>228</v>
      </c>
      <c r="D112" s="414" t="s">
        <v>550</v>
      </c>
      <c r="E112" s="129">
        <f>(E$11+E$22+E$23+E$24)*-$T112</f>
        <v>-320.62674096915003</v>
      </c>
      <c r="F112" s="129">
        <f t="shared" ref="F112:P112" si="48">(F$11+F$22+F$23+F$24)*-$T112</f>
        <v>-492.15108207972003</v>
      </c>
      <c r="G112" s="129">
        <f t="shared" si="48"/>
        <v>-495.98814782578791</v>
      </c>
      <c r="H112" s="129">
        <f t="shared" si="48"/>
        <v>-508.88485467092397</v>
      </c>
      <c r="I112" s="129">
        <f t="shared" si="48"/>
        <v>-571.96472894626822</v>
      </c>
      <c r="J112" s="129">
        <f t="shared" si="48"/>
        <v>-484.97772925645199</v>
      </c>
      <c r="K112" s="129">
        <f t="shared" si="48"/>
        <v>-467.998885704516</v>
      </c>
      <c r="L112" s="129">
        <f t="shared" si="48"/>
        <v>-478.71287037086415</v>
      </c>
      <c r="M112" s="129">
        <f t="shared" si="48"/>
        <v>-472.82001713683206</v>
      </c>
      <c r="N112" s="129">
        <f t="shared" si="48"/>
        <v>-459.34530688314004</v>
      </c>
      <c r="O112" s="129">
        <f t="shared" si="48"/>
        <v>-542.997371943036</v>
      </c>
      <c r="P112" s="129">
        <f t="shared" si="48"/>
        <v>-386.44782244878002</v>
      </c>
      <c r="Q112" s="74"/>
      <c r="R112" s="129">
        <f t="shared" si="45"/>
        <v>-5682.9155582354715</v>
      </c>
      <c r="S112" s="1"/>
      <c r="T112" s="134">
        <v>2.0000000000000001E-4</v>
      </c>
    </row>
    <row r="113" spans="2:21" ht="13.5" customHeight="1">
      <c r="B113" s="146" t="s">
        <v>554</v>
      </c>
      <c r="C113" s="147" t="s">
        <v>229</v>
      </c>
      <c r="D113" s="414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74"/>
      <c r="R113" s="129">
        <f t="shared" si="45"/>
        <v>0</v>
      </c>
      <c r="S113" s="1"/>
      <c r="T113" s="134"/>
    </row>
    <row r="114" spans="2:21" ht="13.5" customHeight="1">
      <c r="B114" s="182"/>
      <c r="C114" s="97"/>
      <c r="D114" s="9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74"/>
      <c r="R114" s="122"/>
      <c r="S114" s="1"/>
      <c r="T114" s="397"/>
    </row>
    <row r="115" spans="2:21" ht="4.5" customHeight="1">
      <c r="B115" s="87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4"/>
      <c r="R115" s="76"/>
      <c r="S115" s="1"/>
      <c r="T115" s="76"/>
    </row>
    <row r="116" spans="2:21" ht="13.5" customHeight="1">
      <c r="B116" s="349" t="s">
        <v>230</v>
      </c>
      <c r="C116" s="344"/>
      <c r="D116" s="344"/>
      <c r="E116" s="345">
        <f t="shared" ref="E116:R116" si="49">SUM(E117:E118)</f>
        <v>-32062.674096915005</v>
      </c>
      <c r="F116" s="345">
        <f t="shared" si="49"/>
        <v>-49215.108207972007</v>
      </c>
      <c r="G116" s="345">
        <f t="shared" si="49"/>
        <v>-49598.814782578789</v>
      </c>
      <c r="H116" s="345">
        <f t="shared" si="49"/>
        <v>-50888.485467092396</v>
      </c>
      <c r="I116" s="345">
        <f t="shared" si="49"/>
        <v>-57196.472894626822</v>
      </c>
      <c r="J116" s="345">
        <f t="shared" si="49"/>
        <v>-48497.7729256452</v>
      </c>
      <c r="K116" s="345">
        <f t="shared" si="49"/>
        <v>-46799.8885704516</v>
      </c>
      <c r="L116" s="345">
        <f t="shared" si="49"/>
        <v>-47871.287037086411</v>
      </c>
      <c r="M116" s="345">
        <f t="shared" si="49"/>
        <v>-47282.001713683203</v>
      </c>
      <c r="N116" s="345">
        <f t="shared" si="49"/>
        <v>-45934.530688314</v>
      </c>
      <c r="O116" s="345">
        <f t="shared" si="49"/>
        <v>-54299.737194303598</v>
      </c>
      <c r="P116" s="345">
        <f t="shared" si="49"/>
        <v>-38644.782244877999</v>
      </c>
      <c r="Q116" s="74"/>
      <c r="R116" s="345">
        <f t="shared" si="49"/>
        <v>-568291.55582354695</v>
      </c>
      <c r="S116" s="1"/>
      <c r="T116" s="350" t="s">
        <v>68</v>
      </c>
    </row>
    <row r="117" spans="2:21" ht="13.5" customHeight="1">
      <c r="B117" s="183" t="s">
        <v>231</v>
      </c>
      <c r="C117" s="184" t="s">
        <v>232</v>
      </c>
      <c r="D117" s="414" t="s">
        <v>550</v>
      </c>
      <c r="E117" s="113">
        <f t="shared" ref="E117:P117" si="50">(E11+E22+E23+E24)*-$T$117</f>
        <v>-32062.674096915005</v>
      </c>
      <c r="F117" s="113">
        <f t="shared" si="50"/>
        <v>-49215.108207972007</v>
      </c>
      <c r="G117" s="113">
        <f t="shared" si="50"/>
        <v>-49598.814782578789</v>
      </c>
      <c r="H117" s="113">
        <f t="shared" si="50"/>
        <v>-50888.485467092396</v>
      </c>
      <c r="I117" s="113">
        <f t="shared" si="50"/>
        <v>-57196.472894626822</v>
      </c>
      <c r="J117" s="113">
        <f t="shared" si="50"/>
        <v>-48497.7729256452</v>
      </c>
      <c r="K117" s="113">
        <f t="shared" si="50"/>
        <v>-46799.8885704516</v>
      </c>
      <c r="L117" s="185">
        <f t="shared" si="50"/>
        <v>-47871.287037086411</v>
      </c>
      <c r="M117" s="185">
        <f t="shared" si="50"/>
        <v>-47282.001713683203</v>
      </c>
      <c r="N117" s="113">
        <f t="shared" si="50"/>
        <v>-45934.530688314</v>
      </c>
      <c r="O117" s="113">
        <f t="shared" si="50"/>
        <v>-54299.737194303598</v>
      </c>
      <c r="P117" s="113">
        <f t="shared" si="50"/>
        <v>-38644.782244877999</v>
      </c>
      <c r="Q117" s="74"/>
      <c r="R117" s="113">
        <f>SUM(E117:P117)</f>
        <v>-568291.55582354695</v>
      </c>
      <c r="S117" s="1"/>
      <c r="T117" s="161">
        <v>0.02</v>
      </c>
    </row>
    <row r="118" spans="2:21" ht="15" customHeight="1">
      <c r="Q118" s="74"/>
    </row>
    <row r="119" spans="2:21" ht="15" customHeight="1">
      <c r="Q119" s="74"/>
    </row>
    <row r="120" spans="2:21" ht="13.5" customHeight="1">
      <c r="B120" s="349" t="s">
        <v>233</v>
      </c>
      <c r="C120" s="344"/>
      <c r="D120" s="344"/>
      <c r="E120" s="345">
        <f t="shared" ref="E120:P120" si="51">SUM(E121:E124)</f>
        <v>-33720.489676912512</v>
      </c>
      <c r="F120" s="345">
        <f t="shared" si="51"/>
        <v>-45805.131350999996</v>
      </c>
      <c r="G120" s="345">
        <f t="shared" si="51"/>
        <v>-46162.251972900012</v>
      </c>
      <c r="H120" s="345">
        <f t="shared" si="51"/>
        <v>-47362.564991700005</v>
      </c>
      <c r="I120" s="345">
        <f t="shared" si="51"/>
        <v>-104617.16693190002</v>
      </c>
      <c r="J120" s="345">
        <f t="shared" si="51"/>
        <v>-88706.511944099999</v>
      </c>
      <c r="K120" s="345">
        <f t="shared" si="51"/>
        <v>-85600.938435300006</v>
      </c>
      <c r="L120" s="345">
        <f t="shared" si="51"/>
        <v>-87560.616481200006</v>
      </c>
      <c r="M120" s="345">
        <f t="shared" si="51"/>
        <v>-86482.763985600002</v>
      </c>
      <c r="N120" s="345">
        <f t="shared" si="51"/>
        <v>-84018.125974499999</v>
      </c>
      <c r="O120" s="345">
        <f t="shared" si="51"/>
        <v>-99318.793326300001</v>
      </c>
      <c r="P120" s="345">
        <f t="shared" si="51"/>
        <v>-70684.562011500006</v>
      </c>
      <c r="Q120" s="74"/>
      <c r="R120" s="345">
        <f t="shared" ref="R120:R123" si="52">SUM(E120:P120)</f>
        <v>-880039.91708291252</v>
      </c>
      <c r="S120" s="1"/>
      <c r="T120" s="860" t="s">
        <v>68</v>
      </c>
      <c r="U120" s="861"/>
    </row>
    <row r="121" spans="2:21" ht="13.5" customHeight="1">
      <c r="B121" s="144" t="s">
        <v>234</v>
      </c>
      <c r="C121" s="145" t="s">
        <v>235</v>
      </c>
      <c r="D121" s="414" t="s">
        <v>550</v>
      </c>
      <c r="E121" s="129">
        <f t="shared" ref="E121:P121" si="53">-(E16+E17)*$U$121+(-E15*$T$121)</f>
        <v>-33720.489676912512</v>
      </c>
      <c r="F121" s="129">
        <f t="shared" si="53"/>
        <v>-45805.131350999996</v>
      </c>
      <c r="G121" s="129">
        <f t="shared" si="53"/>
        <v>-46162.251972900012</v>
      </c>
      <c r="H121" s="129">
        <f t="shared" si="53"/>
        <v>-47362.564991700005</v>
      </c>
      <c r="I121" s="129">
        <f t="shared" si="53"/>
        <v>-53233.489656900012</v>
      </c>
      <c r="J121" s="129">
        <f t="shared" si="53"/>
        <v>-45137.498219100002</v>
      </c>
      <c r="K121" s="129">
        <f t="shared" si="53"/>
        <v>-43557.255510300005</v>
      </c>
      <c r="L121" s="129">
        <f t="shared" si="53"/>
        <v>-44554.419781199998</v>
      </c>
      <c r="M121" s="129">
        <f t="shared" si="53"/>
        <v>-44005.964385600004</v>
      </c>
      <c r="N121" s="129">
        <f t="shared" si="53"/>
        <v>-42751.855849499996</v>
      </c>
      <c r="O121" s="129">
        <f t="shared" si="53"/>
        <v>-50537.460651300004</v>
      </c>
      <c r="P121" s="129">
        <f t="shared" si="53"/>
        <v>-35967.1936365</v>
      </c>
      <c r="Q121" s="74"/>
      <c r="R121" s="129">
        <f t="shared" si="52"/>
        <v>-532795.5756829126</v>
      </c>
      <c r="S121" s="1"/>
      <c r="T121" s="131">
        <v>7.4999999999999997E-3</v>
      </c>
      <c r="U121" s="131">
        <v>2.5000000000000001E-2</v>
      </c>
    </row>
    <row r="122" spans="2:21" ht="13.5" customHeight="1">
      <c r="B122" s="146" t="s">
        <v>236</v>
      </c>
      <c r="C122" s="116" t="s">
        <v>237</v>
      </c>
      <c r="D122" s="414" t="s">
        <v>550</v>
      </c>
      <c r="E122" s="117">
        <v>0</v>
      </c>
      <c r="F122" s="117">
        <v>0</v>
      </c>
      <c r="G122" s="117">
        <v>0</v>
      </c>
      <c r="H122" s="117">
        <v>0</v>
      </c>
      <c r="I122" s="117">
        <f t="shared" ref="I122:P122" si="54">-I18*$T$122</f>
        <v>-51383.677275000002</v>
      </c>
      <c r="J122" s="117">
        <f t="shared" si="54"/>
        <v>-43569.013724999997</v>
      </c>
      <c r="K122" s="117">
        <f t="shared" si="54"/>
        <v>-42043.682925000001</v>
      </c>
      <c r="L122" s="117">
        <f t="shared" si="54"/>
        <v>-43006.1967</v>
      </c>
      <c r="M122" s="117">
        <f t="shared" si="54"/>
        <v>-42476.799599999998</v>
      </c>
      <c r="N122" s="117">
        <f t="shared" si="54"/>
        <v>-41266.270124999995</v>
      </c>
      <c r="O122" s="117">
        <f t="shared" si="54"/>
        <v>-48781.332674999998</v>
      </c>
      <c r="P122" s="117">
        <f t="shared" si="54"/>
        <v>-34717.368374999998</v>
      </c>
      <c r="Q122" s="74"/>
      <c r="R122" s="117">
        <f t="shared" si="52"/>
        <v>-347244.34140000003</v>
      </c>
      <c r="S122" s="1"/>
      <c r="T122" s="186">
        <v>0.125</v>
      </c>
      <c r="U122" s="1"/>
    </row>
    <row r="123" spans="2:21" ht="13.5" customHeight="1">
      <c r="B123" s="172" t="s">
        <v>238</v>
      </c>
      <c r="C123" s="159" t="s">
        <v>62</v>
      </c>
      <c r="D123" s="414" t="s">
        <v>550</v>
      </c>
      <c r="E123" s="160">
        <v>0</v>
      </c>
      <c r="F123" s="160">
        <v>0</v>
      </c>
      <c r="G123" s="160">
        <v>0</v>
      </c>
      <c r="H123" s="160">
        <v>0</v>
      </c>
      <c r="I123" s="160">
        <v>0</v>
      </c>
      <c r="J123" s="160">
        <v>0</v>
      </c>
      <c r="K123" s="160">
        <v>0</v>
      </c>
      <c r="L123" s="160">
        <v>0</v>
      </c>
      <c r="M123" s="160">
        <v>0</v>
      </c>
      <c r="N123" s="160">
        <v>0</v>
      </c>
      <c r="O123" s="160">
        <v>0</v>
      </c>
      <c r="P123" s="160">
        <v>0</v>
      </c>
      <c r="Q123" s="74"/>
      <c r="R123" s="160">
        <f t="shared" si="52"/>
        <v>0</v>
      </c>
      <c r="S123" s="1"/>
      <c r="T123" s="186">
        <v>0</v>
      </c>
      <c r="U123" s="1"/>
    </row>
    <row r="124" spans="2:21" ht="13.5" customHeight="1">
      <c r="B124" s="182"/>
      <c r="C124" s="97"/>
      <c r="D124" s="9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74"/>
      <c r="R124" s="187"/>
      <c r="S124" s="1"/>
      <c r="T124" s="188"/>
      <c r="U124" s="1"/>
    </row>
    <row r="125" spans="2:21" ht="4.5" customHeight="1">
      <c r="B125" s="87"/>
      <c r="C125" s="125"/>
      <c r="D125" s="125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74"/>
      <c r="R125" s="101"/>
      <c r="S125" s="1"/>
      <c r="T125" s="107"/>
      <c r="U125" s="99"/>
    </row>
    <row r="126" spans="2:21" ht="13.5" customHeight="1">
      <c r="B126" s="349" t="s">
        <v>239</v>
      </c>
      <c r="C126" s="344"/>
      <c r="D126" s="344"/>
      <c r="E126" s="345">
        <f t="shared" ref="E126:R126" si="55">SUM(E127:E128)</f>
        <v>0</v>
      </c>
      <c r="F126" s="345">
        <f t="shared" si="55"/>
        <v>0</v>
      </c>
      <c r="G126" s="345">
        <f t="shared" si="55"/>
        <v>0</v>
      </c>
      <c r="H126" s="345">
        <f t="shared" si="55"/>
        <v>0</v>
      </c>
      <c r="I126" s="345">
        <f t="shared" si="55"/>
        <v>0</v>
      </c>
      <c r="J126" s="345">
        <f t="shared" si="55"/>
        <v>0</v>
      </c>
      <c r="K126" s="345">
        <f t="shared" si="55"/>
        <v>0</v>
      </c>
      <c r="L126" s="345">
        <f t="shared" si="55"/>
        <v>0</v>
      </c>
      <c r="M126" s="345">
        <f t="shared" si="55"/>
        <v>0</v>
      </c>
      <c r="N126" s="345">
        <f t="shared" si="55"/>
        <v>0</v>
      </c>
      <c r="O126" s="345">
        <f t="shared" si="55"/>
        <v>0</v>
      </c>
      <c r="P126" s="345">
        <f t="shared" si="55"/>
        <v>0</v>
      </c>
      <c r="Q126" s="74"/>
      <c r="R126" s="345">
        <f t="shared" si="55"/>
        <v>0</v>
      </c>
      <c r="S126" s="189"/>
      <c r="T126" s="190"/>
      <c r="U126" s="189"/>
    </row>
    <row r="127" spans="2:21" ht="13.5" customHeight="1">
      <c r="B127" s="191" t="s">
        <v>240</v>
      </c>
      <c r="C127" s="192" t="s">
        <v>241</v>
      </c>
      <c r="D127" s="192"/>
      <c r="E127" s="185"/>
      <c r="F127" s="185">
        <f>E127</f>
        <v>0</v>
      </c>
      <c r="G127" s="185">
        <f t="shared" ref="G127:P127" si="56">F127</f>
        <v>0</v>
      </c>
      <c r="H127" s="185">
        <f t="shared" si="56"/>
        <v>0</v>
      </c>
      <c r="I127" s="185">
        <f t="shared" si="56"/>
        <v>0</v>
      </c>
      <c r="J127" s="185">
        <f t="shared" si="56"/>
        <v>0</v>
      </c>
      <c r="K127" s="185">
        <f t="shared" si="56"/>
        <v>0</v>
      </c>
      <c r="L127" s="185">
        <f t="shared" si="56"/>
        <v>0</v>
      </c>
      <c r="M127" s="185">
        <f t="shared" si="56"/>
        <v>0</v>
      </c>
      <c r="N127" s="185">
        <f t="shared" si="56"/>
        <v>0</v>
      </c>
      <c r="O127" s="185">
        <f t="shared" si="56"/>
        <v>0</v>
      </c>
      <c r="P127" s="185">
        <f t="shared" si="56"/>
        <v>0</v>
      </c>
      <c r="Q127" s="74"/>
      <c r="R127" s="185">
        <f>SUM(E127:P127)</f>
        <v>0</v>
      </c>
      <c r="S127" s="1"/>
      <c r="T127" s="76"/>
      <c r="U127" s="1"/>
    </row>
    <row r="128" spans="2:21" ht="13.5" customHeight="1">
      <c r="B128" s="182"/>
      <c r="C128" s="193"/>
      <c r="D128" s="193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74"/>
      <c r="R128" s="187"/>
      <c r="S128" s="1"/>
      <c r="T128" s="76"/>
      <c r="U128" s="1"/>
    </row>
    <row r="129" spans="2:21" ht="4.5" customHeight="1">
      <c r="B129" s="87"/>
      <c r="C129" s="125"/>
      <c r="D129" s="125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74"/>
      <c r="R129" s="101"/>
      <c r="S129" s="1"/>
      <c r="T129" s="107"/>
      <c r="U129" s="99"/>
    </row>
    <row r="130" spans="2:21" ht="13.5" customHeight="1">
      <c r="B130" s="349" t="s">
        <v>242</v>
      </c>
      <c r="C130" s="344"/>
      <c r="D130" s="344"/>
      <c r="E130" s="345">
        <f t="shared" ref="E130:P130" si="57">SUM(E131:E134)</f>
        <v>-12151.527811500004</v>
      </c>
      <c r="F130" s="345">
        <f t="shared" si="57"/>
        <v>-18652.179613200002</v>
      </c>
      <c r="G130" s="345">
        <f t="shared" si="57"/>
        <v>-18797.601704279998</v>
      </c>
      <c r="H130" s="345">
        <f t="shared" si="57"/>
        <v>-19286.377816439999</v>
      </c>
      <c r="I130" s="345">
        <f t="shared" si="57"/>
        <v>-21677.060653080007</v>
      </c>
      <c r="J130" s="345">
        <f t="shared" si="57"/>
        <v>-18380.314590119997</v>
      </c>
      <c r="K130" s="345">
        <f t="shared" si="57"/>
        <v>-17736.82836996</v>
      </c>
      <c r="L130" s="345">
        <f t="shared" si="57"/>
        <v>-18142.880847840006</v>
      </c>
      <c r="M130" s="345">
        <f t="shared" si="57"/>
        <v>-17919.545857919999</v>
      </c>
      <c r="N130" s="345">
        <f t="shared" si="57"/>
        <v>-17408.863823399999</v>
      </c>
      <c r="O130" s="345">
        <f t="shared" si="57"/>
        <v>-20579.218211160001</v>
      </c>
      <c r="P130" s="345">
        <f t="shared" si="57"/>
        <v>-14646.1004718</v>
      </c>
      <c r="Q130" s="74"/>
      <c r="R130" s="345">
        <f t="shared" ref="R130:R133" si="58">SUM(E130:P130)</f>
        <v>-215378.4997707</v>
      </c>
      <c r="S130" s="1"/>
      <c r="T130" s="350" t="s">
        <v>68</v>
      </c>
      <c r="U130" s="1"/>
    </row>
    <row r="131" spans="2:21" ht="13.5" customHeight="1">
      <c r="B131" s="144" t="s">
        <v>243</v>
      </c>
      <c r="C131" s="145" t="s">
        <v>244</v>
      </c>
      <c r="D131" s="414" t="s">
        <v>550</v>
      </c>
      <c r="E131" s="129">
        <f t="shared" ref="E131:P131" si="59">-E11*$T$131</f>
        <v>-5207.7976335000012</v>
      </c>
      <c r="F131" s="129">
        <f t="shared" si="59"/>
        <v>-7993.7912628000004</v>
      </c>
      <c r="G131" s="129">
        <f t="shared" si="59"/>
        <v>-8056.1150161199994</v>
      </c>
      <c r="H131" s="129">
        <f t="shared" si="59"/>
        <v>-8265.5904927600004</v>
      </c>
      <c r="I131" s="129">
        <f t="shared" si="59"/>
        <v>-9290.1688513200024</v>
      </c>
      <c r="J131" s="129">
        <f t="shared" si="59"/>
        <v>-7877.277681479999</v>
      </c>
      <c r="K131" s="129">
        <f t="shared" si="59"/>
        <v>-7601.4978728399992</v>
      </c>
      <c r="L131" s="129">
        <f t="shared" si="59"/>
        <v>-7775.5203633600022</v>
      </c>
      <c r="M131" s="129">
        <f t="shared" si="59"/>
        <v>-7679.80536768</v>
      </c>
      <c r="N131" s="129">
        <f t="shared" si="59"/>
        <v>-7460.9416385999994</v>
      </c>
      <c r="O131" s="129">
        <f t="shared" si="59"/>
        <v>-8819.6649476399998</v>
      </c>
      <c r="P131" s="129">
        <f t="shared" si="59"/>
        <v>-6276.9002022000004</v>
      </c>
      <c r="Q131" s="74"/>
      <c r="R131" s="129">
        <f t="shared" si="58"/>
        <v>-92305.071330300023</v>
      </c>
      <c r="S131" s="1"/>
      <c r="T131" s="194">
        <v>3.0000000000000001E-3</v>
      </c>
      <c r="U131" s="1"/>
    </row>
    <row r="132" spans="2:21" ht="13.5" customHeight="1">
      <c r="B132" s="146" t="s">
        <v>245</v>
      </c>
      <c r="C132" s="147" t="s">
        <v>246</v>
      </c>
      <c r="D132" s="414" t="s">
        <v>550</v>
      </c>
      <c r="E132" s="129">
        <f t="shared" ref="E132:P132" si="60">-E11*$T$131</f>
        <v>-5207.7976335000012</v>
      </c>
      <c r="F132" s="129">
        <f t="shared" si="60"/>
        <v>-7993.7912628000004</v>
      </c>
      <c r="G132" s="129">
        <f t="shared" si="60"/>
        <v>-8056.1150161199994</v>
      </c>
      <c r="H132" s="129">
        <f t="shared" si="60"/>
        <v>-8265.5904927600004</v>
      </c>
      <c r="I132" s="129">
        <f t="shared" si="60"/>
        <v>-9290.1688513200024</v>
      </c>
      <c r="J132" s="129">
        <f t="shared" si="60"/>
        <v>-7877.277681479999</v>
      </c>
      <c r="K132" s="129">
        <f t="shared" si="60"/>
        <v>-7601.4978728399992</v>
      </c>
      <c r="L132" s="129">
        <f t="shared" si="60"/>
        <v>-7775.5203633600022</v>
      </c>
      <c r="M132" s="129">
        <f t="shared" si="60"/>
        <v>-7679.80536768</v>
      </c>
      <c r="N132" s="129">
        <f t="shared" si="60"/>
        <v>-7460.9416385999994</v>
      </c>
      <c r="O132" s="129">
        <f t="shared" si="60"/>
        <v>-8819.6649476399998</v>
      </c>
      <c r="P132" s="129">
        <f t="shared" si="60"/>
        <v>-6276.9002022000004</v>
      </c>
      <c r="Q132" s="74"/>
      <c r="R132" s="117">
        <f t="shared" si="58"/>
        <v>-92305.071330300023</v>
      </c>
      <c r="S132" s="1"/>
      <c r="T132" s="194">
        <v>2E-3</v>
      </c>
      <c r="U132" s="1"/>
    </row>
    <row r="133" spans="2:21" ht="13.5" customHeight="1">
      <c r="B133" s="146" t="s">
        <v>247</v>
      </c>
      <c r="C133" s="147" t="s">
        <v>248</v>
      </c>
      <c r="D133" s="414" t="s">
        <v>550</v>
      </c>
      <c r="E133" s="129">
        <f t="shared" ref="E133:P133" si="61">-E11*$T$133</f>
        <v>-1735.9325445000004</v>
      </c>
      <c r="F133" s="129">
        <f t="shared" si="61"/>
        <v>-2664.5970876000001</v>
      </c>
      <c r="G133" s="129">
        <f t="shared" si="61"/>
        <v>-2685.3716720399998</v>
      </c>
      <c r="H133" s="129">
        <f t="shared" si="61"/>
        <v>-2755.1968309200001</v>
      </c>
      <c r="I133" s="129">
        <f t="shared" si="61"/>
        <v>-3096.7229504400007</v>
      </c>
      <c r="J133" s="129">
        <f t="shared" si="61"/>
        <v>-2625.7592271599997</v>
      </c>
      <c r="K133" s="129">
        <f t="shared" si="61"/>
        <v>-2533.8326242799999</v>
      </c>
      <c r="L133" s="129">
        <f t="shared" si="61"/>
        <v>-2591.8401211200007</v>
      </c>
      <c r="M133" s="129">
        <f t="shared" si="61"/>
        <v>-2559.9351225600003</v>
      </c>
      <c r="N133" s="129">
        <f t="shared" si="61"/>
        <v>-2486.9805461999999</v>
      </c>
      <c r="O133" s="129">
        <f t="shared" si="61"/>
        <v>-2939.8883158800004</v>
      </c>
      <c r="P133" s="129">
        <f t="shared" si="61"/>
        <v>-2092.3000674</v>
      </c>
      <c r="Q133" s="74"/>
      <c r="R133" s="117">
        <f t="shared" si="58"/>
        <v>-30768.357110100002</v>
      </c>
      <c r="S133" s="1"/>
      <c r="T133" s="194">
        <v>1E-3</v>
      </c>
      <c r="U133" s="1"/>
    </row>
    <row r="134" spans="2:21" ht="15" hidden="1" customHeight="1">
      <c r="D134" s="414"/>
      <c r="Q134" s="74"/>
    </row>
    <row r="135" spans="2:21" ht="20.25" hidden="1">
      <c r="Q135" s="74"/>
    </row>
    <row r="136" spans="2:21" ht="20.25" hidden="1">
      <c r="B136" s="126" t="s">
        <v>249</v>
      </c>
      <c r="C136" s="83"/>
      <c r="D136" s="83"/>
      <c r="E136" s="84">
        <f t="shared" ref="E136:R136" si="62">SUM(E137:E138)</f>
        <v>0</v>
      </c>
      <c r="F136" s="84">
        <f t="shared" si="62"/>
        <v>0</v>
      </c>
      <c r="G136" s="84">
        <f t="shared" si="62"/>
        <v>0</v>
      </c>
      <c r="H136" s="84">
        <f t="shared" si="62"/>
        <v>0</v>
      </c>
      <c r="I136" s="84">
        <f t="shared" si="62"/>
        <v>0</v>
      </c>
      <c r="J136" s="84">
        <f t="shared" si="62"/>
        <v>0</v>
      </c>
      <c r="K136" s="84">
        <f t="shared" si="62"/>
        <v>0</v>
      </c>
      <c r="L136" s="84">
        <f t="shared" si="62"/>
        <v>0</v>
      </c>
      <c r="M136" s="84">
        <f t="shared" si="62"/>
        <v>0</v>
      </c>
      <c r="N136" s="84">
        <f t="shared" si="62"/>
        <v>0</v>
      </c>
      <c r="O136" s="84">
        <f t="shared" si="62"/>
        <v>0</v>
      </c>
      <c r="P136" s="84">
        <f t="shared" si="62"/>
        <v>0</v>
      </c>
      <c r="Q136" s="74"/>
      <c r="R136" s="84">
        <f t="shared" si="62"/>
        <v>0</v>
      </c>
      <c r="S136" s="189"/>
      <c r="T136" s="143" t="s">
        <v>68</v>
      </c>
    </row>
    <row r="137" spans="2:21" ht="20.25" hidden="1">
      <c r="B137" s="191" t="s">
        <v>44</v>
      </c>
      <c r="C137" s="192" t="s">
        <v>250</v>
      </c>
      <c r="D137" s="192"/>
      <c r="E137" s="195">
        <v>0</v>
      </c>
      <c r="F137" s="195">
        <v>0</v>
      </c>
      <c r="G137" s="195">
        <v>0</v>
      </c>
      <c r="H137" s="195">
        <v>0</v>
      </c>
      <c r="I137" s="195">
        <v>0</v>
      </c>
      <c r="J137" s="195">
        <v>0</v>
      </c>
      <c r="K137" s="195">
        <v>0</v>
      </c>
      <c r="L137" s="195">
        <v>0</v>
      </c>
      <c r="M137" s="195">
        <v>0</v>
      </c>
      <c r="N137" s="195">
        <v>0</v>
      </c>
      <c r="O137" s="195">
        <v>0</v>
      </c>
      <c r="P137" s="195">
        <v>0</v>
      </c>
      <c r="Q137" s="74"/>
      <c r="R137" s="195">
        <f>SUM(E137:P137)</f>
        <v>0</v>
      </c>
      <c r="S137" s="1"/>
      <c r="T137" s="196">
        <v>0.05</v>
      </c>
    </row>
    <row r="138" spans="2:21" ht="20.25" hidden="1">
      <c r="B138" s="182"/>
      <c r="C138" s="193"/>
      <c r="D138" s="193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74"/>
      <c r="R138" s="187"/>
      <c r="S138" s="1"/>
      <c r="T138" s="76"/>
    </row>
    <row r="139" spans="2:21" ht="20.25" hidden="1">
      <c r="B139" s="87"/>
      <c r="C139" s="79"/>
      <c r="D139" s="79"/>
      <c r="E139" s="157"/>
      <c r="F139" s="157"/>
      <c r="G139" s="157"/>
      <c r="H139" s="157"/>
      <c r="I139" s="157"/>
      <c r="J139" s="157"/>
      <c r="K139" s="89"/>
      <c r="L139" s="89"/>
      <c r="M139" s="89"/>
      <c r="N139" s="89"/>
      <c r="O139" s="89"/>
      <c r="P139" s="89"/>
      <c r="Q139" s="74"/>
      <c r="R139" s="89"/>
      <c r="S139" s="1"/>
      <c r="T139" s="76"/>
    </row>
    <row r="140" spans="2:21" ht="13.5" hidden="1" customHeight="1">
      <c r="B140" s="349" t="s">
        <v>251</v>
      </c>
      <c r="C140" s="358"/>
      <c r="D140" s="358"/>
      <c r="E140" s="346">
        <f t="shared" ref="E140:P140" si="63">SUM(E141:E142)</f>
        <v>0</v>
      </c>
      <c r="F140" s="346">
        <f t="shared" si="63"/>
        <v>0</v>
      </c>
      <c r="G140" s="346">
        <f t="shared" si="63"/>
        <v>0</v>
      </c>
      <c r="H140" s="346">
        <f t="shared" si="63"/>
        <v>0</v>
      </c>
      <c r="I140" s="346">
        <f t="shared" si="63"/>
        <v>0</v>
      </c>
      <c r="J140" s="346">
        <f t="shared" si="63"/>
        <v>0</v>
      </c>
      <c r="K140" s="346">
        <f t="shared" si="63"/>
        <v>0</v>
      </c>
      <c r="L140" s="346">
        <f t="shared" si="63"/>
        <v>0</v>
      </c>
      <c r="M140" s="346">
        <f t="shared" si="63"/>
        <v>0</v>
      </c>
      <c r="N140" s="346">
        <f t="shared" si="63"/>
        <v>0</v>
      </c>
      <c r="O140" s="346">
        <f t="shared" si="63"/>
        <v>0</v>
      </c>
      <c r="P140" s="346">
        <f t="shared" si="63"/>
        <v>0</v>
      </c>
      <c r="Q140" s="74"/>
      <c r="R140" s="346">
        <f t="shared" ref="R140:R142" si="64">SUM(E140:P140)</f>
        <v>0</v>
      </c>
      <c r="S140" s="1"/>
      <c r="T140" s="76"/>
    </row>
    <row r="141" spans="2:21" ht="13.5" hidden="1" customHeight="1">
      <c r="B141" s="146" t="s">
        <v>252</v>
      </c>
      <c r="C141" s="147" t="s">
        <v>253</v>
      </c>
      <c r="D141" s="413"/>
      <c r="E141" s="129">
        <v>0</v>
      </c>
      <c r="F141" s="129">
        <v>0</v>
      </c>
      <c r="G141" s="129">
        <v>0</v>
      </c>
      <c r="H141" s="129">
        <v>0</v>
      </c>
      <c r="I141" s="129">
        <v>0</v>
      </c>
      <c r="J141" s="129">
        <v>0</v>
      </c>
      <c r="K141" s="129">
        <v>0</v>
      </c>
      <c r="L141" s="129">
        <v>0</v>
      </c>
      <c r="M141" s="129">
        <v>0</v>
      </c>
      <c r="N141" s="129">
        <v>0</v>
      </c>
      <c r="O141" s="129">
        <v>0</v>
      </c>
      <c r="P141" s="129">
        <v>0</v>
      </c>
      <c r="Q141" s="74"/>
      <c r="R141" s="129">
        <f t="shared" si="64"/>
        <v>0</v>
      </c>
      <c r="S141" s="1"/>
      <c r="T141" s="76"/>
    </row>
    <row r="142" spans="2:21" ht="13.5" hidden="1" customHeight="1">
      <c r="B142" s="182"/>
      <c r="C142" s="97"/>
      <c r="D142" s="97"/>
      <c r="E142" s="187">
        <v>0</v>
      </c>
      <c r="F142" s="187">
        <v>0</v>
      </c>
      <c r="G142" s="187">
        <v>0</v>
      </c>
      <c r="H142" s="187">
        <v>0</v>
      </c>
      <c r="I142" s="187">
        <v>0</v>
      </c>
      <c r="J142" s="187">
        <v>0</v>
      </c>
      <c r="K142" s="187">
        <v>0</v>
      </c>
      <c r="L142" s="187">
        <v>0</v>
      </c>
      <c r="M142" s="187">
        <v>0</v>
      </c>
      <c r="N142" s="187">
        <v>0</v>
      </c>
      <c r="O142" s="187">
        <v>0</v>
      </c>
      <c r="P142" s="187">
        <v>0</v>
      </c>
      <c r="Q142" s="74"/>
      <c r="R142" s="187">
        <f t="shared" si="64"/>
        <v>0</v>
      </c>
      <c r="S142" s="1"/>
      <c r="T142" s="76"/>
    </row>
    <row r="143" spans="2:21" ht="4.5" hidden="1" customHeight="1">
      <c r="B143" s="87"/>
      <c r="C143" s="76"/>
      <c r="D143" s="76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74"/>
      <c r="R143" s="89"/>
      <c r="S143" s="1"/>
      <c r="T143" s="76"/>
    </row>
    <row r="144" spans="2:21" ht="13.5" hidden="1" customHeight="1">
      <c r="B144" s="402" t="s">
        <v>254</v>
      </c>
      <c r="C144" s="359"/>
      <c r="D144" s="415"/>
      <c r="E144" s="404">
        <f t="shared" ref="E144:P144" si="65">SUM(E145:E149)</f>
        <v>0</v>
      </c>
      <c r="F144" s="404">
        <f t="shared" si="65"/>
        <v>0</v>
      </c>
      <c r="G144" s="404">
        <f t="shared" si="65"/>
        <v>0</v>
      </c>
      <c r="H144" s="404">
        <f t="shared" si="65"/>
        <v>0</v>
      </c>
      <c r="I144" s="404">
        <f t="shared" si="65"/>
        <v>0</v>
      </c>
      <c r="J144" s="404">
        <f t="shared" si="65"/>
        <v>0</v>
      </c>
      <c r="K144" s="404">
        <f t="shared" si="65"/>
        <v>0</v>
      </c>
      <c r="L144" s="404">
        <f t="shared" si="65"/>
        <v>0</v>
      </c>
      <c r="M144" s="404">
        <f t="shared" si="65"/>
        <v>0</v>
      </c>
      <c r="N144" s="404">
        <f t="shared" si="65"/>
        <v>0</v>
      </c>
      <c r="O144" s="404">
        <f t="shared" si="65"/>
        <v>0</v>
      </c>
      <c r="P144" s="404">
        <f t="shared" si="65"/>
        <v>0</v>
      </c>
      <c r="Q144" s="74"/>
      <c r="R144" s="404">
        <f t="shared" ref="R144:R148" si="66">SUM(E144:P144)</f>
        <v>0</v>
      </c>
      <c r="S144" s="1"/>
      <c r="T144" s="76"/>
    </row>
    <row r="145" spans="2:20" ht="13.5" hidden="1" customHeight="1">
      <c r="B145" s="400"/>
      <c r="C145" s="401"/>
      <c r="D145" s="401"/>
      <c r="E145" s="403"/>
      <c r="F145" s="403"/>
      <c r="G145" s="403"/>
      <c r="H145" s="403"/>
      <c r="I145" s="403"/>
      <c r="J145" s="403"/>
      <c r="K145" s="403"/>
      <c r="L145" s="403"/>
      <c r="M145" s="403"/>
      <c r="N145" s="403"/>
      <c r="O145" s="403"/>
      <c r="P145" s="403"/>
      <c r="Q145" s="74"/>
      <c r="R145" s="185">
        <f t="shared" si="66"/>
        <v>0</v>
      </c>
      <c r="S145" s="1"/>
      <c r="T145" s="76"/>
    </row>
    <row r="146" spans="2:20" ht="13.5" hidden="1" customHeight="1">
      <c r="B146" s="398" t="s">
        <v>255</v>
      </c>
      <c r="C146" s="170" t="s">
        <v>256</v>
      </c>
      <c r="D146" s="170"/>
      <c r="E146" s="399">
        <v>0</v>
      </c>
      <c r="F146" s="399">
        <v>0</v>
      </c>
      <c r="G146" s="399">
        <v>0</v>
      </c>
      <c r="H146" s="399">
        <v>0</v>
      </c>
      <c r="I146" s="399">
        <v>0</v>
      </c>
      <c r="J146" s="399">
        <v>0</v>
      </c>
      <c r="K146" s="399">
        <v>0</v>
      </c>
      <c r="L146" s="399">
        <v>0</v>
      </c>
      <c r="M146" s="399">
        <v>0</v>
      </c>
      <c r="N146" s="399">
        <v>0</v>
      </c>
      <c r="O146" s="399">
        <v>0</v>
      </c>
      <c r="P146" s="399">
        <v>0</v>
      </c>
      <c r="Q146" s="74"/>
      <c r="R146" s="197">
        <f t="shared" si="66"/>
        <v>0</v>
      </c>
      <c r="S146" s="1"/>
      <c r="T146" s="76"/>
    </row>
    <row r="147" spans="2:20" ht="13.5" hidden="1" customHeight="1">
      <c r="B147" s="198" t="s">
        <v>257</v>
      </c>
      <c r="C147" s="179" t="s">
        <v>258</v>
      </c>
      <c r="D147" s="179"/>
      <c r="E147" s="197">
        <v>0</v>
      </c>
      <c r="F147" s="197">
        <v>0</v>
      </c>
      <c r="G147" s="197">
        <v>0</v>
      </c>
      <c r="H147" s="197">
        <v>0</v>
      </c>
      <c r="I147" s="197">
        <v>0</v>
      </c>
      <c r="J147" s="197">
        <v>0</v>
      </c>
      <c r="K147" s="197">
        <v>0</v>
      </c>
      <c r="L147" s="197">
        <v>0</v>
      </c>
      <c r="M147" s="197">
        <v>0</v>
      </c>
      <c r="N147" s="197">
        <v>0</v>
      </c>
      <c r="O147" s="197">
        <v>0</v>
      </c>
      <c r="P147" s="197">
        <v>0</v>
      </c>
      <c r="Q147" s="74"/>
      <c r="R147" s="199">
        <f t="shared" si="66"/>
        <v>0</v>
      </c>
      <c r="S147" s="1"/>
      <c r="T147" s="76"/>
    </row>
    <row r="148" spans="2:20" ht="13.5" hidden="1" customHeight="1">
      <c r="B148" s="158" t="s">
        <v>259</v>
      </c>
      <c r="C148" s="171" t="s">
        <v>260</v>
      </c>
      <c r="D148" s="171"/>
      <c r="E148" s="197">
        <v>0</v>
      </c>
      <c r="F148" s="197">
        <v>0</v>
      </c>
      <c r="G148" s="197">
        <v>0</v>
      </c>
      <c r="H148" s="197">
        <v>0</v>
      </c>
      <c r="I148" s="197">
        <v>0</v>
      </c>
      <c r="J148" s="197">
        <v>0</v>
      </c>
      <c r="K148" s="197">
        <v>0</v>
      </c>
      <c r="L148" s="197">
        <v>0</v>
      </c>
      <c r="M148" s="197">
        <v>0</v>
      </c>
      <c r="N148" s="197">
        <v>0</v>
      </c>
      <c r="O148" s="197">
        <v>0</v>
      </c>
      <c r="P148" s="197">
        <v>0</v>
      </c>
      <c r="Q148" s="74"/>
      <c r="R148" s="197">
        <f t="shared" si="66"/>
        <v>0</v>
      </c>
      <c r="S148" s="1"/>
      <c r="T148" s="76"/>
    </row>
    <row r="149" spans="2:20" ht="15" customHeight="1">
      <c r="Q149" s="74"/>
    </row>
    <row r="150" spans="2:20" ht="15" customHeight="1">
      <c r="Q150" s="74"/>
    </row>
    <row r="151" spans="2:20" ht="13.5" hidden="1" customHeight="1">
      <c r="B151" s="87" t="s">
        <v>52</v>
      </c>
      <c r="C151" s="76"/>
      <c r="D151" s="76"/>
      <c r="E151" s="88">
        <f t="shared" ref="E151:P151" si="67">E10+E126+E136+E21+E130+E120+E51+E76+E116+E86+E102+E31+E140+E144</f>
        <v>-8214.9456370609696</v>
      </c>
      <c r="F151" s="88">
        <f t="shared" si="67"/>
        <v>47818.374118035426</v>
      </c>
      <c r="G151" s="88">
        <f t="shared" si="67"/>
        <v>54250.00803247164</v>
      </c>
      <c r="H151" s="88">
        <f t="shared" si="67"/>
        <v>75867.280870372546</v>
      </c>
      <c r="I151" s="88">
        <f t="shared" si="67"/>
        <v>130217.17334809317</v>
      </c>
      <c r="J151" s="88">
        <f t="shared" si="67"/>
        <v>-7774.5094991141232</v>
      </c>
      <c r="K151" s="88">
        <f t="shared" si="67"/>
        <v>-52500.716783000389</v>
      </c>
      <c r="L151" s="88">
        <f t="shared" si="67"/>
        <v>-35504.604957320727</v>
      </c>
      <c r="M151" s="88">
        <f t="shared" si="67"/>
        <v>-44852.722922479967</v>
      </c>
      <c r="N151" s="88">
        <f t="shared" si="67"/>
        <v>-66228.307209969615</v>
      </c>
      <c r="O151" s="88">
        <f t="shared" si="67"/>
        <v>66473.007612026995</v>
      </c>
      <c r="P151" s="88">
        <f t="shared" si="67"/>
        <v>-173801.45087368297</v>
      </c>
      <c r="Q151" s="74"/>
      <c r="R151" s="101">
        <f t="shared" ref="R151:R153" si="68">SUM(E151:P151)</f>
        <v>-14251.413901628985</v>
      </c>
    </row>
    <row r="152" spans="2:20" ht="13.5" hidden="1" customHeight="1">
      <c r="B152" s="87"/>
      <c r="C152" s="76"/>
      <c r="D152" s="76"/>
      <c r="E152" s="88">
        <f>'03- BD x RE 2026'!D72</f>
        <v>-16064.17034575354</v>
      </c>
      <c r="F152" s="88">
        <f>'03- BD x RE 2026'!G72</f>
        <v>333966.84859446762</v>
      </c>
      <c r="G152" s="88">
        <f>'03- BD x RE 2026'!J72</f>
        <v>363683.64936838514</v>
      </c>
      <c r="H152" s="88">
        <f>'03- BD x RE 2026'!M72</f>
        <v>385156.9773322948</v>
      </c>
      <c r="I152" s="88">
        <f>'03- BD x RE 2026'!P72</f>
        <v>478093.42772344837</v>
      </c>
      <c r="J152" s="88">
        <f>'03- BD x RE 2026'!S72</f>
        <v>286890.97139569203</v>
      </c>
      <c r="K152" s="88">
        <f>'03- BD x RE 2026'!V72</f>
        <v>231778.64433039719</v>
      </c>
      <c r="L152" s="88">
        <f>'03- BD x RE 2026'!Y72</f>
        <v>255328.60228467177</v>
      </c>
      <c r="M152" s="88">
        <f>'03- BD x RE 2026'!AB72</f>
        <v>242375.77005521648</v>
      </c>
      <c r="N152" s="88">
        <f>'03- BD x RE 2026'!AE72</f>
        <v>212757.57758970076</v>
      </c>
      <c r="O152" s="88">
        <f>'03- BD x RE 2026'!AH72</f>
        <v>396629.65472048527</v>
      </c>
      <c r="P152" s="88">
        <f>'03- BD x RE 2026'!AK72</f>
        <v>60592.350679407435</v>
      </c>
      <c r="Q152" s="74"/>
      <c r="R152" s="101">
        <f t="shared" si="68"/>
        <v>3231190.3037284133</v>
      </c>
    </row>
    <row r="153" spans="2:20" ht="13.5" hidden="1" customHeight="1">
      <c r="B153" s="87"/>
      <c r="C153" s="76"/>
      <c r="D153" s="76"/>
      <c r="E153" s="89">
        <f t="shared" ref="E153:P153" si="69">E151-E152</f>
        <v>7849.2247086925709</v>
      </c>
      <c r="F153" s="89">
        <f t="shared" si="69"/>
        <v>-286148.47447643219</v>
      </c>
      <c r="G153" s="89">
        <f t="shared" si="69"/>
        <v>-309433.6413359135</v>
      </c>
      <c r="H153" s="89">
        <f t="shared" si="69"/>
        <v>-309289.69646192226</v>
      </c>
      <c r="I153" s="89">
        <f t="shared" si="69"/>
        <v>-347876.2543753552</v>
      </c>
      <c r="J153" s="89">
        <f t="shared" si="69"/>
        <v>-294665.48089480615</v>
      </c>
      <c r="K153" s="89">
        <f t="shared" si="69"/>
        <v>-284279.36111339758</v>
      </c>
      <c r="L153" s="89">
        <f t="shared" si="69"/>
        <v>-290833.20724199247</v>
      </c>
      <c r="M153" s="89">
        <f t="shared" si="69"/>
        <v>-287228.49297769647</v>
      </c>
      <c r="N153" s="89">
        <f t="shared" si="69"/>
        <v>-278985.88479967037</v>
      </c>
      <c r="O153" s="89">
        <f t="shared" si="69"/>
        <v>-330156.64710845827</v>
      </c>
      <c r="P153" s="89">
        <f t="shared" si="69"/>
        <v>-234393.80155309039</v>
      </c>
      <c r="Q153" s="74"/>
      <c r="R153" s="89">
        <f t="shared" si="68"/>
        <v>-3245441.7176300427</v>
      </c>
    </row>
    <row r="154" spans="2:20" ht="12.75" hidden="1" customHeight="1">
      <c r="B154" s="87"/>
      <c r="C154" s="76"/>
      <c r="D154" s="76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74"/>
      <c r="R154" s="89"/>
    </row>
    <row r="155" spans="2:20" ht="13.5" hidden="1" customHeight="1">
      <c r="B155" s="364" t="s">
        <v>261</v>
      </c>
      <c r="C155" s="365"/>
      <c r="D155" s="416"/>
      <c r="E155" s="366"/>
      <c r="F155" s="366"/>
      <c r="G155" s="366"/>
      <c r="H155" s="366"/>
      <c r="I155" s="366"/>
      <c r="J155" s="366"/>
      <c r="K155" s="366"/>
      <c r="L155" s="366"/>
      <c r="M155" s="366"/>
      <c r="N155" s="366"/>
      <c r="O155" s="366"/>
      <c r="P155" s="366"/>
      <c r="Q155" s="74"/>
      <c r="R155" s="89"/>
    </row>
    <row r="156" spans="2:20" ht="13.5" hidden="1" customHeight="1">
      <c r="B156" s="191" t="s">
        <v>262</v>
      </c>
      <c r="C156" s="360">
        <v>0.08</v>
      </c>
      <c r="D156" s="360"/>
      <c r="E156" s="185">
        <f t="shared" ref="E156:P156" si="70">E11*$C$156</f>
        <v>138874.60356000002</v>
      </c>
      <c r="F156" s="185">
        <f t="shared" si="70"/>
        <v>213167.76700800002</v>
      </c>
      <c r="G156" s="185">
        <f t="shared" si="70"/>
        <v>214829.73376319997</v>
      </c>
      <c r="H156" s="185">
        <f t="shared" si="70"/>
        <v>220415.74647360001</v>
      </c>
      <c r="I156" s="185">
        <f t="shared" si="70"/>
        <v>247737.83603520007</v>
      </c>
      <c r="J156" s="185">
        <f t="shared" si="70"/>
        <v>210060.73817279999</v>
      </c>
      <c r="K156" s="185">
        <f t="shared" si="70"/>
        <v>202706.60994239998</v>
      </c>
      <c r="L156" s="185">
        <f t="shared" si="70"/>
        <v>207347.20968960007</v>
      </c>
      <c r="M156" s="185">
        <f t="shared" si="70"/>
        <v>204794.8098048</v>
      </c>
      <c r="N156" s="185">
        <f t="shared" si="70"/>
        <v>198958.44369599997</v>
      </c>
      <c r="O156" s="185">
        <f t="shared" si="70"/>
        <v>235191.06527040002</v>
      </c>
      <c r="P156" s="185">
        <f t="shared" si="70"/>
        <v>167384.00539200002</v>
      </c>
      <c r="Q156" s="74"/>
      <c r="R156" s="89"/>
    </row>
    <row r="157" spans="2:20" ht="13.5" hidden="1" customHeight="1">
      <c r="B157" s="361" t="s">
        <v>263</v>
      </c>
      <c r="C157" s="362">
        <v>20000</v>
      </c>
      <c r="D157" s="417"/>
      <c r="E157" s="160">
        <f t="shared" ref="E157:P157" si="71">E156-$C$157</f>
        <v>118874.60356000002</v>
      </c>
      <c r="F157" s="160">
        <f t="shared" si="71"/>
        <v>193167.76700800002</v>
      </c>
      <c r="G157" s="160">
        <f t="shared" si="71"/>
        <v>194829.73376319997</v>
      </c>
      <c r="H157" s="160">
        <f t="shared" si="71"/>
        <v>200415.74647360001</v>
      </c>
      <c r="I157" s="160">
        <f t="shared" si="71"/>
        <v>227737.83603520007</v>
      </c>
      <c r="J157" s="160">
        <f t="shared" si="71"/>
        <v>190060.73817279999</v>
      </c>
      <c r="K157" s="160">
        <f t="shared" si="71"/>
        <v>182706.60994239998</v>
      </c>
      <c r="L157" s="160">
        <f t="shared" si="71"/>
        <v>187347.20968960007</v>
      </c>
      <c r="M157" s="160">
        <f t="shared" si="71"/>
        <v>184794.8098048</v>
      </c>
      <c r="N157" s="160">
        <f t="shared" si="71"/>
        <v>178958.44369599997</v>
      </c>
      <c r="O157" s="160">
        <f t="shared" si="71"/>
        <v>215191.06527040002</v>
      </c>
      <c r="P157" s="160">
        <f t="shared" si="71"/>
        <v>147384.00539200002</v>
      </c>
      <c r="Q157" s="74"/>
      <c r="R157" s="89"/>
    </row>
    <row r="158" spans="2:20" ht="20.25" hidden="1">
      <c r="B158" s="120" t="s">
        <v>264</v>
      </c>
      <c r="C158" s="363">
        <v>0.1</v>
      </c>
      <c r="D158" s="363"/>
      <c r="E158" s="122">
        <f t="shared" ref="E158:P158" si="72">IF(E157&gt;=1,E157*$C$158,0)</f>
        <v>11887.460356000003</v>
      </c>
      <c r="F158" s="122">
        <f t="shared" si="72"/>
        <v>19316.776700800005</v>
      </c>
      <c r="G158" s="122">
        <f t="shared" si="72"/>
        <v>19482.973376319998</v>
      </c>
      <c r="H158" s="122">
        <f t="shared" si="72"/>
        <v>20041.574647360001</v>
      </c>
      <c r="I158" s="122">
        <f t="shared" si="72"/>
        <v>22773.783603520009</v>
      </c>
      <c r="J158" s="122">
        <f t="shared" si="72"/>
        <v>19006.073817280001</v>
      </c>
      <c r="K158" s="122">
        <f t="shared" si="72"/>
        <v>18270.660994239999</v>
      </c>
      <c r="L158" s="122">
        <f t="shared" si="72"/>
        <v>18734.720968960009</v>
      </c>
      <c r="M158" s="122">
        <f t="shared" si="72"/>
        <v>18479.480980479999</v>
      </c>
      <c r="N158" s="122">
        <f t="shared" si="72"/>
        <v>17895.844369599999</v>
      </c>
      <c r="O158" s="122">
        <f t="shared" si="72"/>
        <v>21519.106527040003</v>
      </c>
      <c r="P158" s="122">
        <f t="shared" si="72"/>
        <v>14738.400539200004</v>
      </c>
      <c r="Q158" s="74"/>
      <c r="R158" s="89"/>
    </row>
    <row r="159" spans="2:20" ht="20.25" hidden="1">
      <c r="Q159" s="74"/>
    </row>
    <row r="160" spans="2:20" ht="20.25" hidden="1">
      <c r="Q160" s="74"/>
    </row>
    <row r="161" spans="2:17" ht="20.25">
      <c r="Q161" s="74"/>
    </row>
    <row r="162" spans="2:17" ht="20.25">
      <c r="Q162" s="74"/>
    </row>
    <row r="163" spans="2:17" ht="15.75" customHeight="1">
      <c r="B163" s="367" t="s">
        <v>265</v>
      </c>
      <c r="C163" s="368"/>
      <c r="D163" s="368"/>
      <c r="E163" s="367">
        <v>31</v>
      </c>
      <c r="F163" s="367">
        <v>28</v>
      </c>
      <c r="G163" s="367">
        <v>31</v>
      </c>
      <c r="H163" s="367">
        <v>30</v>
      </c>
      <c r="I163" s="367">
        <v>31</v>
      </c>
      <c r="J163" s="367">
        <v>30</v>
      </c>
      <c r="K163" s="367">
        <v>30</v>
      </c>
      <c r="L163" s="367">
        <v>31</v>
      </c>
      <c r="M163" s="367">
        <v>30</v>
      </c>
      <c r="N163" s="367">
        <v>31</v>
      </c>
      <c r="O163" s="367">
        <v>30</v>
      </c>
      <c r="P163" s="367">
        <v>31</v>
      </c>
      <c r="Q163" s="74"/>
    </row>
    <row r="164" spans="2:17" ht="15" customHeight="1">
      <c r="Q164" s="74"/>
    </row>
    <row r="165" spans="2:17" ht="15" customHeight="1">
      <c r="Q165" s="74"/>
    </row>
  </sheetData>
  <mergeCells count="2">
    <mergeCell ref="T120:U120"/>
    <mergeCell ref="E1:R1"/>
  </mergeCells>
  <conditionalFormatting sqref="D52:D70">
    <cfRule type="containsText" dxfId="21" priority="7" operator="containsText" text="V">
      <formula>NOT(ISERROR(SEARCH("V",D52)))</formula>
    </cfRule>
    <cfRule type="containsText" dxfId="20" priority="8" operator="containsText" text="F">
      <formula>NOT(ISERROR(SEARCH("F",D52)))</formula>
    </cfRule>
  </conditionalFormatting>
  <conditionalFormatting sqref="D77:D79">
    <cfRule type="containsText" dxfId="19" priority="29" operator="containsText" text="V">
      <formula>NOT(ISERROR(SEARCH("V",D77)))</formula>
    </cfRule>
    <cfRule type="containsText" dxfId="18" priority="30" operator="containsText" text="F">
      <formula>NOT(ISERROR(SEARCH("F",D77)))</formula>
    </cfRule>
  </conditionalFormatting>
  <conditionalFormatting sqref="D81:D82 D87:D101">
    <cfRule type="containsText" dxfId="17" priority="17" operator="containsText" text="V">
      <formula>NOT(ISERROR(SEARCH("V",D81)))</formula>
    </cfRule>
    <cfRule type="containsText" dxfId="16" priority="18" operator="containsText" text="F">
      <formula>NOT(ISERROR(SEARCH("F",D81)))</formula>
    </cfRule>
  </conditionalFormatting>
  <conditionalFormatting sqref="D81:D83">
    <cfRule type="containsText" dxfId="15" priority="5" operator="containsText" text="V">
      <formula>NOT(ISERROR(SEARCH("V",D81)))</formula>
    </cfRule>
    <cfRule type="containsText" dxfId="14" priority="6" operator="containsText" text="F">
      <formula>NOT(ISERROR(SEARCH("F",D81)))</formula>
    </cfRule>
  </conditionalFormatting>
  <conditionalFormatting sqref="D83">
    <cfRule type="containsText" dxfId="13" priority="3" operator="containsText" text="V">
      <formula>NOT(ISERROR(SEARCH("V",D83)))</formula>
    </cfRule>
    <cfRule type="containsText" dxfId="12" priority="4" operator="containsText" text="F">
      <formula>NOT(ISERROR(SEARCH("F",D83)))</formula>
    </cfRule>
  </conditionalFormatting>
  <conditionalFormatting sqref="D85">
    <cfRule type="containsText" dxfId="11" priority="1" operator="containsText" text="V">
      <formula>NOT(ISERROR(SEARCH("V",D85)))</formula>
    </cfRule>
    <cfRule type="containsText" dxfId="10" priority="2" operator="containsText" text="F">
      <formula>NOT(ISERROR(SEARCH("F",D85)))</formula>
    </cfRule>
  </conditionalFormatting>
  <conditionalFormatting sqref="D103:D113">
    <cfRule type="containsText" dxfId="9" priority="15" operator="containsText" text="V">
      <formula>NOT(ISERROR(SEARCH("V",D103)))</formula>
    </cfRule>
    <cfRule type="containsText" dxfId="8" priority="16" operator="containsText" text="F">
      <formula>NOT(ISERROR(SEARCH("F",D103)))</formula>
    </cfRule>
  </conditionalFormatting>
  <conditionalFormatting sqref="D117">
    <cfRule type="containsText" dxfId="7" priority="13" operator="containsText" text="V">
      <formula>NOT(ISERROR(SEARCH("V",D117)))</formula>
    </cfRule>
    <cfRule type="containsText" dxfId="6" priority="14" operator="containsText" text="F">
      <formula>NOT(ISERROR(SEARCH("F",D117)))</formula>
    </cfRule>
  </conditionalFormatting>
  <conditionalFormatting sqref="D121:D123">
    <cfRule type="containsText" dxfId="5" priority="11" operator="containsText" text="V">
      <formula>NOT(ISERROR(SEARCH("V",D121)))</formula>
    </cfRule>
    <cfRule type="containsText" dxfId="4" priority="12" operator="containsText" text="F">
      <formula>NOT(ISERROR(SEARCH("F",D121)))</formula>
    </cfRule>
  </conditionalFormatting>
  <conditionalFormatting sqref="D131:D133">
    <cfRule type="containsText" dxfId="3" priority="9" operator="containsText" text="V">
      <formula>NOT(ISERROR(SEARCH("V",D131)))</formula>
    </cfRule>
    <cfRule type="containsText" dxfId="2" priority="10" operator="containsText" text="F">
      <formula>NOT(ISERROR(SEARCH("F",D131)))</formula>
    </cfRule>
  </conditionalFormatting>
  <conditionalFormatting sqref="D134">
    <cfRule type="containsText" dxfId="1" priority="19" operator="containsText" text="V">
      <formula>NOT(ISERROR(SEARCH("V",D134)))</formula>
    </cfRule>
    <cfRule type="containsText" dxfId="0" priority="20" operator="containsText" text="F">
      <formula>NOT(ISERROR(SEARCH("F",D134)))</formula>
    </cfRule>
  </conditionalFormatting>
  <printOptions horizontalCentered="1" verticalCentered="1"/>
  <pageMargins left="0.79000000000000015" right="0.79000000000000015" top="0.39000000000000007" bottom="0.39000000000000007" header="0" footer="0"/>
  <pageSetup paperSize="9" scale="55" orientation="landscape" r:id="rId1"/>
  <ignoredErrors>
    <ignoredError sqref="R69 E96:P96 R86 R80 R84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857B-70E5-49CF-BC30-F2A84CFDF692}">
  <sheetPr>
    <tabColor theme="1"/>
  </sheetPr>
  <dimension ref="B1:AG164"/>
  <sheetViews>
    <sheetView showGridLines="0" tabSelected="1" zoomScale="96" zoomScaleNormal="96" workbookViewId="0">
      <pane xSplit="2" ySplit="5" topLeftCell="C6" activePane="bottomRight" state="frozen"/>
      <selection pane="topRight" activeCell="B1" sqref="B1"/>
      <selection pane="bottomLeft" activeCell="A5" sqref="A5"/>
      <selection pane="bottomRight" activeCell="AA22" sqref="AA22"/>
    </sheetView>
  </sheetViews>
  <sheetFormatPr defaultColWidth="12.5703125" defaultRowHeight="15" customHeight="1" outlineLevelRow="1"/>
  <cols>
    <col min="1" max="1" width="0.85546875" customWidth="1"/>
    <col min="2" max="2" width="43" customWidth="1"/>
    <col min="3" max="3" width="13.42578125" hidden="1" customWidth="1"/>
    <col min="4" max="4" width="15.140625" bestFit="1" customWidth="1"/>
    <col min="5" max="5" width="6.7109375" customWidth="1"/>
    <col min="6" max="6" width="12.42578125" customWidth="1"/>
    <col min="7" max="7" width="6.7109375" customWidth="1"/>
    <col min="8" max="8" width="12.42578125" customWidth="1"/>
    <col min="9" max="9" width="6.85546875" customWidth="1"/>
    <col min="10" max="10" width="0.42578125" customWidth="1"/>
    <col min="11" max="11" width="10.7109375" customWidth="1"/>
    <col min="12" max="12" width="6.85546875" customWidth="1"/>
    <col min="13" max="20" width="12.42578125" hidden="1" customWidth="1"/>
    <col min="21" max="21" width="3.7109375" customWidth="1"/>
    <col min="22" max="22" width="12.42578125" hidden="1" customWidth="1"/>
    <col min="23" max="23" width="1.42578125" hidden="1" customWidth="1"/>
    <col min="24" max="25" width="10.42578125" hidden="1" customWidth="1"/>
    <col min="26" max="26" width="9.42578125" hidden="1" customWidth="1"/>
    <col min="27" max="33" width="12.42578125" customWidth="1"/>
  </cols>
  <sheetData>
    <row r="1" spans="2:29" ht="21" customHeight="1">
      <c r="B1" s="73"/>
      <c r="C1" s="74"/>
      <c r="D1" s="862" t="s">
        <v>2619</v>
      </c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862"/>
    </row>
    <row r="2" spans="2:29" ht="15.75" customHeight="1">
      <c r="B2" s="73"/>
      <c r="C2" s="74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1"/>
      <c r="X2" s="76"/>
    </row>
    <row r="3" spans="2:29" ht="27.75" customHeight="1">
      <c r="B3" s="73"/>
      <c r="C3" s="74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1"/>
      <c r="X3" s="76"/>
    </row>
    <row r="4" spans="2:29" ht="10.5" customHeight="1">
      <c r="B4" s="78"/>
      <c r="C4" s="79"/>
      <c r="D4" s="80"/>
      <c r="E4" s="80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74"/>
      <c r="V4" s="82"/>
      <c r="W4" s="1"/>
      <c r="X4" s="76"/>
    </row>
    <row r="5" spans="2:29" ht="12.75" customHeight="1">
      <c r="B5" s="343" t="s">
        <v>58</v>
      </c>
      <c r="C5" s="344" t="s">
        <v>59</v>
      </c>
      <c r="D5" s="487" t="s">
        <v>1277</v>
      </c>
      <c r="E5" s="831" t="s">
        <v>2620</v>
      </c>
      <c r="F5" s="487" t="s">
        <v>1278</v>
      </c>
      <c r="G5" s="831" t="s">
        <v>2620</v>
      </c>
      <c r="H5" s="786" t="s">
        <v>1279</v>
      </c>
      <c r="I5" s="831" t="s">
        <v>2620</v>
      </c>
      <c r="J5" s="821"/>
      <c r="K5" s="806" t="s">
        <v>1280</v>
      </c>
      <c r="L5" s="831" t="s">
        <v>2620</v>
      </c>
      <c r="M5" s="487" t="s">
        <v>1281</v>
      </c>
      <c r="N5" s="487" t="s">
        <v>1282</v>
      </c>
      <c r="O5" s="487" t="s">
        <v>1283</v>
      </c>
      <c r="P5" s="487" t="s">
        <v>1284</v>
      </c>
      <c r="Q5" s="487" t="s">
        <v>1285</v>
      </c>
      <c r="R5" s="487" t="s">
        <v>1286</v>
      </c>
      <c r="S5" s="487" t="s">
        <v>1287</v>
      </c>
      <c r="T5" s="487" t="s">
        <v>1288</v>
      </c>
      <c r="U5" s="74"/>
      <c r="V5" s="346" t="s">
        <v>61</v>
      </c>
      <c r="W5" s="85"/>
      <c r="X5" s="86"/>
    </row>
    <row r="6" spans="2:29" ht="5.25" customHeight="1">
      <c r="B6" s="87"/>
      <c r="C6" s="76"/>
      <c r="D6" s="88"/>
      <c r="E6" s="88"/>
      <c r="F6" s="88"/>
      <c r="G6" s="88"/>
      <c r="H6" s="787"/>
      <c r="I6" s="88"/>
      <c r="J6" s="787"/>
      <c r="K6" s="787"/>
      <c r="L6" s="88"/>
      <c r="M6" s="88"/>
      <c r="N6" s="88"/>
      <c r="O6" s="88"/>
      <c r="P6" s="88"/>
      <c r="Q6" s="88"/>
      <c r="R6" s="88"/>
      <c r="S6" s="88"/>
      <c r="T6" s="88"/>
      <c r="U6" s="74"/>
      <c r="V6" s="89"/>
      <c r="W6" s="1"/>
      <c r="X6" s="76"/>
    </row>
    <row r="7" spans="2:29" ht="12.75" customHeight="1">
      <c r="B7" s="90" t="s">
        <v>12</v>
      </c>
      <c r="C7" s="91" t="s">
        <v>62</v>
      </c>
      <c r="D7" s="92">
        <v>4761</v>
      </c>
      <c r="E7" s="92"/>
      <c r="F7" s="92">
        <v>4661</v>
      </c>
      <c r="G7" s="92"/>
      <c r="H7" s="788">
        <v>6592</v>
      </c>
      <c r="I7" s="93"/>
      <c r="J7" s="822"/>
      <c r="K7" s="92"/>
      <c r="L7" s="92"/>
      <c r="M7" s="92"/>
      <c r="N7" s="92"/>
      <c r="O7" s="92"/>
      <c r="P7" s="92"/>
      <c r="Q7" s="92"/>
      <c r="R7" s="92"/>
      <c r="S7" s="92"/>
      <c r="T7" s="92"/>
      <c r="U7" s="74"/>
      <c r="V7" s="93">
        <v>91427.812214999998</v>
      </c>
      <c r="W7" s="94"/>
      <c r="X7" s="95"/>
    </row>
    <row r="8" spans="2:29" ht="13.5" customHeight="1">
      <c r="B8" s="96" t="s">
        <v>63</v>
      </c>
      <c r="C8" s="97" t="s">
        <v>62</v>
      </c>
      <c r="D8" s="98">
        <f>(D11-D16)/D7</f>
        <v>289.76033816425127</v>
      </c>
      <c r="E8" s="98"/>
      <c r="F8" s="98">
        <f>(F11-F16)/F7</f>
        <v>312.2042608882216</v>
      </c>
      <c r="G8" s="98"/>
      <c r="H8" s="789">
        <f>(H11-H16)/H7</f>
        <v>317.1639092839805</v>
      </c>
      <c r="I8" s="98"/>
      <c r="J8" s="822"/>
      <c r="K8" s="807"/>
      <c r="L8" s="98"/>
      <c r="M8" s="98"/>
      <c r="N8" s="98"/>
      <c r="O8" s="98"/>
      <c r="P8" s="98"/>
      <c r="Q8" s="98"/>
      <c r="R8" s="98"/>
      <c r="S8" s="98"/>
      <c r="T8" s="98"/>
      <c r="U8" s="74"/>
      <c r="V8" s="98">
        <v>300</v>
      </c>
      <c r="W8" s="99"/>
      <c r="X8" s="100"/>
    </row>
    <row r="9" spans="2:29" ht="4.5" customHeight="1">
      <c r="B9" s="78"/>
      <c r="C9" s="79"/>
      <c r="D9" s="101"/>
      <c r="E9" s="101"/>
      <c r="F9" s="101"/>
      <c r="G9" s="101"/>
      <c r="H9" s="790"/>
      <c r="I9" s="101"/>
      <c r="J9" s="790"/>
      <c r="K9" s="790"/>
      <c r="L9" s="101"/>
      <c r="M9" s="101"/>
      <c r="N9" s="101"/>
      <c r="O9" s="101"/>
      <c r="P9" s="101"/>
      <c r="Q9" s="101"/>
      <c r="R9" s="101"/>
      <c r="S9" s="101"/>
      <c r="T9" s="101"/>
      <c r="U9" s="74"/>
      <c r="V9" s="102"/>
      <c r="W9" s="99"/>
      <c r="X9" s="100"/>
    </row>
    <row r="10" spans="2:29" ht="13.5" hidden="1" customHeight="1">
      <c r="B10" s="103" t="s">
        <v>64</v>
      </c>
      <c r="C10" s="104" t="s">
        <v>65</v>
      </c>
      <c r="D10" s="105"/>
      <c r="E10" s="784"/>
      <c r="F10" s="105"/>
      <c r="G10" s="791"/>
      <c r="H10" s="791"/>
      <c r="I10" s="791"/>
      <c r="J10" s="608"/>
      <c r="K10" s="784"/>
      <c r="L10" s="791"/>
      <c r="M10" s="105"/>
      <c r="N10" s="105"/>
      <c r="O10" s="105"/>
      <c r="P10" s="105"/>
      <c r="Q10" s="105"/>
      <c r="R10" s="105"/>
      <c r="S10" s="105"/>
      <c r="T10" s="105"/>
      <c r="U10" s="74"/>
      <c r="V10" s="106">
        <v>27428343.664500002</v>
      </c>
      <c r="W10" s="1"/>
      <c r="X10" s="107"/>
    </row>
    <row r="11" spans="2:29" ht="13.5" customHeight="1">
      <c r="B11" s="501" t="s">
        <v>66</v>
      </c>
      <c r="C11" s="347"/>
      <c r="D11" s="345">
        <f>SUM(D12:D18)-D12</f>
        <v>1390348.9700000002</v>
      </c>
      <c r="E11" s="351">
        <f>SUM(E13:E18)</f>
        <v>0.99999999999999978</v>
      </c>
      <c r="F11" s="345">
        <f>SUM(F12:F18)-F12</f>
        <v>1528554.0600000008</v>
      </c>
      <c r="G11" s="351">
        <f>SUM(G13:G18)</f>
        <v>0.99999999999999989</v>
      </c>
      <c r="H11" s="792">
        <f>SUM(H12:H18)-H12</f>
        <v>2443536.7529999996</v>
      </c>
      <c r="I11" s="351">
        <f>SUM(I13:I18)</f>
        <v>1</v>
      </c>
      <c r="J11" s="823"/>
      <c r="K11" s="808">
        <f t="shared" ref="K11:T11" si="0">SUM(K12:K18)-K12</f>
        <v>2304709.5700000003</v>
      </c>
      <c r="L11" s="351">
        <f>SUM(L13:L18)</f>
        <v>0.99999999999999989</v>
      </c>
      <c r="M11" s="345">
        <f t="shared" si="0"/>
        <v>0</v>
      </c>
      <c r="N11" s="345">
        <f t="shared" si="0"/>
        <v>0</v>
      </c>
      <c r="O11" s="345">
        <f t="shared" si="0"/>
        <v>0</v>
      </c>
      <c r="P11" s="345">
        <f t="shared" si="0"/>
        <v>0</v>
      </c>
      <c r="Q11" s="345">
        <f t="shared" si="0"/>
        <v>0</v>
      </c>
      <c r="R11" s="345">
        <f t="shared" si="0"/>
        <v>0</v>
      </c>
      <c r="S11" s="345">
        <f t="shared" si="0"/>
        <v>0</v>
      </c>
      <c r="T11" s="345">
        <f t="shared" si="0"/>
        <v>0</v>
      </c>
      <c r="U11" s="74"/>
      <c r="V11" s="345">
        <v>27428343.664500002</v>
      </c>
      <c r="W11" s="1"/>
      <c r="X11" s="348">
        <f>SUM(X13:X18)</f>
        <v>1</v>
      </c>
      <c r="Y11" s="337"/>
      <c r="AC11" s="389"/>
    </row>
    <row r="12" spans="2:29" ht="15" customHeight="1">
      <c r="B12" s="644" t="s">
        <v>144</v>
      </c>
      <c r="C12" s="645"/>
      <c r="D12" s="646">
        <v>110797.62</v>
      </c>
      <c r="E12" s="832">
        <f>D12/D$11</f>
        <v>7.9690511080825976E-2</v>
      </c>
      <c r="F12" s="646">
        <v>198712</v>
      </c>
      <c r="G12" s="832">
        <f>F12/F$11</f>
        <v>0.12999998181287739</v>
      </c>
      <c r="H12" s="793">
        <v>116627.58</v>
      </c>
      <c r="I12" s="832">
        <f>H12/H$11</f>
        <v>4.7729005858746752E-2</v>
      </c>
      <c r="J12" s="608"/>
      <c r="K12" s="646"/>
      <c r="L12" s="832">
        <f>K12/K$11</f>
        <v>0</v>
      </c>
      <c r="M12" s="647"/>
      <c r="N12" s="647"/>
      <c r="O12" s="647"/>
      <c r="P12" s="647"/>
      <c r="Q12" s="647"/>
      <c r="R12" s="647"/>
      <c r="S12" s="647"/>
      <c r="T12" s="647"/>
      <c r="U12" s="74"/>
      <c r="V12" s="110">
        <v>0</v>
      </c>
      <c r="W12" s="1"/>
      <c r="X12" s="111"/>
      <c r="AB12" s="609"/>
      <c r="AC12" s="389"/>
    </row>
    <row r="13" spans="2:29" ht="13.5" customHeight="1">
      <c r="B13" s="642" t="s">
        <v>1296</v>
      </c>
      <c r="C13" s="643" t="s">
        <v>62</v>
      </c>
      <c r="D13" s="423">
        <f>SUMIFS(B.Receita!$E:$E,B.Receita!$F:$F,'Base Realizado'!$B13,B.Receita!$H:$H,'Base Realizado'!D$5)</f>
        <v>191219.93</v>
      </c>
      <c r="E13" s="832">
        <f t="shared" ref="E13:G18" si="1">D13/D$11</f>
        <v>0.13753376607313195</v>
      </c>
      <c r="F13" s="423">
        <f>SUMIFS(B.Receita!$E:$E,B.Receita!$F:$F,'Base Realizado'!$B13,B.Receita!$H:$H,'Base Realizado'!F$5)</f>
        <v>232968.95000000007</v>
      </c>
      <c r="G13" s="832">
        <f t="shared" si="1"/>
        <v>0.1524113252494321</v>
      </c>
      <c r="H13" s="794">
        <f>SUMIFS(B.Receita!$E:$E,B.Receita!$F:$F,'Base Realizado'!$B13,B.Receita!$H:$H,'Base Realizado'!H$5)</f>
        <v>339893.43</v>
      </c>
      <c r="I13" s="832">
        <f t="shared" ref="I13" si="2">H13/H$11</f>
        <v>0.13909896365696287</v>
      </c>
      <c r="J13" s="608"/>
      <c r="K13" s="809">
        <f>SUMIFS(B.Receita!$E:$E,B.Receita!$F:$F,'Base Realizado'!$B13,B.Receita!$H:$H,'Base Realizado'!K$5)</f>
        <v>299094.7</v>
      </c>
      <c r="L13" s="832">
        <f t="shared" ref="L13:L16" si="3">K13/K$11</f>
        <v>0.12977544064261423</v>
      </c>
      <c r="M13" s="423"/>
      <c r="N13" s="423"/>
      <c r="O13" s="423"/>
      <c r="P13" s="423"/>
      <c r="Q13" s="423"/>
      <c r="R13" s="423"/>
      <c r="S13" s="423"/>
      <c r="T13" s="423"/>
      <c r="U13" s="74"/>
      <c r="V13" s="113">
        <v>548566.8732899999</v>
      </c>
      <c r="W13" s="1"/>
      <c r="X13" s="114">
        <v>0.02</v>
      </c>
      <c r="AC13" s="389"/>
    </row>
    <row r="14" spans="2:29" ht="13.5" customHeight="1">
      <c r="B14" s="115" t="s">
        <v>16</v>
      </c>
      <c r="C14" s="116" t="s">
        <v>62</v>
      </c>
      <c r="D14" s="117">
        <f>SUMIFS(B.Receita!$E:$E,B.Receita!$F:$F,'Base Realizado'!$B14,B.Receita!$H:$H,'Base Realizado'!D$5)</f>
        <v>213780.01</v>
      </c>
      <c r="E14" s="832">
        <f t="shared" si="1"/>
        <v>0.15375996574442743</v>
      </c>
      <c r="F14" s="117">
        <f>SUMIFS(B.Receita!$E:$E,B.Receita!$F:$F,'Base Realizado'!$B14,B.Receita!$H:$H,'Base Realizado'!F$5)</f>
        <v>988071.98000000045</v>
      </c>
      <c r="G14" s="832">
        <f t="shared" si="1"/>
        <v>0.64640957481085093</v>
      </c>
      <c r="H14" s="795">
        <f>SUMIFS(B.Receita!$E:$E,B.Receita!$F:$F,'Base Realizado'!$B14,B.Receita!$H:$H,'Base Realizado'!H$5)</f>
        <v>289846.25000000006</v>
      </c>
      <c r="I14" s="832">
        <f t="shared" ref="I14" si="4">H14/H$11</f>
        <v>0.11861751195031038</v>
      </c>
      <c r="J14" s="608"/>
      <c r="K14" s="810">
        <f>SUMIFS(B.Receita!$E:$E,B.Receita!$F:$F,'Base Realizado'!$B14,B.Receita!$H:$H,'Base Realizado'!K$5)</f>
        <v>313558.29000000004</v>
      </c>
      <c r="L14" s="832">
        <f t="shared" si="3"/>
        <v>0.13605110773241594</v>
      </c>
      <c r="M14" s="117"/>
      <c r="N14" s="117"/>
      <c r="O14" s="117"/>
      <c r="P14" s="117"/>
      <c r="Q14" s="117"/>
      <c r="R14" s="117"/>
      <c r="S14" s="117"/>
      <c r="T14" s="117"/>
      <c r="U14" s="74"/>
      <c r="V14" s="117">
        <v>1919984.0565150003</v>
      </c>
      <c r="W14" s="1"/>
      <c r="X14" s="118">
        <v>7.0000000000000007E-2</v>
      </c>
    </row>
    <row r="15" spans="2:29" ht="13.5" customHeight="1">
      <c r="B15" s="115" t="s">
        <v>17</v>
      </c>
      <c r="C15" s="116" t="s">
        <v>62</v>
      </c>
      <c r="D15" s="117">
        <f>SUMIFS(B.Receita!$E:$E,B.Receita!$F:$F,'Base Realizado'!$B15,B.Receita!$H:$H,'Base Realizado'!D$5)</f>
        <v>963659.96</v>
      </c>
      <c r="E15" s="832">
        <f t="shared" si="1"/>
        <v>0.69310653713074621</v>
      </c>
      <c r="F15" s="117">
        <f>SUMIFS(B.Receita!$E:$E,B.Receita!$F:$F,'Base Realizado'!$B15,B.Receita!$H:$H,'Base Realizado'!F$5)</f>
        <v>223553.48000000016</v>
      </c>
      <c r="G15" s="832">
        <f t="shared" si="1"/>
        <v>0.14625160198782897</v>
      </c>
      <c r="H15" s="795">
        <f>SUMIFS(B.Receita!$E:$E,B.Receita!$F:$F,'Base Realizado'!$B15,B.Receita!$H:$H,'Base Realizado'!H$5)</f>
        <v>1455192.0699999996</v>
      </c>
      <c r="I15" s="832">
        <f t="shared" ref="I15" si="5">H15/H$11</f>
        <v>0.5955269828511558</v>
      </c>
      <c r="J15" s="608"/>
      <c r="K15" s="810">
        <f>SUMIFS(B.Receita!$E:$E,B.Receita!$F:$F,'Base Realizado'!$B15,B.Receita!$H:$H,'Base Realizado'!K$5)</f>
        <v>1524543.3</v>
      </c>
      <c r="L15" s="832">
        <f t="shared" si="3"/>
        <v>0.66149041937635544</v>
      </c>
      <c r="M15" s="117"/>
      <c r="N15" s="117"/>
      <c r="O15" s="117"/>
      <c r="P15" s="117"/>
      <c r="Q15" s="117"/>
      <c r="R15" s="117"/>
      <c r="S15" s="117"/>
      <c r="T15" s="117"/>
      <c r="U15" s="74"/>
      <c r="V15" s="117">
        <v>17992993.443911999</v>
      </c>
      <c r="W15" s="1"/>
      <c r="X15" s="119">
        <v>0.65600000000000003</v>
      </c>
    </row>
    <row r="16" spans="2:29" ht="13.5" customHeight="1">
      <c r="B16" s="115" t="s">
        <v>18</v>
      </c>
      <c r="C16" s="116" t="s">
        <v>62</v>
      </c>
      <c r="D16" s="117">
        <f>SUMIFS(B.Receita!$E:$E,B.Receita!$F:$F,'Base Realizado'!$B16,B.Receita!$H:$H,'Base Realizado'!D$5)</f>
        <v>10800</v>
      </c>
      <c r="E16" s="832">
        <f t="shared" si="1"/>
        <v>7.7678339992584729E-3</v>
      </c>
      <c r="F16" s="117">
        <f>SUMIFS(B.Receita!$E:$E,B.Receita!$F:$F,'Base Realizado'!$B16,B.Receita!$H:$H,'Base Realizado'!F$5)</f>
        <v>73370</v>
      </c>
      <c r="G16" s="832">
        <f t="shared" si="1"/>
        <v>4.7999610821746121E-2</v>
      </c>
      <c r="H16" s="795">
        <f>SUMIFS(B.Receita!$E:$E,B.Receita!$F:$F,'Base Realizado'!$B16,B.Receita!$H:$H,'Base Realizado'!H$5)</f>
        <v>352792.26299999998</v>
      </c>
      <c r="I16" s="832">
        <f t="shared" ref="I16" si="6">H16/H$11</f>
        <v>0.1443777191265353</v>
      </c>
      <c r="J16" s="608"/>
      <c r="K16" s="810">
        <f>SUMIFS(B.Receita!$E:$E,B.Receita!$F:$F,'Base Realizado'!$B16,B.Receita!$H:$H,'Base Realizado'!K$5)</f>
        <v>159089.31</v>
      </c>
      <c r="L16" s="832">
        <f t="shared" si="3"/>
        <v>6.9027920945370996E-2</v>
      </c>
      <c r="M16" s="117"/>
      <c r="N16" s="117"/>
      <c r="O16" s="117"/>
      <c r="P16" s="117"/>
      <c r="Q16" s="117"/>
      <c r="R16" s="117"/>
      <c r="S16" s="117"/>
      <c r="T16" s="117"/>
      <c r="U16" s="74"/>
      <c r="V16" s="117">
        <v>2742834.3664500001</v>
      </c>
      <c r="W16" s="1"/>
      <c r="X16" s="119">
        <v>0.1</v>
      </c>
      <c r="AC16" s="389"/>
    </row>
    <row r="17" spans="2:29" ht="13.5" customHeight="1">
      <c r="B17" s="115" t="s">
        <v>19</v>
      </c>
      <c r="C17" s="116" t="s">
        <v>62</v>
      </c>
      <c r="D17" s="117">
        <f>SUMIFS(B.Receita!$E:$E,B.Receita!$F:$F,'Base Realizado'!$B17,B.Receita!$H:$H,'Base Realizado'!D$5)</f>
        <v>0</v>
      </c>
      <c r="E17" s="832"/>
      <c r="F17" s="117"/>
      <c r="G17" s="832"/>
      <c r="H17" s="795"/>
      <c r="I17" s="832"/>
      <c r="J17" s="608"/>
      <c r="K17" s="810"/>
      <c r="L17" s="832"/>
      <c r="M17" s="117"/>
      <c r="N17" s="117"/>
      <c r="O17" s="117"/>
      <c r="P17" s="117"/>
      <c r="Q17" s="117"/>
      <c r="R17" s="117"/>
      <c r="S17" s="117"/>
      <c r="T17" s="117"/>
      <c r="U17" s="74"/>
      <c r="V17" s="117">
        <v>4114251.5496750004</v>
      </c>
      <c r="W17" s="1"/>
      <c r="X17" s="119">
        <v>0.15</v>
      </c>
      <c r="AC17" s="508"/>
    </row>
    <row r="18" spans="2:29" ht="13.5" customHeight="1">
      <c r="B18" s="115" t="s">
        <v>548</v>
      </c>
      <c r="C18" s="116" t="s">
        <v>62</v>
      </c>
      <c r="D18" s="117">
        <f>SUMIFS(B.Receita!$E:$E,B.Receita!$F:$F,'Base Realizado'!$B18,B.Receita!$H:$H,'Base Realizado'!D$5)</f>
        <v>10889.07</v>
      </c>
      <c r="E18" s="832">
        <f t="shared" si="1"/>
        <v>7.8318970524356903E-3</v>
      </c>
      <c r="F18" s="117">
        <f>SUMIFS(B.Receita!$E:$E,B.Receita!$F:$F,'Base Realizado'!$B18,B.Receita!$H:$H,'Base Realizado'!F$5)</f>
        <v>10589.649999999998</v>
      </c>
      <c r="G18" s="832">
        <f t="shared" si="1"/>
        <v>6.9278871301417973E-3</v>
      </c>
      <c r="H18" s="795">
        <f>SUMIFS(B.Receita!$E:$E,B.Receita!$F:$F,'Base Realizado'!$B18,B.Receita!$H:$H,'Base Realizado'!H$5)</f>
        <v>5812.74</v>
      </c>
      <c r="I18" s="832">
        <f t="shared" ref="I18" si="7">H18/H$11</f>
        <v>2.3788224150357198E-3</v>
      </c>
      <c r="J18" s="608"/>
      <c r="K18" s="810">
        <f>SUMIFS(B.Receita!$E:$E,B.Receita!$F:$F,'Base Realizado'!$B18,B.Receita!$H:$H,'Base Realizado'!K$5)</f>
        <v>8423.9699999999993</v>
      </c>
      <c r="L18" s="832">
        <f t="shared" ref="L18" si="8">K18/K$11</f>
        <v>3.6551113032432967E-3</v>
      </c>
      <c r="M18" s="641" t="s">
        <v>690</v>
      </c>
      <c r="N18" s="117"/>
      <c r="O18" s="117"/>
      <c r="P18" s="117"/>
      <c r="Q18" s="117"/>
      <c r="R18" s="117"/>
      <c r="S18" s="117"/>
      <c r="T18" s="117"/>
      <c r="U18" s="74"/>
      <c r="V18" s="123">
        <v>109713.37465799999</v>
      </c>
      <c r="W18" s="1"/>
      <c r="X18" s="124">
        <v>4.0000000000000001E-3</v>
      </c>
      <c r="Y18" s="99"/>
      <c r="AC18" s="508"/>
    </row>
    <row r="19" spans="2:29" ht="3" customHeight="1">
      <c r="B19" s="421"/>
      <c r="C19" s="421"/>
      <c r="D19" s="640"/>
      <c r="E19" s="833"/>
      <c r="F19" s="421"/>
      <c r="G19" s="796"/>
      <c r="H19" s="796"/>
      <c r="I19" s="796"/>
      <c r="J19" s="828"/>
      <c r="K19" s="811"/>
      <c r="L19" s="796"/>
      <c r="M19" s="421"/>
      <c r="N19" s="421"/>
      <c r="O19" s="421"/>
      <c r="P19" s="421"/>
      <c r="Q19" s="421"/>
      <c r="R19" s="421"/>
      <c r="S19" s="421"/>
      <c r="T19" s="421"/>
      <c r="U19" s="74"/>
      <c r="V19" s="123"/>
      <c r="W19" s="1"/>
      <c r="X19" s="124"/>
      <c r="Y19" s="99"/>
      <c r="AC19" s="508"/>
    </row>
    <row r="20" spans="2:29" ht="20.25">
      <c r="B20" s="349" t="s">
        <v>67</v>
      </c>
      <c r="C20" s="344"/>
      <c r="D20" s="345">
        <f>SUM(D21:D25)</f>
        <v>-51487.25</v>
      </c>
      <c r="E20" s="345"/>
      <c r="F20" s="345">
        <f>SUM(F21:F25)</f>
        <v>-21426.809999999998</v>
      </c>
      <c r="G20" s="792"/>
      <c r="H20" s="792">
        <f>SUM(H21:H25)</f>
        <v>-59924.54</v>
      </c>
      <c r="I20" s="792"/>
      <c r="J20" s="823"/>
      <c r="K20" s="808">
        <f>SUM(K21:K25)</f>
        <v>0</v>
      </c>
      <c r="L20" s="792"/>
      <c r="M20" s="345">
        <f>SUM(M21:M25)</f>
        <v>0</v>
      </c>
      <c r="N20" s="345">
        <f>SUM(N21:N25)</f>
        <v>0</v>
      </c>
      <c r="O20" s="345">
        <f>SUM(O21:O25)</f>
        <v>0</v>
      </c>
      <c r="P20" s="345">
        <f>SUM(P21:P25)</f>
        <v>0</v>
      </c>
      <c r="Q20" s="345">
        <f>SUM(Q21:Q25)</f>
        <v>0</v>
      </c>
      <c r="R20" s="345">
        <f>SUM(R21:R25)</f>
        <v>0</v>
      </c>
      <c r="S20" s="345">
        <f>SUM(S21:S25)</f>
        <v>0</v>
      </c>
      <c r="T20" s="345">
        <f>SUM(T21:T25)</f>
        <v>0</v>
      </c>
      <c r="U20" s="74"/>
      <c r="V20" s="345">
        <v>-2919061.2752008503</v>
      </c>
      <c r="W20" s="1"/>
      <c r="X20" s="348" t="s">
        <v>68</v>
      </c>
      <c r="Y20" s="1"/>
      <c r="AC20" s="508"/>
    </row>
    <row r="21" spans="2:29" ht="13.5" customHeight="1">
      <c r="B21" s="115" t="s">
        <v>69</v>
      </c>
      <c r="C21" s="116" t="s">
        <v>70</v>
      </c>
      <c r="D21" s="117">
        <f>SUMIFS('B. Despesa'!$H$2:$H$1048576,'B. Despesa'!$I$2:$I$1048576,'Base Realizado'!D$5,'B. Despesa'!$K$2:$K$1048576,'Base Realizado'!$B21)</f>
        <v>-11603.07</v>
      </c>
      <c r="E21" s="832">
        <f>-D21/$D$11</f>
        <v>8.3454371890533344E-3</v>
      </c>
      <c r="F21" s="117">
        <f>SUMIFS('B. Despesa'!$H$2:$H$1048576,'B. Despesa'!$I$2:$I$1048576,'Base Realizado'!F$5,'B. Despesa'!$K$2:$K$1048576,'Base Realizado'!$B21)</f>
        <v>-15493.73</v>
      </c>
      <c r="G21" s="832">
        <f>-F21/$D$11</f>
        <v>1.1143770617530645E-2</v>
      </c>
      <c r="H21" s="795">
        <f>SUMIFS('B. Despesa'!$H$2:$H$1048576,'B. Despesa'!$I$2:$I$1048576,'Base Realizado'!H$5,'B. Despesa'!$K$2:$K$1048576,'Base Realizado'!$B21)</f>
        <v>-37427.25</v>
      </c>
      <c r="I21" s="832">
        <f>-H21/$D$11</f>
        <v>2.6919320837846913E-2</v>
      </c>
      <c r="J21" s="608"/>
      <c r="K21" s="810">
        <f>SUMIFS('B. Despesa'!$H$2:$H$1048576,'B. Despesa'!$I$2:$I$1048576,'Base Realizado'!K$5,'B. Despesa'!$K$2:$K$1048576,'Base Realizado'!$B21)</f>
        <v>0</v>
      </c>
      <c r="L21" s="832">
        <f>-K21/$D$11</f>
        <v>0</v>
      </c>
      <c r="M21" s="117">
        <f>SUMIFS('B. Despesa'!$H$2:$H$1048576,'B. Despesa'!$I$2:$I$1048576,'Base Realizado'!M$5,'B. Despesa'!$K$2:$K$1048576,'Base Realizado'!$B21)</f>
        <v>0</v>
      </c>
      <c r="N21" s="117">
        <f>SUMIFS('B. Despesa'!$H$2:$H$1048576,'B. Despesa'!$I$2:$I$1048576,'Base Realizado'!N$5,'B. Despesa'!$K$2:$K$1048576,'Base Realizado'!$B21)</f>
        <v>0</v>
      </c>
      <c r="O21" s="117">
        <f>SUMIFS('B. Despesa'!$H$2:$H$1048576,'B. Despesa'!$I$2:$I$1048576,'Base Realizado'!O$5,'B. Despesa'!$K$2:$K$1048576,'Base Realizado'!$B21)</f>
        <v>0</v>
      </c>
      <c r="P21" s="117">
        <f>SUMIFS('B. Despesa'!$H$2:$H$1048576,'B. Despesa'!$I$2:$I$1048576,'Base Realizado'!P$5,'B. Despesa'!$K$2:$K$1048576,'Base Realizado'!$B21)</f>
        <v>0</v>
      </c>
      <c r="Q21" s="117">
        <f>SUMIFS('B. Despesa'!$H$2:$H$1048576,'B. Despesa'!$I$2:$I$1048576,'Base Realizado'!Q$5,'B. Despesa'!$K$2:$K$1048576,'Base Realizado'!$B21)</f>
        <v>0</v>
      </c>
      <c r="R21" s="117">
        <f>SUMIFS('B. Despesa'!$H$2:$H$1048576,'B. Despesa'!$I$2:$I$1048576,'Base Realizado'!R$5,'B. Despesa'!$K$2:$K$1048576,'Base Realizado'!$B21)</f>
        <v>0</v>
      </c>
      <c r="S21" s="117">
        <f>SUMIFS('B. Despesa'!$H$2:$H$1048576,'B. Despesa'!$I$2:$I$1048576,'Base Realizado'!S$5,'B. Despesa'!$K$2:$K$1048576,'Base Realizado'!$B21)</f>
        <v>0</v>
      </c>
      <c r="T21" s="117">
        <f>SUMIFS('B. Despesa'!$H$2:$H$1048576,'B. Despesa'!$I$2:$I$1048576,'Base Realizado'!T$5,'B. Despesa'!$K$2:$K$1048576,'Base Realizado'!$B21)</f>
        <v>0</v>
      </c>
      <c r="U21" s="74"/>
      <c r="V21" s="117">
        <v>-1097133.7465799998</v>
      </c>
      <c r="W21" s="1"/>
      <c r="X21" s="119">
        <v>0.04</v>
      </c>
      <c r="AC21" s="389"/>
    </row>
    <row r="22" spans="2:29" ht="13.5" customHeight="1">
      <c r="B22" s="115" t="s">
        <v>2607</v>
      </c>
      <c r="C22" s="116" t="s">
        <v>72</v>
      </c>
      <c r="D22" s="117">
        <f>SUMIFS('B. Despesa'!$H$2:$H$1048576,'B. Despesa'!$I$2:$I$1048576,'Base Realizado'!D$5,'B. Despesa'!$K$2:$K$1048576,'Base Realizado'!$B22)</f>
        <v>-18007.73</v>
      </c>
      <c r="E22" s="832">
        <f t="shared" ref="E22:G23" si="9">-D22/$D$11</f>
        <v>1.2951949754024701E-2</v>
      </c>
      <c r="F22" s="117">
        <f>SUMIFS('B. Despesa'!$H$2:$H$1048576,'B. Despesa'!$I$2:$I$1048576,'Base Realizado'!F$5,'B. Despesa'!$K$2:$K$1048576,'Base Realizado'!$B22)</f>
        <v>-4877.08</v>
      </c>
      <c r="G22" s="832">
        <f t="shared" si="9"/>
        <v>3.5078099852873623E-3</v>
      </c>
      <c r="H22" s="795">
        <f>SUMIFS('B. Despesa'!$H$2:$H$1048576,'B. Despesa'!$I$2:$I$1048576,'Base Realizado'!H$5,'B. Despesa'!$K$2:$K$1048576,'Base Realizado'!$B22)</f>
        <v>-18490.919999999998</v>
      </c>
      <c r="I22" s="832">
        <f t="shared" ref="I22" si="10">-H22/$D$11</f>
        <v>1.3299481208663746E-2</v>
      </c>
      <c r="J22" s="608"/>
      <c r="K22" s="810">
        <f>SUMIFS('B. Despesa'!$H$2:$H$1048576,'B. Despesa'!$I$2:$I$1048576,'Base Realizado'!K$5,'B. Despesa'!$K$2:$K$1048576,'Base Realizado'!$B22)</f>
        <v>0</v>
      </c>
      <c r="L22" s="832">
        <f t="shared" ref="L22:L23" si="11">-K22/$D$11</f>
        <v>0</v>
      </c>
      <c r="M22" s="117">
        <f>SUMIFS('B. Despesa'!$H$2:$H$1048576,'B. Despesa'!$I$2:$I$1048576,'Base Realizado'!M$5,'B. Despesa'!$K$2:$K$1048576,'Base Realizado'!$B22)</f>
        <v>0</v>
      </c>
      <c r="N22" s="117">
        <f>SUMIFS('B. Despesa'!$H$2:$H$1048576,'B. Despesa'!$I$2:$I$1048576,'Base Realizado'!N$5,'B. Despesa'!$K$2:$K$1048576,'Base Realizado'!$B22)</f>
        <v>0</v>
      </c>
      <c r="O22" s="117">
        <f>SUMIFS('B. Despesa'!$H$2:$H$1048576,'B. Despesa'!$I$2:$I$1048576,'Base Realizado'!O$5,'B. Despesa'!$K$2:$K$1048576,'Base Realizado'!$B22)</f>
        <v>0</v>
      </c>
      <c r="P22" s="117">
        <f>SUMIFS('B. Despesa'!$H$2:$H$1048576,'B. Despesa'!$I$2:$I$1048576,'Base Realizado'!P$5,'B. Despesa'!$K$2:$K$1048576,'Base Realizado'!$B22)</f>
        <v>0</v>
      </c>
      <c r="Q22" s="117">
        <f>SUMIFS('B. Despesa'!$H$2:$H$1048576,'B. Despesa'!$I$2:$I$1048576,'Base Realizado'!Q$5,'B. Despesa'!$K$2:$K$1048576,'Base Realizado'!$B22)</f>
        <v>0</v>
      </c>
      <c r="R22" s="117">
        <f>SUMIFS('B. Despesa'!$H$2:$H$1048576,'B. Despesa'!$I$2:$I$1048576,'Base Realizado'!R$5,'B. Despesa'!$K$2:$K$1048576,'Base Realizado'!$B22)</f>
        <v>0</v>
      </c>
      <c r="S22" s="117">
        <f>SUMIFS('B. Despesa'!$H$2:$H$1048576,'B. Despesa'!$I$2:$I$1048576,'Base Realizado'!S$5,'B. Despesa'!$K$2:$K$1048576,'Base Realizado'!$B22)</f>
        <v>0</v>
      </c>
      <c r="T22" s="117">
        <f>SUMIFS('B. Despesa'!$H$2:$H$1048576,'B. Despesa'!$I$2:$I$1048576,'Base Realizado'!T$5,'B. Despesa'!$K$2:$K$1048576,'Base Realizado'!$B22)</f>
        <v>0</v>
      </c>
      <c r="U22" s="74"/>
      <c r="V22" s="117">
        <v>-822850.30993500014</v>
      </c>
      <c r="W22" s="1"/>
      <c r="X22" s="119">
        <v>0.03</v>
      </c>
      <c r="AC22" s="389"/>
    </row>
    <row r="23" spans="2:29" ht="13.5" customHeight="1">
      <c r="B23" s="115" t="s">
        <v>73</v>
      </c>
      <c r="C23" s="116" t="s">
        <v>74</v>
      </c>
      <c r="D23" s="117">
        <f>SUMIFS('B. Despesa'!$H$2:$H$1048576,'B. Despesa'!$I$2:$I$1048576,'Base Realizado'!D$5,'B. Despesa'!$K$2:$K$1048576,'Base Realizado'!$B23)</f>
        <v>-21876.45</v>
      </c>
      <c r="E23" s="832">
        <f t="shared" si="9"/>
        <v>1.5734502971581299E-2</v>
      </c>
      <c r="F23" s="117">
        <f>SUMIFS('B. Despesa'!$H$2:$H$1048576,'B. Despesa'!$I$2:$I$1048576,'Base Realizado'!F$5,'B. Despesa'!$K$2:$K$1048576,'Base Realizado'!$B23)</f>
        <v>-1056</v>
      </c>
      <c r="G23" s="832">
        <f t="shared" si="9"/>
        <v>7.5952154659416173E-4</v>
      </c>
      <c r="H23" s="795">
        <f>SUMIFS('B. Despesa'!$H$2:$H$1048576,'B. Despesa'!$I$2:$I$1048576,'Base Realizado'!H$5,'B. Despesa'!$K$2:$K$1048576,'Base Realizado'!$B23)</f>
        <v>-4006.37</v>
      </c>
      <c r="I23" s="832">
        <f t="shared" ref="I23" si="12">-H23/$D$11</f>
        <v>2.8815571388527005E-3</v>
      </c>
      <c r="J23" s="608"/>
      <c r="K23" s="810">
        <f>SUMIFS('B. Despesa'!$H$2:$H$1048576,'B. Despesa'!$I$2:$I$1048576,'Base Realizado'!K$5,'B. Despesa'!$K$2:$K$1048576,'Base Realizado'!$B23)</f>
        <v>0</v>
      </c>
      <c r="L23" s="832">
        <f t="shared" si="11"/>
        <v>0</v>
      </c>
      <c r="M23" s="117">
        <f>SUMIFS('B. Despesa'!$H$2:$H$1048576,'B. Despesa'!$I$2:$I$1048576,'Base Realizado'!M$5,'B. Despesa'!$K$2:$K$1048576,'Base Realizado'!$B23)</f>
        <v>0</v>
      </c>
      <c r="N23" s="117">
        <f>SUMIFS('B. Despesa'!$H$2:$H$1048576,'B. Despesa'!$I$2:$I$1048576,'Base Realizado'!N$5,'B. Despesa'!$K$2:$K$1048576,'Base Realizado'!$B23)</f>
        <v>0</v>
      </c>
      <c r="O23" s="117">
        <f>SUMIFS('B. Despesa'!$H$2:$H$1048576,'B. Despesa'!$I$2:$I$1048576,'Base Realizado'!O$5,'B. Despesa'!$K$2:$K$1048576,'Base Realizado'!$B23)</f>
        <v>0</v>
      </c>
      <c r="P23" s="117">
        <f>SUMIFS('B. Despesa'!$H$2:$H$1048576,'B. Despesa'!$I$2:$I$1048576,'Base Realizado'!P$5,'B. Despesa'!$K$2:$K$1048576,'Base Realizado'!$B23)</f>
        <v>0</v>
      </c>
      <c r="Q23" s="117">
        <f>SUMIFS('B. Despesa'!$H$2:$H$1048576,'B. Despesa'!$I$2:$I$1048576,'Base Realizado'!Q$5,'B. Despesa'!$K$2:$K$1048576,'Base Realizado'!$B23)</f>
        <v>0</v>
      </c>
      <c r="R23" s="117">
        <f>SUMIFS('B. Despesa'!$H$2:$H$1048576,'B. Despesa'!$I$2:$I$1048576,'Base Realizado'!R$5,'B. Despesa'!$K$2:$K$1048576,'Base Realizado'!$B23)</f>
        <v>0</v>
      </c>
      <c r="S23" s="117">
        <f>SUMIFS('B. Despesa'!$H$2:$H$1048576,'B. Despesa'!$I$2:$I$1048576,'Base Realizado'!S$5,'B. Despesa'!$K$2:$K$1048576,'Base Realizado'!$B23)</f>
        <v>0</v>
      </c>
      <c r="T23" s="117">
        <f>SUMIFS('B. Despesa'!$H$2:$H$1048576,'B. Despesa'!$I$2:$I$1048576,'Base Realizado'!T$5,'B. Despesa'!$K$2:$K$1048576,'Base Realizado'!$B23)</f>
        <v>0</v>
      </c>
      <c r="U23" s="74"/>
      <c r="V23" s="117">
        <v>-178284.23381924996</v>
      </c>
      <c r="W23" s="1"/>
      <c r="X23" s="119">
        <v>6.4999999999999997E-3</v>
      </c>
      <c r="AC23" s="389"/>
    </row>
    <row r="24" spans="2:29" ht="20.25" hidden="1">
      <c r="B24" s="687" t="s">
        <v>682</v>
      </c>
      <c r="C24" s="116" t="s">
        <v>76</v>
      </c>
      <c r="D24" s="117">
        <f>SUMIFS('B. Despesa'!$H$2:$H$1048576,'B. Despesa'!$I$2:$I$1048576,'Base Realizado'!D$5,'B. Despesa'!$K$2:$K$1048576,'Base Realizado'!$B24)</f>
        <v>0</v>
      </c>
      <c r="E24" s="117"/>
      <c r="F24" s="117">
        <f>SUMIFS('B. Despesa'!$H$2:$H$1048576,'B. Despesa'!$I$2:$I$1048576,'Base Realizado'!F$5,'B. Despesa'!$K$2:$K$1048576,'Base Realizado'!$B24)</f>
        <v>0</v>
      </c>
      <c r="G24" s="795"/>
      <c r="H24" s="797">
        <f>SUMIFS('B. Despesa'!$H$2:$H$1048576,'B. Despesa'!$I$2:$I$1048576,'Base Realizado'!H$5,'B. Despesa'!$K$2:$K$1048576,'Base Realizado'!$B24)</f>
        <v>0</v>
      </c>
      <c r="I24" s="795"/>
      <c r="J24" s="608"/>
      <c r="K24" s="812">
        <f>SUMIFS('B. Despesa'!$H$2:$H$1048576,'B. Despesa'!$I$2:$I$1048576,'Base Realizado'!K$5,'B. Despesa'!$K$2:$K$1048576,'Base Realizado'!$B24)</f>
        <v>0</v>
      </c>
      <c r="L24" s="795"/>
      <c r="M24" s="488">
        <f>SUMIFS('B. Despesa'!$H$2:$H$1048576,'B. Despesa'!$I$2:$I$1048576,'Base Realizado'!M$5,'B. Despesa'!$K$2:$K$1048576,'Base Realizado'!$B24)</f>
        <v>0</v>
      </c>
      <c r="N24" s="488">
        <f>SUMIFS('B. Despesa'!$H$2:$H$1048576,'B. Despesa'!$I$2:$I$1048576,'Base Realizado'!N$5,'B. Despesa'!$K$2:$K$1048576,'Base Realizado'!$B24)</f>
        <v>0</v>
      </c>
      <c r="O24" s="488">
        <f>SUMIFS('B. Despesa'!$H$2:$H$1048576,'B. Despesa'!$I$2:$I$1048576,'Base Realizado'!O$5,'B. Despesa'!$K$2:$K$1048576,'Base Realizado'!$B24)</f>
        <v>0</v>
      </c>
      <c r="P24" s="488">
        <f>SUMIFS('B. Despesa'!$H$2:$H$1048576,'B. Despesa'!$I$2:$I$1048576,'Base Realizado'!P$5,'B. Despesa'!$K$2:$K$1048576,'Base Realizado'!$B24)</f>
        <v>0</v>
      </c>
      <c r="Q24" s="488">
        <f>SUMIFS('B. Despesa'!$H$2:$H$1048576,'B. Despesa'!$I$2:$I$1048576,'Base Realizado'!Q$5,'B. Despesa'!$K$2:$K$1048576,'Base Realizado'!$B24)</f>
        <v>0</v>
      </c>
      <c r="R24" s="488">
        <f>SUMIFS('B. Despesa'!$H$2:$H$1048576,'B. Despesa'!$I$2:$I$1048576,'Base Realizado'!R$5,'B. Despesa'!$K$2:$K$1048576,'Base Realizado'!$B24)</f>
        <v>0</v>
      </c>
      <c r="S24" s="488">
        <f>SUMIFS('B. Despesa'!$H$2:$H$1048576,'B. Despesa'!$I$2:$I$1048576,'Base Realizado'!S$5,'B. Despesa'!$K$2:$K$1048576,'Base Realizado'!$B24)</f>
        <v>0</v>
      </c>
      <c r="T24" s="488">
        <f>SUMIFS('B. Despesa'!$H$2:$H$1048576,'B. Despesa'!$I$2:$I$1048576,'Base Realizado'!T$5,'B. Despesa'!$K$2:$K$1048576,'Base Realizado'!$B24)</f>
        <v>0</v>
      </c>
      <c r="U24" s="74"/>
      <c r="V24" s="117">
        <v>0</v>
      </c>
      <c r="W24" s="1"/>
      <c r="X24" s="134">
        <v>0</v>
      </c>
      <c r="Y24" s="1"/>
    </row>
    <row r="25" spans="2:29" ht="20.25" hidden="1">
      <c r="B25" s="135" t="s">
        <v>77</v>
      </c>
      <c r="C25" s="136" t="s">
        <v>81</v>
      </c>
      <c r="D25" s="117">
        <v>0</v>
      </c>
      <c r="E25" s="117"/>
      <c r="F25" s="117">
        <v>0</v>
      </c>
      <c r="G25" s="795"/>
      <c r="H25" s="795">
        <v>0</v>
      </c>
      <c r="I25" s="795"/>
      <c r="J25" s="608"/>
      <c r="K25" s="810">
        <v>0</v>
      </c>
      <c r="L25" s="795"/>
      <c r="M25" s="117">
        <v>0</v>
      </c>
      <c r="N25" s="117">
        <v>0</v>
      </c>
      <c r="O25" s="117">
        <v>0</v>
      </c>
      <c r="P25" s="117">
        <v>0</v>
      </c>
      <c r="Q25" s="117">
        <v>0</v>
      </c>
      <c r="R25" s="117">
        <v>0</v>
      </c>
      <c r="S25" s="117">
        <v>0</v>
      </c>
      <c r="T25" s="117">
        <v>0</v>
      </c>
      <c r="U25" s="74"/>
      <c r="V25" s="117">
        <v>0</v>
      </c>
      <c r="W25" s="1"/>
      <c r="X25" s="137">
        <v>0</v>
      </c>
      <c r="Y25" s="138"/>
    </row>
    <row r="26" spans="2:29" ht="20.25" hidden="1">
      <c r="B26" s="139" t="s">
        <v>82</v>
      </c>
      <c r="C26" s="140" t="s">
        <v>83</v>
      </c>
      <c r="D26" s="141">
        <v>0</v>
      </c>
      <c r="E26" s="141"/>
      <c r="F26" s="141">
        <v>0</v>
      </c>
      <c r="G26" s="798"/>
      <c r="H26" s="798">
        <v>0</v>
      </c>
      <c r="I26" s="798"/>
      <c r="J26" s="608"/>
      <c r="K26" s="813">
        <v>0</v>
      </c>
      <c r="L26" s="798"/>
      <c r="M26" s="141">
        <v>0</v>
      </c>
      <c r="N26" s="141">
        <v>0</v>
      </c>
      <c r="O26" s="141">
        <v>0</v>
      </c>
      <c r="P26" s="141">
        <v>0</v>
      </c>
      <c r="Q26" s="141">
        <v>0</v>
      </c>
      <c r="R26" s="141">
        <v>0</v>
      </c>
      <c r="S26" s="141">
        <v>0</v>
      </c>
      <c r="T26" s="141">
        <v>0</v>
      </c>
      <c r="U26" s="74"/>
      <c r="V26" s="141">
        <v>0</v>
      </c>
      <c r="W26" s="1"/>
      <c r="X26" s="142">
        <v>0</v>
      </c>
      <c r="Y26" s="1"/>
    </row>
    <row r="27" spans="2:29" ht="4.5" customHeight="1">
      <c r="B27" s="87"/>
      <c r="C27" s="125"/>
      <c r="D27" s="88"/>
      <c r="E27" s="88"/>
      <c r="F27" s="88"/>
      <c r="G27" s="88"/>
      <c r="H27" s="787"/>
      <c r="I27" s="88"/>
      <c r="J27" s="787"/>
      <c r="K27" s="787"/>
      <c r="L27" s="88"/>
      <c r="M27" s="88"/>
      <c r="N27" s="88"/>
      <c r="O27" s="88"/>
      <c r="P27" s="88"/>
      <c r="Q27" s="88"/>
      <c r="R27" s="88"/>
      <c r="S27" s="88"/>
      <c r="T27" s="88"/>
      <c r="U27" s="74"/>
      <c r="V27" s="101"/>
      <c r="W27" s="1"/>
      <c r="X27" s="107"/>
      <c r="Y27" s="99"/>
    </row>
    <row r="28" spans="2:29" ht="13.5" customHeight="1">
      <c r="B28" s="349" t="s">
        <v>84</v>
      </c>
      <c r="C28" s="344"/>
      <c r="D28" s="345">
        <f>SUM(D29:D42)</f>
        <v>-600857.50000000012</v>
      </c>
      <c r="E28" s="345"/>
      <c r="F28" s="345">
        <f>SUM(F29:F42)</f>
        <v>-527469.52310000011</v>
      </c>
      <c r="G28" s="792"/>
      <c r="H28" s="792">
        <f>SUM(H29:H42)</f>
        <v>-649970.12690000003</v>
      </c>
      <c r="I28" s="792"/>
      <c r="J28" s="823"/>
      <c r="K28" s="808">
        <f>SUM(K29:K41)</f>
        <v>-895627.39400000009</v>
      </c>
      <c r="L28" s="792"/>
      <c r="M28" s="345">
        <f t="shared" ref="M28:T28" si="13">SUM(M29:M39)</f>
        <v>0</v>
      </c>
      <c r="N28" s="345">
        <f t="shared" si="13"/>
        <v>0</v>
      </c>
      <c r="O28" s="345">
        <f t="shared" si="13"/>
        <v>0</v>
      </c>
      <c r="P28" s="345">
        <f t="shared" si="13"/>
        <v>0</v>
      </c>
      <c r="Q28" s="345">
        <f t="shared" si="13"/>
        <v>0</v>
      </c>
      <c r="R28" s="345">
        <f t="shared" si="13"/>
        <v>0</v>
      </c>
      <c r="S28" s="345">
        <f t="shared" si="13"/>
        <v>0</v>
      </c>
      <c r="T28" s="345">
        <f t="shared" si="13"/>
        <v>0</v>
      </c>
      <c r="U28" s="74"/>
      <c r="V28" s="345">
        <v>-8105624.1197330412</v>
      </c>
      <c r="W28" s="1"/>
      <c r="X28" s="350">
        <f>SUM(X29:X42)</f>
        <v>1.0000000000000002</v>
      </c>
      <c r="Y28" s="351">
        <v>1</v>
      </c>
      <c r="Z28" s="351">
        <f>X28-Y28</f>
        <v>0</v>
      </c>
    </row>
    <row r="29" spans="2:29" ht="13.5" customHeight="1" outlineLevel="1">
      <c r="B29" s="144" t="s">
        <v>435</v>
      </c>
      <c r="C29" s="145" t="s">
        <v>85</v>
      </c>
      <c r="D29" s="488">
        <f>SUMIFS('B. Despesa'!$H$2:$H$1048576,'B. Despesa'!$I$2:$I$1048576,'Base Realizado'!D$5,'B. Despesa'!$K$2:$K$1048576,'Base Realizado'!$B29)</f>
        <v>-170454.81</v>
      </c>
      <c r="E29" s="832">
        <f>-D29/D$11</f>
        <v>0.12259858041251324</v>
      </c>
      <c r="F29" s="488">
        <f>SUMIFS('B. Despesa'!$H$2:$H$1048576,'B. Despesa'!$I$2:$I$1048576,'Base Realizado'!F$5,'B. Despesa'!$K$2:$K$1048576,'Base Realizado'!$B29)</f>
        <v>-165532.60000000003</v>
      </c>
      <c r="G29" s="832">
        <f>-F29/F$11</f>
        <v>0.10829358563870482</v>
      </c>
      <c r="H29" s="797">
        <f>SUMIFS('B. Despesa'!$H$2:$H$1048576,'B. Despesa'!$I$2:$I$1048576,'Base Realizado'!H$5,'B. Despesa'!$K$2:$K$1048576,'Base Realizado'!$B29)</f>
        <v>-246904.36000000002</v>
      </c>
      <c r="I29" s="832">
        <f>-H29/H$11</f>
        <v>0.10104384953361906</v>
      </c>
      <c r="J29" s="608"/>
      <c r="K29" s="812">
        <f>SUMIFS('B. Despesa'!$H$2:$H$1048576,'B. Despesa'!$I$2:$I$1048576,'Base Realizado'!K$5,'B. Despesa'!$K$2:$K$1048576,'Base Realizado'!$B29)</f>
        <v>-214044.67</v>
      </c>
      <c r="L29" s="832">
        <f>-K29/K$11</f>
        <v>9.2872730163566758E-2</v>
      </c>
      <c r="M29" s="488">
        <f>SUMIFS('B. Despesa'!$H$2:$H$1048576,'B. Despesa'!$I$2:$I$1048576,'Base Realizado'!M$5,'B. Despesa'!$K$2:$K$1048576,'Base Realizado'!$B29)</f>
        <v>0</v>
      </c>
      <c r="N29" s="488">
        <f>SUMIFS('B. Despesa'!$H$2:$H$1048576,'B. Despesa'!$I$2:$I$1048576,'Base Realizado'!N$5,'B. Despesa'!$K$2:$K$1048576,'Base Realizado'!$B29)</f>
        <v>0</v>
      </c>
      <c r="O29" s="488">
        <f>SUMIFS('B. Despesa'!$H$2:$H$1048576,'B. Despesa'!$I$2:$I$1048576,'Base Realizado'!O$5,'B. Despesa'!$K$2:$K$1048576,'Base Realizado'!$B29)</f>
        <v>0</v>
      </c>
      <c r="P29" s="488">
        <f>SUMIFS('B. Despesa'!$H$2:$H$1048576,'B. Despesa'!$I$2:$I$1048576,'Base Realizado'!P$5,'B. Despesa'!$K$2:$K$1048576,'Base Realizado'!$B29)</f>
        <v>0</v>
      </c>
      <c r="Q29" s="488">
        <f>SUMIFS('B. Despesa'!$H$2:$H$1048576,'B. Despesa'!$I$2:$I$1048576,'Base Realizado'!Q$5,'B. Despesa'!$K$2:$K$1048576,'Base Realizado'!$B29)</f>
        <v>0</v>
      </c>
      <c r="R29" s="488">
        <f>SUMIFS('B. Despesa'!$H$2:$H$1048576,'B. Despesa'!$I$2:$I$1048576,'Base Realizado'!R$5,'B. Despesa'!$K$2:$K$1048576,'Base Realizado'!$B29)</f>
        <v>0</v>
      </c>
      <c r="S29" s="488">
        <f>SUMIFS('B. Despesa'!$H$2:$H$1048576,'B. Despesa'!$I$2:$I$1048576,'Base Realizado'!S$5,'B. Despesa'!$K$2:$K$1048576,'Base Realizado'!$B29)</f>
        <v>0</v>
      </c>
      <c r="T29" s="488">
        <f>SUMIFS('B. Despesa'!$H$2:$H$1048576,'B. Despesa'!$I$2:$I$1048576,'Base Realizado'!T$5,'B. Despesa'!$K$2:$K$1048576,'Base Realizado'!$B29)</f>
        <v>0</v>
      </c>
      <c r="U29" s="74"/>
      <c r="V29" s="129">
        <v>-4052812.0598665201</v>
      </c>
      <c r="W29" s="1"/>
      <c r="X29" s="131">
        <v>0.5</v>
      </c>
      <c r="Y29" s="1"/>
    </row>
    <row r="30" spans="2:29" ht="13.5" customHeight="1" outlineLevel="1">
      <c r="B30" s="146" t="s">
        <v>32</v>
      </c>
      <c r="C30" s="147" t="s">
        <v>86</v>
      </c>
      <c r="D30" s="488">
        <f>SUMIFS('B. Despesa'!$H$2:$H$1048576,'B. Despesa'!$I$2:$I$1048576,'Base Realizado'!D$5,'B. Despesa'!$K$2:$K$1048576,'Base Realizado'!$B30)</f>
        <v>-50395.560000000005</v>
      </c>
      <c r="E30" s="832">
        <f t="shared" ref="E30:G40" si="14">-D30/D$11</f>
        <v>3.6246698553673184E-2</v>
      </c>
      <c r="F30" s="488">
        <f>SUMIFS('B. Despesa'!$H$2:$H$1048576,'B. Despesa'!$I$2:$I$1048576,'Base Realizado'!F$5,'B. Despesa'!$K$2:$K$1048576,'Base Realizado'!$B30)</f>
        <v>-22595.170000000002</v>
      </c>
      <c r="G30" s="832">
        <f t="shared" si="14"/>
        <v>1.4782054878713279E-2</v>
      </c>
      <c r="H30" s="797">
        <f>SUMIFS('B. Despesa'!$H$2:$H$1048576,'B. Despesa'!$I$2:$I$1048576,'Base Realizado'!H$5,'B. Despesa'!$K$2:$K$1048576,'Base Realizado'!$B30)</f>
        <v>-57214.49</v>
      </c>
      <c r="I30" s="832">
        <f t="shared" ref="I30" si="15">-H30/H$11</f>
        <v>2.3414622239569811E-2</v>
      </c>
      <c r="J30" s="608"/>
      <c r="K30" s="812">
        <f>SUMIFS('B. Despesa'!$H$2:$H$1048576,'B. Despesa'!$I$2:$I$1048576,'Base Realizado'!K$5,'B. Despesa'!$K$2:$K$1048576,'Base Realizado'!$B30)</f>
        <v>-55787.579999999994</v>
      </c>
      <c r="L30" s="832">
        <f t="shared" ref="L30:L40" si="16">-K30/K$11</f>
        <v>2.4205904607754975E-2</v>
      </c>
      <c r="M30" s="488">
        <f>SUMIFS('B. Despesa'!$H$2:$H$1048576,'B. Despesa'!$I$2:$I$1048576,'Base Realizado'!M$5,'B. Despesa'!$K$2:$K$1048576,'Base Realizado'!$B30)</f>
        <v>0</v>
      </c>
      <c r="N30" s="488">
        <f>SUMIFS('B. Despesa'!$H$2:$H$1048576,'B. Despesa'!$I$2:$I$1048576,'Base Realizado'!N$5,'B. Despesa'!$K$2:$K$1048576,'Base Realizado'!$B30)</f>
        <v>0</v>
      </c>
      <c r="O30" s="488">
        <f>SUMIFS('B. Despesa'!$H$2:$H$1048576,'B. Despesa'!$I$2:$I$1048576,'Base Realizado'!O$5,'B. Despesa'!$K$2:$K$1048576,'Base Realizado'!$B30)</f>
        <v>0</v>
      </c>
      <c r="P30" s="488">
        <f>SUMIFS('B. Despesa'!$H$2:$H$1048576,'B. Despesa'!$I$2:$I$1048576,'Base Realizado'!P$5,'B. Despesa'!$K$2:$K$1048576,'Base Realizado'!$B30)</f>
        <v>0</v>
      </c>
      <c r="Q30" s="488">
        <f>SUMIFS('B. Despesa'!$H$2:$H$1048576,'B. Despesa'!$I$2:$I$1048576,'Base Realizado'!Q$5,'B. Despesa'!$K$2:$K$1048576,'Base Realizado'!$B30)</f>
        <v>0</v>
      </c>
      <c r="R30" s="488">
        <f>SUMIFS('B. Despesa'!$H$2:$H$1048576,'B. Despesa'!$I$2:$I$1048576,'Base Realizado'!R$5,'B. Despesa'!$K$2:$K$1048576,'Base Realizado'!$B30)</f>
        <v>0</v>
      </c>
      <c r="S30" s="488">
        <f>SUMIFS('B. Despesa'!$H$2:$H$1048576,'B. Despesa'!$I$2:$I$1048576,'Base Realizado'!S$5,'B. Despesa'!$K$2:$K$1048576,'Base Realizado'!$B30)</f>
        <v>0</v>
      </c>
      <c r="T30" s="488">
        <f>SUMIFS('B. Despesa'!$H$2:$H$1048576,'B. Despesa'!$I$2:$I$1048576,'Base Realizado'!T$5,'B. Despesa'!$K$2:$K$1048576,'Base Realizado'!$B30)</f>
        <v>0</v>
      </c>
      <c r="U30" s="74"/>
      <c r="V30" s="117">
        <v>-405281.20598665206</v>
      </c>
      <c r="W30" s="1"/>
      <c r="X30" s="134">
        <v>0.05</v>
      </c>
      <c r="Y30" s="1"/>
    </row>
    <row r="31" spans="2:29" ht="13.5" customHeight="1" outlineLevel="1">
      <c r="B31" s="146" t="s">
        <v>28</v>
      </c>
      <c r="C31" s="147" t="s">
        <v>87</v>
      </c>
      <c r="D31" s="488">
        <f>SUMIFS('B. Despesa'!$H$2:$H$1048576,'B. Despesa'!$I$2:$I$1048576,'Base Realizado'!D$5,'B. Despesa'!$K$2:$K$1048576,'Base Realizado'!$B31)</f>
        <v>-44553.570000000007</v>
      </c>
      <c r="E31" s="832">
        <f t="shared" si="14"/>
        <v>3.2044882947624295E-2</v>
      </c>
      <c r="F31" s="488">
        <f>SUMIFS('B. Despesa'!$H$2:$H$1048576,'B. Despesa'!$I$2:$I$1048576,'Base Realizado'!F$5,'B. Despesa'!$K$2:$K$1048576,'Base Realizado'!$B31)</f>
        <v>-104825.13999999998</v>
      </c>
      <c r="G31" s="832">
        <f t="shared" si="14"/>
        <v>6.8577973617759996E-2</v>
      </c>
      <c r="H31" s="797">
        <f>SUMIFS('B. Despesa'!$H$2:$H$1048576,'B. Despesa'!$I$2:$I$1048576,'Base Realizado'!H$5,'B. Despesa'!$K$2:$K$1048576,'Base Realizado'!$B31)</f>
        <v>-92357.05</v>
      </c>
      <c r="I31" s="832">
        <f t="shared" ref="I31" si="17">-H31/H$11</f>
        <v>3.77964644430294E-2</v>
      </c>
      <c r="J31" s="608"/>
      <c r="K31" s="812">
        <f>SUMIFS('B. Despesa'!$H$2:$H$1048576,'B. Despesa'!$I$2:$I$1048576,'Base Realizado'!K$5,'B. Despesa'!$K$2:$K$1048576,'Base Realizado'!$B31)</f>
        <v>-72805.930000000008</v>
      </c>
      <c r="L31" s="832">
        <f t="shared" si="16"/>
        <v>3.1590067116352538E-2</v>
      </c>
      <c r="M31" s="488">
        <f>SUMIFS('B. Despesa'!$H$2:$H$1048576,'B. Despesa'!$I$2:$I$1048576,'Base Realizado'!M$5,'B. Despesa'!$K$2:$K$1048576,'Base Realizado'!$B31)</f>
        <v>0</v>
      </c>
      <c r="N31" s="488">
        <f>SUMIFS('B. Despesa'!$H$2:$H$1048576,'B. Despesa'!$I$2:$I$1048576,'Base Realizado'!N$5,'B. Despesa'!$K$2:$K$1048576,'Base Realizado'!$B31)</f>
        <v>0</v>
      </c>
      <c r="O31" s="488">
        <f>SUMIFS('B. Despesa'!$H$2:$H$1048576,'B. Despesa'!$I$2:$I$1048576,'Base Realizado'!O$5,'B. Despesa'!$K$2:$K$1048576,'Base Realizado'!$B31)</f>
        <v>0</v>
      </c>
      <c r="P31" s="488">
        <f>SUMIFS('B. Despesa'!$H$2:$H$1048576,'B. Despesa'!$I$2:$I$1048576,'Base Realizado'!P$5,'B. Despesa'!$K$2:$K$1048576,'Base Realizado'!$B31)</f>
        <v>0</v>
      </c>
      <c r="Q31" s="488">
        <f>SUMIFS('B. Despesa'!$H$2:$H$1048576,'B. Despesa'!$I$2:$I$1048576,'Base Realizado'!Q$5,'B. Despesa'!$K$2:$K$1048576,'Base Realizado'!$B31)</f>
        <v>0</v>
      </c>
      <c r="R31" s="488">
        <f>SUMIFS('B. Despesa'!$H$2:$H$1048576,'B. Despesa'!$I$2:$I$1048576,'Base Realizado'!R$5,'B. Despesa'!$K$2:$K$1048576,'Base Realizado'!$B31)</f>
        <v>0</v>
      </c>
      <c r="S31" s="488">
        <f>SUMIFS('B. Despesa'!$H$2:$H$1048576,'B. Despesa'!$I$2:$I$1048576,'Base Realizado'!S$5,'B. Despesa'!$K$2:$K$1048576,'Base Realizado'!$B31)</f>
        <v>0</v>
      </c>
      <c r="T31" s="488">
        <f>SUMIFS('B. Despesa'!$H$2:$H$1048576,'B. Despesa'!$I$2:$I$1048576,'Base Realizado'!T$5,'B. Despesa'!$K$2:$K$1048576,'Base Realizado'!$B31)</f>
        <v>0</v>
      </c>
      <c r="U31" s="74"/>
      <c r="V31" s="117">
        <v>-1215843.6179599559</v>
      </c>
      <c r="W31" s="1"/>
      <c r="X31" s="134">
        <v>0.15</v>
      </c>
      <c r="Y31" s="1"/>
    </row>
    <row r="32" spans="2:29" ht="13.5" customHeight="1" outlineLevel="1">
      <c r="B32" s="146" t="s">
        <v>29</v>
      </c>
      <c r="C32" s="147" t="s">
        <v>88</v>
      </c>
      <c r="D32" s="488">
        <f>SUMIFS('B. Despesa'!$H$2:$H$1048576,'B. Despesa'!$I$2:$I$1048576,'Base Realizado'!D$5,'B. Despesa'!$K$2:$K$1048576,'Base Realizado'!$B32)</f>
        <v>-76401.53</v>
      </c>
      <c r="E32" s="832">
        <f t="shared" si="14"/>
        <v>5.4951333549015387E-2</v>
      </c>
      <c r="F32" s="488">
        <f>SUMIFS('B. Despesa'!$H$2:$H$1048576,'B. Despesa'!$I$2:$I$1048576,'Base Realizado'!F$5,'B. Despesa'!$K$2:$K$1048576,'Base Realizado'!$B32)</f>
        <v>-73589.02</v>
      </c>
      <c r="G32" s="832">
        <f t="shared" si="14"/>
        <v>4.8142896561996613E-2</v>
      </c>
      <c r="H32" s="797">
        <f>SUMIFS('B. Despesa'!$H$2:$H$1048576,'B. Despesa'!$I$2:$I$1048576,'Base Realizado'!H$5,'B. Despesa'!$K$2:$K$1048576,'Base Realizado'!$B32)</f>
        <v>-79703.100000000006</v>
      </c>
      <c r="I32" s="832">
        <f t="shared" ref="I32" si="18">-H32/H$11</f>
        <v>3.2617925595817721E-2</v>
      </c>
      <c r="J32" s="608"/>
      <c r="K32" s="812">
        <f>SUMIFS('B. Despesa'!$H$2:$H$1048576,'B. Despesa'!$I$2:$I$1048576,'Base Realizado'!K$5,'B. Despesa'!$K$2:$K$1048576,'Base Realizado'!$B32)</f>
        <v>-88635.83</v>
      </c>
      <c r="L32" s="832">
        <f t="shared" si="16"/>
        <v>3.84585681223166E-2</v>
      </c>
      <c r="M32" s="488">
        <f>SUMIFS('B. Despesa'!$H$2:$H$1048576,'B. Despesa'!$I$2:$I$1048576,'Base Realizado'!M$5,'B. Despesa'!$K$2:$K$1048576,'Base Realizado'!$B32)</f>
        <v>0</v>
      </c>
      <c r="N32" s="488">
        <f>SUMIFS('B. Despesa'!$H$2:$H$1048576,'B. Despesa'!$I$2:$I$1048576,'Base Realizado'!N$5,'B. Despesa'!$K$2:$K$1048576,'Base Realizado'!$B32)</f>
        <v>0</v>
      </c>
      <c r="O32" s="488">
        <f>SUMIFS('B. Despesa'!$H$2:$H$1048576,'B. Despesa'!$I$2:$I$1048576,'Base Realizado'!O$5,'B. Despesa'!$K$2:$K$1048576,'Base Realizado'!$B32)</f>
        <v>0</v>
      </c>
      <c r="P32" s="488">
        <f>SUMIFS('B. Despesa'!$H$2:$H$1048576,'B. Despesa'!$I$2:$I$1048576,'Base Realizado'!P$5,'B. Despesa'!$K$2:$K$1048576,'Base Realizado'!$B32)</f>
        <v>0</v>
      </c>
      <c r="Q32" s="488">
        <f>SUMIFS('B. Despesa'!$H$2:$H$1048576,'B. Despesa'!$I$2:$I$1048576,'Base Realizado'!Q$5,'B. Despesa'!$K$2:$K$1048576,'Base Realizado'!$B32)</f>
        <v>0</v>
      </c>
      <c r="R32" s="488">
        <f>SUMIFS('B. Despesa'!$H$2:$H$1048576,'B. Despesa'!$I$2:$I$1048576,'Base Realizado'!R$5,'B. Despesa'!$K$2:$K$1048576,'Base Realizado'!$B32)</f>
        <v>0</v>
      </c>
      <c r="S32" s="488">
        <f>SUMIFS('B. Despesa'!$H$2:$H$1048576,'B. Despesa'!$I$2:$I$1048576,'Base Realizado'!S$5,'B. Despesa'!$K$2:$K$1048576,'Base Realizado'!$B32)</f>
        <v>0</v>
      </c>
      <c r="T32" s="488">
        <f>SUMIFS('B. Despesa'!$H$2:$H$1048576,'B. Despesa'!$I$2:$I$1048576,'Base Realizado'!T$5,'B. Despesa'!$K$2:$K$1048576,'Base Realizado'!$B32)</f>
        <v>0</v>
      </c>
      <c r="U32" s="74"/>
      <c r="V32" s="117">
        <v>-405281.20598665206</v>
      </c>
      <c r="W32" s="1"/>
      <c r="X32" s="134">
        <v>0.05</v>
      </c>
    </row>
    <row r="33" spans="2:30" ht="13.5" customHeight="1" outlineLevel="1">
      <c r="B33" s="146" t="s">
        <v>31</v>
      </c>
      <c r="C33" s="147" t="s">
        <v>89</v>
      </c>
      <c r="D33" s="488">
        <f>SUMIFS('B. Despesa'!$H$2:$H$1048576,'B. Despesa'!$I$2:$I$1048576,'Base Realizado'!D$5,'B. Despesa'!$K$2:$K$1048576,'Base Realizado'!$B33)</f>
        <v>-20668.660000000003</v>
      </c>
      <c r="E33" s="832">
        <f t="shared" si="14"/>
        <v>1.4865807395103117E-2</v>
      </c>
      <c r="F33" s="488">
        <f>SUMIFS('B. Despesa'!$H$2:$H$1048576,'B. Despesa'!$I$2:$I$1048576,'Base Realizado'!F$5,'B. Despesa'!$K$2:$K$1048576,'Base Realizado'!$B33)</f>
        <v>-26438.809999999998</v>
      </c>
      <c r="G33" s="832">
        <f t="shared" si="14"/>
        <v>1.7296614291809859E-2</v>
      </c>
      <c r="H33" s="797">
        <f>SUMIFS('B. Despesa'!$H$2:$H$1048576,'B. Despesa'!$I$2:$I$1048576,'Base Realizado'!H$5,'B. Despesa'!$K$2:$K$1048576,'Base Realizado'!$B33)</f>
        <v>-40716.029999999992</v>
      </c>
      <c r="I33" s="832">
        <f t="shared" ref="I33" si="19">-H33/H$11</f>
        <v>1.666274507637823E-2</v>
      </c>
      <c r="J33" s="608"/>
      <c r="K33" s="812">
        <f>SUMIFS('B. Despesa'!$H$2:$H$1048576,'B. Despesa'!$I$2:$I$1048576,'Base Realizado'!K$5,'B. Despesa'!$K$2:$K$1048576,'Base Realizado'!$B33)</f>
        <v>-41147.819999999992</v>
      </c>
      <c r="L33" s="832">
        <f t="shared" si="16"/>
        <v>1.7853798385538005E-2</v>
      </c>
      <c r="M33" s="488">
        <f>SUMIFS('B. Despesa'!$H$2:$H$1048576,'B. Despesa'!$I$2:$I$1048576,'Base Realizado'!M$5,'B. Despesa'!$K$2:$K$1048576,'Base Realizado'!$B33)</f>
        <v>0</v>
      </c>
      <c r="N33" s="488">
        <f>SUMIFS('B. Despesa'!$H$2:$H$1048576,'B. Despesa'!$I$2:$I$1048576,'Base Realizado'!N$5,'B. Despesa'!$K$2:$K$1048576,'Base Realizado'!$B33)</f>
        <v>0</v>
      </c>
      <c r="O33" s="488">
        <f>SUMIFS('B. Despesa'!$H$2:$H$1048576,'B. Despesa'!$I$2:$I$1048576,'Base Realizado'!O$5,'B. Despesa'!$K$2:$K$1048576,'Base Realizado'!$B33)</f>
        <v>0</v>
      </c>
      <c r="P33" s="488">
        <f>SUMIFS('B. Despesa'!$H$2:$H$1048576,'B. Despesa'!$I$2:$I$1048576,'Base Realizado'!P$5,'B. Despesa'!$K$2:$K$1048576,'Base Realizado'!$B33)</f>
        <v>0</v>
      </c>
      <c r="Q33" s="488">
        <f>SUMIFS('B. Despesa'!$H$2:$H$1048576,'B. Despesa'!$I$2:$I$1048576,'Base Realizado'!Q$5,'B. Despesa'!$K$2:$K$1048576,'Base Realizado'!$B33)</f>
        <v>0</v>
      </c>
      <c r="R33" s="488">
        <f>SUMIFS('B. Despesa'!$H$2:$H$1048576,'B. Despesa'!$I$2:$I$1048576,'Base Realizado'!R$5,'B. Despesa'!$K$2:$K$1048576,'Base Realizado'!$B33)</f>
        <v>0</v>
      </c>
      <c r="S33" s="488">
        <f>SUMIFS('B. Despesa'!$H$2:$H$1048576,'B. Despesa'!$I$2:$I$1048576,'Base Realizado'!S$5,'B. Despesa'!$K$2:$K$1048576,'Base Realizado'!$B33)</f>
        <v>0</v>
      </c>
      <c r="T33" s="488">
        <f>SUMIFS('B. Despesa'!$H$2:$H$1048576,'B. Despesa'!$I$2:$I$1048576,'Base Realizado'!T$5,'B. Despesa'!$K$2:$K$1048576,'Base Realizado'!$B33)</f>
        <v>0</v>
      </c>
      <c r="U33" s="74"/>
      <c r="V33" s="117">
        <v>-324224.96478932165</v>
      </c>
      <c r="W33" s="1"/>
      <c r="X33" s="134">
        <v>0.04</v>
      </c>
    </row>
    <row r="34" spans="2:30" ht="13.5" customHeight="1" outlineLevel="1">
      <c r="B34" s="146" t="s">
        <v>30</v>
      </c>
      <c r="C34" s="147" t="s">
        <v>90</v>
      </c>
      <c r="D34" s="488">
        <f>SUMIFS('B. Despesa'!$H$2:$H$1048576,'B. Despesa'!$I$2:$I$1048576,'Base Realizado'!D$5,'B. Despesa'!$K$2:$K$1048576,'Base Realizado'!$B34)</f>
        <v>-55152.660000000011</v>
      </c>
      <c r="E34" s="832">
        <f t="shared" si="14"/>
        <v>3.9668213657179895E-2</v>
      </c>
      <c r="F34" s="488">
        <f>SUMIFS('B. Despesa'!$H$2:$H$1048576,'B. Despesa'!$I$2:$I$1048576,'Base Realizado'!F$5,'B. Despesa'!$K$2:$K$1048576,'Base Realizado'!$B34)</f>
        <v>-41279.5</v>
      </c>
      <c r="G34" s="832">
        <f t="shared" si="14"/>
        <v>2.7005587227971497E-2</v>
      </c>
      <c r="H34" s="797">
        <f>SUMIFS('B. Despesa'!$H$2:$H$1048576,'B. Despesa'!$I$2:$I$1048576,'Base Realizado'!H$5,'B. Despesa'!$K$2:$K$1048576,'Base Realizado'!$B34)</f>
        <v>-59990.510000000017</v>
      </c>
      <c r="I34" s="832">
        <f t="shared" ref="I34" si="20">-H34/H$11</f>
        <v>2.4550688638649679E-2</v>
      </c>
      <c r="J34" s="608"/>
      <c r="K34" s="812">
        <f>SUMIFS('B. Despesa'!$H$2:$H$1048576,'B. Despesa'!$I$2:$I$1048576,'Base Realizado'!K$5,'B. Despesa'!$K$2:$K$1048576,'Base Realizado'!$B34)</f>
        <v>-56189.65</v>
      </c>
      <c r="L34" s="832">
        <f t="shared" si="16"/>
        <v>2.4380360428667806E-2</v>
      </c>
      <c r="M34" s="488">
        <f>SUMIFS('B. Despesa'!$H$2:$H$1048576,'B. Despesa'!$I$2:$I$1048576,'Base Realizado'!M$5,'B. Despesa'!$K$2:$K$1048576,'Base Realizado'!$B34)</f>
        <v>0</v>
      </c>
      <c r="N34" s="488">
        <f>SUMIFS('B. Despesa'!$H$2:$H$1048576,'B. Despesa'!$I$2:$I$1048576,'Base Realizado'!N$5,'B. Despesa'!$K$2:$K$1048576,'Base Realizado'!$B34)</f>
        <v>0</v>
      </c>
      <c r="O34" s="488">
        <f>SUMIFS('B. Despesa'!$H$2:$H$1048576,'B. Despesa'!$I$2:$I$1048576,'Base Realizado'!O$5,'B. Despesa'!$K$2:$K$1048576,'Base Realizado'!$B34)</f>
        <v>0</v>
      </c>
      <c r="P34" s="488">
        <f>SUMIFS('B. Despesa'!$H$2:$H$1048576,'B. Despesa'!$I$2:$I$1048576,'Base Realizado'!P$5,'B. Despesa'!$K$2:$K$1048576,'Base Realizado'!$B34)</f>
        <v>0</v>
      </c>
      <c r="Q34" s="488">
        <f>SUMIFS('B. Despesa'!$H$2:$H$1048576,'B. Despesa'!$I$2:$I$1048576,'Base Realizado'!Q$5,'B. Despesa'!$K$2:$K$1048576,'Base Realizado'!$B34)</f>
        <v>0</v>
      </c>
      <c r="R34" s="488">
        <f>SUMIFS('B. Despesa'!$H$2:$H$1048576,'B. Despesa'!$I$2:$I$1048576,'Base Realizado'!R$5,'B. Despesa'!$K$2:$K$1048576,'Base Realizado'!$B34)</f>
        <v>0</v>
      </c>
      <c r="S34" s="488">
        <f>SUMIFS('B. Despesa'!$H$2:$H$1048576,'B. Despesa'!$I$2:$I$1048576,'Base Realizado'!S$5,'B. Despesa'!$K$2:$K$1048576,'Base Realizado'!$B34)</f>
        <v>0</v>
      </c>
      <c r="T34" s="488">
        <f>SUMIFS('B. Despesa'!$H$2:$H$1048576,'B. Despesa'!$I$2:$I$1048576,'Base Realizado'!T$5,'B. Despesa'!$K$2:$K$1048576,'Base Realizado'!$B34)</f>
        <v>0</v>
      </c>
      <c r="U34" s="74"/>
      <c r="V34" s="117">
        <v>-567393.688381313</v>
      </c>
      <c r="W34" s="1"/>
      <c r="X34" s="134">
        <v>7.0000000000000007E-2</v>
      </c>
      <c r="AC34" s="389"/>
      <c r="AD34" s="389"/>
    </row>
    <row r="35" spans="2:30" ht="13.5" customHeight="1" outlineLevel="1">
      <c r="B35" s="146" t="s">
        <v>436</v>
      </c>
      <c r="C35" s="147" t="s">
        <v>91</v>
      </c>
      <c r="D35" s="488">
        <f>SUMIFS('B. Despesa'!$H$2:$H$1048576,'B. Despesa'!$I$2:$I$1048576,'Base Realizado'!D$5,'B. Despesa'!$K$2:$K$1048576,'Base Realizado'!$B35)</f>
        <v>-22699.4</v>
      </c>
      <c r="E35" s="832">
        <f t="shared" si="14"/>
        <v>1.6326404729885908E-2</v>
      </c>
      <c r="F35" s="488">
        <f>SUMIFS('B. Despesa'!$H$2:$H$1048576,'B. Despesa'!$I$2:$I$1048576,'Base Realizado'!F$5,'B. Despesa'!$K$2:$K$1048576,'Base Realizado'!$B35)</f>
        <v>-18032.340000000004</v>
      </c>
      <c r="G35" s="832">
        <f t="shared" si="14"/>
        <v>1.1796991988624854E-2</v>
      </c>
      <c r="H35" s="797">
        <f>SUMIFS('B. Despesa'!$H$2:$H$1048576,'B. Despesa'!$I$2:$I$1048576,'Base Realizado'!H$5,'B. Despesa'!$K$2:$K$1048576,'Base Realizado'!$B35)</f>
        <v>-23525.499999999996</v>
      </c>
      <c r="I35" s="832">
        <f t="shared" ref="I35" si="21">-H35/H$11</f>
        <v>9.6276431983750889E-3</v>
      </c>
      <c r="J35" s="608"/>
      <c r="K35" s="812">
        <f>SUMIFS('B. Despesa'!$H$2:$H$1048576,'B. Despesa'!$I$2:$I$1048576,'Base Realizado'!K$5,'B. Despesa'!$K$2:$K$1048576,'Base Realizado'!$B35)</f>
        <v>-20397.199999999997</v>
      </c>
      <c r="L35" s="832">
        <f t="shared" si="16"/>
        <v>8.8502257575126895E-3</v>
      </c>
      <c r="M35" s="488">
        <f>SUMIFS('B. Despesa'!$H$2:$H$1048576,'B. Despesa'!$I$2:$I$1048576,'Base Realizado'!M$5,'B. Despesa'!$K$2:$K$1048576,'Base Realizado'!$B35)</f>
        <v>0</v>
      </c>
      <c r="N35" s="488">
        <f>SUMIFS('B. Despesa'!$H$2:$H$1048576,'B. Despesa'!$I$2:$I$1048576,'Base Realizado'!N$5,'B. Despesa'!$K$2:$K$1048576,'Base Realizado'!$B35)</f>
        <v>0</v>
      </c>
      <c r="O35" s="488">
        <f>SUMIFS('B. Despesa'!$H$2:$H$1048576,'B. Despesa'!$I$2:$I$1048576,'Base Realizado'!O$5,'B. Despesa'!$K$2:$K$1048576,'Base Realizado'!$B35)</f>
        <v>0</v>
      </c>
      <c r="P35" s="488">
        <f>SUMIFS('B. Despesa'!$H$2:$H$1048576,'B. Despesa'!$I$2:$I$1048576,'Base Realizado'!P$5,'B. Despesa'!$K$2:$K$1048576,'Base Realizado'!$B35)</f>
        <v>0</v>
      </c>
      <c r="Q35" s="488">
        <f>SUMIFS('B. Despesa'!$H$2:$H$1048576,'B. Despesa'!$I$2:$I$1048576,'Base Realizado'!Q$5,'B. Despesa'!$K$2:$K$1048576,'Base Realizado'!$B35)</f>
        <v>0</v>
      </c>
      <c r="R35" s="488">
        <f>SUMIFS('B. Despesa'!$H$2:$H$1048576,'B. Despesa'!$I$2:$I$1048576,'Base Realizado'!R$5,'B. Despesa'!$K$2:$K$1048576,'Base Realizado'!$B35)</f>
        <v>0</v>
      </c>
      <c r="S35" s="488">
        <f>SUMIFS('B. Despesa'!$H$2:$H$1048576,'B. Despesa'!$I$2:$I$1048576,'Base Realizado'!S$5,'B. Despesa'!$K$2:$K$1048576,'Base Realizado'!$B35)</f>
        <v>0</v>
      </c>
      <c r="T35" s="488">
        <f>SUMIFS('B. Despesa'!$H$2:$H$1048576,'B. Despesa'!$I$2:$I$1048576,'Base Realizado'!T$5,'B. Despesa'!$K$2:$K$1048576,'Base Realizado'!$B35)</f>
        <v>0</v>
      </c>
      <c r="U35" s="74"/>
      <c r="V35" s="117">
        <v>-324224.96478932165</v>
      </c>
      <c r="W35" s="1"/>
      <c r="X35" s="134">
        <v>0.04</v>
      </c>
      <c r="AC35" s="389"/>
    </row>
    <row r="36" spans="2:30" ht="13.5" customHeight="1" outlineLevel="1">
      <c r="B36" s="146" t="s">
        <v>437</v>
      </c>
      <c r="C36" s="147" t="s">
        <v>92</v>
      </c>
      <c r="D36" s="488">
        <f>SUMIFS('B. Despesa'!$H$2:$H$1048576,'B. Despesa'!$I$2:$I$1048576,'Base Realizado'!D$5,'B. Despesa'!$K$2:$K$1048576,'Base Realizado'!$B36)</f>
        <v>-84020.090000000011</v>
      </c>
      <c r="E36" s="832">
        <f t="shared" si="14"/>
        <v>6.0430936270625638E-2</v>
      </c>
      <c r="F36" s="488">
        <f>SUMIFS('B. Despesa'!$H$2:$H$1048576,'B. Despesa'!$I$2:$I$1048576,'Base Realizado'!F$5,'B. Despesa'!$K$2:$K$1048576,'Base Realizado'!$B36)</f>
        <v>-71376.86</v>
      </c>
      <c r="G36" s="832">
        <f t="shared" si="14"/>
        <v>4.6695672641110228E-2</v>
      </c>
      <c r="H36" s="797">
        <f>SUMIFS('B. Despesa'!$H$2:$H$1048576,'B. Despesa'!$I$2:$I$1048576,'Base Realizado'!H$5,'B. Despesa'!$K$2:$K$1048576,'Base Realizado'!$B36)</f>
        <v>-108995.77000000002</v>
      </c>
      <c r="I36" s="832">
        <f t="shared" ref="I36" si="22">-H36/H$11</f>
        <v>4.4605742011526041E-2</v>
      </c>
      <c r="J36" s="608"/>
      <c r="K36" s="812">
        <f>SUMIFS('B. Despesa'!$H$2:$H$1048576,'B. Despesa'!$I$2:$I$1048576,'Base Realizado'!K$5,'B. Despesa'!$K$2:$K$1048576,'Base Realizado'!$B36)</f>
        <v>-77993.55</v>
      </c>
      <c r="L36" s="832">
        <f t="shared" si="16"/>
        <v>3.3840945087063611E-2</v>
      </c>
      <c r="M36" s="488">
        <f>SUMIFS('B. Despesa'!$H$2:$H$1048576,'B. Despesa'!$I$2:$I$1048576,'Base Realizado'!M$5,'B. Despesa'!$K$2:$K$1048576,'Base Realizado'!$B36)</f>
        <v>0</v>
      </c>
      <c r="N36" s="488">
        <f>SUMIFS('B. Despesa'!$H$2:$H$1048576,'B. Despesa'!$I$2:$I$1048576,'Base Realizado'!N$5,'B. Despesa'!$K$2:$K$1048576,'Base Realizado'!$B36)</f>
        <v>0</v>
      </c>
      <c r="O36" s="488">
        <f>SUMIFS('B. Despesa'!$H$2:$H$1048576,'B. Despesa'!$I$2:$I$1048576,'Base Realizado'!O$5,'B. Despesa'!$K$2:$K$1048576,'Base Realizado'!$B36)</f>
        <v>0</v>
      </c>
      <c r="P36" s="488">
        <f>SUMIFS('B. Despesa'!$H$2:$H$1048576,'B. Despesa'!$I$2:$I$1048576,'Base Realizado'!P$5,'B. Despesa'!$K$2:$K$1048576,'Base Realizado'!$B36)</f>
        <v>0</v>
      </c>
      <c r="Q36" s="488">
        <f>SUMIFS('B. Despesa'!$H$2:$H$1048576,'B. Despesa'!$I$2:$I$1048576,'Base Realizado'!Q$5,'B. Despesa'!$K$2:$K$1048576,'Base Realizado'!$B36)</f>
        <v>0</v>
      </c>
      <c r="R36" s="488">
        <f>SUMIFS('B. Despesa'!$H$2:$H$1048576,'B. Despesa'!$I$2:$I$1048576,'Base Realizado'!R$5,'B. Despesa'!$K$2:$K$1048576,'Base Realizado'!$B36)</f>
        <v>0</v>
      </c>
      <c r="S36" s="488">
        <f>SUMIFS('B. Despesa'!$H$2:$H$1048576,'B. Despesa'!$I$2:$I$1048576,'Base Realizado'!S$5,'B. Despesa'!$K$2:$K$1048576,'Base Realizado'!$B36)</f>
        <v>0</v>
      </c>
      <c r="T36" s="488">
        <f>SUMIFS('B. Despesa'!$H$2:$H$1048576,'B. Despesa'!$I$2:$I$1048576,'Base Realizado'!T$5,'B. Despesa'!$K$2:$K$1048576,'Base Realizado'!$B36)</f>
        <v>0</v>
      </c>
      <c r="U36" s="74"/>
      <c r="V36" s="117">
        <v>-405281.20598665206</v>
      </c>
      <c r="W36" s="1"/>
      <c r="X36" s="134">
        <v>0.05</v>
      </c>
      <c r="AC36" s="508"/>
      <c r="AD36" s="508"/>
    </row>
    <row r="37" spans="2:30" ht="13.5" customHeight="1" outlineLevel="1">
      <c r="B37" s="146" t="s">
        <v>438</v>
      </c>
      <c r="C37" s="147" t="s">
        <v>93</v>
      </c>
      <c r="D37" s="488">
        <f>SUMIFS('B. Despesa'!$H$2:$H$1048576,'B. Despesa'!$I$2:$I$1048576,'Base Realizado'!D$5,'B. Despesa'!$K$2:$K$1048576,'Base Realizado'!$B37)</f>
        <v>-800</v>
      </c>
      <c r="E37" s="832">
        <f t="shared" si="14"/>
        <v>5.7539511105618316E-4</v>
      </c>
      <c r="F37" s="488">
        <f>SUMIFS('B. Despesa'!$H$2:$H$1048576,'B. Despesa'!$I$2:$I$1048576,'Base Realizado'!F$5,'B. Despesa'!$K$2:$K$1048576,'Base Realizado'!$B37)</f>
        <v>-800</v>
      </c>
      <c r="G37" s="832">
        <f t="shared" si="14"/>
        <v>5.2337043283899273E-4</v>
      </c>
      <c r="H37" s="797">
        <f>SUMIFS('B. Despesa'!$H$2:$H$1048576,'B. Despesa'!$I$2:$I$1048576,'Base Realizado'!H$5,'B. Despesa'!$K$2:$K$1048576,'Base Realizado'!$B37)</f>
        <v>-800</v>
      </c>
      <c r="I37" s="832">
        <f t="shared" ref="I37" si="23">-H37/H$11</f>
        <v>3.2739429804680339E-4</v>
      </c>
      <c r="J37" s="608"/>
      <c r="K37" s="812">
        <f>SUMIFS('B. Despesa'!$H$2:$H$1048576,'B. Despesa'!$I$2:$I$1048576,'Base Realizado'!K$5,'B. Despesa'!$K$2:$K$1048576,'Base Realizado'!$B37)</f>
        <v>-1000</v>
      </c>
      <c r="L37" s="832">
        <f t="shared" si="16"/>
        <v>4.3389415005553168E-4</v>
      </c>
      <c r="M37" s="488">
        <f>SUMIFS('B. Despesa'!$H$2:$H$1048576,'B. Despesa'!$I$2:$I$1048576,'Base Realizado'!M$5,'B. Despesa'!$K$2:$K$1048576,'Base Realizado'!$B37)</f>
        <v>0</v>
      </c>
      <c r="N37" s="488">
        <f>SUMIFS('B. Despesa'!$H$2:$H$1048576,'B. Despesa'!$I$2:$I$1048576,'Base Realizado'!N$5,'B. Despesa'!$K$2:$K$1048576,'Base Realizado'!$B37)</f>
        <v>0</v>
      </c>
      <c r="O37" s="488">
        <f>SUMIFS('B. Despesa'!$H$2:$H$1048576,'B. Despesa'!$I$2:$I$1048576,'Base Realizado'!O$5,'B. Despesa'!$K$2:$K$1048576,'Base Realizado'!$B37)</f>
        <v>0</v>
      </c>
      <c r="P37" s="488">
        <f>SUMIFS('B. Despesa'!$H$2:$H$1048576,'B. Despesa'!$I$2:$I$1048576,'Base Realizado'!P$5,'B. Despesa'!$K$2:$K$1048576,'Base Realizado'!$B37)</f>
        <v>0</v>
      </c>
      <c r="Q37" s="488">
        <f>SUMIFS('B. Despesa'!$H$2:$H$1048576,'B. Despesa'!$I$2:$I$1048576,'Base Realizado'!Q$5,'B. Despesa'!$K$2:$K$1048576,'Base Realizado'!$B37)</f>
        <v>0</v>
      </c>
      <c r="R37" s="488">
        <f>SUMIFS('B. Despesa'!$H$2:$H$1048576,'B. Despesa'!$I$2:$I$1048576,'Base Realizado'!R$5,'B. Despesa'!$K$2:$K$1048576,'Base Realizado'!$B37)</f>
        <v>0</v>
      </c>
      <c r="S37" s="488">
        <f>SUMIFS('B. Despesa'!$H$2:$H$1048576,'B. Despesa'!$I$2:$I$1048576,'Base Realizado'!S$5,'B. Despesa'!$K$2:$K$1048576,'Base Realizado'!$B37)</f>
        <v>0</v>
      </c>
      <c r="T37" s="488">
        <f>SUMIFS('B. Despesa'!$H$2:$H$1048576,'B. Despesa'!$I$2:$I$1048576,'Base Realizado'!T$5,'B. Despesa'!$K$2:$K$1048576,'Base Realizado'!$B37)</f>
        <v>0</v>
      </c>
      <c r="U37" s="74"/>
      <c r="V37" s="117">
        <v>-194534.97887359295</v>
      </c>
      <c r="W37" s="1"/>
      <c r="X37" s="134">
        <v>2.4E-2</v>
      </c>
    </row>
    <row r="38" spans="2:30" ht="13.5" customHeight="1" outlineLevel="1">
      <c r="B38" s="146" t="s">
        <v>169</v>
      </c>
      <c r="C38" s="147" t="s">
        <v>94</v>
      </c>
      <c r="D38" s="488">
        <f>SUMIFS('B. Despesa'!$H$2:$H$1048576,'B. Despesa'!$I$2:$I$1048576,'Base Realizado'!D$5,'B. Despesa'!$K$2:$K$1048576,'Base Realizado'!$B38)</f>
        <v>-11144</v>
      </c>
      <c r="E38" s="832">
        <f t="shared" si="14"/>
        <v>8.0152538970126308E-3</v>
      </c>
      <c r="F38" s="488">
        <f>SUMIFS('B. Despesa'!$H$2:$H$1048576,'B. Despesa'!$I$2:$I$1048576,'Base Realizado'!F$5,'B. Despesa'!$K$2:$K$1048576,'Base Realizado'!$B38)</f>
        <v>-11940</v>
      </c>
      <c r="G38" s="832">
        <f t="shared" si="14"/>
        <v>7.8113037101219659E-3</v>
      </c>
      <c r="H38" s="797">
        <f>SUMIFS('B. Despesa'!$H$2:$H$1048576,'B. Despesa'!$I$2:$I$1048576,'Base Realizado'!H$5,'B. Despesa'!$K$2:$K$1048576,'Base Realizado'!$B38)</f>
        <v>-15922</v>
      </c>
      <c r="I38" s="832">
        <f t="shared" ref="I38" si="24">-H38/H$11</f>
        <v>6.515965016876504E-3</v>
      </c>
      <c r="J38" s="608"/>
      <c r="K38" s="812">
        <f>SUMIFS('B. Despesa'!$H$2:$H$1048576,'B. Despesa'!$I$2:$I$1048576,'Base Realizado'!K$5,'B. Despesa'!$K$2:$K$1048576,'Base Realizado'!$B38)</f>
        <v>-12570</v>
      </c>
      <c r="L38" s="832">
        <f t="shared" si="16"/>
        <v>5.4540494661980332E-3</v>
      </c>
      <c r="M38" s="488">
        <f>SUMIFS('B. Despesa'!$H$2:$H$1048576,'B. Despesa'!$I$2:$I$1048576,'Base Realizado'!M$5,'B. Despesa'!$K$2:$K$1048576,'Base Realizado'!$B38)</f>
        <v>0</v>
      </c>
      <c r="N38" s="488">
        <f>SUMIFS('B. Despesa'!$H$2:$H$1048576,'B. Despesa'!$I$2:$I$1048576,'Base Realizado'!N$5,'B. Despesa'!$K$2:$K$1048576,'Base Realizado'!$B38)</f>
        <v>0</v>
      </c>
      <c r="O38" s="488">
        <f>SUMIFS('B. Despesa'!$H$2:$H$1048576,'B. Despesa'!$I$2:$I$1048576,'Base Realizado'!O$5,'B. Despesa'!$K$2:$K$1048576,'Base Realizado'!$B38)</f>
        <v>0</v>
      </c>
      <c r="P38" s="488">
        <f>SUMIFS('B. Despesa'!$H$2:$H$1048576,'B. Despesa'!$I$2:$I$1048576,'Base Realizado'!P$5,'B. Despesa'!$K$2:$K$1048576,'Base Realizado'!$B38)</f>
        <v>0</v>
      </c>
      <c r="Q38" s="488">
        <f>SUMIFS('B. Despesa'!$H$2:$H$1048576,'B. Despesa'!$I$2:$I$1048576,'Base Realizado'!Q$5,'B. Despesa'!$K$2:$K$1048576,'Base Realizado'!$B38)</f>
        <v>0</v>
      </c>
      <c r="R38" s="488">
        <f>SUMIFS('B. Despesa'!$H$2:$H$1048576,'B. Despesa'!$I$2:$I$1048576,'Base Realizado'!R$5,'B. Despesa'!$K$2:$K$1048576,'Base Realizado'!$B38)</f>
        <v>0</v>
      </c>
      <c r="S38" s="488">
        <f>SUMIFS('B. Despesa'!$H$2:$H$1048576,'B. Despesa'!$I$2:$I$1048576,'Base Realizado'!S$5,'B. Despesa'!$K$2:$K$1048576,'Base Realizado'!$B38)</f>
        <v>0</v>
      </c>
      <c r="T38" s="488">
        <f>SUMIFS('B. Despesa'!$H$2:$H$1048576,'B. Despesa'!$I$2:$I$1048576,'Base Realizado'!T$5,'B. Despesa'!$K$2:$K$1048576,'Base Realizado'!$B38)</f>
        <v>0</v>
      </c>
      <c r="U38" s="74"/>
      <c r="V38" s="117">
        <v>-202640.60299332603</v>
      </c>
      <c r="W38" s="1"/>
      <c r="X38" s="134">
        <v>2.5000000000000001E-2</v>
      </c>
    </row>
    <row r="39" spans="2:30" ht="13.5" customHeight="1" outlineLevel="1">
      <c r="B39" s="146" t="s">
        <v>191</v>
      </c>
      <c r="C39" s="147" t="s">
        <v>95</v>
      </c>
      <c r="D39" s="488">
        <f>SUMIFS('B. Despesa'!$H$2:$H$1048576,'B. Despesa'!$I$2:$I$1048576,'Base Realizado'!D$5,'B. Despesa'!$K$2:$K$1048576,'Base Realizado'!$B39)</f>
        <v>-4076.7999999999997</v>
      </c>
      <c r="E39" s="832">
        <f t="shared" si="14"/>
        <v>2.9322134859423093E-3</v>
      </c>
      <c r="F39" s="488">
        <f>SUMIFS('B. Despesa'!$H$2:$H$1048576,'B. Despesa'!$I$2:$I$1048576,'Base Realizado'!F$5,'B. Despesa'!$K$2:$K$1048576,'Base Realizado'!$B39)</f>
        <v>-4076.8</v>
      </c>
      <c r="G39" s="832">
        <f t="shared" si="14"/>
        <v>2.6670957257475068E-3</v>
      </c>
      <c r="H39" s="797">
        <f>SUMIFS('B. Despesa'!$H$2:$H$1048576,'B. Despesa'!$I$2:$I$1048576,'Base Realizado'!H$5,'B. Despesa'!$K$2:$K$1048576,'Base Realizado'!$B39)</f>
        <v>-5096</v>
      </c>
      <c r="I39" s="832">
        <f t="shared" ref="I39" si="25">-H39/H$11</f>
        <v>2.0855016785581377E-3</v>
      </c>
      <c r="J39" s="608"/>
      <c r="K39" s="812">
        <f>SUMIFS('B. Despesa'!$H$2:$H$1048576,'B. Despesa'!$I$2:$I$1048576,'Base Realizado'!K$5,'B. Despesa'!$K$2:$K$1048576,'Base Realizado'!$B39)</f>
        <v>-4076.7999999999997</v>
      </c>
      <c r="L39" s="832">
        <f t="shared" si="16"/>
        <v>1.7688996709463913E-3</v>
      </c>
      <c r="M39" s="488">
        <f>SUMIFS('B. Despesa'!$H$2:$H$1048576,'B. Despesa'!$I$2:$I$1048576,'Base Realizado'!M$5,'B. Despesa'!$K$2:$K$1048576,'Base Realizado'!$B39)</f>
        <v>0</v>
      </c>
      <c r="N39" s="488">
        <f>SUMIFS('B. Despesa'!$H$2:$H$1048576,'B. Despesa'!$I$2:$I$1048576,'Base Realizado'!N$5,'B. Despesa'!$K$2:$K$1048576,'Base Realizado'!$B39)</f>
        <v>0</v>
      </c>
      <c r="O39" s="488">
        <f>SUMIFS('B. Despesa'!$H$2:$H$1048576,'B. Despesa'!$I$2:$I$1048576,'Base Realizado'!O$5,'B. Despesa'!$K$2:$K$1048576,'Base Realizado'!$B39)</f>
        <v>0</v>
      </c>
      <c r="P39" s="488">
        <f>SUMIFS('B. Despesa'!$H$2:$H$1048576,'B. Despesa'!$I$2:$I$1048576,'Base Realizado'!P$5,'B. Despesa'!$K$2:$K$1048576,'Base Realizado'!$B39)</f>
        <v>0</v>
      </c>
      <c r="Q39" s="488">
        <f>SUMIFS('B. Despesa'!$H$2:$H$1048576,'B. Despesa'!$I$2:$I$1048576,'Base Realizado'!Q$5,'B. Despesa'!$K$2:$K$1048576,'Base Realizado'!$B39)</f>
        <v>0</v>
      </c>
      <c r="R39" s="488">
        <f>SUMIFS('B. Despesa'!$H$2:$H$1048576,'B. Despesa'!$I$2:$I$1048576,'Base Realizado'!R$5,'B. Despesa'!$K$2:$K$1048576,'Base Realizado'!$B39)</f>
        <v>0</v>
      </c>
      <c r="S39" s="488">
        <f>SUMIFS('B. Despesa'!$H$2:$H$1048576,'B. Despesa'!$I$2:$I$1048576,'Base Realizado'!S$5,'B. Despesa'!$K$2:$K$1048576,'Base Realizado'!$B39)</f>
        <v>0</v>
      </c>
      <c r="T39" s="488">
        <f>SUMIFS('B. Despesa'!$H$2:$H$1048576,'B. Despesa'!$I$2:$I$1048576,'Base Realizado'!T$5,'B. Despesa'!$K$2:$K$1048576,'Base Realizado'!$B39)</f>
        <v>0</v>
      </c>
      <c r="U39" s="74"/>
      <c r="V39" s="117">
        <v>-8105.6241197330401</v>
      </c>
      <c r="W39" s="1"/>
      <c r="X39" s="134">
        <v>1E-3</v>
      </c>
    </row>
    <row r="40" spans="2:30" ht="13.5" customHeight="1" outlineLevel="1">
      <c r="B40" s="146" t="s">
        <v>33</v>
      </c>
      <c r="C40" s="147" t="s">
        <v>96</v>
      </c>
      <c r="D40" s="117">
        <f>-102070.05-172285.83</f>
        <v>-274355.88</v>
      </c>
      <c r="E40" s="832">
        <f t="shared" si="14"/>
        <v>0.19732879005189607</v>
      </c>
      <c r="F40" s="117">
        <v>-261339.16310000001</v>
      </c>
      <c r="G40" s="832">
        <f t="shared" si="14"/>
        <v>0.17097148863678388</v>
      </c>
      <c r="H40" s="795">
        <f>-175084.48-5000</f>
        <v>-180084.48000000001</v>
      </c>
      <c r="I40" s="832">
        <f t="shared" ref="I40" si="26">-H40/H$11</f>
        <v>7.3698289898404504E-2</v>
      </c>
      <c r="J40" s="608"/>
      <c r="K40" s="810">
        <v>-431062.84399999998</v>
      </c>
      <c r="L40" s="832">
        <f t="shared" si="16"/>
        <v>0.18703564631790023</v>
      </c>
      <c r="M40" s="117"/>
      <c r="N40" s="117"/>
      <c r="O40" s="117"/>
      <c r="P40" s="117"/>
      <c r="Q40" s="117"/>
      <c r="R40" s="117"/>
      <c r="S40" s="117"/>
      <c r="T40" s="117"/>
      <c r="U40" s="74"/>
      <c r="V40" s="117">
        <v>0</v>
      </c>
      <c r="W40" s="1"/>
      <c r="X40" s="134">
        <v>0</v>
      </c>
    </row>
    <row r="41" spans="2:30" ht="13.5" customHeight="1" outlineLevel="1">
      <c r="B41" s="146" t="s">
        <v>34</v>
      </c>
      <c r="C41" s="147" t="s">
        <v>97</v>
      </c>
      <c r="D41" s="117">
        <v>213865.46</v>
      </c>
      <c r="E41" s="832">
        <f>D41/D$11</f>
        <v>0.15382142513472713</v>
      </c>
      <c r="F41" s="117">
        <f>-D40</f>
        <v>274355.88</v>
      </c>
      <c r="G41" s="832">
        <f>F41/F$11</f>
        <v>0.17948719458440343</v>
      </c>
      <c r="H41" s="795">
        <f>-F40</f>
        <v>261339.16310000001</v>
      </c>
      <c r="I41" s="832">
        <f>H41/H$11</f>
        <v>0.10695118981907945</v>
      </c>
      <c r="J41" s="608"/>
      <c r="K41" s="810">
        <f>-H40</f>
        <v>180084.48000000001</v>
      </c>
      <c r="L41" s="832">
        <f>K41/K$11</f>
        <v>7.8137602387792396E-2</v>
      </c>
      <c r="M41" s="117">
        <v>0</v>
      </c>
      <c r="N41" s="117">
        <v>0</v>
      </c>
      <c r="O41" s="117">
        <v>0</v>
      </c>
      <c r="P41" s="117">
        <v>0</v>
      </c>
      <c r="Q41" s="117">
        <v>0</v>
      </c>
      <c r="R41" s="117">
        <v>0</v>
      </c>
      <c r="S41" s="117">
        <v>0</v>
      </c>
      <c r="T41" s="117">
        <v>0</v>
      </c>
      <c r="U41" s="74"/>
      <c r="V41" s="117">
        <v>0</v>
      </c>
      <c r="W41" s="1"/>
      <c r="X41" s="134">
        <v>0</v>
      </c>
    </row>
    <row r="42" spans="2:30" ht="13.5" customHeight="1" outlineLevel="1">
      <c r="B42" s="148" t="s">
        <v>35</v>
      </c>
      <c r="C42" s="149" t="s">
        <v>98</v>
      </c>
      <c r="D42" s="141"/>
      <c r="E42" s="141"/>
      <c r="F42" s="141">
        <v>0</v>
      </c>
      <c r="G42" s="798"/>
      <c r="H42" s="798">
        <v>0</v>
      </c>
      <c r="I42" s="798"/>
      <c r="J42" s="608"/>
      <c r="K42" s="813">
        <v>0</v>
      </c>
      <c r="L42" s="798"/>
      <c r="M42" s="141">
        <v>0</v>
      </c>
      <c r="N42" s="141">
        <v>0</v>
      </c>
      <c r="O42" s="141">
        <v>0</v>
      </c>
      <c r="P42" s="141">
        <v>0</v>
      </c>
      <c r="Q42" s="141">
        <v>0</v>
      </c>
      <c r="R42" s="141">
        <v>0</v>
      </c>
      <c r="S42" s="141">
        <v>0</v>
      </c>
      <c r="T42" s="141">
        <v>0</v>
      </c>
      <c r="U42" s="74"/>
      <c r="V42" s="141">
        <v>0</v>
      </c>
      <c r="W42" s="1"/>
      <c r="X42" s="142">
        <v>0</v>
      </c>
    </row>
    <row r="43" spans="2:30" ht="7.5" customHeight="1">
      <c r="B43" s="87"/>
      <c r="C43" s="76"/>
      <c r="D43" s="76"/>
      <c r="E43" s="76"/>
      <c r="F43" s="76"/>
      <c r="G43" s="76"/>
      <c r="H43" s="437"/>
      <c r="I43" s="76"/>
      <c r="J43" s="371"/>
      <c r="K43" s="437"/>
      <c r="L43" s="76"/>
      <c r="M43" s="76"/>
      <c r="N43" s="76"/>
      <c r="O43" s="76"/>
      <c r="P43" s="76"/>
      <c r="Q43" s="76"/>
      <c r="R43" s="76"/>
      <c r="S43" s="76"/>
      <c r="T43" s="76"/>
      <c r="U43" s="74"/>
      <c r="V43" s="76"/>
      <c r="W43" s="1"/>
      <c r="X43" s="76"/>
    </row>
    <row r="44" spans="2:30" ht="13.5" customHeight="1">
      <c r="B44" s="150" t="s">
        <v>99</v>
      </c>
      <c r="C44" s="151"/>
      <c r="D44" s="504">
        <f>D46/D45</f>
        <v>0.44878234325797289</v>
      </c>
      <c r="E44" s="504"/>
      <c r="F44" s="504">
        <f>F46/F45</f>
        <v>0.34998340259589883</v>
      </c>
      <c r="G44" s="799"/>
      <c r="H44" s="799">
        <f>H46/H45</f>
        <v>0.27268283127394771</v>
      </c>
      <c r="I44" s="799"/>
      <c r="J44" s="824"/>
      <c r="K44" s="814">
        <f>K46/K45</f>
        <v>0.38860748688608082</v>
      </c>
      <c r="L44" s="799"/>
      <c r="M44" s="504"/>
      <c r="N44" s="504"/>
      <c r="O44" s="504"/>
      <c r="P44" s="504"/>
      <c r="Q44" s="504"/>
      <c r="R44" s="504"/>
      <c r="S44" s="504"/>
      <c r="T44" s="504"/>
      <c r="U44" s="74"/>
      <c r="V44" s="152">
        <v>0.32</v>
      </c>
      <c r="W44" s="1"/>
      <c r="X44" s="76"/>
    </row>
    <row r="45" spans="2:30" ht="13.5" customHeight="1">
      <c r="B45" s="150" t="s">
        <v>100</v>
      </c>
      <c r="C45" s="151"/>
      <c r="D45" s="153">
        <f>D11+D20</f>
        <v>1338861.7200000002</v>
      </c>
      <c r="E45" s="153"/>
      <c r="F45" s="153">
        <f>F11+F20</f>
        <v>1507127.2500000007</v>
      </c>
      <c r="G45" s="800"/>
      <c r="H45" s="800">
        <f>H11+H20</f>
        <v>2383612.2129999995</v>
      </c>
      <c r="I45" s="800"/>
      <c r="J45" s="825"/>
      <c r="K45" s="815">
        <f>K11+K20</f>
        <v>2304709.5700000003</v>
      </c>
      <c r="L45" s="800"/>
      <c r="M45" s="153">
        <f>M11+M20</f>
        <v>0</v>
      </c>
      <c r="N45" s="153">
        <f>N11+N20</f>
        <v>0</v>
      </c>
      <c r="O45" s="153">
        <f>O11+O20</f>
        <v>0</v>
      </c>
      <c r="P45" s="153">
        <f>P11+P20</f>
        <v>0</v>
      </c>
      <c r="Q45" s="153">
        <f>Q11+Q20</f>
        <v>0</v>
      </c>
      <c r="R45" s="153">
        <f>R11+R20</f>
        <v>0</v>
      </c>
      <c r="S45" s="153">
        <f>S11+S20</f>
        <v>0</v>
      </c>
      <c r="T45" s="153">
        <f>T11+T20</f>
        <v>0</v>
      </c>
      <c r="U45" s="74"/>
      <c r="V45" s="153">
        <v>25330075.374165747</v>
      </c>
      <c r="W45" s="1"/>
      <c r="X45" s="76"/>
    </row>
    <row r="46" spans="2:30" ht="13.5" customHeight="1">
      <c r="B46" s="150" t="s">
        <v>26</v>
      </c>
      <c r="C46" s="151"/>
      <c r="D46" s="153">
        <f t="shared" ref="D46:T46" si="27">-D28</f>
        <v>600857.50000000012</v>
      </c>
      <c r="E46" s="153"/>
      <c r="F46" s="153">
        <f t="shared" si="27"/>
        <v>527469.52310000011</v>
      </c>
      <c r="G46" s="800"/>
      <c r="H46" s="800">
        <f t="shared" si="27"/>
        <v>649970.12690000003</v>
      </c>
      <c r="I46" s="800"/>
      <c r="J46" s="825"/>
      <c r="K46" s="815">
        <f t="shared" si="27"/>
        <v>895627.39400000009</v>
      </c>
      <c r="L46" s="800"/>
      <c r="M46" s="153">
        <f t="shared" si="27"/>
        <v>0</v>
      </c>
      <c r="N46" s="153">
        <f t="shared" si="27"/>
        <v>0</v>
      </c>
      <c r="O46" s="153">
        <f t="shared" si="27"/>
        <v>0</v>
      </c>
      <c r="P46" s="153">
        <f t="shared" si="27"/>
        <v>0</v>
      </c>
      <c r="Q46" s="153">
        <f t="shared" si="27"/>
        <v>0</v>
      </c>
      <c r="R46" s="153">
        <f t="shared" si="27"/>
        <v>0</v>
      </c>
      <c r="S46" s="153">
        <f t="shared" si="27"/>
        <v>0</v>
      </c>
      <c r="T46" s="153">
        <f t="shared" si="27"/>
        <v>0</v>
      </c>
      <c r="U46" s="74"/>
      <c r="V46" s="153">
        <v>8105624.1197330402</v>
      </c>
      <c r="W46" s="1"/>
      <c r="X46" s="76"/>
    </row>
    <row r="47" spans="2:30" ht="15" customHeight="1">
      <c r="H47" s="454"/>
      <c r="J47" s="454"/>
      <c r="K47" s="454"/>
      <c r="U47" s="74"/>
      <c r="AB47" s="684"/>
      <c r="AC47" s="595"/>
    </row>
    <row r="48" spans="2:30" ht="13.5" customHeight="1">
      <c r="B48" s="349" t="s">
        <v>101</v>
      </c>
      <c r="C48" s="344"/>
      <c r="D48" s="345">
        <f t="shared" ref="D48:I48" si="28">SUM(D49:D66)</f>
        <v>-268326.13</v>
      </c>
      <c r="E48" s="836">
        <f t="shared" si="28"/>
        <v>0.19299192921328229</v>
      </c>
      <c r="F48" s="345">
        <f t="shared" si="28"/>
        <v>-386191.74</v>
      </c>
      <c r="G48" s="836">
        <f t="shared" si="28"/>
        <v>0.25265167265330457</v>
      </c>
      <c r="H48" s="792">
        <f t="shared" si="28"/>
        <v>-449390.89</v>
      </c>
      <c r="I48" s="836">
        <f t="shared" si="28"/>
        <v>0.18391001872522278</v>
      </c>
      <c r="J48" s="829"/>
      <c r="K48" s="808">
        <f t="shared" ref="K48:T48" si="29">SUM(K49:K73)</f>
        <v>-589701.15999999992</v>
      </c>
      <c r="L48" s="836">
        <f>SUM(L49:L66)</f>
        <v>0.2558678836049611</v>
      </c>
      <c r="M48" s="345">
        <f t="shared" si="29"/>
        <v>0</v>
      </c>
      <c r="N48" s="345">
        <f t="shared" si="29"/>
        <v>0</v>
      </c>
      <c r="O48" s="345">
        <f t="shared" si="29"/>
        <v>0</v>
      </c>
      <c r="P48" s="345">
        <f t="shared" si="29"/>
        <v>0</v>
      </c>
      <c r="Q48" s="345">
        <f t="shared" si="29"/>
        <v>0</v>
      </c>
      <c r="R48" s="345">
        <f t="shared" si="29"/>
        <v>0</v>
      </c>
      <c r="S48" s="345">
        <f t="shared" si="29"/>
        <v>0</v>
      </c>
      <c r="T48" s="345">
        <f t="shared" si="29"/>
        <v>0</v>
      </c>
      <c r="U48" s="74"/>
      <c r="V48" s="345">
        <v>-6739721.5778652998</v>
      </c>
      <c r="W48" s="1"/>
      <c r="X48" s="350" t="s">
        <v>68</v>
      </c>
    </row>
    <row r="49" spans="2:30" ht="13.5" customHeight="1">
      <c r="B49" s="489" t="s">
        <v>102</v>
      </c>
      <c r="C49" s="490" t="s">
        <v>103</v>
      </c>
      <c r="D49" s="488">
        <f>SUMIFS('B. Despesa'!$H$2:$H$1048576,'B. Despesa'!$I$2:$I$1048576,'Base Realizado'!D$5,'B. Despesa'!$K$2:$K$1048576,'Base Realizado'!$B49)</f>
        <v>-116300.64</v>
      </c>
      <c r="E49" s="832">
        <f>-D49/D$11</f>
        <v>8.364852458588147E-2</v>
      </c>
      <c r="F49" s="488">
        <f>SUMIFS('B. Despesa'!$H$2:$H$1048576,'B. Despesa'!$I$2:$I$1048576,'Base Realizado'!F$5,'B. Despesa'!$K$2:$K$1048576,'Base Realizado'!$B49)</f>
        <v>-120558.98</v>
      </c>
      <c r="G49" s="832">
        <f>-F49/F$11</f>
        <v>7.8871256931534323E-2</v>
      </c>
      <c r="H49" s="797">
        <f>SUMIFS('B. Despesa'!$H$2:$H$1048576,'B. Despesa'!$I$2:$I$1048576,'Base Realizado'!H$5,'B. Despesa'!$K$2:$K$1048576,'Base Realizado'!$B49)</f>
        <v>-126223.22</v>
      </c>
      <c r="I49" s="832">
        <f>-H49/H$11</f>
        <v>5.165595313638404E-2</v>
      </c>
      <c r="J49" s="608"/>
      <c r="K49" s="812">
        <f>SUMIFS('B. Despesa'!$H$2:$H$1048576,'B. Despesa'!$I$2:$I$1048576,'Base Realizado'!K$5,'B. Despesa'!$K$2:$K$1048576,'Base Realizado'!$B49)</f>
        <v>-257302.51</v>
      </c>
      <c r="L49" s="832">
        <f>-K49/K$11</f>
        <v>0.11164205388360494</v>
      </c>
      <c r="M49" s="488">
        <f>SUMIFS('B. Despesa'!$H$2:$H$1048576,'B. Despesa'!$I$2:$I$1048576,'Base Realizado'!M$5,'B. Despesa'!$K$2:$K$1048576,'Base Realizado'!$B49)</f>
        <v>0</v>
      </c>
      <c r="N49" s="488">
        <f>SUMIFS('B. Despesa'!$H$2:$H$1048576,'B. Despesa'!$I$2:$I$1048576,'Base Realizado'!N$5,'B. Despesa'!$K$2:$K$1048576,'Base Realizado'!$B49)</f>
        <v>0</v>
      </c>
      <c r="O49" s="488">
        <f>SUMIFS('B. Despesa'!$H$2:$H$1048576,'B. Despesa'!$I$2:$I$1048576,'Base Realizado'!O$5,'B. Despesa'!$K$2:$K$1048576,'Base Realizado'!$B49)</f>
        <v>0</v>
      </c>
      <c r="P49" s="488">
        <f>SUMIFS('B. Despesa'!$H$2:$H$1048576,'B. Despesa'!$I$2:$I$1048576,'Base Realizado'!P$5,'B. Despesa'!$K$2:$K$1048576,'Base Realizado'!$B49)</f>
        <v>0</v>
      </c>
      <c r="Q49" s="488">
        <f>SUMIFS('B. Despesa'!$H$2:$H$1048576,'B. Despesa'!$I$2:$I$1048576,'Base Realizado'!Q$5,'B. Despesa'!$K$2:$K$1048576,'Base Realizado'!$B49)</f>
        <v>0</v>
      </c>
      <c r="R49" s="488">
        <f>SUMIFS('B. Despesa'!$H$2:$H$1048576,'B. Despesa'!$I$2:$I$1048576,'Base Realizado'!R$5,'B. Despesa'!$K$2:$K$1048576,'Base Realizado'!$B49)</f>
        <v>0</v>
      </c>
      <c r="S49" s="488">
        <f>SUMIFS('B. Despesa'!$H$2:$H$1048576,'B. Despesa'!$I$2:$I$1048576,'Base Realizado'!S$5,'B. Despesa'!$K$2:$K$1048576,'Base Realizado'!$B49)</f>
        <v>0</v>
      </c>
      <c r="T49" s="488">
        <f>SUMIFS('B. Despesa'!$H$2:$H$1048576,'B. Despesa'!$I$2:$I$1048576,'Base Realizado'!T$5,'B. Despesa'!$K$2:$K$1048576,'Base Realizado'!$B49)</f>
        <v>0</v>
      </c>
      <c r="U49" s="74"/>
      <c r="V49" s="117">
        <v>-2616448.08</v>
      </c>
      <c r="W49" s="1"/>
      <c r="X49" s="134"/>
      <c r="AB49" s="389"/>
      <c r="AC49" s="595"/>
      <c r="AD49" s="508"/>
    </row>
    <row r="50" spans="2:30" ht="13.5" customHeight="1">
      <c r="B50" s="489" t="s">
        <v>104</v>
      </c>
      <c r="C50" s="490" t="s">
        <v>105</v>
      </c>
      <c r="D50" s="488">
        <f>SUMIFS('B. Despesa'!$H$2:$H$1048576,'B. Despesa'!$I$2:$I$1048576,'Base Realizado'!D$5,'B. Despesa'!$K$2:$K$1048576,'Base Realizado'!$B50)</f>
        <v>0</v>
      </c>
      <c r="E50" s="832">
        <f t="shared" ref="E50:G67" si="30">-D50/D$11</f>
        <v>0</v>
      </c>
      <c r="F50" s="488">
        <f>SUMIFS('B. Despesa'!$H$2:$H$1048576,'B. Despesa'!$I$2:$I$1048576,'Base Realizado'!F$5,'B. Despesa'!$K$2:$K$1048576,'Base Realizado'!$B50)</f>
        <v>0</v>
      </c>
      <c r="G50" s="832">
        <f t="shared" si="30"/>
        <v>0</v>
      </c>
      <c r="H50" s="797">
        <f>SUMIFS('B. Despesa'!$H$2:$H$1048576,'B. Despesa'!$I$2:$I$1048576,'Base Realizado'!H$5,'B. Despesa'!$K$2:$K$1048576,'Base Realizado'!$B50)</f>
        <v>0</v>
      </c>
      <c r="I50" s="832">
        <f t="shared" ref="I50" si="31">-H50/H$11</f>
        <v>0</v>
      </c>
      <c r="J50" s="608"/>
      <c r="K50" s="812">
        <f>SUMIFS('B. Despesa'!$H$2:$H$1048576,'B. Despesa'!$I$2:$I$1048576,'Base Realizado'!K$5,'B. Despesa'!$K$2:$K$1048576,'Base Realizado'!$B50)</f>
        <v>0</v>
      </c>
      <c r="L50" s="832">
        <f t="shared" ref="L50" si="32">-K50/K$11</f>
        <v>0</v>
      </c>
      <c r="M50" s="488">
        <f>SUMIFS('B. Despesa'!$H$2:$H$1048576,'B. Despesa'!$I$2:$I$1048576,'Base Realizado'!M$5,'B. Despesa'!$K$2:$K$1048576,'Base Realizado'!$B50)</f>
        <v>0</v>
      </c>
      <c r="N50" s="488">
        <f>SUMIFS('B. Despesa'!$H$2:$H$1048576,'B. Despesa'!$I$2:$I$1048576,'Base Realizado'!N$5,'B. Despesa'!$K$2:$K$1048576,'Base Realizado'!$B50)</f>
        <v>0</v>
      </c>
      <c r="O50" s="488">
        <f>SUMIFS('B. Despesa'!$H$2:$H$1048576,'B. Despesa'!$I$2:$I$1048576,'Base Realizado'!O$5,'B. Despesa'!$K$2:$K$1048576,'Base Realizado'!$B50)</f>
        <v>0</v>
      </c>
      <c r="P50" s="488">
        <f>SUMIFS('B. Despesa'!$H$2:$H$1048576,'B. Despesa'!$I$2:$I$1048576,'Base Realizado'!P$5,'B. Despesa'!$K$2:$K$1048576,'Base Realizado'!$B50)</f>
        <v>0</v>
      </c>
      <c r="Q50" s="488">
        <f>SUMIFS('B. Despesa'!$H$2:$H$1048576,'B. Despesa'!$I$2:$I$1048576,'Base Realizado'!Q$5,'B. Despesa'!$K$2:$K$1048576,'Base Realizado'!$B50)</f>
        <v>0</v>
      </c>
      <c r="R50" s="488">
        <f>SUMIFS('B. Despesa'!$H$2:$H$1048576,'B. Despesa'!$I$2:$I$1048576,'Base Realizado'!R$5,'B. Despesa'!$K$2:$K$1048576,'Base Realizado'!$B50)</f>
        <v>0</v>
      </c>
      <c r="S50" s="488">
        <f>SUMIFS('B. Despesa'!$H$2:$H$1048576,'B. Despesa'!$I$2:$I$1048576,'Base Realizado'!S$5,'B. Despesa'!$K$2:$K$1048576,'Base Realizado'!$B50)</f>
        <v>0</v>
      </c>
      <c r="T50" s="488">
        <f>SUMIFS('B. Despesa'!$H$2:$H$1048576,'B. Despesa'!$I$2:$I$1048576,'Base Realizado'!T$5,'B. Despesa'!$K$2:$K$1048576,'Base Realizado'!$B50)</f>
        <v>0</v>
      </c>
      <c r="U50" s="74"/>
      <c r="V50" s="117">
        <v>-213951.72506400009</v>
      </c>
      <c r="W50" s="1"/>
      <c r="X50" s="134"/>
      <c r="AD50" s="508"/>
    </row>
    <row r="51" spans="2:30" ht="13.5" customHeight="1">
      <c r="B51" s="489" t="s">
        <v>106</v>
      </c>
      <c r="C51" s="490" t="s">
        <v>107</v>
      </c>
      <c r="D51" s="488">
        <f>SUMIFS('B. Despesa'!$H$2:$H$1048576,'B. Despesa'!$I$2:$I$1048576,'Base Realizado'!D$5,'B. Despesa'!$K$2:$K$1048576,'Base Realizado'!$B51)</f>
        <v>-16319.580000000002</v>
      </c>
      <c r="E51" s="832">
        <f t="shared" si="30"/>
        <v>1.1737758183112833E-2</v>
      </c>
      <c r="F51" s="488">
        <f>SUMIFS('B. Despesa'!$H$2:$H$1048576,'B. Despesa'!$I$2:$I$1048576,'Base Realizado'!F$5,'B. Despesa'!$K$2:$K$1048576,'Base Realizado'!$B51)</f>
        <v>-18791.330000000002</v>
      </c>
      <c r="G51" s="832">
        <f t="shared" si="30"/>
        <v>1.2293533144650436E-2</v>
      </c>
      <c r="H51" s="797">
        <f>SUMIFS('B. Despesa'!$H$2:$H$1048576,'B. Despesa'!$I$2:$I$1048576,'Base Realizado'!H$5,'B. Despesa'!$K$2:$K$1048576,'Base Realizado'!$B51)</f>
        <v>-8689.49</v>
      </c>
      <c r="I51" s="832">
        <f t="shared" ref="I51" si="33">-H51/H$11</f>
        <v>3.5561118486683967E-3</v>
      </c>
      <c r="J51" s="608"/>
      <c r="K51" s="812">
        <f>SUMIFS('B. Despesa'!$H$2:$H$1048576,'B. Despesa'!$I$2:$I$1048576,'Base Realizado'!K$5,'B. Despesa'!$K$2:$K$1048576,'Base Realizado'!$B51)</f>
        <v>-7638.4400000000005</v>
      </c>
      <c r="L51" s="832">
        <f t="shared" ref="L51" si="34">-K51/K$11</f>
        <v>3.3142744315501757E-3</v>
      </c>
      <c r="M51" s="488">
        <f>SUMIFS('B. Despesa'!$H$2:$H$1048576,'B. Despesa'!$I$2:$I$1048576,'Base Realizado'!M$5,'B. Despesa'!$K$2:$K$1048576,'Base Realizado'!$B51)</f>
        <v>0</v>
      </c>
      <c r="N51" s="488">
        <f>SUMIFS('B. Despesa'!$H$2:$H$1048576,'B. Despesa'!$I$2:$I$1048576,'Base Realizado'!N$5,'B. Despesa'!$K$2:$K$1048576,'Base Realizado'!$B51)</f>
        <v>0</v>
      </c>
      <c r="O51" s="488">
        <f>SUMIFS('B. Despesa'!$H$2:$H$1048576,'B. Despesa'!$I$2:$I$1048576,'Base Realizado'!O$5,'B. Despesa'!$K$2:$K$1048576,'Base Realizado'!$B51)</f>
        <v>0</v>
      </c>
      <c r="P51" s="488">
        <f>SUMIFS('B. Despesa'!$H$2:$H$1048576,'B. Despesa'!$I$2:$I$1048576,'Base Realizado'!P$5,'B. Despesa'!$K$2:$K$1048576,'Base Realizado'!$B51)</f>
        <v>0</v>
      </c>
      <c r="Q51" s="488">
        <f>SUMIFS('B. Despesa'!$H$2:$H$1048576,'B. Despesa'!$I$2:$I$1048576,'Base Realizado'!Q$5,'B. Despesa'!$K$2:$K$1048576,'Base Realizado'!$B51)</f>
        <v>0</v>
      </c>
      <c r="R51" s="488">
        <f>SUMIFS('B. Despesa'!$H$2:$H$1048576,'B. Despesa'!$I$2:$I$1048576,'Base Realizado'!R$5,'B. Despesa'!$K$2:$K$1048576,'Base Realizado'!$B51)</f>
        <v>0</v>
      </c>
      <c r="S51" s="488">
        <f>SUMIFS('B. Despesa'!$H$2:$H$1048576,'B. Despesa'!$I$2:$I$1048576,'Base Realizado'!S$5,'B. Despesa'!$K$2:$K$1048576,'Base Realizado'!$B51)</f>
        <v>0</v>
      </c>
      <c r="T51" s="488">
        <f>SUMIFS('B. Despesa'!$H$2:$H$1048576,'B. Despesa'!$I$2:$I$1048576,'Base Realizado'!T$5,'B. Despesa'!$K$2:$K$1048576,'Base Realizado'!$B51)</f>
        <v>0</v>
      </c>
      <c r="U51" s="74"/>
      <c r="V51" s="117">
        <v>-144581.06044799997</v>
      </c>
      <c r="W51" s="1"/>
      <c r="X51" s="134"/>
    </row>
    <row r="52" spans="2:30" ht="13.5" customHeight="1">
      <c r="B52" s="489" t="s">
        <v>655</v>
      </c>
      <c r="C52" s="490" t="s">
        <v>109</v>
      </c>
      <c r="D52" s="488">
        <f>SUMIFS('B. Despesa'!$H$2:$H$1048576,'B. Despesa'!$I$2:$I$1048576,'Base Realizado'!D$5,'B. Despesa'!$K$2:$K$1048576,'Base Realizado'!$B52)</f>
        <v>-14863.34</v>
      </c>
      <c r="E52" s="832">
        <f t="shared" si="30"/>
        <v>1.0690366462457261E-2</v>
      </c>
      <c r="F52" s="488">
        <f>SUMIFS('B. Despesa'!$H$2:$H$1048576,'B. Despesa'!$I$2:$I$1048576,'Base Realizado'!F$5,'B. Despesa'!$K$2:$K$1048576,'Base Realizado'!$B52)</f>
        <v>-130738.87</v>
      </c>
      <c r="G52" s="832">
        <f t="shared" si="30"/>
        <v>8.5531073725975987E-2</v>
      </c>
      <c r="H52" s="797">
        <f>SUMIFS('B. Despesa'!$H$2:$H$1048576,'B. Despesa'!$I$2:$I$1048576,'Base Realizado'!H$5,'B. Despesa'!$K$2:$K$1048576,'Base Realizado'!$B52)</f>
        <v>-139703.75</v>
      </c>
      <c r="I52" s="832">
        <f t="shared" ref="I52" si="35">-H52/H$11</f>
        <v>5.717276395719513E-2</v>
      </c>
      <c r="J52" s="608"/>
      <c r="K52" s="812">
        <f>SUMIFS('B. Despesa'!$H$2:$H$1048576,'B. Despesa'!$I$2:$I$1048576,'Base Realizado'!K$5,'B. Despesa'!$K$2:$K$1048576,'Base Realizado'!$B52)</f>
        <v>-173498.94</v>
      </c>
      <c r="L52" s="832">
        <f t="shared" ref="L52" si="36">-K52/K$11</f>
        <v>7.5280175106835684E-2</v>
      </c>
      <c r="M52" s="488">
        <f>SUMIFS('B. Despesa'!$H$2:$H$1048576,'B. Despesa'!$I$2:$I$1048576,'Base Realizado'!M$5,'B. Despesa'!$K$2:$K$1048576,'Base Realizado'!$B52)</f>
        <v>0</v>
      </c>
      <c r="N52" s="488">
        <f>SUMIFS('B. Despesa'!$H$2:$H$1048576,'B. Despesa'!$I$2:$I$1048576,'Base Realizado'!N$5,'B. Despesa'!$K$2:$K$1048576,'Base Realizado'!$B52)</f>
        <v>0</v>
      </c>
      <c r="O52" s="488">
        <f>SUMIFS('B. Despesa'!$H$2:$H$1048576,'B. Despesa'!$I$2:$I$1048576,'Base Realizado'!O$5,'B. Despesa'!$K$2:$K$1048576,'Base Realizado'!$B52)</f>
        <v>0</v>
      </c>
      <c r="P52" s="488">
        <f>SUMIFS('B. Despesa'!$H$2:$H$1048576,'B. Despesa'!$I$2:$I$1048576,'Base Realizado'!P$5,'B. Despesa'!$K$2:$K$1048576,'Base Realizado'!$B52)</f>
        <v>0</v>
      </c>
      <c r="Q52" s="488">
        <f>SUMIFS('B. Despesa'!$H$2:$H$1048576,'B. Despesa'!$I$2:$I$1048576,'Base Realizado'!Q$5,'B. Despesa'!$K$2:$K$1048576,'Base Realizado'!$B52)</f>
        <v>0</v>
      </c>
      <c r="R52" s="488">
        <f>SUMIFS('B. Despesa'!$H$2:$H$1048576,'B. Despesa'!$I$2:$I$1048576,'Base Realizado'!R$5,'B. Despesa'!$K$2:$K$1048576,'Base Realizado'!$B52)</f>
        <v>0</v>
      </c>
      <c r="S52" s="488">
        <f>SUMIFS('B. Despesa'!$H$2:$H$1048576,'B. Despesa'!$I$2:$I$1048576,'Base Realizado'!S$5,'B. Despesa'!$K$2:$K$1048576,'Base Realizado'!$B52)</f>
        <v>0</v>
      </c>
      <c r="T52" s="488">
        <f>SUMIFS('B. Despesa'!$H$2:$H$1048576,'B. Despesa'!$I$2:$I$1048576,'Base Realizado'!T$5,'B. Despesa'!$K$2:$K$1048576,'Base Realizado'!$B52)</f>
        <v>0</v>
      </c>
      <c r="U52" s="74"/>
      <c r="V52" s="117">
        <v>-768259.53293197206</v>
      </c>
      <c r="W52" s="1"/>
      <c r="X52" s="134"/>
    </row>
    <row r="53" spans="2:30" ht="13.5" customHeight="1">
      <c r="B53" s="754" t="s">
        <v>110</v>
      </c>
      <c r="C53" s="782" t="s">
        <v>111</v>
      </c>
      <c r="D53" s="685">
        <f>SUMIFS('B. Despesa'!$H$2:$H$1048576,'B. Despesa'!$I$2:$I$1048576,'Base Realizado'!D$5,'B. Despesa'!$K$2:$K$1048576,'Base Realizado'!$B53)</f>
        <v>-46511.41</v>
      </c>
      <c r="E53" s="832">
        <f t="shared" si="30"/>
        <v>3.3453047402912085E-2</v>
      </c>
      <c r="F53" s="685">
        <f>SUMIFS('B. Despesa'!$H$2:$H$1048576,'B. Despesa'!$I$2:$I$1048576,'Base Realizado'!F$5,'B. Despesa'!$K$2:$K$1048576,'Base Realizado'!$B53)</f>
        <v>-41287.919999999998</v>
      </c>
      <c r="G53" s="832">
        <f t="shared" si="30"/>
        <v>2.7011095701777128E-2</v>
      </c>
      <c r="H53" s="801">
        <f>SUMIFS('B. Despesa'!$H$2:$H$1048576,'B. Despesa'!$I$2:$I$1048576,'Base Realizado'!H$5,'B. Despesa'!$K$2:$K$1048576,'Base Realizado'!$B53)</f>
        <v>-45949.69</v>
      </c>
      <c r="I53" s="832">
        <f t="shared" ref="I53" si="37">-H53/H$11</f>
        <v>1.8804583128772777E-2</v>
      </c>
      <c r="J53" s="608"/>
      <c r="K53" s="816">
        <f>SUMIFS('B. Despesa'!$H$2:$H$1048576,'B. Despesa'!$I$2:$I$1048576,'Base Realizado'!K$5,'B. Despesa'!$K$2:$K$1048576,'Base Realizado'!$B53)</f>
        <v>-51012.05</v>
      </c>
      <c r="L53" s="832">
        <f t="shared" ref="L53" si="38">-K53/K$11</f>
        <v>2.2133830077340287E-2</v>
      </c>
      <c r="M53" s="488">
        <f>SUMIFS('B. Despesa'!$H$2:$H$1048576,'B. Despesa'!$I$2:$I$1048576,'Base Realizado'!M$5,'B. Despesa'!$K$2:$K$1048576,'Base Realizado'!$B53)</f>
        <v>0</v>
      </c>
      <c r="N53" s="488">
        <f>SUMIFS('B. Despesa'!$H$2:$H$1048576,'B. Despesa'!$I$2:$I$1048576,'Base Realizado'!N$5,'B. Despesa'!$K$2:$K$1048576,'Base Realizado'!$B53)</f>
        <v>0</v>
      </c>
      <c r="O53" s="488">
        <f>SUMIFS('B. Despesa'!$H$2:$H$1048576,'B. Despesa'!$I$2:$I$1048576,'Base Realizado'!O$5,'B. Despesa'!$K$2:$K$1048576,'Base Realizado'!$B53)</f>
        <v>0</v>
      </c>
      <c r="P53" s="488">
        <f>SUMIFS('B. Despesa'!$H$2:$H$1048576,'B. Despesa'!$I$2:$I$1048576,'Base Realizado'!P$5,'B. Despesa'!$K$2:$K$1048576,'Base Realizado'!$B53)</f>
        <v>0</v>
      </c>
      <c r="Q53" s="488">
        <f>SUMIFS('B. Despesa'!$H$2:$H$1048576,'B. Despesa'!$I$2:$I$1048576,'Base Realizado'!Q$5,'B. Despesa'!$K$2:$K$1048576,'Base Realizado'!$B53)</f>
        <v>0</v>
      </c>
      <c r="R53" s="488">
        <f>SUMIFS('B. Despesa'!$H$2:$H$1048576,'B. Despesa'!$I$2:$I$1048576,'Base Realizado'!R$5,'B. Despesa'!$K$2:$K$1048576,'Base Realizado'!$B53)</f>
        <v>0</v>
      </c>
      <c r="S53" s="488">
        <f>SUMIFS('B. Despesa'!$H$2:$H$1048576,'B. Despesa'!$I$2:$I$1048576,'Base Realizado'!S$5,'B. Despesa'!$K$2:$K$1048576,'Base Realizado'!$B53)</f>
        <v>0</v>
      </c>
      <c r="T53" s="488">
        <f>SUMIFS('B. Despesa'!$H$2:$H$1048576,'B. Despesa'!$I$2:$I$1048576,'Base Realizado'!T$5,'B. Despesa'!$K$2:$K$1048576,'Base Realizado'!$B53)</f>
        <v>0</v>
      </c>
      <c r="U53" s="74"/>
      <c r="V53" s="117">
        <v>-433750.40887261956</v>
      </c>
      <c r="W53" s="1"/>
      <c r="X53" s="134"/>
    </row>
    <row r="54" spans="2:30" ht="13.5" customHeight="1">
      <c r="B54" s="489" t="s">
        <v>654</v>
      </c>
      <c r="C54" s="490" t="s">
        <v>113</v>
      </c>
      <c r="D54" s="488">
        <f>SUMIFS('B. Despesa'!$H$2:$H$1048576,'B. Despesa'!$I$2:$I$1048576,'Base Realizado'!D$5,'B. Despesa'!$K$2:$K$1048576,'Base Realizado'!$B54)</f>
        <v>-7373.08</v>
      </c>
      <c r="E54" s="832">
        <f t="shared" si="30"/>
        <v>5.3030427317826536E-3</v>
      </c>
      <c r="F54" s="488">
        <f>SUMIFS('B. Despesa'!$H$2:$H$1048576,'B. Despesa'!$I$2:$I$1048576,'Base Realizado'!F$5,'B. Despesa'!$K$2:$K$1048576,'Base Realizado'!$B54)</f>
        <v>-6655.9</v>
      </c>
      <c r="G54" s="832">
        <f t="shared" si="30"/>
        <v>4.3543765799163138E-3</v>
      </c>
      <c r="H54" s="797">
        <f>SUMIFS('B. Despesa'!$H$2:$H$1048576,'B. Despesa'!$I$2:$I$1048576,'Base Realizado'!H$5,'B. Despesa'!$K$2:$K$1048576,'Base Realizado'!$B54)</f>
        <v>-38202.630000000005</v>
      </c>
      <c r="I54" s="832">
        <f t="shared" ref="I54" si="39">-H54/H$11</f>
        <v>1.5634154040489692E-2</v>
      </c>
      <c r="J54" s="608"/>
      <c r="K54" s="812">
        <f>SUMIFS('B. Despesa'!$H$2:$H$1048576,'B. Despesa'!$I$2:$I$1048576,'Base Realizado'!K$5,'B. Despesa'!$K$2:$K$1048576,'Base Realizado'!$B54)</f>
        <v>-8580.26</v>
      </c>
      <c r="L54" s="832">
        <f t="shared" ref="L54" si="40">-K54/K$11</f>
        <v>3.7229246199554761E-3</v>
      </c>
      <c r="M54" s="488">
        <f>SUMIFS('B. Despesa'!$H$2:$H$1048576,'B. Despesa'!$I$2:$I$1048576,'Base Realizado'!M$5,'B. Despesa'!$K$2:$K$1048576,'Base Realizado'!$B54)</f>
        <v>0</v>
      </c>
      <c r="N54" s="488">
        <f>SUMIFS('B. Despesa'!$H$2:$H$1048576,'B. Despesa'!$I$2:$I$1048576,'Base Realizado'!N$5,'B. Despesa'!$K$2:$K$1048576,'Base Realizado'!$B54)</f>
        <v>0</v>
      </c>
      <c r="O54" s="488">
        <f>SUMIFS('B. Despesa'!$H$2:$H$1048576,'B. Despesa'!$I$2:$I$1048576,'Base Realizado'!O$5,'B. Despesa'!$K$2:$K$1048576,'Base Realizado'!$B54)</f>
        <v>0</v>
      </c>
      <c r="P54" s="488">
        <f>SUMIFS('B. Despesa'!$H$2:$H$1048576,'B. Despesa'!$I$2:$I$1048576,'Base Realizado'!P$5,'B. Despesa'!$K$2:$K$1048576,'Base Realizado'!$B54)</f>
        <v>0</v>
      </c>
      <c r="Q54" s="488">
        <f>SUMIFS('B. Despesa'!$H$2:$H$1048576,'B. Despesa'!$I$2:$I$1048576,'Base Realizado'!Q$5,'B. Despesa'!$K$2:$K$1048576,'Base Realizado'!$B54)</f>
        <v>0</v>
      </c>
      <c r="R54" s="488">
        <f>SUMIFS('B. Despesa'!$H$2:$H$1048576,'B. Despesa'!$I$2:$I$1048576,'Base Realizado'!R$5,'B. Despesa'!$K$2:$K$1048576,'Base Realizado'!$B54)</f>
        <v>0</v>
      </c>
      <c r="S54" s="488">
        <f>SUMIFS('B. Despesa'!$H$2:$H$1048576,'B. Despesa'!$I$2:$I$1048576,'Base Realizado'!S$5,'B. Despesa'!$K$2:$K$1048576,'Base Realizado'!$B54)</f>
        <v>0</v>
      </c>
      <c r="T54" s="488">
        <f>SUMIFS('B. Despesa'!$H$2:$H$1048576,'B. Despesa'!$I$2:$I$1048576,'Base Realizado'!T$5,'B. Despesa'!$K$2:$K$1048576,'Base Realizado'!$B54)</f>
        <v>0</v>
      </c>
      <c r="U54" s="74"/>
      <c r="V54" s="117">
        <v>0</v>
      </c>
      <c r="W54" s="1"/>
      <c r="X54" s="134"/>
    </row>
    <row r="55" spans="2:30" ht="13.5" customHeight="1">
      <c r="B55" s="489" t="s">
        <v>114</v>
      </c>
      <c r="C55" s="490" t="s">
        <v>115</v>
      </c>
      <c r="D55" s="488">
        <f>SUMIFS('B. Despesa'!$H$2:$H$1048576,'B. Despesa'!$I$2:$I$1048576,'Base Realizado'!D$5,'B. Despesa'!$K$2:$K$1048576,'Base Realizado'!$B55)</f>
        <v>-16819.080000000002</v>
      </c>
      <c r="E55" s="832">
        <f t="shared" si="30"/>
        <v>1.2097020505578537E-2</v>
      </c>
      <c r="F55" s="488">
        <f>SUMIFS('B. Despesa'!$H$2:$H$1048576,'B. Despesa'!$I$2:$I$1048576,'Base Realizado'!F$5,'B. Despesa'!$K$2:$K$1048576,'Base Realizado'!$B55)</f>
        <v>-16406.98</v>
      </c>
      <c r="G55" s="832">
        <f t="shared" si="30"/>
        <v>1.0733660280225869E-2</v>
      </c>
      <c r="H55" s="797">
        <f>SUMIFS('B. Despesa'!$H$2:$H$1048576,'B. Despesa'!$I$2:$I$1048576,'Base Realizado'!H$5,'B. Despesa'!$K$2:$K$1048576,'Base Realizado'!$B55)</f>
        <v>-14030.09</v>
      </c>
      <c r="I55" s="832">
        <f t="shared" ref="I55" si="41">-H55/H$11</f>
        <v>5.7417143338543445E-3</v>
      </c>
      <c r="J55" s="608"/>
      <c r="K55" s="812">
        <f>SUMIFS('B. Despesa'!$H$2:$H$1048576,'B. Despesa'!$I$2:$I$1048576,'Base Realizado'!K$5,'B. Despesa'!$K$2:$K$1048576,'Base Realizado'!$B55)</f>
        <v>-16825.939999999999</v>
      </c>
      <c r="L55" s="832">
        <f t="shared" ref="L55" si="42">-K55/K$11</f>
        <v>7.3006769351853717E-3</v>
      </c>
      <c r="M55" s="488">
        <f>SUMIFS('B. Despesa'!$H$2:$H$1048576,'B. Despesa'!$I$2:$I$1048576,'Base Realizado'!M$5,'B. Despesa'!$K$2:$K$1048576,'Base Realizado'!$B55)</f>
        <v>0</v>
      </c>
      <c r="N55" s="488">
        <f>SUMIFS('B. Despesa'!$H$2:$H$1048576,'B. Despesa'!$I$2:$I$1048576,'Base Realizado'!N$5,'B. Despesa'!$K$2:$K$1048576,'Base Realizado'!$B55)</f>
        <v>0</v>
      </c>
      <c r="O55" s="488">
        <f>SUMIFS('B. Despesa'!$H$2:$H$1048576,'B. Despesa'!$I$2:$I$1048576,'Base Realizado'!O$5,'B. Despesa'!$K$2:$K$1048576,'Base Realizado'!$B55)</f>
        <v>0</v>
      </c>
      <c r="P55" s="488">
        <f>SUMIFS('B. Despesa'!$H$2:$H$1048576,'B. Despesa'!$I$2:$I$1048576,'Base Realizado'!P$5,'B. Despesa'!$K$2:$K$1048576,'Base Realizado'!$B55)</f>
        <v>0</v>
      </c>
      <c r="Q55" s="488">
        <f>SUMIFS('B. Despesa'!$H$2:$H$1048576,'B. Despesa'!$I$2:$I$1048576,'Base Realizado'!Q$5,'B. Despesa'!$K$2:$K$1048576,'Base Realizado'!$B55)</f>
        <v>0</v>
      </c>
      <c r="R55" s="488">
        <f>SUMIFS('B. Despesa'!$H$2:$H$1048576,'B. Despesa'!$I$2:$I$1048576,'Base Realizado'!R$5,'B. Despesa'!$K$2:$K$1048576,'Base Realizado'!$B55)</f>
        <v>0</v>
      </c>
      <c r="S55" s="488">
        <f>SUMIFS('B. Despesa'!$H$2:$H$1048576,'B. Despesa'!$I$2:$I$1048576,'Base Realizado'!S$5,'B. Despesa'!$K$2:$K$1048576,'Base Realizado'!$B55)</f>
        <v>0</v>
      </c>
      <c r="T55" s="488">
        <f>SUMIFS('B. Despesa'!$H$2:$H$1048576,'B. Despesa'!$I$2:$I$1048576,'Base Realizado'!T$5,'B. Despesa'!$K$2:$K$1048576,'Base Realizado'!$B55)</f>
        <v>0</v>
      </c>
      <c r="U55" s="74"/>
      <c r="V55" s="117">
        <v>-119703.1200000001</v>
      </c>
      <c r="W55" s="1"/>
      <c r="X55" s="134"/>
    </row>
    <row r="56" spans="2:30" ht="13.5" hidden="1" customHeight="1">
      <c r="B56" s="489" t="s">
        <v>116</v>
      </c>
      <c r="C56" s="490" t="s">
        <v>117</v>
      </c>
      <c r="D56" s="488">
        <f>SUMIFS('B. Despesa'!$H$2:$H$1048576,'B. Despesa'!$I$2:$I$1048576,'Base Realizado'!D$5,'B. Despesa'!$K$2:$K$1048576,'Base Realizado'!$B56)</f>
        <v>0</v>
      </c>
      <c r="E56" s="832">
        <f t="shared" si="30"/>
        <v>0</v>
      </c>
      <c r="F56" s="488">
        <f>SUMIFS('B. Despesa'!$H$2:$H$1048576,'B. Despesa'!$I$2:$I$1048576,'Base Realizado'!F$5,'B. Despesa'!$K$2:$K$1048576,'Base Realizado'!$B56)</f>
        <v>0</v>
      </c>
      <c r="G56" s="832">
        <f t="shared" si="30"/>
        <v>0</v>
      </c>
      <c r="H56" s="797">
        <f>SUMIFS('B. Despesa'!$H$2:$H$1048576,'B. Despesa'!$I$2:$I$1048576,'Base Realizado'!H$5,'B. Despesa'!$K$2:$K$1048576,'Base Realizado'!$B56)</f>
        <v>0</v>
      </c>
      <c r="I56" s="832">
        <f t="shared" ref="I56" si="43">-H56/H$11</f>
        <v>0</v>
      </c>
      <c r="J56" s="608"/>
      <c r="K56" s="812">
        <f>SUMIFS('B. Despesa'!$H$2:$H$1048576,'B. Despesa'!$I$2:$I$1048576,'Base Realizado'!K$5,'B. Despesa'!$K$2:$K$1048576,'Base Realizado'!$B56)</f>
        <v>0</v>
      </c>
      <c r="L56" s="832">
        <f t="shared" ref="L56" si="44">-K56/K$11</f>
        <v>0</v>
      </c>
      <c r="M56" s="488">
        <f>SUMIFS('B. Despesa'!$H$2:$H$1048576,'B. Despesa'!$I$2:$I$1048576,'Base Realizado'!M$5,'B. Despesa'!$K$2:$K$1048576,'Base Realizado'!$B56)</f>
        <v>0</v>
      </c>
      <c r="N56" s="488">
        <f>SUMIFS('B. Despesa'!$H$2:$H$1048576,'B. Despesa'!$I$2:$I$1048576,'Base Realizado'!N$5,'B. Despesa'!$K$2:$K$1048576,'Base Realizado'!$B56)</f>
        <v>0</v>
      </c>
      <c r="O56" s="488">
        <f>SUMIFS('B. Despesa'!$H$2:$H$1048576,'B. Despesa'!$I$2:$I$1048576,'Base Realizado'!O$5,'B. Despesa'!$K$2:$K$1048576,'Base Realizado'!$B56)</f>
        <v>0</v>
      </c>
      <c r="P56" s="488">
        <f>SUMIFS('B. Despesa'!$H$2:$H$1048576,'B. Despesa'!$I$2:$I$1048576,'Base Realizado'!P$5,'B. Despesa'!$K$2:$K$1048576,'Base Realizado'!$B56)</f>
        <v>0</v>
      </c>
      <c r="Q56" s="488">
        <f>SUMIFS('B. Despesa'!$H$2:$H$1048576,'B. Despesa'!$I$2:$I$1048576,'Base Realizado'!Q$5,'B. Despesa'!$K$2:$K$1048576,'Base Realizado'!$B56)</f>
        <v>0</v>
      </c>
      <c r="R56" s="488">
        <f>SUMIFS('B. Despesa'!$H$2:$H$1048576,'B. Despesa'!$I$2:$I$1048576,'Base Realizado'!R$5,'B. Despesa'!$K$2:$K$1048576,'Base Realizado'!$B56)</f>
        <v>0</v>
      </c>
      <c r="S56" s="488">
        <f>SUMIFS('B. Despesa'!$H$2:$H$1048576,'B. Despesa'!$I$2:$I$1048576,'Base Realizado'!S$5,'B. Despesa'!$K$2:$K$1048576,'Base Realizado'!$B56)</f>
        <v>0</v>
      </c>
      <c r="T56" s="488">
        <f>SUMIFS('B. Despesa'!$H$2:$H$1048576,'B. Despesa'!$I$2:$I$1048576,'Base Realizado'!T$5,'B. Despesa'!$K$2:$K$1048576,'Base Realizado'!$B56)</f>
        <v>0</v>
      </c>
      <c r="U56" s="74"/>
      <c r="V56" s="117">
        <v>0</v>
      </c>
      <c r="W56" s="1"/>
      <c r="X56" s="134"/>
    </row>
    <row r="57" spans="2:30" ht="13.5" hidden="1" customHeight="1">
      <c r="B57" s="489" t="s">
        <v>118</v>
      </c>
      <c r="C57" s="490" t="s">
        <v>119</v>
      </c>
      <c r="D57" s="488">
        <f>SUMIFS('B. Despesa'!$H$2:$H$1048576,'B. Despesa'!$I$2:$I$1048576,'Base Realizado'!D$5,'B. Despesa'!$K$2:$K$1048576,'Base Realizado'!$B57)</f>
        <v>0</v>
      </c>
      <c r="E57" s="832">
        <f t="shared" si="30"/>
        <v>0</v>
      </c>
      <c r="F57" s="488">
        <f>SUMIFS('B. Despesa'!$H$2:$H$1048576,'B. Despesa'!$I$2:$I$1048576,'Base Realizado'!F$5,'B. Despesa'!$K$2:$K$1048576,'Base Realizado'!$B57)</f>
        <v>0</v>
      </c>
      <c r="G57" s="832">
        <f t="shared" si="30"/>
        <v>0</v>
      </c>
      <c r="H57" s="797">
        <f>SUMIFS('B. Despesa'!$H$2:$H$1048576,'B. Despesa'!$I$2:$I$1048576,'Base Realizado'!H$5,'B. Despesa'!$K$2:$K$1048576,'Base Realizado'!$B57)</f>
        <v>0</v>
      </c>
      <c r="I57" s="832">
        <f t="shared" ref="I57" si="45">-H57/H$11</f>
        <v>0</v>
      </c>
      <c r="J57" s="608"/>
      <c r="K57" s="812">
        <f>SUMIFS('B. Despesa'!$H$2:$H$1048576,'B. Despesa'!$I$2:$I$1048576,'Base Realizado'!K$5,'B. Despesa'!$K$2:$K$1048576,'Base Realizado'!$B57)</f>
        <v>0</v>
      </c>
      <c r="L57" s="832">
        <f t="shared" ref="L57" si="46">-K57/K$11</f>
        <v>0</v>
      </c>
      <c r="M57" s="488">
        <f>SUMIFS('B. Despesa'!$H$2:$H$1048576,'B. Despesa'!$I$2:$I$1048576,'Base Realizado'!M$5,'B. Despesa'!$K$2:$K$1048576,'Base Realizado'!$B57)</f>
        <v>0</v>
      </c>
      <c r="N57" s="488">
        <f>SUMIFS('B. Despesa'!$H$2:$H$1048576,'B. Despesa'!$I$2:$I$1048576,'Base Realizado'!N$5,'B. Despesa'!$K$2:$K$1048576,'Base Realizado'!$B57)</f>
        <v>0</v>
      </c>
      <c r="O57" s="488">
        <f>SUMIFS('B. Despesa'!$H$2:$H$1048576,'B. Despesa'!$I$2:$I$1048576,'Base Realizado'!O$5,'B. Despesa'!$K$2:$K$1048576,'Base Realizado'!$B57)</f>
        <v>0</v>
      </c>
      <c r="P57" s="488">
        <f>SUMIFS('B. Despesa'!$H$2:$H$1048576,'B. Despesa'!$I$2:$I$1048576,'Base Realizado'!P$5,'B. Despesa'!$K$2:$K$1048576,'Base Realizado'!$B57)</f>
        <v>0</v>
      </c>
      <c r="Q57" s="488">
        <f>SUMIFS('B. Despesa'!$H$2:$H$1048576,'B. Despesa'!$I$2:$I$1048576,'Base Realizado'!Q$5,'B. Despesa'!$K$2:$K$1048576,'Base Realizado'!$B57)</f>
        <v>0</v>
      </c>
      <c r="R57" s="488">
        <f>SUMIFS('B. Despesa'!$H$2:$H$1048576,'B. Despesa'!$I$2:$I$1048576,'Base Realizado'!R$5,'B. Despesa'!$K$2:$K$1048576,'Base Realizado'!$B57)</f>
        <v>0</v>
      </c>
      <c r="S57" s="488">
        <f>SUMIFS('B. Despesa'!$H$2:$H$1048576,'B. Despesa'!$I$2:$I$1048576,'Base Realizado'!S$5,'B. Despesa'!$K$2:$K$1048576,'Base Realizado'!$B57)</f>
        <v>0</v>
      </c>
      <c r="T57" s="488">
        <f>SUMIFS('B. Despesa'!$H$2:$H$1048576,'B. Despesa'!$I$2:$I$1048576,'Base Realizado'!T$5,'B. Despesa'!$K$2:$K$1048576,'Base Realizado'!$B57)</f>
        <v>0</v>
      </c>
      <c r="U57" s="74"/>
      <c r="V57" s="117">
        <v>0</v>
      </c>
      <c r="W57" s="1"/>
      <c r="X57" s="134"/>
    </row>
    <row r="58" spans="2:30" ht="13.5" customHeight="1">
      <c r="B58" s="489" t="s">
        <v>120</v>
      </c>
      <c r="C58" s="490" t="s">
        <v>121</v>
      </c>
      <c r="D58" s="488">
        <f>SUMIFS('B. Despesa'!$H$2:$H$1048576,'B. Despesa'!$I$2:$I$1048576,'Base Realizado'!D$5,'B. Despesa'!$K$2:$K$1048576,'Base Realizado'!$B58)</f>
        <v>-17289.249999999996</v>
      </c>
      <c r="E58" s="832">
        <f t="shared" si="30"/>
        <v>1.2435187404785141E-2</v>
      </c>
      <c r="F58" s="488">
        <f>SUMIFS('B. Despesa'!$H$2:$H$1048576,'B. Despesa'!$I$2:$I$1048576,'Base Realizado'!F$5,'B. Despesa'!$K$2:$K$1048576,'Base Realizado'!$B58)</f>
        <v>-20371.370000000003</v>
      </c>
      <c r="G58" s="832">
        <f t="shared" si="30"/>
        <v>1.332721591802909E-2</v>
      </c>
      <c r="H58" s="797">
        <f>SUMIFS('B. Despesa'!$H$2:$H$1048576,'B. Despesa'!$I$2:$I$1048576,'Base Realizado'!H$5,'B. Despesa'!$K$2:$K$1048576,'Base Realizado'!$B58)</f>
        <v>-27246.38</v>
      </c>
      <c r="I58" s="832">
        <f t="shared" ref="I58" si="47">-H58/H$11</f>
        <v>1.1150386818020578E-2</v>
      </c>
      <c r="J58" s="608"/>
      <c r="K58" s="812">
        <f>SUMIFS('B. Despesa'!$H$2:$H$1048576,'B. Despesa'!$I$2:$I$1048576,'Base Realizado'!K$5,'B. Despesa'!$K$2:$K$1048576,'Base Realizado'!$B58)</f>
        <v>-31024.469999999998</v>
      </c>
      <c r="L58" s="832">
        <f t="shared" ref="L58" si="48">-K58/K$11</f>
        <v>1.3461336041573339E-2</v>
      </c>
      <c r="M58" s="488">
        <f>SUMIFS('B. Despesa'!$H$2:$H$1048576,'B. Despesa'!$I$2:$I$1048576,'Base Realizado'!M$5,'B. Despesa'!$K$2:$K$1048576,'Base Realizado'!$B58)</f>
        <v>0</v>
      </c>
      <c r="N58" s="488">
        <f>SUMIFS('B. Despesa'!$H$2:$H$1048576,'B. Despesa'!$I$2:$I$1048576,'Base Realizado'!N$5,'B. Despesa'!$K$2:$K$1048576,'Base Realizado'!$B58)</f>
        <v>0</v>
      </c>
      <c r="O58" s="488">
        <f>SUMIFS('B. Despesa'!$H$2:$H$1048576,'B. Despesa'!$I$2:$I$1048576,'Base Realizado'!O$5,'B. Despesa'!$K$2:$K$1048576,'Base Realizado'!$B58)</f>
        <v>0</v>
      </c>
      <c r="P58" s="488">
        <f>SUMIFS('B. Despesa'!$H$2:$H$1048576,'B. Despesa'!$I$2:$I$1048576,'Base Realizado'!P$5,'B. Despesa'!$K$2:$K$1048576,'Base Realizado'!$B58)</f>
        <v>0</v>
      </c>
      <c r="Q58" s="488">
        <f>SUMIFS('B. Despesa'!$H$2:$H$1048576,'B. Despesa'!$I$2:$I$1048576,'Base Realizado'!Q$5,'B. Despesa'!$K$2:$K$1048576,'Base Realizado'!$B58)</f>
        <v>0</v>
      </c>
      <c r="R58" s="488">
        <f>SUMIFS('B. Despesa'!$H$2:$H$1048576,'B. Despesa'!$I$2:$I$1048576,'Base Realizado'!R$5,'B. Despesa'!$K$2:$K$1048576,'Base Realizado'!$B58)</f>
        <v>0</v>
      </c>
      <c r="S58" s="488">
        <f>SUMIFS('B. Despesa'!$H$2:$H$1048576,'B. Despesa'!$I$2:$I$1048576,'Base Realizado'!S$5,'B. Despesa'!$K$2:$K$1048576,'Base Realizado'!$B58)</f>
        <v>0</v>
      </c>
      <c r="T58" s="488">
        <f>SUMIFS('B. Despesa'!$H$2:$H$1048576,'B. Despesa'!$I$2:$I$1048576,'Base Realizado'!T$5,'B. Despesa'!$K$2:$K$1048576,'Base Realizado'!$B58)</f>
        <v>0</v>
      </c>
      <c r="U58" s="74"/>
      <c r="V58" s="117">
        <v>-260325.55200000003</v>
      </c>
      <c r="W58" s="1"/>
      <c r="X58" s="134"/>
      <c r="Z58" s="389"/>
    </row>
    <row r="59" spans="2:30" ht="13.5" customHeight="1">
      <c r="B59" s="489" t="s">
        <v>124</v>
      </c>
      <c r="C59" s="490" t="s">
        <v>125</v>
      </c>
      <c r="D59" s="488">
        <f>SUMIFS('B. Despesa'!$H$2:$H$1048576,'B. Despesa'!$I$2:$I$1048576,'Base Realizado'!D$5,'B. Despesa'!$K$2:$K$1048576,'Base Realizado'!$B59)</f>
        <v>-4013.16</v>
      </c>
      <c r="E59" s="832">
        <f t="shared" si="30"/>
        <v>2.8864408048577899E-3</v>
      </c>
      <c r="F59" s="488">
        <f>SUMIFS('B. Despesa'!$H$2:$H$1048576,'B. Despesa'!$I$2:$I$1048576,'Base Realizado'!F$5,'B. Despesa'!$K$2:$K$1048576,'Base Realizado'!$B59)</f>
        <v>-4013.16</v>
      </c>
      <c r="G59" s="832">
        <f t="shared" si="30"/>
        <v>2.6254616078151649E-3</v>
      </c>
      <c r="H59" s="797">
        <f>SUMIFS('B. Despesa'!$H$2:$H$1048576,'B. Despesa'!$I$2:$I$1048576,'Base Realizado'!H$5,'B. Despesa'!$K$2:$K$1048576,'Base Realizado'!$B59)</f>
        <v>-3703.46</v>
      </c>
      <c r="I59" s="832">
        <f t="shared" ref="I59" si="49">-H59/H$11</f>
        <v>1.5156146088055179E-3</v>
      </c>
      <c r="J59" s="608"/>
      <c r="K59" s="812">
        <f>SUMIFS('B. Despesa'!$H$2:$H$1048576,'B. Despesa'!$I$2:$I$1048576,'Base Realizado'!K$5,'B. Despesa'!$K$2:$K$1048576,'Base Realizado'!$B59)</f>
        <v>-3703.46</v>
      </c>
      <c r="L59" s="832">
        <f t="shared" ref="L59" si="50">-K59/K$11</f>
        <v>1.6069096289646593E-3</v>
      </c>
      <c r="M59" s="488">
        <f>SUMIFS('B. Despesa'!$H$2:$H$1048576,'B. Despesa'!$I$2:$I$1048576,'Base Realizado'!M$5,'B. Despesa'!$K$2:$K$1048576,'Base Realizado'!$B59)</f>
        <v>0</v>
      </c>
      <c r="N59" s="488">
        <f>SUMIFS('B. Despesa'!$H$2:$H$1048576,'B. Despesa'!$I$2:$I$1048576,'Base Realizado'!N$5,'B. Despesa'!$K$2:$K$1048576,'Base Realizado'!$B59)</f>
        <v>0</v>
      </c>
      <c r="O59" s="488">
        <f>SUMIFS('B. Despesa'!$H$2:$H$1048576,'B. Despesa'!$I$2:$I$1048576,'Base Realizado'!O$5,'B. Despesa'!$K$2:$K$1048576,'Base Realizado'!$B59)</f>
        <v>0</v>
      </c>
      <c r="P59" s="488">
        <f>SUMIFS('B. Despesa'!$H$2:$H$1048576,'B. Despesa'!$I$2:$I$1048576,'Base Realizado'!P$5,'B. Despesa'!$K$2:$K$1048576,'Base Realizado'!$B59)</f>
        <v>0</v>
      </c>
      <c r="Q59" s="488">
        <f>SUMIFS('B. Despesa'!$H$2:$H$1048576,'B. Despesa'!$I$2:$I$1048576,'Base Realizado'!Q$5,'B. Despesa'!$K$2:$K$1048576,'Base Realizado'!$B59)</f>
        <v>0</v>
      </c>
      <c r="R59" s="488">
        <f>SUMIFS('B. Despesa'!$H$2:$H$1048576,'B. Despesa'!$I$2:$I$1048576,'Base Realizado'!R$5,'B. Despesa'!$K$2:$K$1048576,'Base Realizado'!$B59)</f>
        <v>0</v>
      </c>
      <c r="S59" s="488">
        <f>SUMIFS('B. Despesa'!$H$2:$H$1048576,'B. Despesa'!$I$2:$I$1048576,'Base Realizado'!S$5,'B. Despesa'!$K$2:$K$1048576,'Base Realizado'!$B59)</f>
        <v>0</v>
      </c>
      <c r="T59" s="488">
        <f>SUMIFS('B. Despesa'!$H$2:$H$1048576,'B. Despesa'!$I$2:$I$1048576,'Base Realizado'!T$5,'B. Despesa'!$K$2:$K$1048576,'Base Realizado'!$B59)</f>
        <v>0</v>
      </c>
      <c r="U59" s="74"/>
      <c r="V59" s="117">
        <v>-52328.96160000001</v>
      </c>
      <c r="W59" s="1"/>
      <c r="X59" s="134">
        <v>0.02</v>
      </c>
    </row>
    <row r="60" spans="2:30" ht="13.5" customHeight="1">
      <c r="B60" s="489" t="s">
        <v>1326</v>
      </c>
      <c r="C60" s="490" t="s">
        <v>128</v>
      </c>
      <c r="D60" s="488">
        <f>SUMIFS('B. Despesa'!$H$2:$H$1048576,'B. Despesa'!$I$2:$I$1048576,'Base Realizado'!D$5,'B. Despesa'!$K$2:$K$1048576,'Base Realizado'!$B60)</f>
        <v>-771.93</v>
      </c>
      <c r="E60" s="832">
        <f t="shared" si="30"/>
        <v>5.5520593509699931E-4</v>
      </c>
      <c r="F60" s="488">
        <f>SUMIFS('B. Despesa'!$H$2:$H$1048576,'B. Despesa'!$I$2:$I$1048576,'Base Realizado'!F$5,'B. Despesa'!$K$2:$K$1048576,'Base Realizado'!$B60)</f>
        <v>-771.93</v>
      </c>
      <c r="G60" s="832">
        <f t="shared" si="30"/>
        <v>5.0500667277675446E-4</v>
      </c>
      <c r="H60" s="797">
        <f>SUMIFS('B. Despesa'!$H$2:$H$1048576,'B. Despesa'!$I$2:$I$1048576,'Base Realizado'!H$5,'B. Despesa'!$K$2:$K$1048576,'Base Realizado'!$B60)</f>
        <v>-771.93</v>
      </c>
      <c r="I60" s="832">
        <f t="shared" ref="I60" si="51">-H60/H$11</f>
        <v>3.1590685061408613E-4</v>
      </c>
      <c r="J60" s="608"/>
      <c r="K60" s="812">
        <f>SUMIFS('B. Despesa'!$H$2:$H$1048576,'B. Despesa'!$I$2:$I$1048576,'Base Realizado'!K$5,'B. Despesa'!$K$2:$K$1048576,'Base Realizado'!$B60)</f>
        <v>-773.46</v>
      </c>
      <c r="L60" s="832">
        <f t="shared" ref="L60" si="52">-K60/K$11</f>
        <v>3.3559976930195153E-4</v>
      </c>
      <c r="M60" s="488">
        <f>SUMIFS('B. Despesa'!$H$2:$H$1048576,'B. Despesa'!$I$2:$I$1048576,'Base Realizado'!M$5,'B. Despesa'!$K$2:$K$1048576,'Base Realizado'!$B60)</f>
        <v>0</v>
      </c>
      <c r="N60" s="488">
        <f>SUMIFS('B. Despesa'!$H$2:$H$1048576,'B. Despesa'!$I$2:$I$1048576,'Base Realizado'!N$5,'B. Despesa'!$K$2:$K$1048576,'Base Realizado'!$B60)</f>
        <v>0</v>
      </c>
      <c r="O60" s="488">
        <f>SUMIFS('B. Despesa'!$H$2:$H$1048576,'B. Despesa'!$I$2:$I$1048576,'Base Realizado'!O$5,'B. Despesa'!$K$2:$K$1048576,'Base Realizado'!$B60)</f>
        <v>0</v>
      </c>
      <c r="P60" s="488">
        <f>SUMIFS('B. Despesa'!$H$2:$H$1048576,'B. Despesa'!$I$2:$I$1048576,'Base Realizado'!P$5,'B. Despesa'!$K$2:$K$1048576,'Base Realizado'!$B60)</f>
        <v>0</v>
      </c>
      <c r="Q60" s="488">
        <f>SUMIFS('B. Despesa'!$H$2:$H$1048576,'B. Despesa'!$I$2:$I$1048576,'Base Realizado'!Q$5,'B. Despesa'!$K$2:$K$1048576,'Base Realizado'!$B60)</f>
        <v>0</v>
      </c>
      <c r="R60" s="488">
        <f>SUMIFS('B. Despesa'!$H$2:$H$1048576,'B. Despesa'!$I$2:$I$1048576,'Base Realizado'!R$5,'B. Despesa'!$K$2:$K$1048576,'Base Realizado'!$B60)</f>
        <v>0</v>
      </c>
      <c r="S60" s="488">
        <f>SUMIFS('B. Despesa'!$H$2:$H$1048576,'B. Despesa'!$I$2:$I$1048576,'Base Realizado'!S$5,'B. Despesa'!$K$2:$K$1048576,'Base Realizado'!$B60)</f>
        <v>0</v>
      </c>
      <c r="T60" s="488">
        <f>SUMIFS('B. Despesa'!$H$2:$H$1048576,'B. Despesa'!$I$2:$I$1048576,'Base Realizado'!T$5,'B. Despesa'!$K$2:$K$1048576,'Base Realizado'!$B60)</f>
        <v>0</v>
      </c>
      <c r="U60" s="74"/>
      <c r="V60" s="117">
        <v>-9606.2399999999816</v>
      </c>
      <c r="W60" s="1"/>
      <c r="X60" s="134"/>
    </row>
    <row r="61" spans="2:30" ht="13.5" customHeight="1">
      <c r="B61" s="489" t="s">
        <v>656</v>
      </c>
      <c r="C61" s="490"/>
      <c r="D61" s="488">
        <f>SUMIFS('B. Despesa'!$H$2:$H$1048576,'B. Despesa'!$I$2:$I$1048576,'Base Realizado'!D$5,'B. Despesa'!$K$2:$K$1048576,'Base Realizado'!$B61)</f>
        <v>-26135.41</v>
      </c>
      <c r="E61" s="832">
        <f t="shared" si="30"/>
        <v>1.87977339243111E-2</v>
      </c>
      <c r="F61" s="488">
        <f>SUMIFS('B. Despesa'!$H$2:$H$1048576,'B. Despesa'!$I$2:$I$1048576,'Base Realizado'!F$5,'B. Despesa'!$K$2:$K$1048576,'Base Realizado'!$B61)</f>
        <v>-21680.649999999998</v>
      </c>
      <c r="G61" s="832">
        <f t="shared" si="30"/>
        <v>1.4183763968413383E-2</v>
      </c>
      <c r="H61" s="797">
        <f>SUMIFS('B. Despesa'!$H$2:$H$1048576,'B. Despesa'!$I$2:$I$1048576,'Base Realizado'!H$5,'B. Despesa'!$K$2:$K$1048576,'Base Realizado'!$B61)</f>
        <v>-22027.809999999998</v>
      </c>
      <c r="I61" s="832">
        <f t="shared" ref="I61" si="53">-H61/H$11</f>
        <v>9.0147242405729435E-3</v>
      </c>
      <c r="J61" s="608"/>
      <c r="K61" s="812">
        <f>SUMIFS('B. Despesa'!$H$2:$H$1048576,'B. Despesa'!$I$2:$I$1048576,'Base Realizado'!K$5,'B. Despesa'!$K$2:$K$1048576,'Base Realizado'!$B61)</f>
        <v>-17400</v>
      </c>
      <c r="L61" s="832">
        <f t="shared" ref="L61" si="54">-K61/K$11</f>
        <v>7.5497582109662507E-3</v>
      </c>
      <c r="M61" s="488">
        <f>SUMIFS('B. Despesa'!$H$2:$H$1048576,'B. Despesa'!$I$2:$I$1048576,'Base Realizado'!M$5,'B. Despesa'!$K$2:$K$1048576,'Base Realizado'!$B61)</f>
        <v>0</v>
      </c>
      <c r="N61" s="488">
        <f>SUMIFS('B. Despesa'!$H$2:$H$1048576,'B. Despesa'!$I$2:$I$1048576,'Base Realizado'!N$5,'B. Despesa'!$K$2:$K$1048576,'Base Realizado'!$B61)</f>
        <v>0</v>
      </c>
      <c r="O61" s="488">
        <f>SUMIFS('B. Despesa'!$H$2:$H$1048576,'B. Despesa'!$I$2:$I$1048576,'Base Realizado'!O$5,'B. Despesa'!$K$2:$K$1048576,'Base Realizado'!$B61)</f>
        <v>0</v>
      </c>
      <c r="P61" s="488">
        <f>SUMIFS('B. Despesa'!$H$2:$H$1048576,'B. Despesa'!$I$2:$I$1048576,'Base Realizado'!P$5,'B. Despesa'!$K$2:$K$1048576,'Base Realizado'!$B61)</f>
        <v>0</v>
      </c>
      <c r="Q61" s="488">
        <f>SUMIFS('B. Despesa'!$H$2:$H$1048576,'B. Despesa'!$I$2:$I$1048576,'Base Realizado'!Q$5,'B. Despesa'!$K$2:$K$1048576,'Base Realizado'!$B61)</f>
        <v>0</v>
      </c>
      <c r="R61" s="488">
        <f>SUMIFS('B. Despesa'!$H$2:$H$1048576,'B. Despesa'!$I$2:$I$1048576,'Base Realizado'!R$5,'B. Despesa'!$K$2:$K$1048576,'Base Realizado'!$B61)</f>
        <v>0</v>
      </c>
      <c r="S61" s="488">
        <f>SUMIFS('B. Despesa'!$H$2:$H$1048576,'B. Despesa'!$I$2:$I$1048576,'Base Realizado'!S$5,'B. Despesa'!$K$2:$K$1048576,'Base Realizado'!$B61)</f>
        <v>0</v>
      </c>
      <c r="T61" s="488">
        <f>SUMIFS('B. Despesa'!$H$2:$H$1048576,'B. Despesa'!$I$2:$I$1048576,'Base Realizado'!T$5,'B. Despesa'!$K$2:$K$1048576,'Base Realizado'!$B61)</f>
        <v>0</v>
      </c>
      <c r="U61" s="74"/>
      <c r="V61" s="117"/>
      <c r="W61" s="1"/>
      <c r="X61" s="134"/>
    </row>
    <row r="62" spans="2:30" ht="13.5" customHeight="1">
      <c r="B62" s="489" t="s">
        <v>130</v>
      </c>
      <c r="C62" s="490" t="s">
        <v>131</v>
      </c>
      <c r="D62" s="488">
        <f>SUMIFS('B. Despesa'!$H$2:$H$1048576,'B. Despesa'!$I$2:$I$1048576,'Base Realizado'!D$5,'B. Despesa'!$K$2:$K$1048576,'Base Realizado'!$B62)</f>
        <v>-378</v>
      </c>
      <c r="E62" s="832">
        <f t="shared" si="30"/>
        <v>2.7187418997404655E-4</v>
      </c>
      <c r="F62" s="488">
        <f>SUMIFS('B. Despesa'!$H$2:$H$1048576,'B. Despesa'!$I$2:$I$1048576,'Base Realizado'!F$5,'B. Despesa'!$K$2:$K$1048576,'Base Realizado'!$B62)</f>
        <v>-378</v>
      </c>
      <c r="G62" s="832">
        <f t="shared" si="30"/>
        <v>2.4729252951642407E-4</v>
      </c>
      <c r="H62" s="797">
        <f>SUMIFS('B. Despesa'!$H$2:$H$1048576,'B. Despesa'!$I$2:$I$1048576,'Base Realizado'!H$5,'B. Despesa'!$K$2:$K$1048576,'Base Realizado'!$B62)</f>
        <v>-22464</v>
      </c>
      <c r="I62" s="832">
        <f t="shared" ref="I62" si="55">-H62/H$11</f>
        <v>9.1932318891542377E-3</v>
      </c>
      <c r="J62" s="608"/>
      <c r="K62" s="812">
        <f>SUMIFS('B. Despesa'!$H$2:$H$1048576,'B. Despesa'!$I$2:$I$1048576,'Base Realizado'!K$5,'B. Despesa'!$K$2:$K$1048576,'Base Realizado'!$B62)</f>
        <v>-3871.63</v>
      </c>
      <c r="L62" s="832">
        <f t="shared" ref="L62" si="56">-K62/K$11</f>
        <v>1.6798776081794981E-3</v>
      </c>
      <c r="M62" s="488">
        <f>SUMIFS('B. Despesa'!$H$2:$H$1048576,'B. Despesa'!$I$2:$I$1048576,'Base Realizado'!M$5,'B. Despesa'!$K$2:$K$1048576,'Base Realizado'!$B62)</f>
        <v>0</v>
      </c>
      <c r="N62" s="488">
        <f>SUMIFS('B. Despesa'!$H$2:$H$1048576,'B. Despesa'!$I$2:$I$1048576,'Base Realizado'!N$5,'B. Despesa'!$K$2:$K$1048576,'Base Realizado'!$B62)</f>
        <v>0</v>
      </c>
      <c r="O62" s="488">
        <f>SUMIFS('B. Despesa'!$H$2:$H$1048576,'B. Despesa'!$I$2:$I$1048576,'Base Realizado'!O$5,'B. Despesa'!$K$2:$K$1048576,'Base Realizado'!$B62)</f>
        <v>0</v>
      </c>
      <c r="P62" s="488">
        <f>SUMIFS('B. Despesa'!$H$2:$H$1048576,'B. Despesa'!$I$2:$I$1048576,'Base Realizado'!P$5,'B. Despesa'!$K$2:$K$1048576,'Base Realizado'!$B62)</f>
        <v>0</v>
      </c>
      <c r="Q62" s="488">
        <f>SUMIFS('B. Despesa'!$H$2:$H$1048576,'B. Despesa'!$I$2:$I$1048576,'Base Realizado'!Q$5,'B. Despesa'!$K$2:$K$1048576,'Base Realizado'!$B62)</f>
        <v>0</v>
      </c>
      <c r="R62" s="488">
        <f>SUMIFS('B. Despesa'!$H$2:$H$1048576,'B. Despesa'!$I$2:$I$1048576,'Base Realizado'!R$5,'B. Despesa'!$K$2:$K$1048576,'Base Realizado'!$B62)</f>
        <v>0</v>
      </c>
      <c r="S62" s="488">
        <f>SUMIFS('B. Despesa'!$H$2:$H$1048576,'B. Despesa'!$I$2:$I$1048576,'Base Realizado'!S$5,'B. Despesa'!$K$2:$K$1048576,'Base Realizado'!$B62)</f>
        <v>0</v>
      </c>
      <c r="T62" s="488">
        <f>SUMIFS('B. Despesa'!$H$2:$H$1048576,'B. Despesa'!$I$2:$I$1048576,'Base Realizado'!T$5,'B. Despesa'!$K$2:$K$1048576,'Base Realizado'!$B62)</f>
        <v>0</v>
      </c>
      <c r="U62" s="74"/>
      <c r="V62" s="117">
        <v>-83835</v>
      </c>
      <c r="X62" s="134">
        <v>3.0000000000000001E-3</v>
      </c>
    </row>
    <row r="63" spans="2:30" ht="13.5" customHeight="1">
      <c r="B63" s="489" t="s">
        <v>544</v>
      </c>
      <c r="C63" s="490" t="s">
        <v>134</v>
      </c>
      <c r="D63" s="488">
        <f>SUMIFS('B. Despesa'!$H$2:$H$1048576,'B. Despesa'!$I$2:$I$1048576,'Base Realizado'!D$5,'B. Despesa'!$K$2:$K$1048576,'Base Realizado'!$B63)</f>
        <v>-14621.2</v>
      </c>
      <c r="E63" s="832">
        <f t="shared" si="30"/>
        <v>1.0516208747218331E-2</v>
      </c>
      <c r="F63" s="488">
        <f>SUMIFS('B. Despesa'!$H$2:$H$1048576,'B. Despesa'!$I$2:$I$1048576,'Base Realizado'!F$5,'B. Despesa'!$K$2:$K$1048576,'Base Realizado'!$B63)</f>
        <v>-26200</v>
      </c>
      <c r="G63" s="832">
        <f t="shared" si="30"/>
        <v>1.7140381675477011E-2</v>
      </c>
      <c r="H63" s="797">
        <f>SUMIFS('B. Despesa'!$H$2:$H$1048576,'B. Despesa'!$I$2:$I$1048576,'Base Realizado'!H$5,'B. Despesa'!$K$2:$K$1048576,'Base Realizado'!$B63)</f>
        <v>-25999</v>
      </c>
      <c r="I63" s="832">
        <f t="shared" ref="I63" si="57">-H63/H$11</f>
        <v>1.0639905443648552E-2</v>
      </c>
      <c r="J63" s="608"/>
      <c r="K63" s="812">
        <f>SUMIFS('B. Despesa'!$H$2:$H$1048576,'B. Despesa'!$I$2:$I$1048576,'Base Realizado'!K$5,'B. Despesa'!$K$2:$K$1048576,'Base Realizado'!$B63)</f>
        <v>-18070</v>
      </c>
      <c r="L63" s="832">
        <f t="shared" ref="L63" si="58">-K63/K$11</f>
        <v>7.8404672915034571E-3</v>
      </c>
      <c r="M63" s="488">
        <f>SUMIFS('B. Despesa'!$H$2:$H$1048576,'B. Despesa'!$I$2:$I$1048576,'Base Realizado'!M$5,'B. Despesa'!$K$2:$K$1048576,'Base Realizado'!$B63)</f>
        <v>0</v>
      </c>
      <c r="N63" s="488">
        <f>SUMIFS('B. Despesa'!$H$2:$H$1048576,'B. Despesa'!$I$2:$I$1048576,'Base Realizado'!N$5,'B. Despesa'!$K$2:$K$1048576,'Base Realizado'!$B63)</f>
        <v>0</v>
      </c>
      <c r="O63" s="488">
        <f>SUMIFS('B. Despesa'!$H$2:$H$1048576,'B. Despesa'!$I$2:$I$1048576,'Base Realizado'!O$5,'B. Despesa'!$K$2:$K$1048576,'Base Realizado'!$B63)</f>
        <v>0</v>
      </c>
      <c r="P63" s="488">
        <f>SUMIFS('B. Despesa'!$H$2:$H$1048576,'B. Despesa'!$I$2:$I$1048576,'Base Realizado'!P$5,'B. Despesa'!$K$2:$K$1048576,'Base Realizado'!$B63)</f>
        <v>0</v>
      </c>
      <c r="Q63" s="488">
        <f>SUMIFS('B. Despesa'!$H$2:$H$1048576,'B. Despesa'!$I$2:$I$1048576,'Base Realizado'!Q$5,'B. Despesa'!$K$2:$K$1048576,'Base Realizado'!$B63)</f>
        <v>0</v>
      </c>
      <c r="R63" s="488">
        <f>SUMIFS('B. Despesa'!$H$2:$H$1048576,'B. Despesa'!$I$2:$I$1048576,'Base Realizado'!R$5,'B. Despesa'!$K$2:$K$1048576,'Base Realizado'!$B63)</f>
        <v>0</v>
      </c>
      <c r="S63" s="488">
        <f>SUMIFS('B. Despesa'!$H$2:$H$1048576,'B. Despesa'!$I$2:$I$1048576,'Base Realizado'!S$5,'B. Despesa'!$K$2:$K$1048576,'Base Realizado'!$B63)</f>
        <v>0</v>
      </c>
      <c r="T63" s="488">
        <f>SUMIFS('B. Despesa'!$H$2:$H$1048576,'B. Despesa'!$I$2:$I$1048576,'Base Realizado'!T$5,'B. Despesa'!$K$2:$K$1048576,'Base Realizado'!$B63)</f>
        <v>0</v>
      </c>
      <c r="U63" s="74"/>
      <c r="V63" s="117">
        <v>-253300.75374165751</v>
      </c>
      <c r="X63" s="134">
        <v>0.01</v>
      </c>
    </row>
    <row r="64" spans="2:30" ht="13.5" customHeight="1">
      <c r="B64" s="489" t="s">
        <v>142</v>
      </c>
      <c r="C64" s="490" t="s">
        <v>143</v>
      </c>
      <c r="D64" s="488">
        <f>SUMIFS('B. Despesa'!$H$2:$H$1048576,'B. Despesa'!$I$2:$I$1048576,'Base Realizado'!D$5,'B. Despesa'!$K$2:$K$1048576,'Base Realizado'!$B64)</f>
        <v>-450</v>
      </c>
      <c r="E64" s="832">
        <f t="shared" si="30"/>
        <v>3.2365974996910305E-4</v>
      </c>
      <c r="F64" s="488">
        <f>SUMIFS('B. Despesa'!$H$2:$H$1048576,'B. Despesa'!$I$2:$I$1048576,'Base Realizado'!F$5,'B. Despesa'!$K$2:$K$1048576,'Base Realizado'!$B64)</f>
        <v>-450</v>
      </c>
      <c r="G64" s="832">
        <f t="shared" si="30"/>
        <v>2.943958684719334E-4</v>
      </c>
      <c r="H64" s="797">
        <f>SUMIFS('B. Despesa'!$H$2:$H$1048576,'B. Despesa'!$I$2:$I$1048576,'Base Realizado'!H$5,'B. Despesa'!$K$2:$K$1048576,'Base Realizado'!$B64)</f>
        <v>0</v>
      </c>
      <c r="I64" s="832">
        <f t="shared" ref="I64" si="59">-H64/H$11</f>
        <v>0</v>
      </c>
      <c r="J64" s="608"/>
      <c r="K64" s="812">
        <f>SUMIFS('B. Despesa'!$H$2:$H$1048576,'B. Despesa'!$I$2:$I$1048576,'Base Realizado'!K$5,'B. Despesa'!$K$2:$K$1048576,'Base Realizado'!$B64)</f>
        <v>0</v>
      </c>
      <c r="L64" s="832">
        <f t="shared" ref="L64" si="60">-K64/K$11</f>
        <v>0</v>
      </c>
      <c r="M64" s="488">
        <f>SUMIFS('B. Despesa'!$H$2:$H$1048576,'B. Despesa'!$I$2:$I$1048576,'Base Realizado'!M$5,'B. Despesa'!$K$2:$K$1048576,'Base Realizado'!$B64)</f>
        <v>0</v>
      </c>
      <c r="N64" s="488">
        <f>SUMIFS('B. Despesa'!$H$2:$H$1048576,'B. Despesa'!$I$2:$I$1048576,'Base Realizado'!N$5,'B. Despesa'!$K$2:$K$1048576,'Base Realizado'!$B64)</f>
        <v>0</v>
      </c>
      <c r="O64" s="488">
        <f>SUMIFS('B. Despesa'!$H$2:$H$1048576,'B. Despesa'!$I$2:$I$1048576,'Base Realizado'!O$5,'B. Despesa'!$K$2:$K$1048576,'Base Realizado'!$B64)</f>
        <v>0</v>
      </c>
      <c r="P64" s="488">
        <f>SUMIFS('B. Despesa'!$H$2:$H$1048576,'B. Despesa'!$I$2:$I$1048576,'Base Realizado'!P$5,'B. Despesa'!$K$2:$K$1048576,'Base Realizado'!$B64)</f>
        <v>0</v>
      </c>
      <c r="Q64" s="488">
        <f>SUMIFS('B. Despesa'!$H$2:$H$1048576,'B. Despesa'!$I$2:$I$1048576,'Base Realizado'!Q$5,'B. Despesa'!$K$2:$K$1048576,'Base Realizado'!$B64)</f>
        <v>0</v>
      </c>
      <c r="R64" s="488">
        <f>SUMIFS('B. Despesa'!$H$2:$H$1048576,'B. Despesa'!$I$2:$I$1048576,'Base Realizado'!R$5,'B. Despesa'!$K$2:$K$1048576,'Base Realizado'!$B64)</f>
        <v>0</v>
      </c>
      <c r="S64" s="488">
        <f>SUMIFS('B. Despesa'!$H$2:$H$1048576,'B. Despesa'!$I$2:$I$1048576,'Base Realizado'!S$5,'B. Despesa'!$K$2:$K$1048576,'Base Realizado'!$B64)</f>
        <v>0</v>
      </c>
      <c r="T64" s="488">
        <f>SUMIFS('B. Despesa'!$H$2:$H$1048576,'B. Despesa'!$I$2:$I$1048576,'Base Realizado'!T$5,'B. Despesa'!$K$2:$K$1048576,'Base Realizado'!$B64)</f>
        <v>0</v>
      </c>
      <c r="U64" s="74"/>
      <c r="V64" s="444">
        <v>0</v>
      </c>
      <c r="X64" s="134"/>
    </row>
    <row r="65" spans="2:33" ht="13.5" customHeight="1">
      <c r="B65" s="489" t="s">
        <v>545</v>
      </c>
      <c r="C65" s="490" t="s">
        <v>139</v>
      </c>
      <c r="D65" s="488">
        <f>SUMIFS('B. Despesa'!$H$2:$H$1048576,'B. Despesa'!$I$2:$I$1048576,'Base Realizado'!D$5,'B. Despesa'!$K$2:$K$1048576,'Base Realizado'!$B65)</f>
        <v>0</v>
      </c>
      <c r="E65" s="832">
        <f t="shared" si="30"/>
        <v>0</v>
      </c>
      <c r="F65" s="488">
        <f>SUMIFS('B. Despesa'!$H$2:$H$1048576,'B. Despesa'!$I$2:$I$1048576,'Base Realizado'!F$5,'B. Despesa'!$K$2:$K$1048576,'Base Realizado'!$B65)</f>
        <v>0</v>
      </c>
      <c r="G65" s="832">
        <f t="shared" si="30"/>
        <v>0</v>
      </c>
      <c r="H65" s="797">
        <f>SUMIFS('B. Despesa'!$H$2:$H$1048576,'B. Despesa'!$I$2:$I$1048576,'Base Realizado'!H$5,'B. Despesa'!$K$2:$K$1048576,'Base Realizado'!$B65)</f>
        <v>0</v>
      </c>
      <c r="I65" s="832">
        <f t="shared" ref="I65" si="61">-H65/H$11</f>
        <v>0</v>
      </c>
      <c r="J65" s="608"/>
      <c r="K65" s="812">
        <f>SUMIFS('B. Despesa'!$H$2:$H$1048576,'B. Despesa'!$I$2:$I$1048576,'Base Realizado'!K$5,'B. Despesa'!$K$2:$K$1048576,'Base Realizado'!$B65)</f>
        <v>0</v>
      </c>
      <c r="L65" s="832">
        <f t="shared" ref="L65" si="62">-K65/K$11</f>
        <v>0</v>
      </c>
      <c r="M65" s="488">
        <f>SUMIFS('B. Despesa'!$H$2:$H$1048576,'B. Despesa'!$I$2:$I$1048576,'Base Realizado'!M$5,'B. Despesa'!$K$2:$K$1048576,'Base Realizado'!$B65)</f>
        <v>0</v>
      </c>
      <c r="N65" s="488">
        <f>SUMIFS('B. Despesa'!$H$2:$H$1048576,'B. Despesa'!$I$2:$I$1048576,'Base Realizado'!N$5,'B. Despesa'!$K$2:$K$1048576,'Base Realizado'!$B65)</f>
        <v>0</v>
      </c>
      <c r="O65" s="488">
        <f>SUMIFS('B. Despesa'!$H$2:$H$1048576,'B. Despesa'!$I$2:$I$1048576,'Base Realizado'!O$5,'B. Despesa'!$K$2:$K$1048576,'Base Realizado'!$B65)</f>
        <v>0</v>
      </c>
      <c r="P65" s="488">
        <f>SUMIFS('B. Despesa'!$H$2:$H$1048576,'B. Despesa'!$I$2:$I$1048576,'Base Realizado'!P$5,'B. Despesa'!$K$2:$K$1048576,'Base Realizado'!$B65)</f>
        <v>0</v>
      </c>
      <c r="Q65" s="488">
        <f>SUMIFS('B. Despesa'!$H$2:$H$1048576,'B. Despesa'!$I$2:$I$1048576,'Base Realizado'!Q$5,'B. Despesa'!$K$2:$K$1048576,'Base Realizado'!$B65)</f>
        <v>0</v>
      </c>
      <c r="R65" s="488">
        <f>SUMIFS('B. Despesa'!$H$2:$H$1048576,'B. Despesa'!$I$2:$I$1048576,'Base Realizado'!R$5,'B. Despesa'!$K$2:$K$1048576,'Base Realizado'!$B65)</f>
        <v>0</v>
      </c>
      <c r="S65" s="488">
        <f>SUMIFS('B. Despesa'!$H$2:$H$1048576,'B. Despesa'!$I$2:$I$1048576,'Base Realizado'!S$5,'B. Despesa'!$K$2:$K$1048576,'Base Realizado'!$B65)</f>
        <v>0</v>
      </c>
      <c r="T65" s="488">
        <f>SUMIFS('B. Despesa'!$H$2:$H$1048576,'B. Despesa'!$I$2:$I$1048576,'Base Realizado'!T$5,'B. Despesa'!$K$2:$K$1048576,'Base Realizado'!$B65)</f>
        <v>0</v>
      </c>
      <c r="U65" s="74"/>
      <c r="V65" s="117">
        <v>-600000</v>
      </c>
      <c r="X65" s="134"/>
    </row>
    <row r="66" spans="2:33" ht="13.5" customHeight="1">
      <c r="B66" s="489" t="s">
        <v>1740</v>
      </c>
      <c r="C66" s="490" t="s">
        <v>141</v>
      </c>
      <c r="D66" s="488">
        <f>2846.46+10673.49</f>
        <v>13519.95</v>
      </c>
      <c r="E66" s="832">
        <f t="shared" si="30"/>
        <v>-9.7241414146550555E-3</v>
      </c>
      <c r="F66" s="488">
        <f>13971.19+8142.16</f>
        <v>22113.35</v>
      </c>
      <c r="G66" s="832">
        <f t="shared" si="30"/>
        <v>-1.4466841951275173E-2</v>
      </c>
      <c r="H66" s="797">
        <f>13712.67+11907.89</f>
        <v>25620.559999999998</v>
      </c>
      <c r="I66" s="832">
        <f t="shared" ref="I66" si="63">-H66/H$11</f>
        <v>-1.0485031570957509E-2</v>
      </c>
      <c r="J66" s="608"/>
      <c r="K66" s="812">
        <f>SUMIFS('B. Despesa'!$H$2:$H$1048576,'B. Despesa'!$I$2:$I$1048576,'Base Realizado'!K$5,'B. Despesa'!$K$2:$K$1048576,'Base Realizado'!$B66)</f>
        <v>0</v>
      </c>
      <c r="L66" s="832">
        <f t="shared" ref="L66" si="64">-K66/K$11</f>
        <v>0</v>
      </c>
      <c r="M66" s="488">
        <f>SUMIFS('B. Despesa'!$H$2:$H$1048576,'B. Despesa'!$I$2:$I$1048576,'Base Realizado'!M$5,'B. Despesa'!$K$2:$K$1048576,'Base Realizado'!$B66)</f>
        <v>0</v>
      </c>
      <c r="N66" s="488">
        <f>SUMIFS('B. Despesa'!$H$2:$H$1048576,'B. Despesa'!$I$2:$I$1048576,'Base Realizado'!N$5,'B. Despesa'!$K$2:$K$1048576,'Base Realizado'!$B66)</f>
        <v>0</v>
      </c>
      <c r="O66" s="488">
        <f>SUMIFS('B. Despesa'!$H$2:$H$1048576,'B. Despesa'!$I$2:$I$1048576,'Base Realizado'!O$5,'B. Despesa'!$K$2:$K$1048576,'Base Realizado'!$B66)</f>
        <v>0</v>
      </c>
      <c r="P66" s="488">
        <f>SUMIFS('B. Despesa'!$H$2:$H$1048576,'B. Despesa'!$I$2:$I$1048576,'Base Realizado'!P$5,'B. Despesa'!$K$2:$K$1048576,'Base Realizado'!$B66)</f>
        <v>0</v>
      </c>
      <c r="Q66" s="488">
        <f>SUMIFS('B. Despesa'!$H$2:$H$1048576,'B. Despesa'!$I$2:$I$1048576,'Base Realizado'!Q$5,'B. Despesa'!$K$2:$K$1048576,'Base Realizado'!$B66)</f>
        <v>0</v>
      </c>
      <c r="R66" s="488">
        <f>SUMIFS('B. Despesa'!$H$2:$H$1048576,'B. Despesa'!$I$2:$I$1048576,'Base Realizado'!R$5,'B. Despesa'!$K$2:$K$1048576,'Base Realizado'!$B66)</f>
        <v>0</v>
      </c>
      <c r="S66" s="488">
        <f>SUMIFS('B. Despesa'!$H$2:$H$1048576,'B. Despesa'!$I$2:$I$1048576,'Base Realizado'!S$5,'B. Despesa'!$K$2:$K$1048576,'Base Realizado'!$B66)</f>
        <v>0</v>
      </c>
      <c r="T66" s="488">
        <f>SUMIFS('B. Despesa'!$H$2:$H$1048576,'B. Despesa'!$I$2:$I$1048576,'Base Realizado'!T$5,'B. Despesa'!$K$2:$K$1048576,'Base Realizado'!$B66)</f>
        <v>0</v>
      </c>
      <c r="U66" s="74"/>
      <c r="V66" s="117">
        <v>-3565684.6763850008</v>
      </c>
      <c r="X66" s="134"/>
    </row>
    <row r="67" spans="2:33" ht="15" hidden="1" customHeight="1">
      <c r="B67" s="489" t="s">
        <v>140</v>
      </c>
      <c r="C67" s="490" t="s">
        <v>145</v>
      </c>
      <c r="D67" s="488">
        <f>SUMIFS('B. Despesa'!$H$2:$H$1048576,'B. Despesa'!$I$2:$I$1048576,'Base Realizado'!D$5,'B. Despesa'!$K$2:$K$1048576,'Base Realizado'!$B67)</f>
        <v>-90333.56</v>
      </c>
      <c r="E67" s="832">
        <f t="shared" si="30"/>
        <v>6.4971860985375482E-2</v>
      </c>
      <c r="F67" s="488">
        <f>SUMIFS('B. Despesa'!$H$2:$H$1048576,'B. Despesa'!$I$2:$I$1048576,'Base Realizado'!F$5,'B. Despesa'!$K$2:$K$1048576,'Base Realizado'!$B67)</f>
        <v>-120558.98</v>
      </c>
      <c r="G67" s="832">
        <f t="shared" si="30"/>
        <v>7.8871256931534323E-2</v>
      </c>
      <c r="H67" s="797">
        <f>SUMIFS('B. Despesa'!$H$2:$H$1048576,'B. Despesa'!$I$2:$I$1048576,'Base Realizado'!H$5,'B. Despesa'!$K$2:$K$1048576,'Base Realizado'!$B67)</f>
        <v>-161984.87</v>
      </c>
      <c r="I67" s="832">
        <f t="shared" ref="I67" si="65">-H67/H$11</f>
        <v>6.6291153509815876E-2</v>
      </c>
      <c r="J67" s="608"/>
      <c r="K67" s="812">
        <f>SUMIFS('B. Despesa'!$H$2:$H$1048576,'B. Despesa'!$I$2:$I$1048576,'Base Realizado'!K$5,'B. Despesa'!$K$2:$K$1048576,'Base Realizado'!$B67)</f>
        <v>0</v>
      </c>
      <c r="L67" s="832">
        <f t="shared" ref="L67" si="66">-K67/K$11</f>
        <v>0</v>
      </c>
      <c r="M67" s="488">
        <f>SUMIFS('B. Despesa'!$H$2:$H$1048576,'B. Despesa'!$I$2:$I$1048576,'Base Realizado'!M$5,'B. Despesa'!$K$2:$K$1048576,'Base Realizado'!$B67)</f>
        <v>0</v>
      </c>
      <c r="N67" s="488">
        <f>SUMIFS('B. Despesa'!$H$2:$H$1048576,'B. Despesa'!$I$2:$I$1048576,'Base Realizado'!N$5,'B. Despesa'!$K$2:$K$1048576,'Base Realizado'!$B67)</f>
        <v>0</v>
      </c>
      <c r="O67" s="488">
        <f>SUMIFS('B. Despesa'!$H$2:$H$1048576,'B. Despesa'!$I$2:$I$1048576,'Base Realizado'!O$5,'B. Despesa'!$K$2:$K$1048576,'Base Realizado'!$B67)</f>
        <v>0</v>
      </c>
      <c r="P67" s="488">
        <f>SUMIFS('B. Despesa'!$H$2:$H$1048576,'B. Despesa'!$I$2:$I$1048576,'Base Realizado'!P$5,'B. Despesa'!$K$2:$K$1048576,'Base Realizado'!$B67)</f>
        <v>0</v>
      </c>
      <c r="Q67" s="488">
        <f>SUMIFS('B. Despesa'!$H$2:$H$1048576,'B. Despesa'!$I$2:$I$1048576,'Base Realizado'!Q$5,'B. Despesa'!$K$2:$K$1048576,'Base Realizado'!$B67)</f>
        <v>0</v>
      </c>
      <c r="R67" s="488">
        <f>SUMIFS('B. Despesa'!$H$2:$H$1048576,'B. Despesa'!$I$2:$I$1048576,'Base Realizado'!R$5,'B. Despesa'!$K$2:$K$1048576,'Base Realizado'!$B67)</f>
        <v>0</v>
      </c>
      <c r="S67" s="488">
        <f>SUMIFS('B. Despesa'!$H$2:$H$1048576,'B. Despesa'!$I$2:$I$1048576,'Base Realizado'!S$5,'B. Despesa'!$K$2:$K$1048576,'Base Realizado'!$B67)</f>
        <v>0</v>
      </c>
      <c r="T67" s="488">
        <f>SUMIFS('B. Despesa'!$H$2:$H$1048576,'B. Despesa'!$I$2:$I$1048576,'Base Realizado'!T$5,'B. Despesa'!$K$2:$K$1048576,'Base Realizado'!$B67)</f>
        <v>0</v>
      </c>
      <c r="U67" s="74"/>
      <c r="V67" s="117">
        <v>2389008.7331779506</v>
      </c>
      <c r="X67" s="134"/>
    </row>
    <row r="68" spans="2:33" ht="13.5" hidden="1" customHeight="1">
      <c r="B68" s="419" t="s">
        <v>148</v>
      </c>
      <c r="C68" s="420" t="s">
        <v>62</v>
      </c>
      <c r="D68" s="423">
        <v>0</v>
      </c>
      <c r="E68" s="423"/>
      <c r="F68" s="423">
        <v>0</v>
      </c>
      <c r="G68" s="423"/>
      <c r="H68" s="794">
        <v>0</v>
      </c>
      <c r="I68" s="423"/>
      <c r="J68" s="608"/>
      <c r="K68" s="809">
        <v>0</v>
      </c>
      <c r="L68" s="423"/>
      <c r="M68" s="423">
        <v>0</v>
      </c>
      <c r="N68" s="423">
        <v>0</v>
      </c>
      <c r="O68" s="423">
        <v>0</v>
      </c>
      <c r="P68" s="423">
        <v>0</v>
      </c>
      <c r="Q68" s="423">
        <v>0</v>
      </c>
      <c r="R68" s="423">
        <v>0</v>
      </c>
      <c r="S68" s="423">
        <v>0</v>
      </c>
      <c r="T68" s="423">
        <v>0</v>
      </c>
      <c r="U68" s="74"/>
      <c r="V68" s="423">
        <v>0</v>
      </c>
      <c r="X68" s="134"/>
    </row>
    <row r="69" spans="2:33" ht="13.5" hidden="1" customHeight="1">
      <c r="B69" s="155" t="s">
        <v>149</v>
      </c>
      <c r="C69" s="156" t="s">
        <v>62</v>
      </c>
      <c r="D69" s="117">
        <v>0</v>
      </c>
      <c r="E69" s="117"/>
      <c r="F69" s="117">
        <v>0</v>
      </c>
      <c r="G69" s="117"/>
      <c r="H69" s="795">
        <v>0</v>
      </c>
      <c r="I69" s="117"/>
      <c r="J69" s="608"/>
      <c r="K69" s="810">
        <v>0</v>
      </c>
      <c r="L69" s="117"/>
      <c r="M69" s="117">
        <v>0</v>
      </c>
      <c r="N69" s="117">
        <v>0</v>
      </c>
      <c r="O69" s="117">
        <v>0</v>
      </c>
      <c r="P69" s="117">
        <v>0</v>
      </c>
      <c r="Q69" s="117">
        <v>0</v>
      </c>
      <c r="R69" s="117">
        <v>0</v>
      </c>
      <c r="S69" s="117">
        <v>0</v>
      </c>
      <c r="T69" s="117">
        <v>0</v>
      </c>
      <c r="U69" s="74"/>
      <c r="V69" s="117">
        <v>0</v>
      </c>
      <c r="X69" s="134"/>
    </row>
    <row r="70" spans="2:33" ht="13.5" hidden="1" customHeight="1">
      <c r="B70" s="155" t="s">
        <v>150</v>
      </c>
      <c r="C70" s="156" t="s">
        <v>62</v>
      </c>
      <c r="D70" s="117">
        <v>0</v>
      </c>
      <c r="E70" s="117"/>
      <c r="F70" s="117">
        <v>0</v>
      </c>
      <c r="G70" s="117"/>
      <c r="H70" s="795">
        <v>0</v>
      </c>
      <c r="I70" s="117"/>
      <c r="J70" s="608"/>
      <c r="K70" s="810">
        <v>0</v>
      </c>
      <c r="L70" s="117"/>
      <c r="M70" s="117">
        <v>0</v>
      </c>
      <c r="N70" s="117">
        <v>0</v>
      </c>
      <c r="O70" s="117">
        <v>0</v>
      </c>
      <c r="P70" s="117">
        <v>0</v>
      </c>
      <c r="Q70" s="117">
        <v>0</v>
      </c>
      <c r="R70" s="117">
        <v>0</v>
      </c>
      <c r="S70" s="117">
        <v>0</v>
      </c>
      <c r="T70" s="117">
        <v>0</v>
      </c>
      <c r="U70" s="74"/>
      <c r="V70" s="117">
        <v>0</v>
      </c>
      <c r="X70" s="134"/>
    </row>
    <row r="71" spans="2:33" ht="13.5" hidden="1" customHeight="1">
      <c r="B71" s="155" t="s">
        <v>151</v>
      </c>
      <c r="C71" s="156" t="s">
        <v>62</v>
      </c>
      <c r="D71" s="117">
        <v>0</v>
      </c>
      <c r="E71" s="117"/>
      <c r="F71" s="117">
        <v>0</v>
      </c>
      <c r="G71" s="117"/>
      <c r="H71" s="795">
        <v>0</v>
      </c>
      <c r="I71" s="117"/>
      <c r="J71" s="608"/>
      <c r="K71" s="810">
        <v>0</v>
      </c>
      <c r="L71" s="117"/>
      <c r="M71" s="117">
        <v>0</v>
      </c>
      <c r="N71" s="117">
        <v>0</v>
      </c>
      <c r="O71" s="117">
        <v>0</v>
      </c>
      <c r="P71" s="117">
        <v>0</v>
      </c>
      <c r="Q71" s="117">
        <v>0</v>
      </c>
      <c r="R71" s="117">
        <v>0</v>
      </c>
      <c r="S71" s="117">
        <v>0</v>
      </c>
      <c r="T71" s="117">
        <v>0</v>
      </c>
      <c r="U71" s="74"/>
      <c r="V71" s="117">
        <v>0</v>
      </c>
      <c r="X71" s="134"/>
    </row>
    <row r="72" spans="2:33" ht="13.5" hidden="1" customHeight="1">
      <c r="B72" s="155" t="s">
        <v>152</v>
      </c>
      <c r="C72" s="156" t="s">
        <v>62</v>
      </c>
      <c r="D72" s="117">
        <v>0</v>
      </c>
      <c r="E72" s="117"/>
      <c r="F72" s="117">
        <v>0</v>
      </c>
      <c r="G72" s="117"/>
      <c r="H72" s="795">
        <v>0</v>
      </c>
      <c r="I72" s="117"/>
      <c r="J72" s="608"/>
      <c r="K72" s="810">
        <v>0</v>
      </c>
      <c r="L72" s="117"/>
      <c r="M72" s="117">
        <v>0</v>
      </c>
      <c r="N72" s="117">
        <v>0</v>
      </c>
      <c r="O72" s="117">
        <v>0</v>
      </c>
      <c r="P72" s="117">
        <v>0</v>
      </c>
      <c r="Q72" s="117">
        <v>0</v>
      </c>
      <c r="R72" s="117">
        <v>0</v>
      </c>
      <c r="S72" s="117">
        <v>0</v>
      </c>
      <c r="T72" s="117">
        <v>0</v>
      </c>
      <c r="U72" s="74"/>
      <c r="V72" s="117">
        <v>0</v>
      </c>
      <c r="X72" s="134"/>
    </row>
    <row r="73" spans="2:33" ht="0.95" customHeight="1">
      <c r="H73" s="454"/>
      <c r="J73" s="826"/>
      <c r="K73" s="454"/>
      <c r="U73" s="74"/>
    </row>
    <row r="74" spans="2:33" ht="13.5" customHeight="1">
      <c r="B74" s="476" t="s">
        <v>153</v>
      </c>
      <c r="C74" s="355"/>
      <c r="D74" s="356">
        <f t="shared" ref="D74:T74" si="67">SUM(D75:D77)</f>
        <v>-61112.86</v>
      </c>
      <c r="E74" s="835">
        <f>SUM(E75:E77)</f>
        <v>4.3955051083326216E-2</v>
      </c>
      <c r="F74" s="356">
        <f t="shared" si="67"/>
        <v>-69633.919999999998</v>
      </c>
      <c r="G74" s="835">
        <f>SUM(G75:G77)</f>
        <v>4.5555418563344739E-2</v>
      </c>
      <c r="H74" s="802">
        <f t="shared" si="67"/>
        <v>-69180.52</v>
      </c>
      <c r="I74" s="835">
        <f>SUM(I75:I77)</f>
        <v>2.8311634729891053E-2</v>
      </c>
      <c r="J74" s="823"/>
      <c r="K74" s="817">
        <f t="shared" si="67"/>
        <v>-69180.52</v>
      </c>
      <c r="L74" s="835">
        <f>SUM(L75:L77)</f>
        <v>3.0017022925799709E-2</v>
      </c>
      <c r="M74" s="356">
        <f t="shared" si="67"/>
        <v>0</v>
      </c>
      <c r="N74" s="356">
        <f t="shared" si="67"/>
        <v>0</v>
      </c>
      <c r="O74" s="356">
        <f t="shared" si="67"/>
        <v>0</v>
      </c>
      <c r="P74" s="356">
        <f t="shared" si="67"/>
        <v>0</v>
      </c>
      <c r="Q74" s="356">
        <f t="shared" si="67"/>
        <v>0</v>
      </c>
      <c r="R74" s="356">
        <f t="shared" si="67"/>
        <v>0</v>
      </c>
      <c r="S74" s="356">
        <f t="shared" si="67"/>
        <v>0</v>
      </c>
      <c r="T74" s="356">
        <f t="shared" si="67"/>
        <v>0</v>
      </c>
      <c r="U74" s="74"/>
      <c r="V74" s="356">
        <v>-844692.6</v>
      </c>
      <c r="W74" s="1"/>
      <c r="X74" s="357" t="s">
        <v>68</v>
      </c>
      <c r="Y74" s="163"/>
      <c r="Z74" s="163"/>
      <c r="AA74" s="163"/>
    </row>
    <row r="75" spans="2:33" ht="13.5" customHeight="1">
      <c r="B75" s="491" t="s">
        <v>154</v>
      </c>
      <c r="C75" s="492" t="s">
        <v>155</v>
      </c>
      <c r="D75" s="488">
        <f>SUMIFS('B. Despesa'!$H$2:$H$1048576,'B. Despesa'!$I$2:$I$1048576,'Base Realizado'!D$5,'B. Despesa'!$K$2:$K$1048576,'Base Realizado'!$B75)</f>
        <v>-61112.86</v>
      </c>
      <c r="E75" s="832">
        <f>-D75/D$11</f>
        <v>4.3955051083326216E-2</v>
      </c>
      <c r="F75" s="488">
        <f>SUMIFS('B. Despesa'!$H$2:$H$1048576,'B. Despesa'!$I$2:$I$1048576,'Base Realizado'!F$5,'B. Despesa'!$K$2:$K$1048576,'Base Realizado'!$B75)</f>
        <v>-61112.86</v>
      </c>
      <c r="G75" s="832">
        <f>-F75/F$11</f>
        <v>3.9980829987785953E-2</v>
      </c>
      <c r="H75" s="797">
        <f>SUMIFS('B. Despesa'!$H$2:$H$1048576,'B. Despesa'!$I$2:$I$1048576,'Base Realizado'!H$5,'B. Despesa'!$K$2:$K$1048576,'Base Realizado'!$B75)</f>
        <v>-61112.86</v>
      </c>
      <c r="I75" s="832">
        <f>-H75/H$11</f>
        <v>2.5010002376665709E-2</v>
      </c>
      <c r="J75" s="608"/>
      <c r="K75" s="812">
        <f>SUMIFS('B. Despesa'!$H$2:$H$1048576,'B. Despesa'!$I$2:$I$1048576,'Base Realizado'!K$5,'B. Despesa'!$K$2:$K$1048576,'Base Realizado'!$B75)</f>
        <v>-61112.86</v>
      </c>
      <c r="L75" s="832">
        <f>-K75/K$11</f>
        <v>2.6516512447162698E-2</v>
      </c>
      <c r="M75" s="488">
        <f>SUMIFS('B. Despesa'!$H$2:$H$1048576,'B. Despesa'!$I$2:$I$1048576,'Base Realizado'!M$5,'B. Despesa'!$K$2:$K$1048576,'Base Realizado'!$B75)</f>
        <v>0</v>
      </c>
      <c r="N75" s="488">
        <f>SUMIFS('B. Despesa'!$H$2:$H$1048576,'B. Despesa'!$I$2:$I$1048576,'Base Realizado'!N$5,'B. Despesa'!$K$2:$K$1048576,'Base Realizado'!$B75)</f>
        <v>0</v>
      </c>
      <c r="O75" s="488">
        <f>SUMIFS('B. Despesa'!$H$2:$H$1048576,'B. Despesa'!$I$2:$I$1048576,'Base Realizado'!O$5,'B. Despesa'!$K$2:$K$1048576,'Base Realizado'!$B75)</f>
        <v>0</v>
      </c>
      <c r="P75" s="488">
        <f>SUMIFS('B. Despesa'!$H$2:$H$1048576,'B. Despesa'!$I$2:$I$1048576,'Base Realizado'!P$5,'B. Despesa'!$K$2:$K$1048576,'Base Realizado'!$B75)</f>
        <v>0</v>
      </c>
      <c r="Q75" s="488">
        <f>SUMIFS('B. Despesa'!$H$2:$H$1048576,'B. Despesa'!$I$2:$I$1048576,'Base Realizado'!Q$5,'B. Despesa'!$K$2:$K$1048576,'Base Realizado'!$B75)</f>
        <v>0</v>
      </c>
      <c r="R75" s="488">
        <f>SUMIFS('B. Despesa'!$H$2:$H$1048576,'B. Despesa'!$I$2:$I$1048576,'Base Realizado'!R$5,'B. Despesa'!$K$2:$K$1048576,'Base Realizado'!$B75)</f>
        <v>0</v>
      </c>
      <c r="S75" s="488">
        <f>SUMIFS('B. Despesa'!$H$2:$H$1048576,'B. Despesa'!$I$2:$I$1048576,'Base Realizado'!S$5,'B. Despesa'!$K$2:$K$1048576,'Base Realizado'!$B75)</f>
        <v>0</v>
      </c>
      <c r="T75" s="488">
        <f>SUMIFS('B. Despesa'!$H$2:$H$1048576,'B. Despesa'!$I$2:$I$1048576,'Base Realizado'!T$5,'B. Despesa'!$K$2:$K$1048576,'Base Realizado'!$B75)</f>
        <v>0</v>
      </c>
      <c r="U75" s="74"/>
      <c r="V75" s="166">
        <v>-540000</v>
      </c>
      <c r="W75" s="167"/>
      <c r="X75" s="168"/>
      <c r="Y75" s="167"/>
      <c r="Z75" s="167"/>
      <c r="AA75" s="167"/>
      <c r="AB75" s="167"/>
      <c r="AC75" s="167"/>
      <c r="AD75" s="167"/>
      <c r="AE75" s="167"/>
      <c r="AF75" s="167"/>
      <c r="AG75" s="167"/>
    </row>
    <row r="76" spans="2:33" ht="13.5" hidden="1" customHeight="1">
      <c r="B76" s="493" t="s">
        <v>445</v>
      </c>
      <c r="C76" s="494" t="s">
        <v>156</v>
      </c>
      <c r="D76" s="488">
        <f>SUMIFS('B. Despesa'!$H$2:$H$1048576,'B. Despesa'!$I$2:$I$1048576,'Base Realizado'!D$5,'B. Despesa'!$K$2:$K$1048576,'Base Realizado'!$B76)</f>
        <v>0</v>
      </c>
      <c r="E76" s="832">
        <f t="shared" ref="E76:G76" si="68">-D76/D$11</f>
        <v>0</v>
      </c>
      <c r="F76" s="488">
        <f>SUMIFS('B. Despesa'!$H$2:$H$1048576,'B. Despesa'!$I$2:$I$1048576,'Base Realizado'!F$5,'B. Despesa'!$K$2:$K$1048576,'Base Realizado'!$B76)</f>
        <v>0</v>
      </c>
      <c r="G76" s="832">
        <f t="shared" si="68"/>
        <v>0</v>
      </c>
      <c r="H76" s="797">
        <f>SUMIFS('B. Despesa'!$H$2:$H$1048576,'B. Despesa'!$I$2:$I$1048576,'Base Realizado'!H$5,'B. Despesa'!$K$2:$K$1048576,'Base Realizado'!$B76)</f>
        <v>0</v>
      </c>
      <c r="I76" s="832">
        <f t="shared" ref="I76" si="69">-H76/H$11</f>
        <v>0</v>
      </c>
      <c r="J76" s="608"/>
      <c r="K76" s="812">
        <f>SUMIFS('B. Despesa'!$H$2:$H$1048576,'B. Despesa'!$I$2:$I$1048576,'Base Realizado'!K$5,'B. Despesa'!$K$2:$K$1048576,'Base Realizado'!$B76)</f>
        <v>0</v>
      </c>
      <c r="L76" s="832">
        <f t="shared" ref="L76" si="70">-K76/K$11</f>
        <v>0</v>
      </c>
      <c r="M76" s="488">
        <f>SUMIFS('B. Despesa'!$H$2:$H$1048576,'B. Despesa'!$I$2:$I$1048576,'Base Realizado'!M$5,'B. Despesa'!$K$2:$K$1048576,'Base Realizado'!$B76)</f>
        <v>0</v>
      </c>
      <c r="N76" s="488">
        <f>SUMIFS('B. Despesa'!$H$2:$H$1048576,'B. Despesa'!$I$2:$I$1048576,'Base Realizado'!N$5,'B. Despesa'!$K$2:$K$1048576,'Base Realizado'!$B76)</f>
        <v>0</v>
      </c>
      <c r="O76" s="488">
        <f>SUMIFS('B. Despesa'!$H$2:$H$1048576,'B. Despesa'!$I$2:$I$1048576,'Base Realizado'!O$5,'B. Despesa'!$K$2:$K$1048576,'Base Realizado'!$B76)</f>
        <v>0</v>
      </c>
      <c r="P76" s="488">
        <f>SUMIFS('B. Despesa'!$H$2:$H$1048576,'B. Despesa'!$I$2:$I$1048576,'Base Realizado'!P$5,'B. Despesa'!$K$2:$K$1048576,'Base Realizado'!$B76)</f>
        <v>0</v>
      </c>
      <c r="Q76" s="488">
        <f>SUMIFS('B. Despesa'!$H$2:$H$1048576,'B. Despesa'!$I$2:$I$1048576,'Base Realizado'!Q$5,'B. Despesa'!$K$2:$K$1048576,'Base Realizado'!$B76)</f>
        <v>0</v>
      </c>
      <c r="R76" s="488">
        <f>SUMIFS('B. Despesa'!$H$2:$H$1048576,'B. Despesa'!$I$2:$I$1048576,'Base Realizado'!R$5,'B. Despesa'!$K$2:$K$1048576,'Base Realizado'!$B76)</f>
        <v>0</v>
      </c>
      <c r="S76" s="488">
        <f>SUMIFS('B. Despesa'!$H$2:$H$1048576,'B. Despesa'!$I$2:$I$1048576,'Base Realizado'!S$5,'B. Despesa'!$K$2:$K$1048576,'Base Realizado'!$B76)</f>
        <v>0</v>
      </c>
      <c r="T76" s="488">
        <f>SUMIFS('B. Despesa'!$H$2:$H$1048576,'B. Despesa'!$I$2:$I$1048576,'Base Realizado'!T$5,'B. Despesa'!$K$2:$K$1048576,'Base Realizado'!$B76)</f>
        <v>0</v>
      </c>
      <c r="U76" s="74"/>
      <c r="V76" s="160">
        <v>-224016</v>
      </c>
      <c r="W76" s="1"/>
      <c r="X76" s="76"/>
    </row>
    <row r="77" spans="2:33" ht="13.5" customHeight="1">
      <c r="B77" s="491" t="s">
        <v>157</v>
      </c>
      <c r="C77" s="492" t="s">
        <v>158</v>
      </c>
      <c r="D77" s="488">
        <f>SUMIFS('B. Despesa'!$H$2:$H$1048576,'B. Despesa'!$I$2:$I$1048576,'Base Realizado'!D$5,'B. Despesa'!$K$2:$K$1048576,'Base Realizado'!$B77)</f>
        <v>0</v>
      </c>
      <c r="E77" s="832">
        <f t="shared" ref="E77:G77" si="71">-D77/D$11</f>
        <v>0</v>
      </c>
      <c r="F77" s="488">
        <f>SUMIFS('B. Despesa'!$H$2:$H$1048576,'B. Despesa'!$I$2:$I$1048576,'Base Realizado'!F$5,'B. Despesa'!$K$2:$K$1048576,'Base Realizado'!$B77)</f>
        <v>-8521.06</v>
      </c>
      <c r="G77" s="832">
        <f t="shared" si="71"/>
        <v>5.5745885755587839E-3</v>
      </c>
      <c r="H77" s="797">
        <f>SUMIFS('B. Despesa'!$H$2:$H$1048576,'B. Despesa'!$I$2:$I$1048576,'Base Realizado'!H$5,'B. Despesa'!$K$2:$K$1048576,'Base Realizado'!$B77)</f>
        <v>-8067.66</v>
      </c>
      <c r="I77" s="832">
        <f t="shared" ref="I77" si="72">-H77/H$11</f>
        <v>3.3016323532253419E-3</v>
      </c>
      <c r="J77" s="608"/>
      <c r="K77" s="812">
        <f>SUMIFS('B. Despesa'!$H$2:$H$1048576,'B. Despesa'!$I$2:$I$1048576,'Base Realizado'!K$5,'B. Despesa'!$K$2:$K$1048576,'Base Realizado'!$B77)</f>
        <v>-8067.66</v>
      </c>
      <c r="L77" s="832">
        <f t="shared" ref="L77" si="73">-K77/K$11</f>
        <v>3.5005104786370107E-3</v>
      </c>
      <c r="M77" s="488">
        <f>SUMIFS('B. Despesa'!$H$2:$H$1048576,'B. Despesa'!$I$2:$I$1048576,'Base Realizado'!M$5,'B. Despesa'!$K$2:$K$1048576,'Base Realizado'!$B77)</f>
        <v>0</v>
      </c>
      <c r="N77" s="488">
        <f>SUMIFS('B. Despesa'!$H$2:$H$1048576,'B. Despesa'!$I$2:$I$1048576,'Base Realizado'!N$5,'B. Despesa'!$K$2:$K$1048576,'Base Realizado'!$B77)</f>
        <v>0</v>
      </c>
      <c r="O77" s="488">
        <f>SUMIFS('B. Despesa'!$H$2:$H$1048576,'B. Despesa'!$I$2:$I$1048576,'Base Realizado'!O$5,'B. Despesa'!$K$2:$K$1048576,'Base Realizado'!$B77)</f>
        <v>0</v>
      </c>
      <c r="P77" s="488">
        <f>SUMIFS('B. Despesa'!$H$2:$H$1048576,'B. Despesa'!$I$2:$I$1048576,'Base Realizado'!P$5,'B. Despesa'!$K$2:$K$1048576,'Base Realizado'!$B77)</f>
        <v>0</v>
      </c>
      <c r="Q77" s="488">
        <f>SUMIFS('B. Despesa'!$H$2:$H$1048576,'B. Despesa'!$I$2:$I$1048576,'Base Realizado'!Q$5,'B. Despesa'!$K$2:$K$1048576,'Base Realizado'!$B77)</f>
        <v>0</v>
      </c>
      <c r="R77" s="488">
        <f>SUMIFS('B. Despesa'!$H$2:$H$1048576,'B. Despesa'!$I$2:$I$1048576,'Base Realizado'!R$5,'B. Despesa'!$K$2:$K$1048576,'Base Realizado'!$B77)</f>
        <v>0</v>
      </c>
      <c r="S77" s="488">
        <f>SUMIFS('B. Despesa'!$H$2:$H$1048576,'B. Despesa'!$I$2:$I$1048576,'Base Realizado'!S$5,'B. Despesa'!$K$2:$K$1048576,'Base Realizado'!$B77)</f>
        <v>0</v>
      </c>
      <c r="T77" s="488">
        <f>SUMIFS('B. Despesa'!$H$2:$H$1048576,'B. Despesa'!$I$2:$I$1048576,'Base Realizado'!T$5,'B. Despesa'!$K$2:$K$1048576,'Base Realizado'!$B77)</f>
        <v>0</v>
      </c>
      <c r="U77" s="74"/>
      <c r="V77" s="160">
        <v>-80676.60000000002</v>
      </c>
      <c r="W77" s="1"/>
      <c r="X77" s="76"/>
    </row>
    <row r="78" spans="2:33" ht="13.5" customHeight="1">
      <c r="B78" s="476" t="s">
        <v>1729</v>
      </c>
      <c r="C78" s="355"/>
      <c r="D78" s="356">
        <f t="shared" ref="D78:T78" si="74">SUM(D79:D81)</f>
        <v>-52795.14</v>
      </c>
      <c r="E78" s="835">
        <f>SUM(E79:E81)</f>
        <v>3.797258180440842E-2</v>
      </c>
      <c r="F78" s="356">
        <f t="shared" si="74"/>
        <v>-55997.450000000004</v>
      </c>
      <c r="G78" s="835">
        <f>SUM(G79:G81)</f>
        <v>3.6634262055474813E-2</v>
      </c>
      <c r="H78" s="802">
        <f t="shared" si="74"/>
        <v>-53378.869999999995</v>
      </c>
      <c r="I78" s="835">
        <f>SUM(I79:I81)</f>
        <v>2.1844922092726964E-2</v>
      </c>
      <c r="J78" s="823"/>
      <c r="K78" s="817">
        <f t="shared" si="74"/>
        <v>-60529.54</v>
      </c>
      <c r="L78" s="835">
        <f>SUM(L79:L81)</f>
        <v>2.6263413311552308E-2</v>
      </c>
      <c r="M78" s="356">
        <f t="shared" si="74"/>
        <v>0</v>
      </c>
      <c r="N78" s="356">
        <f t="shared" si="74"/>
        <v>0</v>
      </c>
      <c r="O78" s="356">
        <f t="shared" si="74"/>
        <v>0</v>
      </c>
      <c r="P78" s="356">
        <f t="shared" si="74"/>
        <v>0</v>
      </c>
      <c r="Q78" s="356">
        <f t="shared" si="74"/>
        <v>0</v>
      </c>
      <c r="R78" s="356">
        <f t="shared" si="74"/>
        <v>0</v>
      </c>
      <c r="S78" s="356">
        <f t="shared" si="74"/>
        <v>0</v>
      </c>
      <c r="T78" s="356">
        <f t="shared" si="74"/>
        <v>0</v>
      </c>
      <c r="U78" s="74"/>
      <c r="V78" s="356">
        <v>-844692.6</v>
      </c>
      <c r="W78" s="1"/>
      <c r="X78" s="357" t="s">
        <v>68</v>
      </c>
      <c r="Y78" s="163"/>
      <c r="Z78" s="163"/>
      <c r="AA78" s="163"/>
    </row>
    <row r="79" spans="2:33" ht="13.5" customHeight="1">
      <c r="B79" s="394" t="s">
        <v>162</v>
      </c>
      <c r="C79" s="145" t="s">
        <v>163</v>
      </c>
      <c r="D79" s="117">
        <f>SUMIFS('B. Despesa'!$H$2:$H$1048576,'B. Despesa'!$I$2:$I$1048576,'Base Realizado'!D$5,'B. Despesa'!$K$2:$K$1048576,'Base Realizado'!$B79)</f>
        <v>-13786.55</v>
      </c>
      <c r="E79" s="832">
        <f t="shared" ref="E79:E81" si="75">-D79/D$11</f>
        <v>9.9158918354145271E-3</v>
      </c>
      <c r="F79" s="117">
        <f>SUMIFS('B. Despesa'!$H$2:$H$1048576,'B. Despesa'!$I$2:$I$1048576,'Base Realizado'!F$5,'B. Despesa'!$K$2:$K$1048576,'Base Realizado'!$B79)</f>
        <v>-10238.16</v>
      </c>
      <c r="G79" s="832">
        <f t="shared" ref="G79" si="76">-F79/F$11</f>
        <v>6.6979377883435763E-3</v>
      </c>
      <c r="H79" s="795">
        <f>SUMIFS('B. Despesa'!$H$2:$H$1048576,'B. Despesa'!$I$2:$I$1048576,'Base Realizado'!H$5,'B. Despesa'!$K$2:$K$1048576,'Base Realizado'!$B79)</f>
        <v>-17513.38</v>
      </c>
      <c r="I79" s="832">
        <f t="shared" ref="I79" si="77">-H79/H$11</f>
        <v>7.1672259394086569E-3</v>
      </c>
      <c r="J79" s="608"/>
      <c r="K79" s="810">
        <f>SUMIFS('B. Despesa'!$H$2:$H$1048576,'B. Despesa'!$I$2:$I$1048576,'Base Realizado'!K$5,'B. Despesa'!$K$2:$K$1048576,'Base Realizado'!$B79)</f>
        <v>-22050.49</v>
      </c>
      <c r="L79" s="832">
        <f t="shared" ref="L79" si="78">-K79/K$11</f>
        <v>9.5675786168580006E-3</v>
      </c>
      <c r="M79" s="117">
        <f>SUMIFS('B. Despesa'!$H$2:$H$1048576,'B. Despesa'!$I$2:$I$1048576,'Base Realizado'!M$5,'B. Despesa'!$K$2:$K$1048576,'Base Realizado'!$B79)</f>
        <v>0</v>
      </c>
      <c r="N79" s="117">
        <f>SUMIFS('B. Despesa'!$H$2:$H$1048576,'B. Despesa'!$I$2:$I$1048576,'Base Realizado'!N$5,'B. Despesa'!$K$2:$K$1048576,'Base Realizado'!$B79)</f>
        <v>0</v>
      </c>
      <c r="O79" s="117">
        <f>SUMIFS('B. Despesa'!$H$2:$H$1048576,'B. Despesa'!$I$2:$I$1048576,'Base Realizado'!O$5,'B. Despesa'!$K$2:$K$1048576,'Base Realizado'!$B79)</f>
        <v>0</v>
      </c>
      <c r="P79" s="117">
        <f>SUMIFS('B. Despesa'!$H$2:$H$1048576,'B. Despesa'!$I$2:$I$1048576,'Base Realizado'!P$5,'B. Despesa'!$K$2:$K$1048576,'Base Realizado'!$B79)</f>
        <v>0</v>
      </c>
      <c r="Q79" s="117">
        <f>SUMIFS('B. Despesa'!$H$2:$H$1048576,'B. Despesa'!$I$2:$I$1048576,'Base Realizado'!Q$5,'B. Despesa'!$K$2:$K$1048576,'Base Realizado'!$B79)</f>
        <v>0</v>
      </c>
      <c r="R79" s="117">
        <f>SUMIFS('B. Despesa'!$H$2:$H$1048576,'B. Despesa'!$I$2:$I$1048576,'Base Realizado'!R$5,'B. Despesa'!$K$2:$K$1048576,'Base Realizado'!$B79)</f>
        <v>0</v>
      </c>
      <c r="S79" s="117">
        <f>SUMIFS('B. Despesa'!$H$2:$H$1048576,'B. Despesa'!$I$2:$I$1048576,'Base Realizado'!S$5,'B. Despesa'!$K$2:$K$1048576,'Base Realizado'!$B79)</f>
        <v>0</v>
      </c>
      <c r="T79" s="117">
        <f>SUMIFS('B. Despesa'!$H$2:$H$1048576,'B. Despesa'!$I$2:$I$1048576,'Base Realizado'!T$5,'B. Despesa'!$K$2:$K$1048576,'Base Realizado'!$B79)</f>
        <v>0</v>
      </c>
      <c r="U79" s="74"/>
      <c r="V79" s="176">
        <v>-253300.75374165751</v>
      </c>
      <c r="W79" s="162"/>
      <c r="X79" s="134">
        <v>0.01</v>
      </c>
      <c r="Y79" s="163"/>
      <c r="Z79" s="163"/>
      <c r="AA79" s="163"/>
    </row>
    <row r="80" spans="2:33" ht="13.5" customHeight="1">
      <c r="B80" s="396" t="s">
        <v>183</v>
      </c>
      <c r="C80" s="179" t="s">
        <v>184</v>
      </c>
      <c r="D80" s="117">
        <f>SUMIFS('B. Despesa'!$H$2:$H$1048576,'B. Despesa'!$I$2:$I$1048576,'Base Realizado'!D$5,'B. Despesa'!$K$2:$K$1048576,'Base Realizado'!$B80)</f>
        <v>-31374.41</v>
      </c>
      <c r="E80" s="832">
        <f t="shared" si="75"/>
        <v>2.256585265784028E-2</v>
      </c>
      <c r="F80" s="117">
        <f>SUMIFS('B. Despesa'!$H$2:$H$1048576,'B. Despesa'!$I$2:$I$1048576,'Base Realizado'!F$5,'B. Despesa'!$K$2:$K$1048576,'Base Realizado'!$B80)</f>
        <v>-35807.360000000001</v>
      </c>
      <c r="G80" s="832">
        <f t="shared" ref="G80" si="79">-F80/F$11</f>
        <v>2.3425641877527041E-2</v>
      </c>
      <c r="H80" s="795">
        <f>SUMIFS('B. Despesa'!$H$2:$H$1048576,'B. Despesa'!$I$2:$I$1048576,'Base Realizado'!H$5,'B. Despesa'!$K$2:$K$1048576,'Base Realizado'!$B80)</f>
        <v>-34144.35</v>
      </c>
      <c r="I80" s="832">
        <f t="shared" ref="I80" si="80">-H80/H$11</f>
        <v>1.3973331875642963E-2</v>
      </c>
      <c r="J80" s="608"/>
      <c r="K80" s="810">
        <f>SUMIFS('B. Despesa'!$H$2:$H$1048576,'B. Despesa'!$I$2:$I$1048576,'Base Realizado'!K$5,'B. Despesa'!$K$2:$K$1048576,'Base Realizado'!$B80)</f>
        <v>-32477.45</v>
      </c>
      <c r="L80" s="832">
        <f t="shared" ref="L80" si="81">-K80/K$11</f>
        <v>1.4091775563721027E-2</v>
      </c>
      <c r="M80" s="117">
        <f>SUMIFS('B. Despesa'!$H$2:$H$1048576,'B. Despesa'!$I$2:$I$1048576,'Base Realizado'!M$5,'B. Despesa'!$K$2:$K$1048576,'Base Realizado'!$B80)</f>
        <v>0</v>
      </c>
      <c r="N80" s="117">
        <f>SUMIFS('B. Despesa'!$H$2:$H$1048576,'B. Despesa'!$I$2:$I$1048576,'Base Realizado'!N$5,'B. Despesa'!$K$2:$K$1048576,'Base Realizado'!$B80)</f>
        <v>0</v>
      </c>
      <c r="O80" s="117">
        <f>SUMIFS('B. Despesa'!$H$2:$H$1048576,'B. Despesa'!$I$2:$I$1048576,'Base Realizado'!O$5,'B. Despesa'!$K$2:$K$1048576,'Base Realizado'!$B80)</f>
        <v>0</v>
      </c>
      <c r="P80" s="117">
        <f>SUMIFS('B. Despesa'!$H$2:$H$1048576,'B. Despesa'!$I$2:$I$1048576,'Base Realizado'!P$5,'B. Despesa'!$K$2:$K$1048576,'Base Realizado'!$B80)</f>
        <v>0</v>
      </c>
      <c r="Q80" s="117">
        <f>SUMIFS('B. Despesa'!$H$2:$H$1048576,'B. Despesa'!$I$2:$I$1048576,'Base Realizado'!Q$5,'B. Despesa'!$K$2:$K$1048576,'Base Realizado'!$B80)</f>
        <v>0</v>
      </c>
      <c r="R80" s="117">
        <f>SUMIFS('B. Despesa'!$H$2:$H$1048576,'B. Despesa'!$I$2:$I$1048576,'Base Realizado'!R$5,'B. Despesa'!$K$2:$K$1048576,'Base Realizado'!$B80)</f>
        <v>0</v>
      </c>
      <c r="S80" s="117">
        <f>SUMIFS('B. Despesa'!$H$2:$H$1048576,'B. Despesa'!$I$2:$I$1048576,'Base Realizado'!S$5,'B. Despesa'!$K$2:$K$1048576,'Base Realizado'!$B80)</f>
        <v>0</v>
      </c>
      <c r="T80" s="117">
        <f>SUMIFS('B. Despesa'!$H$2:$H$1048576,'B. Despesa'!$I$2:$I$1048576,'Base Realizado'!T$5,'B. Despesa'!$K$2:$K$1048576,'Base Realizado'!$B80)</f>
        <v>0</v>
      </c>
      <c r="U80" s="74"/>
      <c r="V80" s="129">
        <v>-303960.90448998899</v>
      </c>
      <c r="W80" s="177"/>
      <c r="X80" s="134">
        <v>1.2E-2</v>
      </c>
      <c r="Y80" s="177"/>
      <c r="Z80" s="177"/>
      <c r="AA80" s="177"/>
    </row>
    <row r="81" spans="2:27" ht="13.5" customHeight="1">
      <c r="B81" s="396" t="s">
        <v>189</v>
      </c>
      <c r="C81" s="179" t="s">
        <v>186</v>
      </c>
      <c r="D81" s="117">
        <f>SUMIFS('B. Despesa'!$H$2:$H$1048576,'B. Despesa'!$I$2:$I$1048576,'Base Realizado'!D$5,'B. Despesa'!$K$2:$K$1048576,'Base Realizado'!$B81)</f>
        <v>-7634.1799999999994</v>
      </c>
      <c r="E81" s="832">
        <f t="shared" si="75"/>
        <v>5.4908373111536152E-3</v>
      </c>
      <c r="F81" s="117">
        <f>SUMIFS('B. Despesa'!$H$2:$H$1048576,'B. Despesa'!$I$2:$I$1048576,'Base Realizado'!F$5,'B. Despesa'!$K$2:$K$1048576,'Base Realizado'!$B81)</f>
        <v>-9951.93</v>
      </c>
      <c r="G81" s="832">
        <f t="shared" ref="G81" si="82">-F81/F$11</f>
        <v>6.5106823896041955E-3</v>
      </c>
      <c r="H81" s="795">
        <f>SUMIFS('B. Despesa'!$H$2:$H$1048576,'B. Despesa'!$I$2:$I$1048576,'Base Realizado'!H$5,'B. Despesa'!$K$2:$K$1048576,'Base Realizado'!$B81)</f>
        <v>-1721.14</v>
      </c>
      <c r="I81" s="832">
        <f t="shared" ref="I81" si="83">-H81/H$11</f>
        <v>7.0436427767534395E-4</v>
      </c>
      <c r="J81" s="608"/>
      <c r="K81" s="810">
        <f>SUMIFS('B. Despesa'!$H$2:$H$1048576,'B. Despesa'!$I$2:$I$1048576,'Base Realizado'!K$5,'B. Despesa'!$K$2:$K$1048576,'Base Realizado'!$B81)</f>
        <v>-6001.6</v>
      </c>
      <c r="L81" s="834">
        <f t="shared" ref="L81" si="84">-K81/K$11</f>
        <v>2.6040591309732788E-3</v>
      </c>
      <c r="M81" s="117">
        <f>SUMIFS('B. Despesa'!$H$2:$H$1048576,'B. Despesa'!$I$2:$I$1048576,'Base Realizado'!M$5,'B. Despesa'!$K$2:$K$1048576,'Base Realizado'!$B81)</f>
        <v>0</v>
      </c>
      <c r="N81" s="117">
        <f>SUMIFS('B. Despesa'!$H$2:$H$1048576,'B. Despesa'!$I$2:$I$1048576,'Base Realizado'!N$5,'B. Despesa'!$K$2:$K$1048576,'Base Realizado'!$B81)</f>
        <v>0</v>
      </c>
      <c r="O81" s="117">
        <f>SUMIFS('B. Despesa'!$H$2:$H$1048576,'B. Despesa'!$I$2:$I$1048576,'Base Realizado'!O$5,'B. Despesa'!$K$2:$K$1048576,'Base Realizado'!$B81)</f>
        <v>0</v>
      </c>
      <c r="P81" s="117">
        <f>SUMIFS('B. Despesa'!$H$2:$H$1048576,'B. Despesa'!$I$2:$I$1048576,'Base Realizado'!P$5,'B. Despesa'!$K$2:$K$1048576,'Base Realizado'!$B81)</f>
        <v>0</v>
      </c>
      <c r="Q81" s="117">
        <f>SUMIFS('B. Despesa'!$H$2:$H$1048576,'B. Despesa'!$I$2:$I$1048576,'Base Realizado'!Q$5,'B. Despesa'!$K$2:$K$1048576,'Base Realizado'!$B81)</f>
        <v>0</v>
      </c>
      <c r="R81" s="117">
        <f>SUMIFS('B. Despesa'!$H$2:$H$1048576,'B. Despesa'!$I$2:$I$1048576,'Base Realizado'!R$5,'B. Despesa'!$K$2:$K$1048576,'Base Realizado'!$B81)</f>
        <v>0</v>
      </c>
      <c r="S81" s="117">
        <f>SUMIFS('B. Despesa'!$H$2:$H$1048576,'B. Despesa'!$I$2:$I$1048576,'Base Realizado'!S$5,'B. Despesa'!$K$2:$K$1048576,'Base Realizado'!$B81)</f>
        <v>0</v>
      </c>
      <c r="T81" s="117">
        <f>SUMIFS('B. Despesa'!$H$2:$H$1048576,'B. Despesa'!$I$2:$I$1048576,'Base Realizado'!T$5,'B. Despesa'!$K$2:$K$1048576,'Base Realizado'!$B81)</f>
        <v>0</v>
      </c>
      <c r="U81" s="74"/>
      <c r="V81" s="129">
        <v>-126650.37687082875</v>
      </c>
      <c r="X81" s="134">
        <v>5.0000000000000001E-3</v>
      </c>
      <c r="Y81" s="163"/>
      <c r="Z81" s="163"/>
      <c r="AA81" s="163"/>
    </row>
    <row r="82" spans="2:27" ht="13.5" customHeight="1">
      <c r="B82" s="760"/>
      <c r="C82" s="424"/>
      <c r="D82" s="761"/>
      <c r="E82" s="761"/>
      <c r="F82" s="761"/>
      <c r="G82" s="761"/>
      <c r="H82" s="803"/>
      <c r="I82" s="761"/>
      <c r="J82" s="608"/>
      <c r="K82" s="818"/>
      <c r="L82" s="761"/>
      <c r="M82" s="761"/>
      <c r="N82" s="761"/>
      <c r="O82" s="761"/>
      <c r="P82" s="761"/>
      <c r="Q82" s="761"/>
      <c r="R82" s="761"/>
      <c r="S82" s="761"/>
      <c r="T82" s="761"/>
      <c r="U82" s="74"/>
      <c r="V82" s="761"/>
      <c r="X82" s="762"/>
      <c r="Y82" s="163"/>
      <c r="Z82" s="163"/>
      <c r="AA82" s="163"/>
    </row>
    <row r="83" spans="2:27" ht="13.5" customHeight="1">
      <c r="B83" s="476" t="s">
        <v>916</v>
      </c>
      <c r="C83" s="355"/>
      <c r="D83" s="356">
        <f t="shared" ref="D83:I83" si="85">SUM(D84:D85)</f>
        <v>-50127.13</v>
      </c>
      <c r="E83" s="835">
        <f t="shared" si="85"/>
        <v>3.6053631916597162E-2</v>
      </c>
      <c r="F83" s="356">
        <f t="shared" si="85"/>
        <v>-26855.799999999996</v>
      </c>
      <c r="G83" s="835">
        <f t="shared" si="85"/>
        <v>1.7569414587796775E-2</v>
      </c>
      <c r="H83" s="802">
        <f t="shared" si="85"/>
        <v>-18412.43</v>
      </c>
      <c r="I83" s="835">
        <f t="shared" si="85"/>
        <v>7.53515574398238E-3</v>
      </c>
      <c r="J83" s="823"/>
      <c r="K83" s="817">
        <f t="shared" ref="K83:T83" si="86">SUM(K84)</f>
        <v>-22298.67</v>
      </c>
      <c r="L83" s="835">
        <f>SUM(L84:L85)</f>
        <v>9.6752624670187817E-3</v>
      </c>
      <c r="M83" s="356">
        <f t="shared" si="86"/>
        <v>0</v>
      </c>
      <c r="N83" s="356">
        <f t="shared" si="86"/>
        <v>0</v>
      </c>
      <c r="O83" s="356">
        <f t="shared" si="86"/>
        <v>0</v>
      </c>
      <c r="P83" s="356">
        <f t="shared" si="86"/>
        <v>0</v>
      </c>
      <c r="Q83" s="356">
        <f t="shared" si="86"/>
        <v>0</v>
      </c>
      <c r="R83" s="356">
        <f t="shared" si="86"/>
        <v>0</v>
      </c>
      <c r="S83" s="356">
        <f t="shared" si="86"/>
        <v>0</v>
      </c>
      <c r="T83" s="356">
        <f t="shared" si="86"/>
        <v>0</v>
      </c>
      <c r="U83" s="74"/>
      <c r="V83" s="356">
        <v>-844692.6</v>
      </c>
      <c r="W83" s="1"/>
      <c r="X83" s="357" t="s">
        <v>68</v>
      </c>
      <c r="Y83" s="163"/>
      <c r="Z83" s="163"/>
      <c r="AA83" s="163"/>
    </row>
    <row r="84" spans="2:27" ht="13.5" customHeight="1">
      <c r="B84" s="169" t="s">
        <v>195</v>
      </c>
      <c r="C84" s="181" t="s">
        <v>190</v>
      </c>
      <c r="D84" s="117">
        <f>SUMIFS('B. Despesa'!$H$2:$H$1048576,'B. Despesa'!$I$2:$I$1048576,'Base Realizado'!D$5,'B. Despesa'!$K$2:$K$1048576,'Base Realizado'!$B84)</f>
        <v>-50127.13</v>
      </c>
      <c r="E84" s="832">
        <f t="shared" ref="E84:G103" si="87">-D84/D$11</f>
        <v>3.6053631916597162E-2</v>
      </c>
      <c r="F84" s="117">
        <f>SUMIFS('B. Despesa'!$H$2:$H$1048576,'B. Despesa'!$I$2:$I$1048576,'Base Realizado'!F$5,'B. Despesa'!$K$2:$K$1048576,'Base Realizado'!$B84)</f>
        <v>-16994.739999999998</v>
      </c>
      <c r="G84" s="832">
        <f t="shared" si="87"/>
        <v>1.1118180537232677E-2</v>
      </c>
      <c r="H84" s="795">
        <f>SUMIFS('B. Despesa'!$H$2:$H$1048576,'B. Despesa'!$I$2:$I$1048576,'Base Realizado'!H$5,'B. Despesa'!$K$2:$K$1048576,'Base Realizado'!$B84)</f>
        <v>-18412.43</v>
      </c>
      <c r="I84" s="832">
        <f t="shared" ref="I84" si="88">-H84/H$11</f>
        <v>7.53515574398238E-3</v>
      </c>
      <c r="J84" s="608"/>
      <c r="K84" s="810">
        <f>SUMIFS('B. Despesa'!$H$2:$H$1048576,'B. Despesa'!$I$2:$I$1048576,'Base Realizado'!K$5,'B. Despesa'!$K$2:$K$1048576,'Base Realizado'!$B84)</f>
        <v>-22298.67</v>
      </c>
      <c r="L84" s="832">
        <f t="shared" ref="L84" si="89">-K84/K$11</f>
        <v>9.6752624670187817E-3</v>
      </c>
      <c r="M84" s="117">
        <f>SUMIFS('B. Despesa'!$H$2:$H$1048576,'B. Despesa'!$I$2:$I$1048576,'Base Realizado'!M$5,'B. Despesa'!$K$2:$K$1048576,'Base Realizado'!$B84)</f>
        <v>0</v>
      </c>
      <c r="N84" s="117">
        <f>SUMIFS('B. Despesa'!$H$2:$H$1048576,'B. Despesa'!$I$2:$I$1048576,'Base Realizado'!N$5,'B. Despesa'!$K$2:$K$1048576,'Base Realizado'!$B84)</f>
        <v>0</v>
      </c>
      <c r="O84" s="117">
        <f>SUMIFS('B. Despesa'!$H$2:$H$1048576,'B. Despesa'!$I$2:$I$1048576,'Base Realizado'!O$5,'B. Despesa'!$K$2:$K$1048576,'Base Realizado'!$B84)</f>
        <v>0</v>
      </c>
      <c r="P84" s="117">
        <f>SUMIFS('B. Despesa'!$H$2:$H$1048576,'B. Despesa'!$I$2:$I$1048576,'Base Realizado'!P$5,'B. Despesa'!$K$2:$K$1048576,'Base Realizado'!$B84)</f>
        <v>0</v>
      </c>
      <c r="Q84" s="117">
        <f>SUMIFS('B. Despesa'!$H$2:$H$1048576,'B. Despesa'!$I$2:$I$1048576,'Base Realizado'!Q$5,'B. Despesa'!$K$2:$K$1048576,'Base Realizado'!$B84)</f>
        <v>0</v>
      </c>
      <c r="R84" s="117">
        <f>SUMIFS('B. Despesa'!$H$2:$H$1048576,'B. Despesa'!$I$2:$I$1048576,'Base Realizado'!R$5,'B. Despesa'!$K$2:$K$1048576,'Base Realizado'!$B84)</f>
        <v>0</v>
      </c>
      <c r="S84" s="117">
        <f>SUMIFS('B. Despesa'!$H$2:$H$1048576,'B. Despesa'!$I$2:$I$1048576,'Base Realizado'!S$5,'B. Despesa'!$K$2:$K$1048576,'Base Realizado'!$B84)</f>
        <v>0</v>
      </c>
      <c r="T84" s="117">
        <f>SUMIFS('B. Despesa'!$H$2:$H$1048576,'B. Despesa'!$I$2:$I$1048576,'Base Realizado'!T$5,'B. Despesa'!$K$2:$K$1048576,'Base Realizado'!$B84)</f>
        <v>0</v>
      </c>
      <c r="U84" s="74"/>
      <c r="V84" s="129">
        <v>-253300.75374165751</v>
      </c>
      <c r="W84" s="177"/>
      <c r="X84" s="134">
        <v>0.01</v>
      </c>
      <c r="Y84" s="163"/>
      <c r="Z84" s="163"/>
      <c r="AA84" s="163"/>
    </row>
    <row r="85" spans="2:27" ht="13.5" customHeight="1">
      <c r="B85" s="395" t="s">
        <v>173</v>
      </c>
      <c r="C85" s="147" t="s">
        <v>174</v>
      </c>
      <c r="D85" s="117">
        <f>SUMIFS('B. Despesa'!$H$2:$H$1048576,'B. Despesa'!$I$2:$I$1048576,'Base Realizado'!D$5,'B. Despesa'!$K$2:$K$1048576,'Base Realizado'!$B85)</f>
        <v>0</v>
      </c>
      <c r="E85" s="832">
        <f t="shared" si="87"/>
        <v>0</v>
      </c>
      <c r="F85" s="117">
        <f>SUMIFS('B. Despesa'!$H$2:$H$1048576,'B. Despesa'!$I$2:$I$1048576,'Base Realizado'!F$5,'B. Despesa'!$K$2:$K$1048576,'Base Realizado'!$B85)</f>
        <v>-9861.06</v>
      </c>
      <c r="G85" s="832">
        <f t="shared" si="87"/>
        <v>6.4512340505640964E-3</v>
      </c>
      <c r="H85" s="795">
        <f>SUMIFS('B. Despesa'!$H$2:$H$1048576,'B. Despesa'!$I$2:$I$1048576,'Base Realizado'!H$5,'B. Despesa'!$K$2:$K$1048576,'Base Realizado'!$B85)</f>
        <v>0</v>
      </c>
      <c r="I85" s="832">
        <f t="shared" ref="I85" si="90">-H85/H$11</f>
        <v>0</v>
      </c>
      <c r="J85" s="608"/>
      <c r="K85" s="818"/>
      <c r="L85" s="832">
        <f t="shared" ref="L85" si="91">-K85/K$11</f>
        <v>0</v>
      </c>
      <c r="M85" s="761"/>
      <c r="N85" s="761"/>
      <c r="O85" s="761"/>
      <c r="P85" s="761"/>
      <c r="Q85" s="761"/>
      <c r="R85" s="761"/>
      <c r="S85" s="761"/>
      <c r="T85" s="761"/>
      <c r="U85" s="74"/>
      <c r="V85" s="761"/>
      <c r="W85" s="177"/>
      <c r="X85" s="762"/>
      <c r="Y85" s="163"/>
      <c r="Z85" s="163"/>
      <c r="AA85" s="163"/>
    </row>
    <row r="86" spans="2:27" ht="12.75" customHeight="1">
      <c r="B86" s="475" t="s">
        <v>161</v>
      </c>
      <c r="C86" s="344"/>
      <c r="D86" s="345">
        <f t="shared" ref="D86:T86" si="92">SUM(D87:D101)</f>
        <v>-208148.95</v>
      </c>
      <c r="E86" s="836">
        <f>SUM(E87:E101)</f>
        <v>0.1497098602518474</v>
      </c>
      <c r="F86" s="345">
        <f t="shared" si="92"/>
        <v>-221468.45</v>
      </c>
      <c r="G86" s="836">
        <f>SUM(G87:G101)</f>
        <v>0.14488754817085103</v>
      </c>
      <c r="H86" s="792">
        <f t="shared" si="92"/>
        <v>-238262.48</v>
      </c>
      <c r="I86" s="836">
        <f>SUM(I87:I101)</f>
        <v>9.7507221738113173E-2</v>
      </c>
      <c r="J86" s="823"/>
      <c r="K86" s="808">
        <f t="shared" si="92"/>
        <v>-252889.37</v>
      </c>
      <c r="L86" s="836">
        <f>SUM(L87:L101)</f>
        <v>0.10972721825422889</v>
      </c>
      <c r="M86" s="345">
        <f t="shared" si="92"/>
        <v>0</v>
      </c>
      <c r="N86" s="345">
        <f t="shared" si="92"/>
        <v>0</v>
      </c>
      <c r="O86" s="345">
        <f t="shared" si="92"/>
        <v>0</v>
      </c>
      <c r="P86" s="345">
        <f t="shared" si="92"/>
        <v>0</v>
      </c>
      <c r="Q86" s="345">
        <f t="shared" si="92"/>
        <v>0</v>
      </c>
      <c r="R86" s="345">
        <f t="shared" si="92"/>
        <v>0</v>
      </c>
      <c r="S86" s="345">
        <f t="shared" si="92"/>
        <v>0</v>
      </c>
      <c r="T86" s="345">
        <f t="shared" si="92"/>
        <v>0</v>
      </c>
      <c r="U86" s="74"/>
      <c r="V86" s="345">
        <v>-3116823.5727354567</v>
      </c>
      <c r="W86" s="1"/>
      <c r="X86" s="350" t="s">
        <v>68</v>
      </c>
    </row>
    <row r="87" spans="2:27" ht="13.5" customHeight="1">
      <c r="B87" s="394" t="s">
        <v>164</v>
      </c>
      <c r="C87" s="145" t="s">
        <v>165</v>
      </c>
      <c r="D87" s="117">
        <f>SUMIFS('B. Despesa'!$H$2:$H$1048576,'B. Despesa'!$I$2:$I$1048576,'Base Realizado'!D$5,'B. Despesa'!$K$2:$K$1048576,'Base Realizado'!$B87)</f>
        <v>-7953.41</v>
      </c>
      <c r="E87" s="832">
        <f t="shared" si="87"/>
        <v>5.7204415377816974E-3</v>
      </c>
      <c r="F87" s="117">
        <f>SUMIFS('B. Despesa'!$H$2:$H$1048576,'B. Despesa'!$I$2:$I$1048576,'Base Realizado'!F$5,'B. Despesa'!$K$2:$K$1048576,'Base Realizado'!$B87)</f>
        <v>-8690.7099999999991</v>
      </c>
      <c r="G87" s="832">
        <f t="shared" si="87"/>
        <v>5.6855758179727017E-3</v>
      </c>
      <c r="H87" s="795">
        <f>SUMIFS('B. Despesa'!$H$2:$H$1048576,'B. Despesa'!$I$2:$I$1048576,'Base Realizado'!H$5,'B. Despesa'!$K$2:$K$1048576,'Base Realizado'!$B87)</f>
        <v>-10253.41</v>
      </c>
      <c r="I87" s="832">
        <f t="shared" ref="I87" si="93">-H87/H$11</f>
        <v>4.1961349619200929E-3</v>
      </c>
      <c r="J87" s="608"/>
      <c r="K87" s="810">
        <f>SUMIFS('B. Despesa'!$H$2:$H$1048576,'B. Despesa'!$I$2:$I$1048576,'Base Realizado'!K$5,'B. Despesa'!$K$2:$K$1048576,'Base Realizado'!$B87)</f>
        <v>-9983.7099999999991</v>
      </c>
      <c r="L87" s="832">
        <f t="shared" ref="L87" si="94">-K87/K$11</f>
        <v>4.3318733648509116E-3</v>
      </c>
      <c r="M87" s="117">
        <f>SUMIFS('B. Despesa'!$H$2:$H$1048576,'B. Despesa'!$I$2:$I$1048576,'Base Realizado'!M$5,'B. Despesa'!$K$2:$K$1048576,'Base Realizado'!$B87)</f>
        <v>0</v>
      </c>
      <c r="N87" s="117">
        <f>SUMIFS('B. Despesa'!$H$2:$H$1048576,'B. Despesa'!$I$2:$I$1048576,'Base Realizado'!N$5,'B. Despesa'!$K$2:$K$1048576,'Base Realizado'!$B87)</f>
        <v>0</v>
      </c>
      <c r="O87" s="117">
        <f>SUMIFS('B. Despesa'!$H$2:$H$1048576,'B. Despesa'!$I$2:$I$1048576,'Base Realizado'!O$5,'B. Despesa'!$K$2:$K$1048576,'Base Realizado'!$B87)</f>
        <v>0</v>
      </c>
      <c r="P87" s="117">
        <f>SUMIFS('B. Despesa'!$H$2:$H$1048576,'B. Despesa'!$I$2:$I$1048576,'Base Realizado'!P$5,'B. Despesa'!$K$2:$K$1048576,'Base Realizado'!$B87)</f>
        <v>0</v>
      </c>
      <c r="Q87" s="117">
        <f>SUMIFS('B. Despesa'!$H$2:$H$1048576,'B. Despesa'!$I$2:$I$1048576,'Base Realizado'!Q$5,'B. Despesa'!$K$2:$K$1048576,'Base Realizado'!$B87)</f>
        <v>0</v>
      </c>
      <c r="R87" s="117">
        <f>SUMIFS('B. Despesa'!$H$2:$H$1048576,'B. Despesa'!$I$2:$I$1048576,'Base Realizado'!R$5,'B. Despesa'!$K$2:$K$1048576,'Base Realizado'!$B87)</f>
        <v>0</v>
      </c>
      <c r="S87" s="117">
        <f>SUMIFS('B. Despesa'!$H$2:$H$1048576,'B. Despesa'!$I$2:$I$1048576,'Base Realizado'!S$5,'B. Despesa'!$K$2:$K$1048576,'Base Realizado'!$B87)</f>
        <v>0</v>
      </c>
      <c r="T87" s="117">
        <f>SUMIFS('B. Despesa'!$H$2:$H$1048576,'B. Despesa'!$I$2:$I$1048576,'Base Realizado'!T$5,'B. Despesa'!$K$2:$K$1048576,'Base Realizado'!$B87)</f>
        <v>0</v>
      </c>
      <c r="U87" s="74"/>
      <c r="V87" s="129">
        <v>-300000</v>
      </c>
      <c r="W87" s="162"/>
      <c r="X87" s="134">
        <f>-V87/V11</f>
        <v>1.0937590824643358E-2</v>
      </c>
      <c r="Y87" s="177"/>
      <c r="Z87" s="177"/>
      <c r="AA87" s="177"/>
    </row>
    <row r="88" spans="2:27" ht="13.5" customHeight="1">
      <c r="B88" s="395" t="s">
        <v>166</v>
      </c>
      <c r="C88" s="147" t="s">
        <v>167</v>
      </c>
      <c r="D88" s="117">
        <f>SUMIFS('B. Despesa'!$H$2:$H$1048576,'B. Despesa'!$I$2:$I$1048576,'Base Realizado'!D$5,'B. Despesa'!$K$2:$K$1048576,'Base Realizado'!$B88)</f>
        <v>-3054.34</v>
      </c>
      <c r="E88" s="832">
        <f t="shared" si="87"/>
        <v>2.1968153793791782E-3</v>
      </c>
      <c r="F88" s="117">
        <f>SUMIFS('B. Despesa'!$H$2:$H$1048576,'B. Despesa'!$I$2:$I$1048576,'Base Realizado'!F$5,'B. Despesa'!$K$2:$K$1048576,'Base Realizado'!$B88)</f>
        <v>-2750</v>
      </c>
      <c r="G88" s="832">
        <f t="shared" si="87"/>
        <v>1.7990858628840374E-3</v>
      </c>
      <c r="H88" s="795">
        <f>SUMIFS('B. Despesa'!$H$2:$H$1048576,'B. Despesa'!$I$2:$I$1048576,'Base Realizado'!H$5,'B. Despesa'!$K$2:$K$1048576,'Base Realizado'!$B88)</f>
        <v>-2750</v>
      </c>
      <c r="I88" s="832">
        <f t="shared" ref="I88" si="95">-H88/H$11</f>
        <v>1.1254178995358866E-3</v>
      </c>
      <c r="J88" s="608"/>
      <c r="K88" s="810">
        <f>SUMIFS('B. Despesa'!$H$2:$H$1048576,'B. Despesa'!$I$2:$I$1048576,'Base Realizado'!K$5,'B. Despesa'!$K$2:$K$1048576,'Base Realizado'!$B88)</f>
        <v>-2750</v>
      </c>
      <c r="L88" s="832">
        <f t="shared" ref="L88" si="96">-K88/K$11</f>
        <v>1.1932089126527122E-3</v>
      </c>
      <c r="M88" s="117">
        <f>SUMIFS('B. Despesa'!$H$2:$H$1048576,'B. Despesa'!$I$2:$I$1048576,'Base Realizado'!M$5,'B. Despesa'!$K$2:$K$1048576,'Base Realizado'!$B88)</f>
        <v>0</v>
      </c>
      <c r="N88" s="117">
        <f>SUMIFS('B. Despesa'!$H$2:$H$1048576,'B. Despesa'!$I$2:$I$1048576,'Base Realizado'!N$5,'B. Despesa'!$K$2:$K$1048576,'Base Realizado'!$B88)</f>
        <v>0</v>
      </c>
      <c r="O88" s="117">
        <f>SUMIFS('B. Despesa'!$H$2:$H$1048576,'B. Despesa'!$I$2:$I$1048576,'Base Realizado'!O$5,'B. Despesa'!$K$2:$K$1048576,'Base Realizado'!$B88)</f>
        <v>0</v>
      </c>
      <c r="P88" s="117">
        <f>SUMIFS('B. Despesa'!$H$2:$H$1048576,'B. Despesa'!$I$2:$I$1048576,'Base Realizado'!P$5,'B. Despesa'!$K$2:$K$1048576,'Base Realizado'!$B88)</f>
        <v>0</v>
      </c>
      <c r="Q88" s="117">
        <f>SUMIFS('B. Despesa'!$H$2:$H$1048576,'B. Despesa'!$I$2:$I$1048576,'Base Realizado'!Q$5,'B. Despesa'!$K$2:$K$1048576,'Base Realizado'!$B88)</f>
        <v>0</v>
      </c>
      <c r="R88" s="117">
        <f>SUMIFS('B. Despesa'!$H$2:$H$1048576,'B. Despesa'!$I$2:$I$1048576,'Base Realizado'!R$5,'B. Despesa'!$K$2:$K$1048576,'Base Realizado'!$B88)</f>
        <v>0</v>
      </c>
      <c r="S88" s="117">
        <f>SUMIFS('B. Despesa'!$H$2:$H$1048576,'B. Despesa'!$I$2:$I$1048576,'Base Realizado'!S$5,'B. Despesa'!$K$2:$K$1048576,'Base Realizado'!$B88)</f>
        <v>0</v>
      </c>
      <c r="T88" s="117">
        <f>SUMIFS('B. Despesa'!$H$2:$H$1048576,'B. Despesa'!$I$2:$I$1048576,'Base Realizado'!T$5,'B. Despesa'!$K$2:$K$1048576,'Base Realizado'!$B88)</f>
        <v>0</v>
      </c>
      <c r="U88" s="74"/>
      <c r="V88" s="117">
        <v>-4150</v>
      </c>
      <c r="W88" s="162"/>
      <c r="X88" s="134">
        <v>2.3999999999999998E-3</v>
      </c>
      <c r="Y88" s="177"/>
      <c r="Z88" s="177"/>
      <c r="AA88" s="177"/>
    </row>
    <row r="89" spans="2:27" ht="13.5" customHeight="1">
      <c r="B89" s="395" t="s">
        <v>175</v>
      </c>
      <c r="C89" s="147" t="s">
        <v>176</v>
      </c>
      <c r="D89" s="117">
        <f>SUMIFS('B. Despesa'!$H$2:$H$1048576,'B. Despesa'!$I$2:$I$1048576,'Base Realizado'!D$5,'B. Despesa'!$K$2:$K$1048576,'Base Realizado'!$B89)</f>
        <v>-1833</v>
      </c>
      <c r="E89" s="832">
        <f t="shared" si="87"/>
        <v>1.3183740482074797E-3</v>
      </c>
      <c r="F89" s="117">
        <f>SUMIFS('B. Despesa'!$H$2:$H$1048576,'B. Despesa'!$I$2:$I$1048576,'Base Realizado'!F$5,'B. Despesa'!$K$2:$K$1048576,'Base Realizado'!$B89)</f>
        <v>-2300</v>
      </c>
      <c r="G89" s="832">
        <f t="shared" si="87"/>
        <v>1.5046899944121039E-3</v>
      </c>
      <c r="H89" s="795">
        <f>SUMIFS('B. Despesa'!$H$2:$H$1048576,'B. Despesa'!$I$2:$I$1048576,'Base Realizado'!H$5,'B. Despesa'!$K$2:$K$1048576,'Base Realizado'!$B89)</f>
        <v>-2300</v>
      </c>
      <c r="I89" s="832">
        <f t="shared" ref="I89" si="97">-H89/H$11</f>
        <v>9.4125860688455969E-4</v>
      </c>
      <c r="J89" s="608"/>
      <c r="K89" s="810">
        <f>SUMIFS('B. Despesa'!$H$2:$H$1048576,'B. Despesa'!$I$2:$I$1048576,'Base Realizado'!K$5,'B. Despesa'!$K$2:$K$1048576,'Base Realizado'!$B89)</f>
        <v>-2300</v>
      </c>
      <c r="L89" s="832">
        <f t="shared" ref="L89" si="98">-K89/K$11</f>
        <v>9.9795654512772284E-4</v>
      </c>
      <c r="M89" s="117">
        <f>SUMIFS('B. Despesa'!$H$2:$H$1048576,'B. Despesa'!$I$2:$I$1048576,'Base Realizado'!M$5,'B. Despesa'!$K$2:$K$1048576,'Base Realizado'!$B89)</f>
        <v>0</v>
      </c>
      <c r="N89" s="117">
        <f>SUMIFS('B. Despesa'!$H$2:$H$1048576,'B. Despesa'!$I$2:$I$1048576,'Base Realizado'!N$5,'B. Despesa'!$K$2:$K$1048576,'Base Realizado'!$B89)</f>
        <v>0</v>
      </c>
      <c r="O89" s="117">
        <f>SUMIFS('B. Despesa'!$H$2:$H$1048576,'B. Despesa'!$I$2:$I$1048576,'Base Realizado'!O$5,'B. Despesa'!$K$2:$K$1048576,'Base Realizado'!$B89)</f>
        <v>0</v>
      </c>
      <c r="P89" s="117">
        <f>SUMIFS('B. Despesa'!$H$2:$H$1048576,'B. Despesa'!$I$2:$I$1048576,'Base Realizado'!P$5,'B. Despesa'!$K$2:$K$1048576,'Base Realizado'!$B89)</f>
        <v>0</v>
      </c>
      <c r="Q89" s="117">
        <f>SUMIFS('B. Despesa'!$H$2:$H$1048576,'B. Despesa'!$I$2:$I$1048576,'Base Realizado'!Q$5,'B. Despesa'!$K$2:$K$1048576,'Base Realizado'!$B89)</f>
        <v>0</v>
      </c>
      <c r="R89" s="117">
        <f>SUMIFS('B. Despesa'!$H$2:$H$1048576,'B. Despesa'!$I$2:$I$1048576,'Base Realizado'!R$5,'B. Despesa'!$K$2:$K$1048576,'Base Realizado'!$B89)</f>
        <v>0</v>
      </c>
      <c r="S89" s="117">
        <f>SUMIFS('B. Despesa'!$H$2:$H$1048576,'B. Despesa'!$I$2:$I$1048576,'Base Realizado'!S$5,'B. Despesa'!$K$2:$K$1048576,'Base Realizado'!$B89)</f>
        <v>0</v>
      </c>
      <c r="T89" s="117">
        <f>SUMIFS('B. Despesa'!$H$2:$H$1048576,'B. Despesa'!$I$2:$I$1048576,'Base Realizado'!T$5,'B. Despesa'!$K$2:$K$1048576,'Base Realizado'!$B89)</f>
        <v>0</v>
      </c>
      <c r="U89" s="74"/>
      <c r="V89" s="129">
        <v>-33600</v>
      </c>
      <c r="W89" s="177"/>
      <c r="X89" s="134">
        <f>-V89/V11</f>
        <v>1.225010172360056E-3</v>
      </c>
    </row>
    <row r="90" spans="2:27" ht="13.5" customHeight="1">
      <c r="B90" s="395" t="s">
        <v>177</v>
      </c>
      <c r="C90" s="156" t="s">
        <v>178</v>
      </c>
      <c r="D90" s="117">
        <f>SUMIFS('B. Despesa'!$H$2:$H$1048576,'B. Despesa'!$I$2:$I$1048576,'Base Realizado'!D$5,'B. Despesa'!$K$2:$K$1048576,'Base Realizado'!$B90)</f>
        <v>-12346.4</v>
      </c>
      <c r="E90" s="832">
        <f t="shared" si="87"/>
        <v>8.8800727489300752E-3</v>
      </c>
      <c r="F90" s="117">
        <f>SUMIFS('B. Despesa'!$H$2:$H$1048576,'B. Despesa'!$I$2:$I$1048576,'Base Realizado'!F$5,'B. Despesa'!$K$2:$K$1048576,'Base Realizado'!$B90)</f>
        <v>-18190</v>
      </c>
      <c r="G90" s="832">
        <f t="shared" si="87"/>
        <v>1.1900135216676596E-2</v>
      </c>
      <c r="H90" s="795">
        <f>SUMIFS('B. Despesa'!$H$2:$H$1048576,'B. Despesa'!$I$2:$I$1048576,'Base Realizado'!H$5,'B. Despesa'!$K$2:$K$1048576,'Base Realizado'!$B90)</f>
        <v>-26315</v>
      </c>
      <c r="I90" s="832">
        <f t="shared" ref="I90" si="99">-H90/H$11</f>
        <v>1.0769226191377039E-2</v>
      </c>
      <c r="J90" s="608"/>
      <c r="K90" s="810">
        <f>SUMIFS('B. Despesa'!$H$2:$H$1048576,'B. Despesa'!$I$2:$I$1048576,'Base Realizado'!K$5,'B. Despesa'!$K$2:$K$1048576,'Base Realizado'!$B90)</f>
        <v>-38106.399999999994</v>
      </c>
      <c r="L90" s="832">
        <f t="shared" ref="L90" si="100">-K90/K$11</f>
        <v>1.653414403967611E-2</v>
      </c>
      <c r="M90" s="117">
        <f>SUMIFS('B. Despesa'!$H$2:$H$1048576,'B. Despesa'!$I$2:$I$1048576,'Base Realizado'!M$5,'B. Despesa'!$K$2:$K$1048576,'Base Realizado'!$B90)</f>
        <v>0</v>
      </c>
      <c r="N90" s="117">
        <f>SUMIFS('B. Despesa'!$H$2:$H$1048576,'B. Despesa'!$I$2:$I$1048576,'Base Realizado'!N$5,'B. Despesa'!$K$2:$K$1048576,'Base Realizado'!$B90)</f>
        <v>0</v>
      </c>
      <c r="O90" s="117">
        <f>SUMIFS('B. Despesa'!$H$2:$H$1048576,'B. Despesa'!$I$2:$I$1048576,'Base Realizado'!O$5,'B. Despesa'!$K$2:$K$1048576,'Base Realizado'!$B90)</f>
        <v>0</v>
      </c>
      <c r="P90" s="117">
        <f>SUMIFS('B. Despesa'!$H$2:$H$1048576,'B. Despesa'!$I$2:$I$1048576,'Base Realizado'!P$5,'B. Despesa'!$K$2:$K$1048576,'Base Realizado'!$B90)</f>
        <v>0</v>
      </c>
      <c r="Q90" s="117">
        <f>SUMIFS('B. Despesa'!$H$2:$H$1048576,'B. Despesa'!$I$2:$I$1048576,'Base Realizado'!Q$5,'B. Despesa'!$K$2:$K$1048576,'Base Realizado'!$B90)</f>
        <v>0</v>
      </c>
      <c r="R90" s="117">
        <f>SUMIFS('B. Despesa'!$H$2:$H$1048576,'B. Despesa'!$I$2:$I$1048576,'Base Realizado'!R$5,'B. Despesa'!$K$2:$K$1048576,'Base Realizado'!$B90)</f>
        <v>0</v>
      </c>
      <c r="S90" s="117">
        <f>SUMIFS('B. Despesa'!$H$2:$H$1048576,'B. Despesa'!$I$2:$I$1048576,'Base Realizado'!S$5,'B. Despesa'!$K$2:$K$1048576,'Base Realizado'!$B90)</f>
        <v>0</v>
      </c>
      <c r="T90" s="117">
        <f>SUMIFS('B. Despesa'!$H$2:$H$1048576,'B. Despesa'!$I$2:$I$1048576,'Base Realizado'!T$5,'B. Despesa'!$K$2:$K$1048576,'Base Realizado'!$B90)</f>
        <v>0</v>
      </c>
      <c r="U90" s="74"/>
      <c r="V90" s="129">
        <v>-356000</v>
      </c>
      <c r="W90" s="177"/>
      <c r="X90" s="134">
        <f>-V90/V11</f>
        <v>1.2979274445243452E-2</v>
      </c>
    </row>
    <row r="91" spans="2:27" ht="13.5" customHeight="1">
      <c r="B91" s="396" t="s">
        <v>181</v>
      </c>
      <c r="C91" s="179" t="s">
        <v>182</v>
      </c>
      <c r="D91" s="117">
        <f>SUMIFS('B. Despesa'!$H$2:$H$1048576,'B. Despesa'!$I$2:$I$1048576,'Base Realizado'!D$5,'B. Despesa'!$K$2:$K$1048576,'Base Realizado'!$B91)</f>
        <v>-4201.9000000000005</v>
      </c>
      <c r="E91" s="832">
        <f t="shared" si="87"/>
        <v>3.0221908964337203E-3</v>
      </c>
      <c r="F91" s="117">
        <f>SUMIFS('B. Despesa'!$H$2:$H$1048576,'B. Despesa'!$I$2:$I$1048576,'Base Realizado'!F$5,'B. Despesa'!$K$2:$K$1048576,'Base Realizado'!$B91)</f>
        <v>-1533.54</v>
      </c>
      <c r="G91" s="832">
        <f t="shared" si="87"/>
        <v>1.0032618669698859E-3</v>
      </c>
      <c r="H91" s="795">
        <f>SUMIFS('B. Despesa'!$H$2:$H$1048576,'B. Despesa'!$I$2:$I$1048576,'Base Realizado'!H$5,'B. Despesa'!$K$2:$K$1048576,'Base Realizado'!$B91)</f>
        <v>-3911.4</v>
      </c>
      <c r="I91" s="832">
        <f t="shared" ref="I91" si="101">-H91/H$11</f>
        <v>1.6007125717253333E-3</v>
      </c>
      <c r="J91" s="608"/>
      <c r="K91" s="810">
        <f>SUMIFS('B. Despesa'!$H$2:$H$1048576,'B. Despesa'!$I$2:$I$1048576,'Base Realizado'!K$5,'B. Despesa'!$K$2:$K$1048576,'Base Realizado'!$B91)</f>
        <v>-7782.02</v>
      </c>
      <c r="L91" s="832">
        <f t="shared" ref="L91" si="102">-K91/K$11</f>
        <v>3.3765729536151486E-3</v>
      </c>
      <c r="M91" s="117">
        <f>SUMIFS('B. Despesa'!$H$2:$H$1048576,'B. Despesa'!$I$2:$I$1048576,'Base Realizado'!M$5,'B. Despesa'!$K$2:$K$1048576,'Base Realizado'!$B91)</f>
        <v>0</v>
      </c>
      <c r="N91" s="117">
        <f>SUMIFS('B. Despesa'!$H$2:$H$1048576,'B. Despesa'!$I$2:$I$1048576,'Base Realizado'!N$5,'B. Despesa'!$K$2:$K$1048576,'Base Realizado'!$B91)</f>
        <v>0</v>
      </c>
      <c r="O91" s="117">
        <f>SUMIFS('B. Despesa'!$H$2:$H$1048576,'B. Despesa'!$I$2:$I$1048576,'Base Realizado'!O$5,'B. Despesa'!$K$2:$K$1048576,'Base Realizado'!$B91)</f>
        <v>0</v>
      </c>
      <c r="P91" s="117">
        <f>SUMIFS('B. Despesa'!$H$2:$H$1048576,'B. Despesa'!$I$2:$I$1048576,'Base Realizado'!P$5,'B. Despesa'!$K$2:$K$1048576,'Base Realizado'!$B91)</f>
        <v>0</v>
      </c>
      <c r="Q91" s="117">
        <f>SUMIFS('B. Despesa'!$H$2:$H$1048576,'B. Despesa'!$I$2:$I$1048576,'Base Realizado'!Q$5,'B. Despesa'!$K$2:$K$1048576,'Base Realizado'!$B91)</f>
        <v>0</v>
      </c>
      <c r="R91" s="117">
        <f>SUMIFS('B. Despesa'!$H$2:$H$1048576,'B. Despesa'!$I$2:$I$1048576,'Base Realizado'!R$5,'B. Despesa'!$K$2:$K$1048576,'Base Realizado'!$B91)</f>
        <v>0</v>
      </c>
      <c r="S91" s="117">
        <f>SUMIFS('B. Despesa'!$H$2:$H$1048576,'B. Despesa'!$I$2:$I$1048576,'Base Realizado'!S$5,'B. Despesa'!$K$2:$K$1048576,'Base Realizado'!$B91)</f>
        <v>0</v>
      </c>
      <c r="T91" s="117">
        <f>SUMIFS('B. Despesa'!$H$2:$H$1048576,'B. Despesa'!$I$2:$I$1048576,'Base Realizado'!T$5,'B. Despesa'!$K$2:$K$1048576,'Base Realizado'!$B91)</f>
        <v>0</v>
      </c>
      <c r="U91" s="74"/>
      <c r="V91" s="129">
        <v>-25330.075374165754</v>
      </c>
      <c r="W91" s="177"/>
      <c r="X91" s="134">
        <v>1E-3</v>
      </c>
      <c r="Y91" s="177"/>
      <c r="Z91" s="177"/>
      <c r="AA91" s="177"/>
    </row>
    <row r="92" spans="2:27" ht="13.5" customHeight="1">
      <c r="B92" s="396" t="s">
        <v>193</v>
      </c>
      <c r="C92" s="173" t="s">
        <v>188</v>
      </c>
      <c r="D92" s="117">
        <f>SUMIFS('B. Despesa'!$H$2:$H$1048576,'B. Despesa'!$I$2:$I$1048576,'Base Realizado'!D$5,'B. Despesa'!$K$2:$K$1048576,'Base Realizado'!$B92)</f>
        <v>-8506.41</v>
      </c>
      <c r="E92" s="832">
        <f t="shared" si="87"/>
        <v>6.1181834082992834E-3</v>
      </c>
      <c r="F92" s="117">
        <f>SUMIFS('B. Despesa'!$H$2:$H$1048576,'B. Despesa'!$I$2:$I$1048576,'Base Realizado'!F$5,'B. Despesa'!$K$2:$K$1048576,'Base Realizado'!$B92)</f>
        <v>-10908.14</v>
      </c>
      <c r="G92" s="832">
        <f t="shared" si="87"/>
        <v>7.1362474415854115E-3</v>
      </c>
      <c r="H92" s="795">
        <f>SUMIFS('B. Despesa'!$H$2:$H$1048576,'B. Despesa'!$I$2:$I$1048576,'Base Realizado'!H$5,'B. Despesa'!$K$2:$K$1048576,'Base Realizado'!$B92)</f>
        <v>-7177.7</v>
      </c>
      <c r="I92" s="832">
        <f t="shared" ref="I92" si="103">-H92/H$11</f>
        <v>2.9374225663631754E-3</v>
      </c>
      <c r="J92" s="608"/>
      <c r="K92" s="810">
        <f>SUMIFS('B. Despesa'!$H$2:$H$1048576,'B. Despesa'!$I$2:$I$1048576,'Base Realizado'!K$5,'B. Despesa'!$K$2:$K$1048576,'Base Realizado'!$B92)</f>
        <v>-7390.84</v>
      </c>
      <c r="L92" s="832">
        <f t="shared" ref="L92" si="104">-K92/K$11</f>
        <v>3.2068422399964256E-3</v>
      </c>
      <c r="M92" s="117">
        <f>SUMIFS('B. Despesa'!$H$2:$H$1048576,'B. Despesa'!$I$2:$I$1048576,'Base Realizado'!M$5,'B. Despesa'!$K$2:$K$1048576,'Base Realizado'!$B92)</f>
        <v>0</v>
      </c>
      <c r="N92" s="117">
        <f>SUMIFS('B. Despesa'!$H$2:$H$1048576,'B. Despesa'!$I$2:$I$1048576,'Base Realizado'!N$5,'B. Despesa'!$K$2:$K$1048576,'Base Realizado'!$B92)</f>
        <v>0</v>
      </c>
      <c r="O92" s="117">
        <f>SUMIFS('B. Despesa'!$H$2:$H$1048576,'B. Despesa'!$I$2:$I$1048576,'Base Realizado'!O$5,'B. Despesa'!$K$2:$K$1048576,'Base Realizado'!$B92)</f>
        <v>0</v>
      </c>
      <c r="P92" s="117">
        <f>SUMIFS('B. Despesa'!$H$2:$H$1048576,'B. Despesa'!$I$2:$I$1048576,'Base Realizado'!P$5,'B. Despesa'!$K$2:$K$1048576,'Base Realizado'!$B92)</f>
        <v>0</v>
      </c>
      <c r="Q92" s="117">
        <f>SUMIFS('B. Despesa'!$H$2:$H$1048576,'B. Despesa'!$I$2:$I$1048576,'Base Realizado'!Q$5,'B. Despesa'!$K$2:$K$1048576,'Base Realizado'!$B92)</f>
        <v>0</v>
      </c>
      <c r="R92" s="117">
        <f>SUMIFS('B. Despesa'!$H$2:$H$1048576,'B. Despesa'!$I$2:$I$1048576,'Base Realizado'!R$5,'B. Despesa'!$K$2:$K$1048576,'Base Realizado'!$B92)</f>
        <v>0</v>
      </c>
      <c r="S92" s="117">
        <f>SUMIFS('B. Despesa'!$H$2:$H$1048576,'B. Despesa'!$I$2:$I$1048576,'Base Realizado'!S$5,'B. Despesa'!$K$2:$K$1048576,'Base Realizado'!$B92)</f>
        <v>0</v>
      </c>
      <c r="T92" s="117">
        <f>SUMIFS('B. Despesa'!$H$2:$H$1048576,'B. Despesa'!$I$2:$I$1048576,'Base Realizado'!T$5,'B. Despesa'!$K$2:$K$1048576,'Base Realizado'!$B92)</f>
        <v>0</v>
      </c>
      <c r="U92" s="74"/>
      <c r="V92" s="129">
        <v>-27600</v>
      </c>
      <c r="W92" s="177"/>
      <c r="X92" s="134">
        <v>1E-3</v>
      </c>
      <c r="Y92" s="163"/>
      <c r="Z92" s="163"/>
      <c r="AA92" s="163"/>
    </row>
    <row r="93" spans="2:27" ht="13.5" customHeight="1">
      <c r="B93" s="396" t="s">
        <v>197</v>
      </c>
      <c r="C93" s="147" t="s">
        <v>194</v>
      </c>
      <c r="D93" s="117">
        <f>SUMIFS('B. Despesa'!$H$2:$H$1048576,'B. Despesa'!$I$2:$I$1048576,'Base Realizado'!D$5,'B. Despesa'!$K$2:$K$1048576,'Base Realizado'!$B93)</f>
        <v>-8508.64</v>
      </c>
      <c r="E93" s="832">
        <f t="shared" si="87"/>
        <v>6.1197873221713528E-3</v>
      </c>
      <c r="F93" s="117">
        <f>SUMIFS('B. Despesa'!$H$2:$H$1048576,'B. Despesa'!$I$2:$I$1048576,'Base Realizado'!F$5,'B. Despesa'!$K$2:$K$1048576,'Base Realizado'!$B93)</f>
        <v>-9924.0499999999993</v>
      </c>
      <c r="G93" s="832">
        <f t="shared" si="87"/>
        <v>6.4924429300197567E-3</v>
      </c>
      <c r="H93" s="795">
        <f>SUMIFS('B. Despesa'!$H$2:$H$1048576,'B. Despesa'!$I$2:$I$1048576,'Base Realizado'!H$5,'B. Despesa'!$K$2:$K$1048576,'Base Realizado'!$B93)</f>
        <v>-12219.119999999999</v>
      </c>
      <c r="I93" s="832">
        <f t="shared" ref="I93" si="105">-H93/H$11</f>
        <v>5.0005877689370693E-3</v>
      </c>
      <c r="J93" s="608"/>
      <c r="K93" s="810">
        <f>SUMIFS('B. Despesa'!$H$2:$H$1048576,'B. Despesa'!$I$2:$I$1048576,'Base Realizado'!K$5,'B. Despesa'!$K$2:$K$1048576,'Base Realizado'!$B93)</f>
        <v>-11907.62</v>
      </c>
      <c r="L93" s="832">
        <f t="shared" ref="L93" si="106">-K93/K$11</f>
        <v>5.1666466590842503E-3</v>
      </c>
      <c r="M93" s="117">
        <f>SUMIFS('B. Despesa'!$H$2:$H$1048576,'B. Despesa'!$I$2:$I$1048576,'Base Realizado'!M$5,'B. Despesa'!$K$2:$K$1048576,'Base Realizado'!$B93)</f>
        <v>0</v>
      </c>
      <c r="N93" s="117">
        <f>SUMIFS('B. Despesa'!$H$2:$H$1048576,'B. Despesa'!$I$2:$I$1048576,'Base Realizado'!N$5,'B. Despesa'!$K$2:$K$1048576,'Base Realizado'!$B93)</f>
        <v>0</v>
      </c>
      <c r="O93" s="117">
        <f>SUMIFS('B. Despesa'!$H$2:$H$1048576,'B. Despesa'!$I$2:$I$1048576,'Base Realizado'!O$5,'B. Despesa'!$K$2:$K$1048576,'Base Realizado'!$B93)</f>
        <v>0</v>
      </c>
      <c r="P93" s="117">
        <f>SUMIFS('B. Despesa'!$H$2:$H$1048576,'B. Despesa'!$I$2:$I$1048576,'Base Realizado'!P$5,'B. Despesa'!$K$2:$K$1048576,'Base Realizado'!$B93)</f>
        <v>0</v>
      </c>
      <c r="Q93" s="117">
        <f>SUMIFS('B. Despesa'!$H$2:$H$1048576,'B. Despesa'!$I$2:$I$1048576,'Base Realizado'!Q$5,'B. Despesa'!$K$2:$K$1048576,'Base Realizado'!$B93)</f>
        <v>0</v>
      </c>
      <c r="R93" s="117">
        <f>SUMIFS('B. Despesa'!$H$2:$H$1048576,'B. Despesa'!$I$2:$I$1048576,'Base Realizado'!R$5,'B. Despesa'!$K$2:$K$1048576,'Base Realizado'!$B93)</f>
        <v>0</v>
      </c>
      <c r="S93" s="117">
        <f>SUMIFS('B. Despesa'!$H$2:$H$1048576,'B. Despesa'!$I$2:$I$1048576,'Base Realizado'!S$5,'B. Despesa'!$K$2:$K$1048576,'Base Realizado'!$B93)</f>
        <v>0</v>
      </c>
      <c r="T93" s="117">
        <f>SUMIFS('B. Despesa'!$H$2:$H$1048576,'B. Despesa'!$I$2:$I$1048576,'Base Realizado'!T$5,'B. Despesa'!$K$2:$K$1048576,'Base Realizado'!$B93)</f>
        <v>0</v>
      </c>
      <c r="U93" s="74"/>
      <c r="V93" s="129">
        <v>-60792.180897997801</v>
      </c>
      <c r="W93" s="177"/>
      <c r="X93" s="134">
        <v>2.3999999999999998E-3</v>
      </c>
      <c r="Y93" s="163"/>
      <c r="Z93" s="163"/>
      <c r="AA93" s="163"/>
    </row>
    <row r="94" spans="2:27" ht="13.5" customHeight="1">
      <c r="B94" s="396" t="s">
        <v>2226</v>
      </c>
      <c r="C94" s="147"/>
      <c r="D94" s="117">
        <f>SUMIFS('B. Despesa'!$H$2:$H$1048576,'B. Despesa'!$I$2:$I$1048576,'Base Realizado'!D$5,'B. Despesa'!$K$2:$K$1048576,'Base Realizado'!$B94)</f>
        <v>-2827.2</v>
      </c>
      <c r="E94" s="832">
        <f t="shared" si="87"/>
        <v>2.0334463224725512E-3</v>
      </c>
      <c r="F94" s="117">
        <f>SUMIFS('B. Despesa'!$H$2:$H$1048576,'B. Despesa'!$I$2:$I$1048576,'Base Realizado'!F$5,'B. Despesa'!$K$2:$K$1048576,'Base Realizado'!$B94)</f>
        <v>-2113.64</v>
      </c>
      <c r="G94" s="832">
        <f t="shared" si="87"/>
        <v>1.3827708520822606E-3</v>
      </c>
      <c r="H94" s="795">
        <f>SUMIFS('B. Despesa'!$H$2:$H$1048576,'B. Despesa'!$I$2:$I$1048576,'Base Realizado'!H$5,'B. Despesa'!$K$2:$K$1048576,'Base Realizado'!$B94)</f>
        <v>-2287.54</v>
      </c>
      <c r="I94" s="832">
        <f t="shared" ref="I94" si="107">-H94/H$11</f>
        <v>9.3615944069248066E-4</v>
      </c>
      <c r="J94" s="608"/>
      <c r="K94" s="810">
        <f>SUMIFS('B. Despesa'!$H$2:$H$1048576,'B. Despesa'!$I$2:$I$1048576,'Base Realizado'!K$5,'B. Despesa'!$K$2:$K$1048576,'Base Realizado'!$B94)</f>
        <v>-3211.77</v>
      </c>
      <c r="L94" s="832">
        <f t="shared" ref="L94" si="108">-K94/K$11</f>
        <v>1.3935682143238549E-3</v>
      </c>
      <c r="M94" s="117">
        <f>SUMIFS('B. Despesa'!$H$2:$H$1048576,'B. Despesa'!$I$2:$I$1048576,'Base Realizado'!M$5,'B. Despesa'!$K$2:$K$1048576,'Base Realizado'!$B94)</f>
        <v>0</v>
      </c>
      <c r="N94" s="117">
        <f>SUMIFS('B. Despesa'!$H$2:$H$1048576,'B. Despesa'!$I$2:$I$1048576,'Base Realizado'!N$5,'B. Despesa'!$K$2:$K$1048576,'Base Realizado'!$B94)</f>
        <v>0</v>
      </c>
      <c r="O94" s="117">
        <f>SUMIFS('B. Despesa'!$H$2:$H$1048576,'B. Despesa'!$I$2:$I$1048576,'Base Realizado'!O$5,'B. Despesa'!$K$2:$K$1048576,'Base Realizado'!$B94)</f>
        <v>0</v>
      </c>
      <c r="P94" s="117">
        <f>SUMIFS('B. Despesa'!$H$2:$H$1048576,'B. Despesa'!$I$2:$I$1048576,'Base Realizado'!P$5,'B. Despesa'!$K$2:$K$1048576,'Base Realizado'!$B94)</f>
        <v>0</v>
      </c>
      <c r="Q94" s="117">
        <f>SUMIFS('B. Despesa'!$H$2:$H$1048576,'B. Despesa'!$I$2:$I$1048576,'Base Realizado'!Q$5,'B. Despesa'!$K$2:$K$1048576,'Base Realizado'!$B94)</f>
        <v>0</v>
      </c>
      <c r="R94" s="117">
        <f>SUMIFS('B. Despesa'!$H$2:$H$1048576,'B. Despesa'!$I$2:$I$1048576,'Base Realizado'!R$5,'B. Despesa'!$K$2:$K$1048576,'Base Realizado'!$B94)</f>
        <v>0</v>
      </c>
      <c r="S94" s="117">
        <f>SUMIFS('B. Despesa'!$H$2:$H$1048576,'B. Despesa'!$I$2:$I$1048576,'Base Realizado'!S$5,'B. Despesa'!$K$2:$K$1048576,'Base Realizado'!$B94)</f>
        <v>0</v>
      </c>
      <c r="T94" s="117">
        <f>SUMIFS('B. Despesa'!$H$2:$H$1048576,'B. Despesa'!$I$2:$I$1048576,'Base Realizado'!T$5,'B. Despesa'!$K$2:$K$1048576,'Base Realizado'!$B94)</f>
        <v>0</v>
      </c>
      <c r="U94" s="74"/>
      <c r="V94" s="423"/>
      <c r="W94" s="177"/>
      <c r="X94" s="134"/>
      <c r="Y94" s="163"/>
      <c r="Z94" s="163"/>
      <c r="AA94" s="163"/>
    </row>
    <row r="95" spans="2:27" ht="13.5" customHeight="1">
      <c r="B95" s="396" t="s">
        <v>1738</v>
      </c>
      <c r="C95" s="147"/>
      <c r="D95" s="117">
        <f>SUMIFS('B. Despesa'!$H$2:$H$1048576,'B. Despesa'!$I$2:$I$1048576,'Base Realizado'!D$5,'B. Despesa'!$K$2:$K$1048576,'Base Realizado'!$B95)</f>
        <v>-9641.65</v>
      </c>
      <c r="E95" s="832">
        <f t="shared" si="87"/>
        <v>6.9346978406435601E-3</v>
      </c>
      <c r="F95" s="117">
        <f>SUMIFS('B. Despesa'!$H$2:$H$1048576,'B. Despesa'!$I$2:$I$1048576,'Base Realizado'!F$5,'B. Despesa'!$K$2:$K$1048576,'Base Realizado'!$B95)</f>
        <v>-9371.93</v>
      </c>
      <c r="G95" s="832">
        <f t="shared" si="87"/>
        <v>6.1312388257959262E-3</v>
      </c>
      <c r="H95" s="795">
        <f>SUMIFS('B. Despesa'!$H$2:$H$1048576,'B. Despesa'!$I$2:$I$1048576,'Base Realizado'!H$5,'B. Despesa'!$K$2:$K$1048576,'Base Realizado'!$B95)</f>
        <v>-9413.43</v>
      </c>
      <c r="I95" s="832">
        <f t="shared" ref="I95" si="109">-H95/H$11</f>
        <v>3.8523791338284006E-3</v>
      </c>
      <c r="J95" s="608"/>
      <c r="K95" s="810">
        <f>SUMIFS('B. Despesa'!$H$2:$H$1048576,'B. Despesa'!$I$2:$I$1048576,'Base Realizado'!K$5,'B. Despesa'!$K$2:$K$1048576,'Base Realizado'!$B95)</f>
        <v>-9585.2000000000007</v>
      </c>
      <c r="L95" s="832">
        <f t="shared" ref="L95" si="110">-K95/K$11</f>
        <v>4.1589622071122826E-3</v>
      </c>
      <c r="M95" s="117">
        <f>SUMIFS('B. Despesa'!$H$2:$H$1048576,'B. Despesa'!$I$2:$I$1048576,'Base Realizado'!M$5,'B. Despesa'!$K$2:$K$1048576,'Base Realizado'!$B95)</f>
        <v>0</v>
      </c>
      <c r="N95" s="117">
        <f>SUMIFS('B. Despesa'!$H$2:$H$1048576,'B. Despesa'!$I$2:$I$1048576,'Base Realizado'!N$5,'B. Despesa'!$K$2:$K$1048576,'Base Realizado'!$B95)</f>
        <v>0</v>
      </c>
      <c r="O95" s="117">
        <f>SUMIFS('B. Despesa'!$H$2:$H$1048576,'B. Despesa'!$I$2:$I$1048576,'Base Realizado'!O$5,'B. Despesa'!$K$2:$K$1048576,'Base Realizado'!$B95)</f>
        <v>0</v>
      </c>
      <c r="P95" s="117">
        <f>SUMIFS('B. Despesa'!$H$2:$H$1048576,'B. Despesa'!$I$2:$I$1048576,'Base Realizado'!P$5,'B. Despesa'!$K$2:$K$1048576,'Base Realizado'!$B95)</f>
        <v>0</v>
      </c>
      <c r="Q95" s="117">
        <f>SUMIFS('B. Despesa'!$H$2:$H$1048576,'B. Despesa'!$I$2:$I$1048576,'Base Realizado'!Q$5,'B. Despesa'!$K$2:$K$1048576,'Base Realizado'!$B95)</f>
        <v>0</v>
      </c>
      <c r="R95" s="117">
        <f>SUMIFS('B. Despesa'!$H$2:$H$1048576,'B. Despesa'!$I$2:$I$1048576,'Base Realizado'!R$5,'B. Despesa'!$K$2:$K$1048576,'Base Realizado'!$B95)</f>
        <v>0</v>
      </c>
      <c r="S95" s="117">
        <f>SUMIFS('B. Despesa'!$H$2:$H$1048576,'B. Despesa'!$I$2:$I$1048576,'Base Realizado'!S$5,'B. Despesa'!$K$2:$K$1048576,'Base Realizado'!$B95)</f>
        <v>0</v>
      </c>
      <c r="T95" s="117">
        <f>SUMIFS('B. Despesa'!$H$2:$H$1048576,'B. Despesa'!$I$2:$I$1048576,'Base Realizado'!T$5,'B. Despesa'!$K$2:$K$1048576,'Base Realizado'!$B95)</f>
        <v>0</v>
      </c>
      <c r="U95" s="74"/>
      <c r="V95" s="423"/>
      <c r="W95" s="177"/>
      <c r="X95" s="134"/>
      <c r="Y95" s="163"/>
      <c r="Z95" s="163"/>
      <c r="AA95" s="163"/>
    </row>
    <row r="96" spans="2:27" ht="13.5" customHeight="1">
      <c r="B96" s="396" t="s">
        <v>2228</v>
      </c>
      <c r="C96" s="147"/>
      <c r="D96" s="117">
        <f>SUMIFS('B. Despesa'!$H$2:$H$1048576,'B. Despesa'!$I$2:$I$1048576,'Base Realizado'!D$5,'B. Despesa'!$K$2:$K$1048576,'Base Realizado'!$B96)</f>
        <v>-8426</v>
      </c>
      <c r="E96" s="832">
        <f t="shared" si="87"/>
        <v>6.0603490071992495E-3</v>
      </c>
      <c r="F96" s="117">
        <f>SUMIFS('B. Despesa'!$H$2:$H$1048576,'B. Despesa'!$I$2:$I$1048576,'Base Realizado'!F$5,'B. Despesa'!$K$2:$K$1048576,'Base Realizado'!$B96)</f>
        <v>-12346</v>
      </c>
      <c r="G96" s="832">
        <f t="shared" si="87"/>
        <v>8.0769142047877555E-3</v>
      </c>
      <c r="H96" s="795">
        <f>SUMIFS('B. Despesa'!$H$2:$H$1048576,'B. Despesa'!$I$2:$I$1048576,'Base Realizado'!H$5,'B. Despesa'!$K$2:$K$1048576,'Base Realizado'!$B96)</f>
        <v>-15752</v>
      </c>
      <c r="I96" s="832">
        <f t="shared" ref="I96" si="111">-H96/H$11</f>
        <v>6.4463937285415586E-3</v>
      </c>
      <c r="J96" s="608"/>
      <c r="K96" s="810">
        <f>SUMIFS('B. Despesa'!$H$2:$H$1048576,'B. Despesa'!$I$2:$I$1048576,'Base Realizado'!K$5,'B. Despesa'!$K$2:$K$1048576,'Base Realizado'!$B96)</f>
        <v>-6292</v>
      </c>
      <c r="L96" s="832">
        <f t="shared" ref="L96" si="112">-K96/K$11</f>
        <v>2.7300619921494054E-3</v>
      </c>
      <c r="M96" s="117"/>
      <c r="N96" s="117"/>
      <c r="O96" s="117"/>
      <c r="P96" s="117"/>
      <c r="Q96" s="117"/>
      <c r="R96" s="117"/>
      <c r="S96" s="117"/>
      <c r="T96" s="117"/>
      <c r="U96" s="74"/>
      <c r="V96" s="423"/>
      <c r="W96" s="177"/>
      <c r="X96" s="134"/>
      <c r="Y96" s="163"/>
      <c r="Z96" s="163"/>
      <c r="AA96" s="163"/>
    </row>
    <row r="97" spans="2:29" ht="13.5" customHeight="1">
      <c r="B97" s="396" t="s">
        <v>1727</v>
      </c>
      <c r="C97" s="147"/>
      <c r="D97" s="117">
        <f>SUMIFS('B. Despesa'!$H$2:$H$1048576,'B. Despesa'!$I$2:$I$1048576,'Base Realizado'!D$5,'B. Despesa'!$K$2:$K$1048576,'Base Realizado'!$B97)</f>
        <v>-46000</v>
      </c>
      <c r="E97" s="832">
        <f t="shared" si="87"/>
        <v>3.308521888573053E-2</v>
      </c>
      <c r="F97" s="117">
        <f>SUMIFS('B. Despesa'!$H$2:$H$1048576,'B. Despesa'!$I$2:$I$1048576,'Base Realizado'!F$5,'B. Despesa'!$K$2:$K$1048576,'Base Realizado'!$B97)</f>
        <v>-52000</v>
      </c>
      <c r="G97" s="832">
        <f t="shared" si="87"/>
        <v>3.4019078134534524E-2</v>
      </c>
      <c r="H97" s="795">
        <f>SUMIFS('B. Despesa'!$H$2:$H$1048576,'B. Despesa'!$I$2:$I$1048576,'Base Realizado'!H$5,'B. Despesa'!$K$2:$K$1048576,'Base Realizado'!$B97)</f>
        <v>-58000</v>
      </c>
      <c r="I97" s="832">
        <f t="shared" ref="I97" si="113">-H97/H$11</f>
        <v>2.3736086608393245E-2</v>
      </c>
      <c r="J97" s="608"/>
      <c r="K97" s="810">
        <f>SUMIFS('B. Despesa'!$H$2:$H$1048576,'B. Despesa'!$I$2:$I$1048576,'Base Realizado'!K$5,'B. Despesa'!$K$2:$K$1048576,'Base Realizado'!$B97)</f>
        <v>-58000</v>
      </c>
      <c r="L97" s="832">
        <f t="shared" ref="L97" si="114">-K97/K$11</f>
        <v>2.5165860703220837E-2</v>
      </c>
      <c r="M97" s="117">
        <f>SUMIFS('B. Despesa'!$H$2:$H$1048576,'B. Despesa'!$I$2:$I$1048576,'Base Realizado'!M$5,'B. Despesa'!$K$2:$K$1048576,'Base Realizado'!$B97)</f>
        <v>0</v>
      </c>
      <c r="N97" s="117">
        <f>SUMIFS('B. Despesa'!$H$2:$H$1048576,'B. Despesa'!$I$2:$I$1048576,'Base Realizado'!N$5,'B. Despesa'!$K$2:$K$1048576,'Base Realizado'!$B97)</f>
        <v>0</v>
      </c>
      <c r="O97" s="117">
        <f>SUMIFS('B. Despesa'!$H$2:$H$1048576,'B. Despesa'!$I$2:$I$1048576,'Base Realizado'!O$5,'B. Despesa'!$K$2:$K$1048576,'Base Realizado'!$B97)</f>
        <v>0</v>
      </c>
      <c r="P97" s="117">
        <f>SUMIFS('B. Despesa'!$H$2:$H$1048576,'B. Despesa'!$I$2:$I$1048576,'Base Realizado'!P$5,'B. Despesa'!$K$2:$K$1048576,'Base Realizado'!$B97)</f>
        <v>0</v>
      </c>
      <c r="Q97" s="117">
        <f>SUMIFS('B. Despesa'!$H$2:$H$1048576,'B. Despesa'!$I$2:$I$1048576,'Base Realizado'!Q$5,'B. Despesa'!$K$2:$K$1048576,'Base Realizado'!$B97)</f>
        <v>0</v>
      </c>
      <c r="R97" s="117">
        <f>SUMIFS('B. Despesa'!$H$2:$H$1048576,'B. Despesa'!$I$2:$I$1048576,'Base Realizado'!R$5,'B. Despesa'!$K$2:$K$1048576,'Base Realizado'!$B97)</f>
        <v>0</v>
      </c>
      <c r="S97" s="117">
        <f>SUMIFS('B. Despesa'!$H$2:$H$1048576,'B. Despesa'!$I$2:$I$1048576,'Base Realizado'!S$5,'B. Despesa'!$K$2:$K$1048576,'Base Realizado'!$B97)</f>
        <v>0</v>
      </c>
      <c r="T97" s="117">
        <f>SUMIFS('B. Despesa'!$H$2:$H$1048576,'B. Despesa'!$I$2:$I$1048576,'Base Realizado'!T$5,'B. Despesa'!$K$2:$K$1048576,'Base Realizado'!$B97)</f>
        <v>0</v>
      </c>
      <c r="U97" s="74"/>
      <c r="V97" s="423"/>
      <c r="W97" s="177"/>
      <c r="X97" s="134"/>
      <c r="Y97" s="163"/>
      <c r="Z97" s="163"/>
      <c r="AA97" s="163"/>
    </row>
    <row r="98" spans="2:29" ht="13.5" customHeight="1">
      <c r="B98" s="396" t="s">
        <v>444</v>
      </c>
      <c r="C98" s="147"/>
      <c r="D98" s="117">
        <f>SUMIFS('B. Despesa'!$H$2:$H$1048576,'B. Despesa'!$I$2:$I$1048576,'Base Realizado'!D$5,'B. Despesa'!$K$2:$K$1048576,'Base Realizado'!$B98)</f>
        <v>-3500</v>
      </c>
      <c r="E98" s="832">
        <f t="shared" si="87"/>
        <v>2.5173536108708014E-3</v>
      </c>
      <c r="F98" s="117">
        <f>SUMIFS('B. Despesa'!$H$2:$H$1048576,'B. Despesa'!$I$2:$I$1048576,'Base Realizado'!F$5,'B. Despesa'!$K$2:$K$1048576,'Base Realizado'!$B98)</f>
        <v>-3500</v>
      </c>
      <c r="G98" s="832">
        <f t="shared" si="87"/>
        <v>2.2897456436705931E-3</v>
      </c>
      <c r="H98" s="795">
        <f>SUMIFS('B. Despesa'!$H$2:$H$1048576,'B. Despesa'!$I$2:$I$1048576,'Base Realizado'!H$5,'B. Despesa'!$K$2:$K$1048576,'Base Realizado'!$B98)</f>
        <v>-3500</v>
      </c>
      <c r="I98" s="832">
        <f t="shared" ref="I98" si="115">-H98/H$11</f>
        <v>1.4323500539547647E-3</v>
      </c>
      <c r="J98" s="608"/>
      <c r="K98" s="810">
        <f>SUMIFS('B. Despesa'!$H$2:$H$1048576,'B. Despesa'!$I$2:$I$1048576,'Base Realizado'!K$5,'B. Despesa'!$K$2:$K$1048576,'Base Realizado'!$B98)</f>
        <v>-3500</v>
      </c>
      <c r="L98" s="832">
        <f t="shared" ref="L98" si="116">-K98/K$11</f>
        <v>1.5186295251943609E-3</v>
      </c>
      <c r="M98" s="117">
        <f>SUMIFS('B. Despesa'!$H$2:$H$1048576,'B. Despesa'!$I$2:$I$1048576,'Base Realizado'!M$5,'B. Despesa'!$K$2:$K$1048576,'Base Realizado'!$B98)</f>
        <v>0</v>
      </c>
      <c r="N98" s="117">
        <f>SUMIFS('B. Despesa'!$H$2:$H$1048576,'B. Despesa'!$I$2:$I$1048576,'Base Realizado'!N$5,'B. Despesa'!$K$2:$K$1048576,'Base Realizado'!$B98)</f>
        <v>0</v>
      </c>
      <c r="O98" s="117">
        <f>SUMIFS('B. Despesa'!$H$2:$H$1048576,'B. Despesa'!$I$2:$I$1048576,'Base Realizado'!O$5,'B. Despesa'!$K$2:$K$1048576,'Base Realizado'!$B98)</f>
        <v>0</v>
      </c>
      <c r="P98" s="117">
        <f>SUMIFS('B. Despesa'!$H$2:$H$1048576,'B. Despesa'!$I$2:$I$1048576,'Base Realizado'!P$5,'B. Despesa'!$K$2:$K$1048576,'Base Realizado'!$B98)</f>
        <v>0</v>
      </c>
      <c r="Q98" s="117">
        <f>SUMIFS('B. Despesa'!$H$2:$H$1048576,'B. Despesa'!$I$2:$I$1048576,'Base Realizado'!Q$5,'B. Despesa'!$K$2:$K$1048576,'Base Realizado'!$B98)</f>
        <v>0</v>
      </c>
      <c r="R98" s="117">
        <f>SUMIFS('B. Despesa'!$H$2:$H$1048576,'B. Despesa'!$I$2:$I$1048576,'Base Realizado'!R$5,'B. Despesa'!$K$2:$K$1048576,'Base Realizado'!$B98)</f>
        <v>0</v>
      </c>
      <c r="S98" s="117">
        <f>SUMIFS('B. Despesa'!$H$2:$H$1048576,'B. Despesa'!$I$2:$I$1048576,'Base Realizado'!S$5,'B. Despesa'!$K$2:$K$1048576,'Base Realizado'!$B98)</f>
        <v>0</v>
      </c>
      <c r="T98" s="117">
        <f>SUMIFS('B. Despesa'!$H$2:$H$1048576,'B. Despesa'!$I$2:$I$1048576,'Base Realizado'!T$5,'B. Despesa'!$K$2:$K$1048576,'Base Realizado'!$B98)</f>
        <v>0</v>
      </c>
      <c r="U98" s="74"/>
      <c r="V98" s="117">
        <v>-25330.075374165754</v>
      </c>
      <c r="W98" s="1"/>
      <c r="X98" s="134">
        <v>1E-3</v>
      </c>
      <c r="Y98" s="163"/>
      <c r="Z98" s="163"/>
      <c r="AA98" s="163"/>
    </row>
    <row r="99" spans="2:29" ht="13.5" customHeight="1">
      <c r="B99" s="396" t="s">
        <v>551</v>
      </c>
      <c r="C99" s="179" t="s">
        <v>198</v>
      </c>
      <c r="D99" s="117">
        <f>SUMIFS('B. Despesa'!$H$2:$H$1048576,'B. Despesa'!$I$2:$I$1048576,'Base Realizado'!D$5,'B. Despesa'!$K$2:$K$1048576,'Base Realizado'!$B99)</f>
        <v>0</v>
      </c>
      <c r="E99" s="832">
        <f t="shared" si="87"/>
        <v>0</v>
      </c>
      <c r="F99" s="117">
        <f>SUMIFS('B. Despesa'!$H$2:$H$1048576,'B. Despesa'!$I$2:$I$1048576,'Base Realizado'!F$5,'B. Despesa'!$K$2:$K$1048576,'Base Realizado'!$B99)</f>
        <v>-10940.439999999999</v>
      </c>
      <c r="G99" s="832">
        <f t="shared" si="87"/>
        <v>7.1573785228112854E-3</v>
      </c>
      <c r="H99" s="795">
        <f>SUMIFS('B. Despesa'!$H$2:$H$1048576,'B. Despesa'!$I$2:$I$1048576,'Base Realizado'!H$5,'B. Despesa'!$K$2:$K$1048576,'Base Realizado'!$B99)</f>
        <v>-5482.8799999999992</v>
      </c>
      <c r="I99" s="832">
        <f t="shared" ref="I99" si="117">-H99/H$11</f>
        <v>2.243829561093571E-3</v>
      </c>
      <c r="J99" s="608"/>
      <c r="K99" s="810">
        <f>SUMIFS('B. Despesa'!$H$2:$H$1048576,'B. Despesa'!$I$2:$I$1048576,'Base Realizado'!K$5,'B. Despesa'!$K$2:$K$1048576,'Base Realizado'!$B99)</f>
        <v>-4948</v>
      </c>
      <c r="L99" s="832">
        <f t="shared" ref="L99" si="118">-K99/K$11</f>
        <v>2.1469082544747706E-3</v>
      </c>
      <c r="M99" s="117">
        <f>SUMIFS('B. Despesa'!$H$2:$H$1048576,'B. Despesa'!$I$2:$I$1048576,'Base Realizado'!M$5,'B. Despesa'!$K$2:$K$1048576,'Base Realizado'!$B99)</f>
        <v>0</v>
      </c>
      <c r="N99" s="117">
        <f>SUMIFS('B. Despesa'!$H$2:$H$1048576,'B. Despesa'!$I$2:$I$1048576,'Base Realizado'!N$5,'B. Despesa'!$K$2:$K$1048576,'Base Realizado'!$B99)</f>
        <v>0</v>
      </c>
      <c r="O99" s="117">
        <f>SUMIFS('B. Despesa'!$H$2:$H$1048576,'B. Despesa'!$I$2:$I$1048576,'Base Realizado'!O$5,'B. Despesa'!$K$2:$K$1048576,'Base Realizado'!$B99)</f>
        <v>0</v>
      </c>
      <c r="P99" s="117">
        <f>SUMIFS('B. Despesa'!$H$2:$H$1048576,'B. Despesa'!$I$2:$I$1048576,'Base Realizado'!P$5,'B. Despesa'!$K$2:$K$1048576,'Base Realizado'!$B99)</f>
        <v>0</v>
      </c>
      <c r="Q99" s="117">
        <f>SUMIFS('B. Despesa'!$H$2:$H$1048576,'B. Despesa'!$I$2:$I$1048576,'Base Realizado'!Q$5,'B. Despesa'!$K$2:$K$1048576,'Base Realizado'!$B99)</f>
        <v>0</v>
      </c>
      <c r="R99" s="117">
        <f>SUMIFS('B. Despesa'!$H$2:$H$1048576,'B. Despesa'!$I$2:$I$1048576,'Base Realizado'!R$5,'B. Despesa'!$K$2:$K$1048576,'Base Realizado'!$B99)</f>
        <v>0</v>
      </c>
      <c r="S99" s="117">
        <f>SUMIFS('B. Despesa'!$H$2:$H$1048576,'B. Despesa'!$I$2:$I$1048576,'Base Realizado'!S$5,'B. Despesa'!$K$2:$K$1048576,'Base Realizado'!$B99)</f>
        <v>0</v>
      </c>
      <c r="T99" s="117">
        <f>SUMIFS('B. Despesa'!$H$2:$H$1048576,'B. Despesa'!$I$2:$I$1048576,'Base Realizado'!T$5,'B. Despesa'!$K$2:$K$1048576,'Base Realizado'!$B99)</f>
        <v>0</v>
      </c>
      <c r="U99" s="74"/>
      <c r="V99" s="129">
        <v>-75990.226122497246</v>
      </c>
      <c r="W99" s="177"/>
      <c r="X99" s="134">
        <v>3.0000000000000001E-3</v>
      </c>
      <c r="Y99" s="177"/>
      <c r="Z99" s="177"/>
      <c r="AA99" s="177"/>
    </row>
    <row r="100" spans="2:29" ht="13.5" customHeight="1">
      <c r="B100" s="395" t="s">
        <v>207</v>
      </c>
      <c r="C100" s="179" t="s">
        <v>203</v>
      </c>
      <c r="D100" s="117">
        <f>SUMIFS('B. Despesa'!$H$2:$H$1048576,'B. Despesa'!$I$2:$I$1048576,'Base Realizado'!D$5,'B. Despesa'!$K$2:$K$1048576,'Base Realizado'!$B100)</f>
        <v>0</v>
      </c>
      <c r="E100" s="832">
        <f t="shared" si="87"/>
        <v>0</v>
      </c>
      <c r="F100" s="117">
        <f>SUMIFS('B. Despesa'!$H$2:$H$1048576,'B. Despesa'!$I$2:$I$1048576,'Base Realizado'!F$5,'B. Despesa'!$K$2:$K$1048576,'Base Realizado'!$B100)</f>
        <v>0</v>
      </c>
      <c r="G100" s="832">
        <f t="shared" si="87"/>
        <v>0</v>
      </c>
      <c r="H100" s="117">
        <f>SUMIFS('B. Despesa'!$H$2:$H$1048576,'B. Despesa'!$I$2:$I$1048576,'Base Realizado'!H$5,'B. Despesa'!$K$2:$K$1048576,'Base Realizado'!$B100)</f>
        <v>0</v>
      </c>
      <c r="I100" s="832">
        <f t="shared" ref="I100" si="119">-H100/H$11</f>
        <v>0</v>
      </c>
      <c r="J100" s="608"/>
      <c r="K100" s="810">
        <f>SUMIFS('B. Despesa'!$H$2:$H$1048576,'B. Despesa'!$I$2:$I$1048576,'Base Realizado'!K$5,'B. Despesa'!$K$2:$K$1048576,'Base Realizado'!$B100)</f>
        <v>-1598.48</v>
      </c>
      <c r="L100" s="832">
        <f t="shared" ref="L100" si="120">-K100/K$11</f>
        <v>6.9357112098076623E-4</v>
      </c>
      <c r="M100" s="117">
        <f>SUMIFS('B. Despesa'!$H$2:$H$1048576,'B. Despesa'!$I$2:$I$1048576,'Base Realizado'!M$5,'B. Despesa'!$K$2:$K$1048576,'Base Realizado'!$B100)</f>
        <v>0</v>
      </c>
      <c r="N100" s="117">
        <f>SUMIFS('B. Despesa'!$H$2:$H$1048576,'B. Despesa'!$I$2:$I$1048576,'Base Realizado'!N$5,'B. Despesa'!$K$2:$K$1048576,'Base Realizado'!$B100)</f>
        <v>0</v>
      </c>
      <c r="O100" s="117">
        <f>SUMIFS('B. Despesa'!$H$2:$H$1048576,'B. Despesa'!$I$2:$I$1048576,'Base Realizado'!O$5,'B. Despesa'!$K$2:$K$1048576,'Base Realizado'!$B100)</f>
        <v>0</v>
      </c>
      <c r="P100" s="117">
        <f>SUMIFS('B. Despesa'!$H$2:$H$1048576,'B. Despesa'!$I$2:$I$1048576,'Base Realizado'!P$5,'B. Despesa'!$K$2:$K$1048576,'Base Realizado'!$B100)</f>
        <v>0</v>
      </c>
      <c r="Q100" s="117">
        <f>SUMIFS('B. Despesa'!$H$2:$H$1048576,'B. Despesa'!$I$2:$I$1048576,'Base Realizado'!Q$5,'B. Despesa'!$K$2:$K$1048576,'Base Realizado'!$B100)</f>
        <v>0</v>
      </c>
      <c r="R100" s="117">
        <f>SUMIFS('B. Despesa'!$H$2:$H$1048576,'B. Despesa'!$I$2:$I$1048576,'Base Realizado'!R$5,'B. Despesa'!$K$2:$K$1048576,'Base Realizado'!$B100)</f>
        <v>0</v>
      </c>
      <c r="S100" s="117">
        <f>SUMIFS('B. Despesa'!$H$2:$H$1048576,'B. Despesa'!$I$2:$I$1048576,'Base Realizado'!S$5,'B. Despesa'!$K$2:$K$1048576,'Base Realizado'!$B100)</f>
        <v>0</v>
      </c>
      <c r="T100" s="117">
        <f>SUMIFS('B. Despesa'!$H$2:$H$1048576,'B. Despesa'!$I$2:$I$1048576,'Base Realizado'!T$5,'B. Despesa'!$K$2:$K$1048576,'Base Realizado'!$B100)</f>
        <v>0</v>
      </c>
      <c r="U100" s="74"/>
      <c r="V100" s="129">
        <v>-33828</v>
      </c>
      <c r="W100" s="162"/>
      <c r="X100" s="134">
        <f>-V100/V11</f>
        <v>1.2333227413867851E-3</v>
      </c>
      <c r="Y100" s="163"/>
      <c r="Z100" s="163"/>
      <c r="AA100" s="163"/>
    </row>
    <row r="101" spans="2:29" ht="13.5" customHeight="1">
      <c r="B101" s="592" t="s">
        <v>546</v>
      </c>
      <c r="C101" s="406" t="s">
        <v>206</v>
      </c>
      <c r="D101" s="117">
        <f>SUMIFS('B. Despesa'!$H$2:$H$1048576,'B. Despesa'!$I$2:$I$1048576,'Base Realizado'!D$5,'B. Despesa'!$K$2:$K$1048576,'Base Realizado'!$B101)</f>
        <v>-91350</v>
      </c>
      <c r="E101" s="832">
        <f t="shared" si="87"/>
        <v>6.570292924372792E-2</v>
      </c>
      <c r="F101" s="117">
        <f>SUMIFS('B. Despesa'!$H$2:$H$1048576,'B. Despesa'!$I$2:$I$1048576,'Base Realizado'!F$5,'B. Despesa'!$K$2:$K$1048576,'Base Realizado'!$B101)</f>
        <v>-76900</v>
      </c>
      <c r="G101" s="832">
        <f t="shared" si="87"/>
        <v>5.0308982856648171E-2</v>
      </c>
      <c r="H101" s="795">
        <f>SUMIFS('B. Despesa'!$H$2:$H$1048576,'B. Despesa'!$I$2:$I$1048576,'Base Realizado'!H$5,'B. Despesa'!$K$2:$K$1048576,'Base Realizado'!$B101)</f>
        <v>-78900</v>
      </c>
      <c r="I101" s="832">
        <f t="shared" ref="I101" si="121">-H101/H$11</f>
        <v>3.2289262644865979E-2</v>
      </c>
      <c r="J101" s="608"/>
      <c r="K101" s="810">
        <f>SUMIFS('B. Despesa'!$H$2:$H$1048576,'B. Despesa'!$I$2:$I$1048576,'Base Realizado'!K$5,'B. Despesa'!$K$2:$K$1048576,'Base Realizado'!$B101)</f>
        <v>-85533.33</v>
      </c>
      <c r="L101" s="832">
        <f t="shared" ref="L101" si="122">-K101/K$11</f>
        <v>3.7112411521769306E-2</v>
      </c>
      <c r="M101" s="117">
        <f>SUMIFS('B. Despesa'!$H$2:$H$1048576,'B. Despesa'!$I$2:$I$1048576,'Base Realizado'!M$5,'B. Despesa'!$K$2:$K$1048576,'Base Realizado'!$B101)</f>
        <v>0</v>
      </c>
      <c r="N101" s="117">
        <f>SUMIFS('B. Despesa'!$H$2:$H$1048576,'B. Despesa'!$I$2:$I$1048576,'Base Realizado'!N$5,'B. Despesa'!$K$2:$K$1048576,'Base Realizado'!$B101)</f>
        <v>0</v>
      </c>
      <c r="O101" s="117">
        <f>SUMIFS('B. Despesa'!$H$2:$H$1048576,'B. Despesa'!$I$2:$I$1048576,'Base Realizado'!O$5,'B. Despesa'!$K$2:$K$1048576,'Base Realizado'!$B101)</f>
        <v>0</v>
      </c>
      <c r="P101" s="117">
        <f>SUMIFS('B. Despesa'!$H$2:$H$1048576,'B. Despesa'!$I$2:$I$1048576,'Base Realizado'!P$5,'B. Despesa'!$K$2:$K$1048576,'Base Realizado'!$B101)</f>
        <v>0</v>
      </c>
      <c r="Q101" s="117">
        <f>SUMIFS('B. Despesa'!$H$2:$H$1048576,'B. Despesa'!$I$2:$I$1048576,'Base Realizado'!Q$5,'B. Despesa'!$K$2:$K$1048576,'Base Realizado'!$B101)</f>
        <v>0</v>
      </c>
      <c r="R101" s="117">
        <f>SUMIFS('B. Despesa'!$H$2:$H$1048576,'B. Despesa'!$I$2:$I$1048576,'Base Realizado'!R$5,'B. Despesa'!$K$2:$K$1048576,'Base Realizado'!$B101)</f>
        <v>0</v>
      </c>
      <c r="S101" s="117">
        <f>SUMIFS('B. Despesa'!$H$2:$H$1048576,'B. Despesa'!$I$2:$I$1048576,'Base Realizado'!S$5,'B. Despesa'!$K$2:$K$1048576,'Base Realizado'!$B101)</f>
        <v>0</v>
      </c>
      <c r="T101" s="117">
        <f>SUMIFS('B. Despesa'!$H$2:$H$1048576,'B. Despesa'!$I$2:$I$1048576,'Base Realizado'!T$5,'B. Despesa'!$K$2:$K$1048576,'Base Realizado'!$B101)</f>
        <v>0</v>
      </c>
      <c r="U101" s="74"/>
      <c r="V101" s="407">
        <v>-1161000</v>
      </c>
      <c r="W101" s="1"/>
      <c r="X101" s="397">
        <f>-V101/V11</f>
        <v>4.2328476491369796E-2</v>
      </c>
      <c r="AA101" s="898" t="s">
        <v>2654</v>
      </c>
    </row>
    <row r="102" spans="2:29" ht="12.75" customHeight="1">
      <c r="B102" s="349" t="s">
        <v>209</v>
      </c>
      <c r="C102" s="344"/>
      <c r="D102" s="345">
        <f t="shared" ref="D102:T102" si="123">SUM(D103:D117)</f>
        <v>-160621.07</v>
      </c>
      <c r="E102" s="836">
        <f>SUM(E103:E117)</f>
        <v>0.11552572301326622</v>
      </c>
      <c r="F102" s="345">
        <f t="shared" si="123"/>
        <v>-143661.06</v>
      </c>
      <c r="G102" s="836">
        <f>SUM(G103:G117)</f>
        <v>9.3984938942885635E-2</v>
      </c>
      <c r="H102" s="792">
        <f t="shared" si="123"/>
        <v>-172246.94</v>
      </c>
      <c r="I102" s="836">
        <f>SUM(I103:I117)</f>
        <v>7.0490832515012328E-2</v>
      </c>
      <c r="J102" s="823"/>
      <c r="K102" s="808">
        <f t="shared" si="123"/>
        <v>-109749.19</v>
      </c>
      <c r="L102" s="836">
        <f>SUM(L103:L117)</f>
        <v>4.7619531514333055E-2</v>
      </c>
      <c r="M102" s="345">
        <f t="shared" si="123"/>
        <v>0</v>
      </c>
      <c r="N102" s="345">
        <f t="shared" si="123"/>
        <v>0</v>
      </c>
      <c r="O102" s="345">
        <f t="shared" si="123"/>
        <v>0</v>
      </c>
      <c r="P102" s="345">
        <f t="shared" si="123"/>
        <v>0</v>
      </c>
      <c r="Q102" s="345">
        <f t="shared" si="123"/>
        <v>0</v>
      </c>
      <c r="R102" s="345">
        <f t="shared" si="123"/>
        <v>0</v>
      </c>
      <c r="S102" s="345">
        <f t="shared" si="123"/>
        <v>0</v>
      </c>
      <c r="T102" s="345">
        <f t="shared" si="123"/>
        <v>0</v>
      </c>
      <c r="U102" s="74"/>
      <c r="V102" s="345">
        <v>-1831971.439564822</v>
      </c>
      <c r="W102" s="1"/>
      <c r="X102" s="350" t="s">
        <v>68</v>
      </c>
      <c r="AC102" s="389"/>
    </row>
    <row r="103" spans="2:29" ht="13.5" customHeight="1">
      <c r="B103" s="396" t="s">
        <v>547</v>
      </c>
      <c r="C103" s="179" t="s">
        <v>210</v>
      </c>
      <c r="D103" s="117">
        <f>SUMIFS('B. Despesa'!$H$2:$H$1048576,'B. Despesa'!$I$2:$I$1048576,'Base Realizado'!D$5,'B. Despesa'!$K$2:$K$1048576,'Base Realizado'!$B103)</f>
        <v>-69500</v>
      </c>
      <c r="E103" s="832">
        <f t="shared" si="87"/>
        <v>4.9987450273005912E-2</v>
      </c>
      <c r="F103" s="117">
        <f>SUMIFS('B. Despesa'!$H$2:$H$1048576,'B. Despesa'!$I$2:$I$1048576,'Base Realizado'!F$5,'B. Despesa'!$K$2:$K$1048576,'Base Realizado'!$B103)</f>
        <v>-55141.66</v>
      </c>
      <c r="G103" s="832">
        <f t="shared" si="87"/>
        <v>3.6074393077075717E-2</v>
      </c>
      <c r="H103" s="795">
        <f>SUMIFS('B. Despesa'!$H$2:$H$1048576,'B. Despesa'!$I$2:$I$1048576,'Base Realizado'!H$5,'B. Despesa'!$K$2:$K$1048576,'Base Realizado'!$B103)</f>
        <v>-66750</v>
      </c>
      <c r="I103" s="832">
        <f t="shared" ref="I103" si="124">-H103/H$11</f>
        <v>2.7316961743280157E-2</v>
      </c>
      <c r="J103" s="608"/>
      <c r="K103" s="810">
        <f>SUMIFS('B. Despesa'!$H$2:$H$1048576,'B. Despesa'!$I$2:$I$1048576,'Base Realizado'!K$5,'B. Despesa'!$K$2:$K$1048576,'Base Realizado'!$B103)</f>
        <v>-56750</v>
      </c>
      <c r="L103" s="832">
        <f t="shared" ref="L103" si="125">-K103/K$11</f>
        <v>2.4623493015651421E-2</v>
      </c>
      <c r="M103" s="117">
        <f>SUMIFS('B. Despesa'!$H$2:$H$1048576,'B. Despesa'!$I$2:$I$1048576,'Base Realizado'!M$5,'B. Despesa'!$K$2:$K$1048576,'Base Realizado'!$B103)</f>
        <v>0</v>
      </c>
      <c r="N103" s="117">
        <f>SUMIFS('B. Despesa'!$H$2:$H$1048576,'B. Despesa'!$I$2:$I$1048576,'Base Realizado'!N$5,'B. Despesa'!$K$2:$K$1048576,'Base Realizado'!$B103)</f>
        <v>0</v>
      </c>
      <c r="O103" s="117">
        <f>SUMIFS('B. Despesa'!$H$2:$H$1048576,'B. Despesa'!$I$2:$I$1048576,'Base Realizado'!O$5,'B. Despesa'!$K$2:$K$1048576,'Base Realizado'!$B103)</f>
        <v>0</v>
      </c>
      <c r="P103" s="117">
        <f>SUMIFS('B. Despesa'!$H$2:$H$1048576,'B. Despesa'!$I$2:$I$1048576,'Base Realizado'!P$5,'B. Despesa'!$K$2:$K$1048576,'Base Realizado'!$B103)</f>
        <v>0</v>
      </c>
      <c r="Q103" s="117">
        <f>SUMIFS('B. Despesa'!$H$2:$H$1048576,'B. Despesa'!$I$2:$I$1048576,'Base Realizado'!Q$5,'B. Despesa'!$K$2:$K$1048576,'Base Realizado'!$B103)</f>
        <v>0</v>
      </c>
      <c r="R103" s="117">
        <f>SUMIFS('B. Despesa'!$H$2:$H$1048576,'B. Despesa'!$I$2:$I$1048576,'Base Realizado'!R$5,'B. Despesa'!$K$2:$K$1048576,'Base Realizado'!$B103)</f>
        <v>0</v>
      </c>
      <c r="S103" s="117">
        <f>SUMIFS('B. Despesa'!$H$2:$H$1048576,'B. Despesa'!$I$2:$I$1048576,'Base Realizado'!S$5,'B. Despesa'!$K$2:$K$1048576,'Base Realizado'!$B103)</f>
        <v>0</v>
      </c>
      <c r="T103" s="117">
        <f>SUMIFS('B. Despesa'!$H$2:$H$1048576,'B. Despesa'!$I$2:$I$1048576,'Base Realizado'!T$5,'B. Despesa'!$K$2:$K$1048576,'Base Realizado'!$B103)</f>
        <v>0</v>
      </c>
      <c r="U103" s="74"/>
      <c r="V103" s="129">
        <v>-792000</v>
      </c>
      <c r="W103" s="1"/>
      <c r="X103" s="134">
        <f>-V103/$V$11</f>
        <v>2.8875239777058467E-2</v>
      </c>
      <c r="AA103" s="518" t="s">
        <v>2655</v>
      </c>
      <c r="AC103" s="508"/>
    </row>
    <row r="104" spans="2:29" ht="13.5" customHeight="1">
      <c r="B104" s="146" t="s">
        <v>552</v>
      </c>
      <c r="C104" s="159" t="s">
        <v>188</v>
      </c>
      <c r="D104" s="117">
        <f>SUMIFS('B. Despesa'!$H$2:$H$1048576,'B. Despesa'!$I$2:$I$1048576,'Base Realizado'!D$5,'B. Despesa'!$K$2:$K$1048576,'Base Realizado'!$B104)</f>
        <v>-110.7</v>
      </c>
      <c r="E104" s="832">
        <f t="shared" ref="E104" si="126">-D104/D$11</f>
        <v>7.962029849239935E-5</v>
      </c>
      <c r="F104" s="117">
        <f>SUMIFS('B. Despesa'!$H$2:$H$1048576,'B. Despesa'!$I$2:$I$1048576,'Base Realizado'!F$5,'B. Despesa'!$K$2:$K$1048576,'Base Realizado'!$B104)</f>
        <v>0</v>
      </c>
      <c r="G104" s="832">
        <f t="shared" ref="G104" si="127">-F104/F$11</f>
        <v>0</v>
      </c>
      <c r="H104" s="795">
        <f>SUMIFS('B. Despesa'!$H$2:$H$1048576,'B. Despesa'!$I$2:$I$1048576,'Base Realizado'!H$5,'B. Despesa'!$K$2:$K$1048576,'Base Realizado'!$B104)</f>
        <v>0</v>
      </c>
      <c r="I104" s="832">
        <f t="shared" ref="I104" si="128">-H104/H$11</f>
        <v>0</v>
      </c>
      <c r="J104" s="608"/>
      <c r="K104" s="810">
        <f>SUMIFS('B. Despesa'!$H$2:$H$1048576,'B. Despesa'!$I$2:$I$1048576,'Base Realizado'!K$5,'B. Despesa'!$K$2:$K$1048576,'Base Realizado'!$B104)</f>
        <v>0</v>
      </c>
      <c r="L104" s="832">
        <f t="shared" ref="L104" si="129">-K104/K$11</f>
        <v>0</v>
      </c>
      <c r="M104" s="117">
        <f>SUMIFS('B. Despesa'!$H$2:$H$1048576,'B. Despesa'!$I$2:$I$1048576,'Base Realizado'!M$5,'B. Despesa'!$K$2:$K$1048576,'Base Realizado'!$B104)</f>
        <v>0</v>
      </c>
      <c r="N104" s="117">
        <f>SUMIFS('B. Despesa'!$H$2:$H$1048576,'B. Despesa'!$I$2:$I$1048576,'Base Realizado'!N$5,'B. Despesa'!$K$2:$K$1048576,'Base Realizado'!$B104)</f>
        <v>0</v>
      </c>
      <c r="O104" s="117">
        <f>SUMIFS('B. Despesa'!$H$2:$H$1048576,'B. Despesa'!$I$2:$I$1048576,'Base Realizado'!O$5,'B. Despesa'!$K$2:$K$1048576,'Base Realizado'!$B104)</f>
        <v>0</v>
      </c>
      <c r="P104" s="117">
        <f>SUMIFS('B. Despesa'!$H$2:$H$1048576,'B. Despesa'!$I$2:$I$1048576,'Base Realizado'!P$5,'B. Despesa'!$K$2:$K$1048576,'Base Realizado'!$B104)</f>
        <v>0</v>
      </c>
      <c r="Q104" s="117">
        <f>SUMIFS('B. Despesa'!$H$2:$H$1048576,'B. Despesa'!$I$2:$I$1048576,'Base Realizado'!Q$5,'B. Despesa'!$K$2:$K$1048576,'Base Realizado'!$B104)</f>
        <v>0</v>
      </c>
      <c r="R104" s="117">
        <f>SUMIFS('B. Despesa'!$H$2:$H$1048576,'B. Despesa'!$I$2:$I$1048576,'Base Realizado'!R$5,'B. Despesa'!$K$2:$K$1048576,'Base Realizado'!$B104)</f>
        <v>0</v>
      </c>
      <c r="S104" s="117">
        <f>SUMIFS('B. Despesa'!$H$2:$H$1048576,'B. Despesa'!$I$2:$I$1048576,'Base Realizado'!S$5,'B. Despesa'!$K$2:$K$1048576,'Base Realizado'!$B104)</f>
        <v>0</v>
      </c>
      <c r="T104" s="117">
        <f>SUMIFS('B. Despesa'!$H$2:$H$1048576,'B. Despesa'!$I$2:$I$1048576,'Base Realizado'!T$5,'B. Despesa'!$K$2:$K$1048576,'Base Realizado'!$B104)</f>
        <v>0</v>
      </c>
      <c r="U104" s="74"/>
      <c r="V104" s="160">
        <v>-12000</v>
      </c>
      <c r="W104" s="1"/>
      <c r="X104" s="134">
        <f>-V104/$V$11</f>
        <v>4.3750363298573431E-4</v>
      </c>
    </row>
    <row r="105" spans="2:29" ht="13.5" customHeight="1">
      <c r="B105" s="146" t="s">
        <v>212</v>
      </c>
      <c r="C105" s="147" t="s">
        <v>213</v>
      </c>
      <c r="D105" s="117">
        <f>SUMIFS('B. Despesa'!$H$2:$H$1048576,'B. Despesa'!$I$2:$I$1048576,'Base Realizado'!D$5,'B. Despesa'!$K$2:$K$1048576,'Base Realizado'!$B105)</f>
        <v>-1552.98</v>
      </c>
      <c r="E105" s="832">
        <f t="shared" ref="E105" si="130">-D105/D$11</f>
        <v>1.1169713744600392E-3</v>
      </c>
      <c r="F105" s="117">
        <f>SUMIFS('B. Despesa'!$H$2:$H$1048576,'B. Despesa'!$I$2:$I$1048576,'Base Realizado'!F$5,'B. Despesa'!$K$2:$K$1048576,'Base Realizado'!$B105)</f>
        <v>-1252.46</v>
      </c>
      <c r="G105" s="832">
        <f t="shared" ref="G105" si="131">-F105/F$11</f>
        <v>8.1937566539190597E-4</v>
      </c>
      <c r="H105" s="795">
        <f>SUMIFS('B. Despesa'!$H$2:$H$1048576,'B. Despesa'!$I$2:$I$1048576,'Base Realizado'!H$5,'B. Despesa'!$K$2:$K$1048576,'Base Realizado'!$B105)</f>
        <v>-1140.9100000000001</v>
      </c>
      <c r="I105" s="832">
        <f t="shared" ref="I105" si="132">-H105/H$11</f>
        <v>4.669092857307231E-4</v>
      </c>
      <c r="J105" s="608"/>
      <c r="K105" s="810">
        <f>SUMIFS('B. Despesa'!$H$2:$H$1048576,'B. Despesa'!$I$2:$I$1048576,'Base Realizado'!K$5,'B. Despesa'!$K$2:$K$1048576,'Base Realizado'!$B105)</f>
        <v>-1331.69</v>
      </c>
      <c r="L105" s="832">
        <f t="shared" ref="L105" si="133">-K105/K$11</f>
        <v>5.7781250068745095E-4</v>
      </c>
      <c r="M105" s="117">
        <f>SUMIFS('B. Despesa'!$H$2:$H$1048576,'B. Despesa'!$I$2:$I$1048576,'Base Realizado'!M$5,'B. Despesa'!$K$2:$K$1048576,'Base Realizado'!$B105)</f>
        <v>0</v>
      </c>
      <c r="N105" s="117">
        <f>SUMIFS('B. Despesa'!$H$2:$H$1048576,'B. Despesa'!$I$2:$I$1048576,'Base Realizado'!N$5,'B. Despesa'!$K$2:$K$1048576,'Base Realizado'!$B105)</f>
        <v>0</v>
      </c>
      <c r="O105" s="117">
        <f>SUMIFS('B. Despesa'!$H$2:$H$1048576,'B. Despesa'!$I$2:$I$1048576,'Base Realizado'!O$5,'B. Despesa'!$K$2:$K$1048576,'Base Realizado'!$B105)</f>
        <v>0</v>
      </c>
      <c r="P105" s="117">
        <f>SUMIFS('B. Despesa'!$H$2:$H$1048576,'B. Despesa'!$I$2:$I$1048576,'Base Realizado'!P$5,'B. Despesa'!$K$2:$K$1048576,'Base Realizado'!$B105)</f>
        <v>0</v>
      </c>
      <c r="Q105" s="117">
        <f>SUMIFS('B. Despesa'!$H$2:$H$1048576,'B. Despesa'!$I$2:$I$1048576,'Base Realizado'!Q$5,'B. Despesa'!$K$2:$K$1048576,'Base Realizado'!$B105)</f>
        <v>0</v>
      </c>
      <c r="R105" s="117">
        <f>SUMIFS('B. Despesa'!$H$2:$H$1048576,'B. Despesa'!$I$2:$I$1048576,'Base Realizado'!R$5,'B. Despesa'!$K$2:$K$1048576,'Base Realizado'!$B105)</f>
        <v>0</v>
      </c>
      <c r="S105" s="117">
        <f>SUMIFS('B. Despesa'!$H$2:$H$1048576,'B. Despesa'!$I$2:$I$1048576,'Base Realizado'!S$5,'B. Despesa'!$K$2:$K$1048576,'Base Realizado'!$B105)</f>
        <v>0</v>
      </c>
      <c r="T105" s="117">
        <f>SUMIFS('B. Despesa'!$H$2:$H$1048576,'B. Despesa'!$I$2:$I$1048576,'Base Realizado'!T$5,'B. Despesa'!$K$2:$K$1048576,'Base Realizado'!$B105)</f>
        <v>0</v>
      </c>
      <c r="U105" s="74"/>
      <c r="V105" s="129">
        <v>-18600</v>
      </c>
      <c r="W105" s="162"/>
      <c r="X105" s="134">
        <f>-V105/$V$11</f>
        <v>6.7813063112788822E-4</v>
      </c>
      <c r="Y105" s="162"/>
      <c r="Z105" s="162"/>
      <c r="AA105" s="162"/>
    </row>
    <row r="106" spans="2:29" ht="13.5" customHeight="1">
      <c r="B106" s="146" t="s">
        <v>214</v>
      </c>
      <c r="C106" s="179" t="s">
        <v>215</v>
      </c>
      <c r="D106" s="117">
        <f>SUMIFS('B. Despesa'!$H$2:$H$1048576,'B. Despesa'!$I$2:$I$1048576,'Base Realizado'!D$5,'B. Despesa'!$K$2:$K$1048576,'Base Realizado'!$B106)</f>
        <v>-2824.64</v>
      </c>
      <c r="E106" s="832">
        <f t="shared" ref="E106" si="134">-D106/D$11</f>
        <v>2.0316050581171714E-3</v>
      </c>
      <c r="F106" s="117">
        <f>SUMIFS('B. Despesa'!$H$2:$H$1048576,'B. Despesa'!$I$2:$I$1048576,'Base Realizado'!F$5,'B. Despesa'!$K$2:$K$1048576,'Base Realizado'!$B106)</f>
        <v>-1004.38</v>
      </c>
      <c r="G106" s="832">
        <f t="shared" ref="G106" si="135">-F106/F$11</f>
        <v>6.5707849416853439E-4</v>
      </c>
      <c r="H106" s="795">
        <f>SUMIFS('B. Despesa'!$H$2:$H$1048576,'B. Despesa'!$I$2:$I$1048576,'Base Realizado'!H$5,'B. Despesa'!$K$2:$K$1048576,'Base Realizado'!$B106)</f>
        <v>-3685.4</v>
      </c>
      <c r="I106" s="832">
        <f t="shared" ref="I106" si="136">-H106/H$11</f>
        <v>1.5082236825271114E-3</v>
      </c>
      <c r="J106" s="608"/>
      <c r="K106" s="810">
        <f>SUMIFS('B. Despesa'!$H$2:$H$1048576,'B. Despesa'!$I$2:$I$1048576,'Base Realizado'!K$5,'B. Despesa'!$K$2:$K$1048576,'Base Realizado'!$B106)</f>
        <v>-3353.1</v>
      </c>
      <c r="L106" s="832">
        <f t="shared" ref="L106" si="137">-K106/K$11</f>
        <v>1.4548904745512032E-3</v>
      </c>
      <c r="M106" s="117">
        <f>SUMIFS('B. Despesa'!$H$2:$H$1048576,'B. Despesa'!$I$2:$I$1048576,'Base Realizado'!M$5,'B. Despesa'!$K$2:$K$1048576,'Base Realizado'!$B106)</f>
        <v>0</v>
      </c>
      <c r="N106" s="117">
        <f>SUMIFS('B. Despesa'!$H$2:$H$1048576,'B. Despesa'!$I$2:$I$1048576,'Base Realizado'!N$5,'B. Despesa'!$K$2:$K$1048576,'Base Realizado'!$B106)</f>
        <v>0</v>
      </c>
      <c r="O106" s="117">
        <f>SUMIFS('B. Despesa'!$H$2:$H$1048576,'B. Despesa'!$I$2:$I$1048576,'Base Realizado'!O$5,'B. Despesa'!$K$2:$K$1048576,'Base Realizado'!$B106)</f>
        <v>0</v>
      </c>
      <c r="P106" s="117">
        <f>SUMIFS('B. Despesa'!$H$2:$H$1048576,'B. Despesa'!$I$2:$I$1048576,'Base Realizado'!P$5,'B. Despesa'!$K$2:$K$1048576,'Base Realizado'!$B106)</f>
        <v>0</v>
      </c>
      <c r="Q106" s="117">
        <f>SUMIFS('B. Despesa'!$H$2:$H$1048576,'B. Despesa'!$I$2:$I$1048576,'Base Realizado'!Q$5,'B. Despesa'!$K$2:$K$1048576,'Base Realizado'!$B106)</f>
        <v>0</v>
      </c>
      <c r="R106" s="117">
        <f>SUMIFS('B. Despesa'!$H$2:$H$1048576,'B. Despesa'!$I$2:$I$1048576,'Base Realizado'!R$5,'B. Despesa'!$K$2:$K$1048576,'Base Realizado'!$B106)</f>
        <v>0</v>
      </c>
      <c r="S106" s="117">
        <f>SUMIFS('B. Despesa'!$H$2:$H$1048576,'B. Despesa'!$I$2:$I$1048576,'Base Realizado'!S$5,'B. Despesa'!$K$2:$K$1048576,'Base Realizado'!$B106)</f>
        <v>0</v>
      </c>
      <c r="T106" s="117">
        <f>SUMIFS('B. Despesa'!$H$2:$H$1048576,'B. Despesa'!$I$2:$I$1048576,'Base Realizado'!T$5,'B. Despesa'!$K$2:$K$1048576,'Base Realizado'!$B106)</f>
        <v>0</v>
      </c>
      <c r="U106" s="74"/>
      <c r="V106" s="175">
        <v>-25330.075374165754</v>
      </c>
      <c r="W106" s="162"/>
      <c r="X106" s="134">
        <v>1E-3</v>
      </c>
      <c r="Y106" s="163"/>
      <c r="Z106" s="163"/>
      <c r="AA106" s="163"/>
    </row>
    <row r="107" spans="2:29" ht="13.5" customHeight="1">
      <c r="B107" s="146" t="s">
        <v>2198</v>
      </c>
      <c r="C107" s="179"/>
      <c r="D107" s="117">
        <f>SUMIFS('B. Despesa'!$H$2:$H$1048576,'B. Despesa'!$I$2:$I$1048576,'Base Realizado'!D$5,'B. Despesa'!$K$2:$K$1048576,'Base Realizado'!$B107)</f>
        <v>0</v>
      </c>
      <c r="E107" s="832">
        <f t="shared" ref="E107" si="138">-D107/D$11</f>
        <v>0</v>
      </c>
      <c r="F107" s="117">
        <f>SUMIFS('B. Despesa'!$H$2:$H$1048576,'B. Despesa'!$I$2:$I$1048576,'Base Realizado'!F$5,'B. Despesa'!$K$2:$K$1048576,'Base Realizado'!$B107)</f>
        <v>-582.78</v>
      </c>
      <c r="G107" s="832">
        <f t="shared" ref="G107" si="139">-F107/F$11</f>
        <v>3.8126227606238519E-4</v>
      </c>
      <c r="H107" s="795">
        <f>SUMIFS('B. Despesa'!$H$2:$H$1048576,'B. Despesa'!$I$2:$I$1048576,'Base Realizado'!H$5,'B. Despesa'!$K$2:$K$1048576,'Base Realizado'!$B107)</f>
        <v>-582.78</v>
      </c>
      <c r="I107" s="832">
        <f t="shared" ref="I107" si="140">-H107/H$11</f>
        <v>2.3849856126964507E-4</v>
      </c>
      <c r="J107" s="608"/>
      <c r="K107" s="810">
        <f>SUMIFS('B. Despesa'!$H$2:$H$1048576,'B. Despesa'!$I$2:$I$1048576,'Base Realizado'!K$5,'B. Despesa'!$K$2:$K$1048576,'Base Realizado'!$B107)</f>
        <v>-582.78</v>
      </c>
      <c r="L107" s="832">
        <f t="shared" ref="L107" si="141">-K107/K$11</f>
        <v>2.5286483276936274E-4</v>
      </c>
      <c r="M107" s="117"/>
      <c r="N107" s="117"/>
      <c r="O107" s="117"/>
      <c r="P107" s="117"/>
      <c r="Q107" s="117"/>
      <c r="R107" s="117"/>
      <c r="S107" s="117"/>
      <c r="T107" s="117"/>
      <c r="U107" s="74"/>
      <c r="V107" s="175"/>
      <c r="W107" s="162"/>
      <c r="X107" s="134"/>
      <c r="Y107" s="163"/>
      <c r="Z107" s="163"/>
      <c r="AA107" s="163"/>
    </row>
    <row r="108" spans="2:29" ht="13.5" customHeight="1">
      <c r="B108" s="146" t="s">
        <v>216</v>
      </c>
      <c r="C108" s="171" t="s">
        <v>217</v>
      </c>
      <c r="D108" s="117">
        <f>SUMIFS('B. Despesa'!$H$2:$H$1048576,'B. Despesa'!$I$2:$I$1048576,'Base Realizado'!D$5,'B. Despesa'!$K$2:$K$1048576,'Base Realizado'!$B108)</f>
        <v>-8916.1299999999992</v>
      </c>
      <c r="E108" s="832">
        <f t="shared" ref="E108" si="142">-D108/D$11</f>
        <v>6.4128720144267072E-3</v>
      </c>
      <c r="F108" s="117">
        <f>SUMIFS('B. Despesa'!$H$2:$H$1048576,'B. Despesa'!$I$2:$I$1048576,'Base Realizado'!F$5,'B. Despesa'!$K$2:$K$1048576,'Base Realizado'!$B108)</f>
        <v>-12812.26</v>
      </c>
      <c r="G108" s="832">
        <f t="shared" ref="G108" si="143">-F108/F$11</f>
        <v>8.3819475773071403E-3</v>
      </c>
      <c r="H108" s="795">
        <f>SUMIFS('B. Despesa'!$H$2:$H$1048576,'B. Despesa'!$I$2:$I$1048576,'Base Realizado'!H$5,'B. Despesa'!$K$2:$K$1048576,'Base Realizado'!$B108)</f>
        <v>-14106.230000000001</v>
      </c>
      <c r="I108" s="832">
        <f t="shared" ref="I108" si="144">-H108/H$11</f>
        <v>5.7728740861709496E-3</v>
      </c>
      <c r="J108" s="608"/>
      <c r="K108" s="810">
        <f>SUMIFS('B. Despesa'!$H$2:$H$1048576,'B. Despesa'!$I$2:$I$1048576,'Base Realizado'!K$5,'B. Despesa'!$K$2:$K$1048576,'Base Realizado'!$B108)</f>
        <v>-14462.849999999999</v>
      </c>
      <c r="L108" s="832">
        <f t="shared" ref="L108" si="145">-K108/K$11</f>
        <v>6.2753460081306457E-3</v>
      </c>
      <c r="M108" s="117">
        <f>SUMIFS('B. Despesa'!$H$2:$H$1048576,'B. Despesa'!$I$2:$I$1048576,'Base Realizado'!M$5,'B. Despesa'!$K$2:$K$1048576,'Base Realizado'!$B108)</f>
        <v>0</v>
      </c>
      <c r="N108" s="117">
        <f>SUMIFS('B. Despesa'!$H$2:$H$1048576,'B. Despesa'!$I$2:$I$1048576,'Base Realizado'!N$5,'B. Despesa'!$K$2:$K$1048576,'Base Realizado'!$B108)</f>
        <v>0</v>
      </c>
      <c r="O108" s="117">
        <f>SUMIFS('B. Despesa'!$H$2:$H$1048576,'B. Despesa'!$I$2:$I$1048576,'Base Realizado'!O$5,'B. Despesa'!$K$2:$K$1048576,'Base Realizado'!$B108)</f>
        <v>0</v>
      </c>
      <c r="P108" s="117">
        <f>SUMIFS('B. Despesa'!$H$2:$H$1048576,'B. Despesa'!$I$2:$I$1048576,'Base Realizado'!P$5,'B. Despesa'!$K$2:$K$1048576,'Base Realizado'!$B108)</f>
        <v>0</v>
      </c>
      <c r="Q108" s="117">
        <f>SUMIFS('B. Despesa'!$H$2:$H$1048576,'B. Despesa'!$I$2:$I$1048576,'Base Realizado'!Q$5,'B. Despesa'!$K$2:$K$1048576,'Base Realizado'!$B108)</f>
        <v>0</v>
      </c>
      <c r="R108" s="117">
        <f>SUMIFS('B. Despesa'!$H$2:$H$1048576,'B. Despesa'!$I$2:$I$1048576,'Base Realizado'!R$5,'B. Despesa'!$K$2:$K$1048576,'Base Realizado'!$B108)</f>
        <v>0</v>
      </c>
      <c r="S108" s="117">
        <f>SUMIFS('B. Despesa'!$H$2:$H$1048576,'B. Despesa'!$I$2:$I$1048576,'Base Realizado'!S$5,'B. Despesa'!$K$2:$K$1048576,'Base Realizado'!$B108)</f>
        <v>0</v>
      </c>
      <c r="T108" s="117">
        <f>SUMIFS('B. Despesa'!$H$2:$H$1048576,'B. Despesa'!$I$2:$I$1048576,'Base Realizado'!T$5,'B. Despesa'!$K$2:$K$1048576,'Base Realizado'!$B108)</f>
        <v>0</v>
      </c>
      <c r="U108" s="74"/>
      <c r="V108" s="160">
        <v>-278630.82911582326</v>
      </c>
      <c r="W108" s="1"/>
      <c r="X108" s="134">
        <v>1.0999999999999999E-2</v>
      </c>
    </row>
    <row r="109" spans="2:29" ht="13.5" customHeight="1">
      <c r="B109" s="146" t="s">
        <v>2231</v>
      </c>
      <c r="C109" s="171"/>
      <c r="D109" s="117">
        <f>SUMIFS('B. Despesa'!$H$2:$H$1048576,'B. Despesa'!$I$2:$I$1048576,'Base Realizado'!D$5,'B. Despesa'!$K$2:$K$1048576,'Base Realizado'!$B109)</f>
        <v>-2097.46</v>
      </c>
      <c r="E109" s="832">
        <f t="shared" ref="E109" si="146">-D109/D$11</f>
        <v>1.5085852870448775E-3</v>
      </c>
      <c r="F109" s="117">
        <f>SUMIFS('B. Despesa'!$H$2:$H$1048576,'B. Despesa'!$I$2:$I$1048576,'Base Realizado'!F$5,'B. Despesa'!$K$2:$K$1048576,'Base Realizado'!$B109)</f>
        <v>-2097.46</v>
      </c>
      <c r="G109" s="832">
        <f t="shared" ref="G109" si="147">-F109/F$11</f>
        <v>1.3721856850780921E-3</v>
      </c>
      <c r="H109" s="795">
        <f>SUMIFS('B. Despesa'!$H$2:$H$1048576,'B. Despesa'!$I$2:$I$1048576,'Base Realizado'!H$5,'B. Despesa'!$K$2:$K$1048576,'Base Realizado'!$B109)</f>
        <v>-2097.46</v>
      </c>
      <c r="I109" s="832">
        <f t="shared" ref="I109" si="148">-H109/H$11</f>
        <v>8.5837055547656027E-4</v>
      </c>
      <c r="J109" s="608"/>
      <c r="K109" s="810">
        <f>SUMIFS('B. Despesa'!$H$2:$H$1048576,'B. Despesa'!$I$2:$I$1048576,'Base Realizado'!K$5,'B. Despesa'!$K$2:$K$1048576,'Base Realizado'!$B109)</f>
        <v>-2097.46</v>
      </c>
      <c r="L109" s="832">
        <f t="shared" ref="L109" si="149">-K109/K$11</f>
        <v>9.1007562397547545E-4</v>
      </c>
      <c r="M109" s="117"/>
      <c r="N109" s="117"/>
      <c r="O109" s="117"/>
      <c r="P109" s="117"/>
      <c r="Q109" s="117"/>
      <c r="R109" s="117"/>
      <c r="S109" s="117"/>
      <c r="T109" s="117"/>
      <c r="U109" s="74"/>
      <c r="V109" s="763"/>
      <c r="W109" s="1"/>
      <c r="X109" s="134"/>
    </row>
    <row r="110" spans="2:29" ht="13.5" customHeight="1">
      <c r="B110" s="146" t="s">
        <v>1739</v>
      </c>
      <c r="C110" s="179" t="s">
        <v>219</v>
      </c>
      <c r="D110" s="117">
        <f>SUMIFS('B. Despesa'!$H$2:$H$1048576,'B. Despesa'!$I$2:$I$1048576,'Base Realizado'!D$5,'B. Despesa'!$K$2:$K$1048576,'Base Realizado'!$B110)</f>
        <v>-1510</v>
      </c>
      <c r="E110" s="832">
        <f t="shared" ref="E110" si="150">-D110/D$11</f>
        <v>1.0860582721185458E-3</v>
      </c>
      <c r="F110" s="117">
        <f>SUMIFS('B. Despesa'!$H$2:$H$1048576,'B. Despesa'!$I$2:$I$1048576,'Base Realizado'!F$5,'B. Despesa'!$K$2:$K$1048576,'Base Realizado'!$B110)</f>
        <v>-1510</v>
      </c>
      <c r="G110" s="832">
        <f t="shared" ref="G110" si="151">-F110/F$11</f>
        <v>9.8786169198359871E-4</v>
      </c>
      <c r="H110" s="795">
        <f>SUMIFS('B. Despesa'!$H$2:$H$1048576,'B. Despesa'!$I$2:$I$1048576,'Base Realizado'!H$5,'B. Despesa'!$K$2:$K$1048576,'Base Realizado'!$B110)</f>
        <v>-1657.81</v>
      </c>
      <c r="I110" s="832">
        <f t="shared" ref="I110" si="152">-H110/H$11</f>
        <v>6.7844692655621389E-4</v>
      </c>
      <c r="J110" s="608"/>
      <c r="K110" s="810">
        <f>SUMIFS('B. Despesa'!$H$2:$H$1048576,'B. Despesa'!$I$2:$I$1048576,'Base Realizado'!K$5,'B. Despesa'!$K$2:$K$1048576,'Base Realizado'!$B110)</f>
        <v>-3465.47</v>
      </c>
      <c r="L110" s="832">
        <f t="shared" ref="L110" si="153">-K110/K$11</f>
        <v>1.5036471601929432E-3</v>
      </c>
      <c r="M110" s="117">
        <f>SUMIFS('B. Despesa'!$H$2:$H$1048576,'B. Despesa'!$I$2:$I$1048576,'Base Realizado'!M$5,'B. Despesa'!$K$2:$K$1048576,'Base Realizado'!$B110)</f>
        <v>0</v>
      </c>
      <c r="N110" s="117">
        <f>SUMIFS('B. Despesa'!$H$2:$H$1048576,'B. Despesa'!$I$2:$I$1048576,'Base Realizado'!N$5,'B. Despesa'!$K$2:$K$1048576,'Base Realizado'!$B110)</f>
        <v>0</v>
      </c>
      <c r="O110" s="117">
        <f>SUMIFS('B. Despesa'!$H$2:$H$1048576,'B. Despesa'!$I$2:$I$1048576,'Base Realizado'!O$5,'B. Despesa'!$K$2:$K$1048576,'Base Realizado'!$B110)</f>
        <v>0</v>
      </c>
      <c r="P110" s="117">
        <f>SUMIFS('B. Despesa'!$H$2:$H$1048576,'B. Despesa'!$I$2:$I$1048576,'Base Realizado'!P$5,'B. Despesa'!$K$2:$K$1048576,'Base Realizado'!$B110)</f>
        <v>0</v>
      </c>
      <c r="Q110" s="117">
        <f>SUMIFS('B. Despesa'!$H$2:$H$1048576,'B. Despesa'!$I$2:$I$1048576,'Base Realizado'!Q$5,'B. Despesa'!$K$2:$K$1048576,'Base Realizado'!$B110)</f>
        <v>0</v>
      </c>
      <c r="R110" s="117">
        <f>SUMIFS('B. Despesa'!$H$2:$H$1048576,'B. Despesa'!$I$2:$I$1048576,'Base Realizado'!R$5,'B. Despesa'!$K$2:$K$1048576,'Base Realizado'!$B110)</f>
        <v>0</v>
      </c>
      <c r="S110" s="117">
        <f>SUMIFS('B. Despesa'!$H$2:$H$1048576,'B. Despesa'!$I$2:$I$1048576,'Base Realizado'!S$5,'B. Despesa'!$K$2:$K$1048576,'Base Realizado'!$B110)</f>
        <v>0</v>
      </c>
      <c r="T110" s="117">
        <f>SUMIFS('B. Despesa'!$H$2:$H$1048576,'B. Despesa'!$I$2:$I$1048576,'Base Realizado'!T$5,'B. Despesa'!$K$2:$K$1048576,'Base Realizado'!$B110)</f>
        <v>0</v>
      </c>
      <c r="U110" s="74"/>
      <c r="V110" s="129">
        <v>-28344.519999999964</v>
      </c>
      <c r="W110" s="1"/>
      <c r="X110" s="134">
        <f>-V110/$V$11</f>
        <v>1.0334025396030659E-3</v>
      </c>
    </row>
    <row r="111" spans="2:29" ht="13.5" customHeight="1">
      <c r="B111" s="146" t="s">
        <v>221</v>
      </c>
      <c r="C111" s="147" t="s">
        <v>222</v>
      </c>
      <c r="D111" s="117">
        <f>SUMIFS('B. Despesa'!$H$2:$H$1048576,'B. Despesa'!$I$2:$I$1048576,'Base Realizado'!D$5,'B. Despesa'!$K$2:$K$1048576,'Base Realizado'!$B111)</f>
        <v>-10700</v>
      </c>
      <c r="E111" s="832">
        <f t="shared" ref="E111" si="154">-D111/D$11</f>
        <v>7.6959096103764498E-3</v>
      </c>
      <c r="F111" s="117">
        <f>SUMIFS('B. Despesa'!$H$2:$H$1048576,'B. Despesa'!$I$2:$I$1048576,'Base Realizado'!F$5,'B. Despesa'!$K$2:$K$1048576,'Base Realizado'!$B111)</f>
        <v>-10700</v>
      </c>
      <c r="G111" s="832">
        <f t="shared" ref="G111" si="155">-F111/F$11</f>
        <v>7.000079539221527E-3</v>
      </c>
      <c r="H111" s="795">
        <f>SUMIFS('B. Despesa'!$H$2:$H$1048576,'B. Despesa'!$I$2:$I$1048576,'Base Realizado'!H$5,'B. Despesa'!$K$2:$K$1048576,'Base Realizado'!$B111)</f>
        <v>-10700</v>
      </c>
      <c r="I111" s="832">
        <f t="shared" ref="I111" si="156">-H111/H$11</f>
        <v>4.3788987363759949E-3</v>
      </c>
      <c r="J111" s="608"/>
      <c r="K111" s="810">
        <f>SUMIFS('B. Despesa'!$H$2:$H$1048576,'B. Despesa'!$I$2:$I$1048576,'Base Realizado'!K$5,'B. Despesa'!$K$2:$K$1048576,'Base Realizado'!$B111)</f>
        <v>-10700</v>
      </c>
      <c r="L111" s="832">
        <f t="shared" ref="L111" si="157">-K111/K$11</f>
        <v>4.6426674055941889E-3</v>
      </c>
      <c r="M111" s="117">
        <f>SUMIFS('B. Despesa'!$H$2:$H$1048576,'B. Despesa'!$I$2:$I$1048576,'Base Realizado'!M$5,'B. Despesa'!$K$2:$K$1048576,'Base Realizado'!$B111)</f>
        <v>0</v>
      </c>
      <c r="N111" s="117">
        <f>SUMIFS('B. Despesa'!$H$2:$H$1048576,'B. Despesa'!$I$2:$I$1048576,'Base Realizado'!N$5,'B. Despesa'!$K$2:$K$1048576,'Base Realizado'!$B111)</f>
        <v>0</v>
      </c>
      <c r="O111" s="117">
        <f>SUMIFS('B. Despesa'!$H$2:$H$1048576,'B. Despesa'!$I$2:$I$1048576,'Base Realizado'!O$5,'B. Despesa'!$K$2:$K$1048576,'Base Realizado'!$B111)</f>
        <v>0</v>
      </c>
      <c r="P111" s="117">
        <f>SUMIFS('B. Despesa'!$H$2:$H$1048576,'B. Despesa'!$I$2:$I$1048576,'Base Realizado'!P$5,'B. Despesa'!$K$2:$K$1048576,'Base Realizado'!$B111)</f>
        <v>0</v>
      </c>
      <c r="Q111" s="117">
        <f>SUMIFS('B. Despesa'!$H$2:$H$1048576,'B. Despesa'!$I$2:$I$1048576,'Base Realizado'!Q$5,'B. Despesa'!$K$2:$K$1048576,'Base Realizado'!$B111)</f>
        <v>0</v>
      </c>
      <c r="R111" s="117">
        <f>SUMIFS('B. Despesa'!$H$2:$H$1048576,'B. Despesa'!$I$2:$I$1048576,'Base Realizado'!R$5,'B. Despesa'!$K$2:$K$1048576,'Base Realizado'!$B111)</f>
        <v>0</v>
      </c>
      <c r="S111" s="117">
        <f>SUMIFS('B. Despesa'!$H$2:$H$1048576,'B. Despesa'!$I$2:$I$1048576,'Base Realizado'!S$5,'B. Despesa'!$K$2:$K$1048576,'Base Realizado'!$B111)</f>
        <v>0</v>
      </c>
      <c r="T111" s="117">
        <f>SUMIFS('B. Despesa'!$H$2:$H$1048576,'B. Despesa'!$I$2:$I$1048576,'Base Realizado'!T$5,'B. Despesa'!$K$2:$K$1048576,'Base Realizado'!$B111)</f>
        <v>0</v>
      </c>
      <c r="U111" s="74"/>
      <c r="V111" s="129">
        <v>-120000</v>
      </c>
      <c r="W111" s="162"/>
      <c r="X111" s="134">
        <f>-V111/$V$11</f>
        <v>4.3750363298573434E-3</v>
      </c>
    </row>
    <row r="112" spans="2:29" ht="13.5" customHeight="1">
      <c r="B112" s="146" t="s">
        <v>1728</v>
      </c>
      <c r="C112" s="147" t="s">
        <v>224</v>
      </c>
      <c r="D112" s="117">
        <f>SUMIFS('B. Despesa'!$H$2:$H$1048576,'B. Despesa'!$I$2:$I$1048576,'Base Realizado'!D$5,'B. Despesa'!$K$2:$K$1048576,'Base Realizado'!$B112)</f>
        <v>-7750</v>
      </c>
      <c r="E112" s="832">
        <f t="shared" ref="E112" si="158">-D112/D$11</f>
        <v>5.5741401383567748E-3</v>
      </c>
      <c r="F112" s="117">
        <f>SUMIFS('B. Despesa'!$H$2:$H$1048576,'B. Despesa'!$I$2:$I$1048576,'Base Realizado'!F$5,'B. Despesa'!$K$2:$K$1048576,'Base Realizado'!$B112)</f>
        <v>-7500</v>
      </c>
      <c r="G112" s="832">
        <f t="shared" ref="G112" si="159">-F112/F$11</f>
        <v>4.9065978078655561E-3</v>
      </c>
      <c r="H112" s="795">
        <f>SUMIFS('B. Despesa'!$H$2:$H$1048576,'B. Despesa'!$I$2:$I$1048576,'Base Realizado'!H$5,'B. Despesa'!$K$2:$K$1048576,'Base Realizado'!$B112)</f>
        <v>-11500</v>
      </c>
      <c r="I112" s="832">
        <f t="shared" ref="I112" si="160">-H112/H$11</f>
        <v>4.7062930344227982E-3</v>
      </c>
      <c r="J112" s="608"/>
      <c r="K112" s="810">
        <f>SUMIFS('B. Despesa'!$H$2:$H$1048576,'B. Despesa'!$I$2:$I$1048576,'Base Realizado'!K$5,'B. Despesa'!$K$2:$K$1048576,'Base Realizado'!$B112)</f>
        <v>-11500</v>
      </c>
      <c r="L112" s="832">
        <f t="shared" ref="L112" si="161">-K112/K$11</f>
        <v>4.9897827256386142E-3</v>
      </c>
      <c r="M112" s="117">
        <f>SUMIFS('B. Despesa'!$H$2:$H$1048576,'B. Despesa'!$I$2:$I$1048576,'Base Realizado'!M$5,'B. Despesa'!$K$2:$K$1048576,'Base Realizado'!$B112)</f>
        <v>0</v>
      </c>
      <c r="N112" s="117">
        <f>SUMIFS('B. Despesa'!$H$2:$H$1048576,'B. Despesa'!$I$2:$I$1048576,'Base Realizado'!N$5,'B. Despesa'!$K$2:$K$1048576,'Base Realizado'!$B112)</f>
        <v>0</v>
      </c>
      <c r="O112" s="117">
        <f>SUMIFS('B. Despesa'!$H$2:$H$1048576,'B. Despesa'!$I$2:$I$1048576,'Base Realizado'!O$5,'B. Despesa'!$K$2:$K$1048576,'Base Realizado'!$B112)</f>
        <v>0</v>
      </c>
      <c r="P112" s="117">
        <f>SUMIFS('B. Despesa'!$H$2:$H$1048576,'B. Despesa'!$I$2:$I$1048576,'Base Realizado'!P$5,'B. Despesa'!$K$2:$K$1048576,'Base Realizado'!$B112)</f>
        <v>0</v>
      </c>
      <c r="Q112" s="117">
        <f>SUMIFS('B. Despesa'!$H$2:$H$1048576,'B. Despesa'!$I$2:$I$1048576,'Base Realizado'!Q$5,'B. Despesa'!$K$2:$K$1048576,'Base Realizado'!$B112)</f>
        <v>0</v>
      </c>
      <c r="R112" s="117">
        <f>SUMIFS('B. Despesa'!$H$2:$H$1048576,'B. Despesa'!$I$2:$I$1048576,'Base Realizado'!R$5,'B. Despesa'!$K$2:$K$1048576,'Base Realizado'!$B112)</f>
        <v>0</v>
      </c>
      <c r="S112" s="117">
        <f>SUMIFS('B. Despesa'!$H$2:$H$1048576,'B. Despesa'!$I$2:$I$1048576,'Base Realizado'!S$5,'B. Despesa'!$K$2:$K$1048576,'Base Realizado'!$B112)</f>
        <v>0</v>
      </c>
      <c r="T112" s="117">
        <f>SUMIFS('B. Despesa'!$H$2:$H$1048576,'B. Despesa'!$I$2:$I$1048576,'Base Realizado'!T$5,'B. Despesa'!$K$2:$K$1048576,'Base Realizado'!$B112)</f>
        <v>0</v>
      </c>
      <c r="U112" s="74"/>
      <c r="V112" s="129">
        <v>-492000</v>
      </c>
      <c r="W112" s="162"/>
      <c r="X112" s="134">
        <f>-V112/$V$11</f>
        <v>1.7937648952415106E-2</v>
      </c>
      <c r="AC112" s="781"/>
    </row>
    <row r="113" spans="2:29" ht="13.5" customHeight="1">
      <c r="B113" s="146" t="s">
        <v>225</v>
      </c>
      <c r="C113" s="147" t="s">
        <v>226</v>
      </c>
      <c r="D113" s="117">
        <f>SUMIFS('B. Despesa'!$H$2:$H$1048576,'B. Despesa'!$I$2:$I$1048576,'Base Realizado'!D$5,'B. Despesa'!$K$2:$K$1048576,'Base Realizado'!$B113)</f>
        <v>-3620.05</v>
      </c>
      <c r="E113" s="832">
        <f t="shared" ref="E113" si="162">-D113/D$11</f>
        <v>2.6036988397236701E-3</v>
      </c>
      <c r="F113" s="117">
        <f>SUMIFS('B. Despesa'!$H$2:$H$1048576,'B. Despesa'!$I$2:$I$1048576,'Base Realizado'!F$5,'B. Despesa'!$K$2:$K$1048576,'Base Realizado'!$B113)</f>
        <v>-3620.06</v>
      </c>
      <c r="G113" s="832">
        <f t="shared" ref="G113" si="163">-F113/F$11</f>
        <v>2.368290461378905E-3</v>
      </c>
      <c r="H113" s="795">
        <f>SUMIFS('B. Despesa'!$H$2:$H$1048576,'B. Despesa'!$I$2:$I$1048576,'Base Realizado'!H$5,'B. Despesa'!$K$2:$K$1048576,'Base Realizado'!$B113)</f>
        <v>-3220</v>
      </c>
      <c r="I113" s="832">
        <f t="shared" ref="I113" si="164">-H113/H$11</f>
        <v>1.3177620496383836E-3</v>
      </c>
      <c r="J113" s="608"/>
      <c r="K113" s="810">
        <f>SUMIFS('B. Despesa'!$H$2:$H$1048576,'B. Despesa'!$I$2:$I$1048576,'Base Realizado'!K$5,'B. Despesa'!$K$2:$K$1048576,'Base Realizado'!$B113)</f>
        <v>-3620.05</v>
      </c>
      <c r="L113" s="832">
        <f t="shared" ref="L113" si="165">-K113/K$11</f>
        <v>1.5707185179085275E-3</v>
      </c>
      <c r="M113" s="117">
        <f>SUMIFS('B. Despesa'!$H$2:$H$1048576,'B. Despesa'!$I$2:$I$1048576,'Base Realizado'!M$5,'B. Despesa'!$K$2:$K$1048576,'Base Realizado'!$B113)</f>
        <v>0</v>
      </c>
      <c r="N113" s="117">
        <f>SUMIFS('B. Despesa'!$H$2:$H$1048576,'B. Despesa'!$I$2:$I$1048576,'Base Realizado'!N$5,'B. Despesa'!$K$2:$K$1048576,'Base Realizado'!$B113)</f>
        <v>0</v>
      </c>
      <c r="O113" s="117">
        <f>SUMIFS('B. Despesa'!$H$2:$H$1048576,'B. Despesa'!$I$2:$I$1048576,'Base Realizado'!O$5,'B. Despesa'!$K$2:$K$1048576,'Base Realizado'!$B113)</f>
        <v>0</v>
      </c>
      <c r="P113" s="117">
        <f>SUMIFS('B. Despesa'!$H$2:$H$1048576,'B. Despesa'!$I$2:$I$1048576,'Base Realizado'!P$5,'B. Despesa'!$K$2:$K$1048576,'Base Realizado'!$B113)</f>
        <v>0</v>
      </c>
      <c r="Q113" s="117">
        <f>SUMIFS('B. Despesa'!$H$2:$H$1048576,'B. Despesa'!$I$2:$I$1048576,'Base Realizado'!Q$5,'B. Despesa'!$K$2:$K$1048576,'Base Realizado'!$B113)</f>
        <v>0</v>
      </c>
      <c r="R113" s="117">
        <f>SUMIFS('B. Despesa'!$H$2:$H$1048576,'B. Despesa'!$I$2:$I$1048576,'Base Realizado'!R$5,'B. Despesa'!$K$2:$K$1048576,'Base Realizado'!$B113)</f>
        <v>0</v>
      </c>
      <c r="S113" s="117">
        <f>SUMIFS('B. Despesa'!$H$2:$H$1048576,'B. Despesa'!$I$2:$I$1048576,'Base Realizado'!S$5,'B. Despesa'!$K$2:$K$1048576,'Base Realizado'!$B113)</f>
        <v>0</v>
      </c>
      <c r="T113" s="117">
        <f>SUMIFS('B. Despesa'!$H$2:$H$1048576,'B. Despesa'!$I$2:$I$1048576,'Base Realizado'!T$5,'B. Despesa'!$K$2:$K$1048576,'Base Realizado'!$B113)</f>
        <v>0</v>
      </c>
      <c r="U113" s="74"/>
      <c r="V113" s="129">
        <v>-60000</v>
      </c>
      <c r="W113" s="162"/>
      <c r="X113" s="134">
        <v>2E-3</v>
      </c>
      <c r="AC113" s="781"/>
    </row>
    <row r="114" spans="2:29" ht="13.5" customHeight="1">
      <c r="B114" s="146" t="s">
        <v>2202</v>
      </c>
      <c r="C114" s="147" t="s">
        <v>228</v>
      </c>
      <c r="D114" s="117">
        <f>SUMIFS('B. Despesa'!$H$2:$H$1048576,'B. Despesa'!$I$2:$I$1048576,'Base Realizado'!D$5,'B. Despesa'!$K$2:$K$1048576,'Base Realizado'!$B114)</f>
        <v>0</v>
      </c>
      <c r="E114" s="832">
        <f t="shared" ref="E114" si="166">-D114/D$11</f>
        <v>0</v>
      </c>
      <c r="F114" s="117">
        <f>SUMIFS('B. Despesa'!$H$2:$H$1048576,'B. Despesa'!$I$2:$I$1048576,'Base Realizado'!F$5,'B. Despesa'!$K$2:$K$1048576,'Base Realizado'!$B114)</f>
        <v>0</v>
      </c>
      <c r="G114" s="832">
        <f t="shared" ref="G114" si="167">-F114/F$11</f>
        <v>0</v>
      </c>
      <c r="H114" s="795">
        <f>SUMIFS('B. Despesa'!$H$2:$H$1048576,'B. Despesa'!$I$2:$I$1048576,'Base Realizado'!H$5,'B. Despesa'!$K$2:$K$1048576,'Base Realizado'!$B114)</f>
        <v>-106.35000000000001</v>
      </c>
      <c r="I114" s="832">
        <f t="shared" ref="I114" si="168">-H114/H$11</f>
        <v>4.3522979496596924E-5</v>
      </c>
      <c r="J114" s="608"/>
      <c r="K114" s="810">
        <f>SUMIFS('B. Despesa'!$H$2:$H$1048576,'B. Despesa'!$I$2:$I$1048576,'Base Realizado'!K$5,'B. Despesa'!$K$2:$K$1048576,'Base Realizado'!$B114)</f>
        <v>-110.78999999999999</v>
      </c>
      <c r="L114" s="832">
        <f t="shared" ref="L114" si="169">-K114/K$11</f>
        <v>4.8071132884652352E-5</v>
      </c>
      <c r="M114" s="117">
        <f>SUMIFS('B. Despesa'!$H$2:$H$1048576,'B. Despesa'!$I$2:$I$1048576,'Base Realizado'!M$5,'B. Despesa'!$K$2:$K$1048576,'Base Realizado'!$B114)</f>
        <v>0</v>
      </c>
      <c r="N114" s="117">
        <f>SUMIFS('B. Despesa'!$H$2:$H$1048576,'B. Despesa'!$I$2:$I$1048576,'Base Realizado'!N$5,'B. Despesa'!$K$2:$K$1048576,'Base Realizado'!$B114)</f>
        <v>0</v>
      </c>
      <c r="O114" s="117">
        <f>SUMIFS('B. Despesa'!$H$2:$H$1048576,'B. Despesa'!$I$2:$I$1048576,'Base Realizado'!O$5,'B. Despesa'!$K$2:$K$1048576,'Base Realizado'!$B114)</f>
        <v>0</v>
      </c>
      <c r="P114" s="117">
        <f>SUMIFS('B. Despesa'!$H$2:$H$1048576,'B. Despesa'!$I$2:$I$1048576,'Base Realizado'!P$5,'B. Despesa'!$K$2:$K$1048576,'Base Realizado'!$B114)</f>
        <v>0</v>
      </c>
      <c r="Q114" s="117">
        <f>SUMIFS('B. Despesa'!$H$2:$H$1048576,'B. Despesa'!$I$2:$I$1048576,'Base Realizado'!Q$5,'B. Despesa'!$K$2:$K$1048576,'Base Realizado'!$B114)</f>
        <v>0</v>
      </c>
      <c r="R114" s="117">
        <f>SUMIFS('B. Despesa'!$H$2:$H$1048576,'B. Despesa'!$I$2:$I$1048576,'Base Realizado'!R$5,'B. Despesa'!$K$2:$K$1048576,'Base Realizado'!$B114)</f>
        <v>0</v>
      </c>
      <c r="S114" s="117">
        <f>SUMIFS('B. Despesa'!$H$2:$H$1048576,'B. Despesa'!$I$2:$I$1048576,'Base Realizado'!S$5,'B. Despesa'!$K$2:$K$1048576,'Base Realizado'!$B114)</f>
        <v>0</v>
      </c>
      <c r="T114" s="117">
        <f>SUMIFS('B. Despesa'!$H$2:$H$1048576,'B. Despesa'!$I$2:$I$1048576,'Base Realizado'!T$5,'B. Despesa'!$K$2:$K$1048576,'Base Realizado'!$B114)</f>
        <v>0</v>
      </c>
      <c r="U114" s="74"/>
      <c r="V114" s="129">
        <v>-5066.0150748331507</v>
      </c>
      <c r="W114" s="1"/>
      <c r="X114" s="134">
        <v>2.0000000000000001E-4</v>
      </c>
      <c r="AC114" s="781"/>
    </row>
    <row r="115" spans="2:29" ht="13.5" customHeight="1">
      <c r="B115" s="146" t="s">
        <v>554</v>
      </c>
      <c r="C115" s="147" t="s">
        <v>229</v>
      </c>
      <c r="D115" s="117">
        <f>SUMIFS('B. Despesa'!$H$2:$H$1048576,'B. Despesa'!$I$2:$I$1048576,'Base Realizado'!D$5,'B. Despesa'!$K$2:$K$1048576,'Base Realizado'!$B115)</f>
        <v>-8329</v>
      </c>
      <c r="E115" s="832">
        <f t="shared" ref="E115" si="170">-D115/D$11</f>
        <v>5.9905823499836874E-3</v>
      </c>
      <c r="F115" s="117">
        <f>SUMIFS('B. Despesa'!$H$2:$H$1048576,'B. Despesa'!$I$2:$I$1048576,'Base Realizado'!F$5,'B. Despesa'!$K$2:$K$1048576,'Base Realizado'!$B115)</f>
        <v>-7440</v>
      </c>
      <c r="G115" s="832">
        <f t="shared" ref="G115" si="171">-F115/F$11</f>
        <v>4.8673450254026317E-3</v>
      </c>
      <c r="H115" s="795">
        <f>SUMIFS('B. Despesa'!$H$2:$H$1048576,'B. Despesa'!$I$2:$I$1048576,'Base Realizado'!H$5,'B. Despesa'!$K$2:$K$1048576,'Base Realizado'!$B115)</f>
        <v>-6700</v>
      </c>
      <c r="I115" s="832">
        <f t="shared" ref="I115" si="172">-H115/H$11</f>
        <v>2.7419272461419782E-3</v>
      </c>
      <c r="J115" s="608"/>
      <c r="K115" s="810">
        <f>SUMIFS('B. Despesa'!$H$2:$H$1048576,'B. Despesa'!$I$2:$I$1048576,'Base Realizado'!K$5,'B. Despesa'!$K$2:$K$1048576,'Base Realizado'!$B115)</f>
        <v>-1775</v>
      </c>
      <c r="L115" s="832">
        <f t="shared" ref="L115" si="173">-K115/K$11</f>
        <v>7.7016211634856871E-4</v>
      </c>
      <c r="M115" s="117">
        <f>SUMIFS('B. Despesa'!$H$2:$H$1048576,'B. Despesa'!$I$2:$I$1048576,'Base Realizado'!M$5,'B. Despesa'!$K$2:$K$1048576,'Base Realizado'!$B115)</f>
        <v>0</v>
      </c>
      <c r="N115" s="117">
        <f>SUMIFS('B. Despesa'!$H$2:$H$1048576,'B. Despesa'!$I$2:$I$1048576,'Base Realizado'!N$5,'B. Despesa'!$K$2:$K$1048576,'Base Realizado'!$B115)</f>
        <v>0</v>
      </c>
      <c r="O115" s="117">
        <f>SUMIFS('B. Despesa'!$H$2:$H$1048576,'B. Despesa'!$I$2:$I$1048576,'Base Realizado'!O$5,'B. Despesa'!$K$2:$K$1048576,'Base Realizado'!$B115)</f>
        <v>0</v>
      </c>
      <c r="P115" s="117">
        <f>SUMIFS('B. Despesa'!$H$2:$H$1048576,'B. Despesa'!$I$2:$I$1048576,'Base Realizado'!P$5,'B. Despesa'!$K$2:$K$1048576,'Base Realizado'!$B115)</f>
        <v>0</v>
      </c>
      <c r="Q115" s="117">
        <f>SUMIFS('B. Despesa'!$H$2:$H$1048576,'B. Despesa'!$I$2:$I$1048576,'Base Realizado'!Q$5,'B. Despesa'!$K$2:$K$1048576,'Base Realizado'!$B115)</f>
        <v>0</v>
      </c>
      <c r="R115" s="117">
        <f>SUMIFS('B. Despesa'!$H$2:$H$1048576,'B. Despesa'!$I$2:$I$1048576,'Base Realizado'!R$5,'B. Despesa'!$K$2:$K$1048576,'Base Realizado'!$B115)</f>
        <v>0</v>
      </c>
      <c r="S115" s="117">
        <f>SUMIFS('B. Despesa'!$H$2:$H$1048576,'B. Despesa'!$I$2:$I$1048576,'Base Realizado'!S$5,'B. Despesa'!$K$2:$K$1048576,'Base Realizado'!$B115)</f>
        <v>0</v>
      </c>
      <c r="T115" s="117">
        <f>SUMIFS('B. Despesa'!$H$2:$H$1048576,'B. Despesa'!$I$2:$I$1048576,'Base Realizado'!T$5,'B. Despesa'!$K$2:$K$1048576,'Base Realizado'!$B115)</f>
        <v>0</v>
      </c>
      <c r="U115" s="74"/>
      <c r="V115" s="129">
        <v>0</v>
      </c>
      <c r="W115" s="1"/>
      <c r="X115" s="134"/>
    </row>
    <row r="116" spans="2:29" ht="13.5" customHeight="1">
      <c r="B116" s="146" t="s">
        <v>201</v>
      </c>
      <c r="C116" s="147"/>
      <c r="D116" s="117">
        <f>SUMIFS('B. Despesa'!$H$2:$H$1048576,'B. Despesa'!$I$2:$I$1048576,'Base Realizado'!D$5,'B. Despesa'!$K$2:$K$1048576,'Base Realizado'!$B116)</f>
        <v>0</v>
      </c>
      <c r="E116" s="832">
        <f t="shared" ref="E116" si="174">-D116/D$11</f>
        <v>0</v>
      </c>
      <c r="F116" s="117">
        <f>SUMIFS('B. Despesa'!$H$2:$H$1048576,'B. Despesa'!$I$2:$I$1048576,'Base Realizado'!F$5,'B. Despesa'!$K$2:$K$1048576,'Base Realizado'!$B116)</f>
        <v>0</v>
      </c>
      <c r="G116" s="832">
        <f t="shared" ref="G116" si="175">-F116/F$11</f>
        <v>0</v>
      </c>
      <c r="H116" s="795">
        <f>SUMIFS('B. Despesa'!$H$2:$H$1048576,'B. Despesa'!$I$2:$I$1048576,'Base Realizado'!H$5,'B. Despesa'!$K$2:$K$1048576,'Base Realizado'!$B116)</f>
        <v>0</v>
      </c>
      <c r="I116" s="832">
        <f t="shared" ref="I116" si="176">-H116/H$11</f>
        <v>0</v>
      </c>
      <c r="J116" s="608"/>
      <c r="K116" s="810">
        <f>SUMIFS('B. Despesa'!$H$2:$H$1048576,'B. Despesa'!$I$2:$I$1048576,'Base Realizado'!K$5,'B. Despesa'!$K$2:$K$1048576,'Base Realizado'!$B116)</f>
        <v>0</v>
      </c>
      <c r="L116" s="832">
        <f t="shared" ref="L116" si="177">-K116/K$11</f>
        <v>0</v>
      </c>
      <c r="M116" s="117">
        <f>SUMIFS('B. Despesa'!$H$2:$H$1048576,'B. Despesa'!$I$2:$I$1048576,'Base Realizado'!M$5,'B. Despesa'!$K$2:$K$1048576,'Base Realizado'!$B116)</f>
        <v>0</v>
      </c>
      <c r="N116" s="117">
        <f>SUMIFS('B. Despesa'!$H$2:$H$1048576,'B. Despesa'!$I$2:$I$1048576,'Base Realizado'!N$5,'B. Despesa'!$K$2:$K$1048576,'Base Realizado'!$B116)</f>
        <v>0</v>
      </c>
      <c r="O116" s="117">
        <f>SUMIFS('B. Despesa'!$H$2:$H$1048576,'B. Despesa'!$I$2:$I$1048576,'Base Realizado'!O$5,'B. Despesa'!$K$2:$K$1048576,'Base Realizado'!$B116)</f>
        <v>0</v>
      </c>
      <c r="P116" s="117">
        <f>SUMIFS('B. Despesa'!$H$2:$H$1048576,'B. Despesa'!$I$2:$I$1048576,'Base Realizado'!P$5,'B. Despesa'!$K$2:$K$1048576,'Base Realizado'!$B116)</f>
        <v>0</v>
      </c>
      <c r="Q116" s="117">
        <f>SUMIFS('B. Despesa'!$H$2:$H$1048576,'B. Despesa'!$I$2:$I$1048576,'Base Realizado'!Q$5,'B. Despesa'!$K$2:$K$1048576,'Base Realizado'!$B116)</f>
        <v>0</v>
      </c>
      <c r="R116" s="117">
        <f>SUMIFS('B. Despesa'!$H$2:$H$1048576,'B. Despesa'!$I$2:$I$1048576,'Base Realizado'!R$5,'B. Despesa'!$K$2:$K$1048576,'Base Realizado'!$B116)</f>
        <v>0</v>
      </c>
      <c r="S116" s="117">
        <f>SUMIFS('B. Despesa'!$H$2:$H$1048576,'B. Despesa'!$I$2:$I$1048576,'Base Realizado'!S$5,'B. Despesa'!$K$2:$K$1048576,'Base Realizado'!$B116)</f>
        <v>0</v>
      </c>
      <c r="T116" s="117">
        <f>SUMIFS('B. Despesa'!$H$2:$H$1048576,'B. Despesa'!$I$2:$I$1048576,'Base Realizado'!T$5,'B. Despesa'!$K$2:$K$1048576,'Base Realizado'!$B116)</f>
        <v>0</v>
      </c>
      <c r="U116" s="74"/>
      <c r="V116" s="129"/>
      <c r="W116" s="1"/>
      <c r="X116" s="134"/>
    </row>
    <row r="117" spans="2:29" ht="13.5" customHeight="1">
      <c r="B117" s="146" t="s">
        <v>1297</v>
      </c>
      <c r="C117" s="147"/>
      <c r="D117" s="117">
        <f>SUMIFS('B. Despesa'!$H$2:$H$1048576,'B. Despesa'!$I$2:$I$1048576,'Base Realizado'!D$5,'B. Despesa'!$K$2:$K$1048576,'Base Realizado'!$B117)</f>
        <v>-43710.11</v>
      </c>
      <c r="E117" s="832">
        <f t="shared" ref="E117" si="178">-D117/D$11</f>
        <v>3.1438229497159978E-2</v>
      </c>
      <c r="F117" s="117">
        <f>SUMIFS('B. Despesa'!$H$2:$H$1048576,'B. Despesa'!$I$2:$I$1048576,'Base Realizado'!F$5,'B. Despesa'!$K$2:$K$1048576,'Base Realizado'!$B117)</f>
        <v>-40000</v>
      </c>
      <c r="G117" s="832">
        <f t="shared" ref="G117" si="179">-F117/F$11</f>
        <v>2.6168521641949636E-2</v>
      </c>
      <c r="H117" s="795">
        <f>SUMIFS('B. Despesa'!$H$2:$H$1048576,'B. Despesa'!$I$2:$I$1048576,'Base Realizado'!H$5,'B. Despesa'!$K$2:$K$1048576,'Base Realizado'!$B117)</f>
        <v>-50000</v>
      </c>
      <c r="I117" s="832">
        <f t="shared" ref="I117" si="180">-H117/H$11</f>
        <v>2.046214362792521E-2</v>
      </c>
      <c r="J117" s="608"/>
      <c r="K117" s="810">
        <f>SUMIFS('B. Despesa'!$H$2:$H$1048576,'B. Despesa'!$I$2:$I$1048576,'Base Realizado'!K$5,'B. Despesa'!$K$2:$K$1048576,'Base Realizado'!$B117)</f>
        <v>0</v>
      </c>
      <c r="L117" s="832">
        <f t="shared" ref="L117" si="181">-K117/K$11</f>
        <v>0</v>
      </c>
      <c r="M117" s="117">
        <f>SUMIFS('B. Despesa'!$H$2:$H$1048576,'B. Despesa'!$I$2:$I$1048576,'Base Realizado'!M$5,'B. Despesa'!$K$2:$K$1048576,'Base Realizado'!$B117)</f>
        <v>0</v>
      </c>
      <c r="N117" s="117">
        <f>SUMIFS('B. Despesa'!$H$2:$H$1048576,'B. Despesa'!$I$2:$I$1048576,'Base Realizado'!N$5,'B. Despesa'!$K$2:$K$1048576,'Base Realizado'!$B117)</f>
        <v>0</v>
      </c>
      <c r="O117" s="117">
        <f>SUMIFS('B. Despesa'!$H$2:$H$1048576,'B. Despesa'!$I$2:$I$1048576,'Base Realizado'!O$5,'B. Despesa'!$K$2:$K$1048576,'Base Realizado'!$B117)</f>
        <v>0</v>
      </c>
      <c r="P117" s="117">
        <f>SUMIFS('B. Despesa'!$H$2:$H$1048576,'B. Despesa'!$I$2:$I$1048576,'Base Realizado'!P$5,'B. Despesa'!$K$2:$K$1048576,'Base Realizado'!$B117)</f>
        <v>0</v>
      </c>
      <c r="Q117" s="117">
        <f>SUMIFS('B. Despesa'!$H$2:$H$1048576,'B. Despesa'!$I$2:$I$1048576,'Base Realizado'!Q$5,'B. Despesa'!$K$2:$K$1048576,'Base Realizado'!$B117)</f>
        <v>0</v>
      </c>
      <c r="R117" s="117">
        <f>SUMIFS('B. Despesa'!$H$2:$H$1048576,'B. Despesa'!$I$2:$I$1048576,'Base Realizado'!R$5,'B. Despesa'!$K$2:$K$1048576,'Base Realizado'!$B117)</f>
        <v>0</v>
      </c>
      <c r="S117" s="117">
        <f>SUMIFS('B. Despesa'!$H$2:$H$1048576,'B. Despesa'!$I$2:$I$1048576,'Base Realizado'!S$5,'B. Despesa'!$K$2:$K$1048576,'Base Realizado'!$B117)</f>
        <v>0</v>
      </c>
      <c r="T117" s="117">
        <f>SUMIFS('B. Despesa'!$H$2:$H$1048576,'B. Despesa'!$I$2:$I$1048576,'Base Realizado'!T$5,'B. Despesa'!$K$2:$K$1048576,'Base Realizado'!$B117)</f>
        <v>0</v>
      </c>
      <c r="U117" s="74"/>
      <c r="V117" s="129"/>
      <c r="W117" s="1"/>
      <c r="X117" s="134"/>
    </row>
    <row r="118" spans="2:29" ht="13.5" customHeight="1">
      <c r="B118" s="475" t="s">
        <v>230</v>
      </c>
      <c r="C118" s="344"/>
      <c r="D118" s="345">
        <f t="shared" ref="D118:I118" si="182">SUM(D119:D121)</f>
        <v>-73694.5</v>
      </c>
      <c r="E118" s="836">
        <f t="shared" si="182"/>
        <v>5.3004318764662363E-2</v>
      </c>
      <c r="F118" s="345">
        <f t="shared" si="182"/>
        <v>-42956.530000000006</v>
      </c>
      <c r="G118" s="836">
        <f t="shared" si="182"/>
        <v>2.8102722124201469E-2</v>
      </c>
      <c r="H118" s="792">
        <f t="shared" si="182"/>
        <v>-34777.839999999997</v>
      </c>
      <c r="I118" s="836">
        <f t="shared" si="182"/>
        <v>1.4232583142980051E-2</v>
      </c>
      <c r="J118" s="823"/>
      <c r="K118" s="808">
        <f>SUM(K119:K121)</f>
        <v>-65831.88</v>
      </c>
      <c r="L118" s="836">
        <f>SUM(L119:L121)</f>
        <v>2.8564067619157758E-2</v>
      </c>
      <c r="M118" s="345"/>
      <c r="N118" s="345"/>
      <c r="O118" s="345"/>
      <c r="P118" s="345"/>
      <c r="Q118" s="345"/>
      <c r="R118" s="345"/>
      <c r="S118" s="345"/>
      <c r="T118" s="345"/>
      <c r="U118" s="74"/>
      <c r="V118" s="345">
        <v>-506601.50748331501</v>
      </c>
      <c r="W118" s="1"/>
      <c r="X118" s="350" t="s">
        <v>68</v>
      </c>
    </row>
    <row r="119" spans="2:29" ht="13.5" customHeight="1">
      <c r="B119" s="183" t="s">
        <v>231</v>
      </c>
      <c r="C119" s="184" t="s">
        <v>232</v>
      </c>
      <c r="D119" s="117">
        <f>SUMIFS('B. Despesa'!$H$2:$H$1048576,'B. Despesa'!$I$2:$I$1048576,'Base Realizado'!D$5,'B. Despesa'!$K$2:$K$1048576,'Base Realizado'!$B119)</f>
        <v>-38204</v>
      </c>
      <c r="E119" s="832">
        <f t="shared" ref="E119:G119" si="183">-D119/D$11</f>
        <v>2.7477993528488027E-2</v>
      </c>
      <c r="F119" s="117">
        <f>SUMIFS('B. Despesa'!$H$2:$H$1048576,'B. Despesa'!$I$2:$I$1048576,'Base Realizado'!F$5,'B. Despesa'!$K$2:$K$1048576,'Base Realizado'!$B119)</f>
        <v>-27356.63</v>
      </c>
      <c r="G119" s="832">
        <f t="shared" si="183"/>
        <v>1.7897064105145216E-2</v>
      </c>
      <c r="H119" s="795">
        <f>SUMIFS('B. Despesa'!$H$2:$H$1048576,'B. Despesa'!$I$2:$I$1048576,'Base Realizado'!H$5,'B. Despesa'!$K$2:$K$1048576,'Base Realizado'!$B119)</f>
        <v>-7247.57</v>
      </c>
      <c r="I119" s="832">
        <f t="shared" ref="I119" si="184">-H119/H$11</f>
        <v>2.9660163658688384E-3</v>
      </c>
      <c r="J119" s="608"/>
      <c r="K119" s="810">
        <f>SUMIFS('B. Despesa'!$H$2:$H$1048576,'B. Despesa'!$I$2:$I$1048576,'Base Realizado'!K$5,'B. Despesa'!$K$2:$K$1048576,'Base Realizado'!$B119)</f>
        <v>-20117.87</v>
      </c>
      <c r="L119" s="832">
        <f t="shared" ref="L119" si="185">-K119/K$11</f>
        <v>8.729026104577679E-3</v>
      </c>
      <c r="M119" s="117">
        <f>SUMIFS('B. Despesa'!$H$2:$H$1048576,'B. Despesa'!$I$2:$I$1048576,'Base Realizado'!M$5,'B. Despesa'!$K$2:$K$1048576,'Base Realizado'!$B119)</f>
        <v>0</v>
      </c>
      <c r="N119" s="117">
        <f>SUMIFS('B. Despesa'!$H$2:$H$1048576,'B. Despesa'!$I$2:$I$1048576,'Base Realizado'!N$5,'B. Despesa'!$K$2:$K$1048576,'Base Realizado'!$B119)</f>
        <v>0</v>
      </c>
      <c r="O119" s="117">
        <f>SUMIFS('B. Despesa'!$H$2:$H$1048576,'B. Despesa'!$I$2:$I$1048576,'Base Realizado'!O$5,'B. Despesa'!$K$2:$K$1048576,'Base Realizado'!$B119)</f>
        <v>0</v>
      </c>
      <c r="P119" s="117">
        <f>SUMIFS('B. Despesa'!$H$2:$H$1048576,'B. Despesa'!$I$2:$I$1048576,'Base Realizado'!P$5,'B. Despesa'!$K$2:$K$1048576,'Base Realizado'!$B119)</f>
        <v>0</v>
      </c>
      <c r="Q119" s="117">
        <f>SUMIFS('B. Despesa'!$H$2:$H$1048576,'B. Despesa'!$I$2:$I$1048576,'Base Realizado'!Q$5,'B. Despesa'!$K$2:$K$1048576,'Base Realizado'!$B119)</f>
        <v>0</v>
      </c>
      <c r="R119" s="117">
        <f>SUMIFS('B. Despesa'!$H$2:$H$1048576,'B. Despesa'!$I$2:$I$1048576,'Base Realizado'!R$5,'B. Despesa'!$K$2:$K$1048576,'Base Realizado'!$B119)</f>
        <v>0</v>
      </c>
      <c r="S119" s="117">
        <f>SUMIFS('B. Despesa'!$H$2:$H$1048576,'B. Despesa'!$I$2:$I$1048576,'Base Realizado'!S$5,'B. Despesa'!$K$2:$K$1048576,'Base Realizado'!$B119)</f>
        <v>0</v>
      </c>
      <c r="T119" s="117">
        <f>SUMIFS('B. Despesa'!$H$2:$H$1048576,'B. Despesa'!$I$2:$I$1048576,'Base Realizado'!T$5,'B. Despesa'!$K$2:$K$1048576,'Base Realizado'!$B119)</f>
        <v>0</v>
      </c>
      <c r="U119" s="74"/>
      <c r="V119" s="113">
        <v>-506601.50748331501</v>
      </c>
      <c r="W119" s="1"/>
      <c r="X119" s="161">
        <v>0.02</v>
      </c>
    </row>
    <row r="120" spans="2:29" ht="13.5" customHeight="1">
      <c r="B120" s="146" t="s">
        <v>2617</v>
      </c>
      <c r="C120" s="147"/>
      <c r="D120" s="117">
        <f>SUMIFS('B. Despesa'!$H$2:$H$1048576,'B. Despesa'!$I$2:$I$1048576,'Base Realizado'!D$5,'B. Despesa'!$K$2:$K$1048576,'Base Realizado'!$B120)</f>
        <v>-17000</v>
      </c>
      <c r="E120" s="832">
        <f t="shared" ref="E120:G120" si="186">-D120/D$11</f>
        <v>1.2227146109943892E-2</v>
      </c>
      <c r="F120" s="117">
        <f>SUMIFS('B. Despesa'!$H$2:$H$1048576,'B. Despesa'!$I$2:$I$1048576,'Base Realizado'!F$5,'B. Despesa'!$K$2:$K$1048576,'Base Realizado'!$B120)</f>
        <v>-15000</v>
      </c>
      <c r="G120" s="832">
        <f t="shared" si="186"/>
        <v>9.8131956157311122E-3</v>
      </c>
      <c r="H120" s="795">
        <f>SUMIFS('B. Despesa'!$H$2:$H$1048576,'B. Despesa'!$I$2:$I$1048576,'Base Realizado'!H$5,'B. Despesa'!$K$2:$K$1048576,'Base Realizado'!$B120)</f>
        <v>-17000</v>
      </c>
      <c r="I120" s="832">
        <f t="shared" ref="I120" si="187">-H120/H$11</f>
        <v>6.9571288334945719E-3</v>
      </c>
      <c r="J120" s="608"/>
      <c r="K120" s="810">
        <f>SUMIFS('B. Despesa'!$H$2:$H$1048576,'B. Despesa'!$I$2:$I$1048576,'Base Realizado'!K$5,'B. Despesa'!$K$2:$K$1048576,'Base Realizado'!$B120)</f>
        <v>-21900</v>
      </c>
      <c r="L120" s="832">
        <f t="shared" ref="L120" si="188">-K120/K$11</f>
        <v>9.5022818862161434E-3</v>
      </c>
      <c r="M120" s="117">
        <f>SUMIFS('B. Despesa'!$H$2:$H$1048576,'B. Despesa'!$I$2:$I$1048576,'Base Realizado'!M$5,'B. Despesa'!$K$2:$K$1048576,'Base Realizado'!$B120)</f>
        <v>0</v>
      </c>
      <c r="N120" s="117">
        <f>SUMIFS('B. Despesa'!$H$2:$H$1048576,'B. Despesa'!$I$2:$I$1048576,'Base Realizado'!N$5,'B. Despesa'!$K$2:$K$1048576,'Base Realizado'!$B120)</f>
        <v>0</v>
      </c>
      <c r="O120" s="117">
        <f>SUMIFS('B. Despesa'!$H$2:$H$1048576,'B. Despesa'!$I$2:$I$1048576,'Base Realizado'!O$5,'B. Despesa'!$K$2:$K$1048576,'Base Realizado'!$B120)</f>
        <v>0</v>
      </c>
      <c r="P120" s="117">
        <f>SUMIFS('B. Despesa'!$H$2:$H$1048576,'B. Despesa'!$I$2:$I$1048576,'Base Realizado'!P$5,'B. Despesa'!$K$2:$K$1048576,'Base Realizado'!$B120)</f>
        <v>0</v>
      </c>
      <c r="Q120" s="117">
        <f>SUMIFS('B. Despesa'!$H$2:$H$1048576,'B. Despesa'!$I$2:$I$1048576,'Base Realizado'!Q$5,'B. Despesa'!$K$2:$K$1048576,'Base Realizado'!$B120)</f>
        <v>0</v>
      </c>
      <c r="R120" s="117">
        <f>SUMIFS('B. Despesa'!$H$2:$H$1048576,'B. Despesa'!$I$2:$I$1048576,'Base Realizado'!R$5,'B. Despesa'!$K$2:$K$1048576,'Base Realizado'!$B120)</f>
        <v>0</v>
      </c>
      <c r="S120" s="117">
        <f>SUMIFS('B. Despesa'!$H$2:$H$1048576,'B. Despesa'!$I$2:$I$1048576,'Base Realizado'!S$5,'B. Despesa'!$K$2:$K$1048576,'Base Realizado'!$B120)</f>
        <v>0</v>
      </c>
      <c r="T120" s="117">
        <f>SUMIFS('B. Despesa'!$H$2:$H$1048576,'B. Despesa'!$I$2:$I$1048576,'Base Realizado'!T$5,'B. Despesa'!$K$2:$K$1048576,'Base Realizado'!$B120)</f>
        <v>0</v>
      </c>
      <c r="U120" s="74"/>
      <c r="V120" s="113"/>
      <c r="W120" s="1"/>
      <c r="X120" s="161"/>
    </row>
    <row r="121" spans="2:29" ht="15" customHeight="1">
      <c r="B121" s="753" t="s">
        <v>2618</v>
      </c>
      <c r="C121" s="593"/>
      <c r="D121" s="685">
        <f>SUMIFS('B. Despesa'!$H$2:$H$1048576,'B. Despesa'!$I$2:$I$1048576,'Base Realizado'!D$5,'B. Despesa'!$K$2:$K$1048576,'Base Realizado'!$B121)</f>
        <v>-18490.5</v>
      </c>
      <c r="E121" s="832">
        <f t="shared" ref="E121:G121" si="189">-D121/D$11</f>
        <v>1.3299179126230444E-2</v>
      </c>
      <c r="F121" s="685">
        <f>SUMIFS('B. Despesa'!$H$2:$H$1048576,'B. Despesa'!$I$2:$I$1048576,'Base Realizado'!F$5,'B. Despesa'!$K$2:$K$1048576,'Base Realizado'!$B121)</f>
        <v>-599.9</v>
      </c>
      <c r="G121" s="832">
        <f t="shared" si="189"/>
        <v>3.9246240332513961E-4</v>
      </c>
      <c r="H121" s="801">
        <f>SUMIFS('B. Despesa'!$H$2:$H$1048576,'B. Despesa'!$I$2:$I$1048576,'Base Realizado'!H$5,'B. Despesa'!$K$2:$K$1048576,'Base Realizado'!$B121)</f>
        <v>-10530.269999999999</v>
      </c>
      <c r="I121" s="832">
        <f t="shared" ref="I121" si="190">-H121/H$11</f>
        <v>4.3094379436166399E-3</v>
      </c>
      <c r="J121" s="830"/>
      <c r="K121" s="816">
        <f>SUMIFS('B. Despesa'!$H$2:$H$1048576,'B. Despesa'!$I$2:$I$1048576,'Base Realizado'!K$5,'B. Despesa'!$K$2:$K$1048576,'Base Realizado'!$B121)</f>
        <v>-23814.010000000002</v>
      </c>
      <c r="L121" s="832">
        <f t="shared" ref="L121" si="191">-K121/K$11</f>
        <v>1.0332759628363932E-2</v>
      </c>
      <c r="M121" s="117">
        <f>SUMIFS('B. Despesa'!$H$2:$H$1048576,'B. Despesa'!$I$2:$I$1048576,'Base Realizado'!M$5,'B. Despesa'!$K$2:$K$1048576,'Base Realizado'!$B121)</f>
        <v>0</v>
      </c>
      <c r="N121" s="117">
        <f>SUMIFS('B. Despesa'!$H$2:$H$1048576,'B. Despesa'!$I$2:$I$1048576,'Base Realizado'!N$5,'B. Despesa'!$K$2:$K$1048576,'Base Realizado'!$B121)</f>
        <v>0</v>
      </c>
      <c r="O121" s="117">
        <f>SUMIFS('B. Despesa'!$H$2:$H$1048576,'B. Despesa'!$I$2:$I$1048576,'Base Realizado'!O$5,'B. Despesa'!$K$2:$K$1048576,'Base Realizado'!$B121)</f>
        <v>0</v>
      </c>
      <c r="P121" s="117">
        <f>SUMIFS('B. Despesa'!$H$2:$H$1048576,'B. Despesa'!$I$2:$I$1048576,'Base Realizado'!P$5,'B. Despesa'!$K$2:$K$1048576,'Base Realizado'!$B121)</f>
        <v>0</v>
      </c>
      <c r="Q121" s="117">
        <f>SUMIFS('B. Despesa'!$H$2:$H$1048576,'B. Despesa'!$I$2:$I$1048576,'Base Realizado'!Q$5,'B. Despesa'!$K$2:$K$1048576,'Base Realizado'!$B121)</f>
        <v>0</v>
      </c>
      <c r="R121" s="117">
        <f>SUMIFS('B. Despesa'!$H$2:$H$1048576,'B. Despesa'!$I$2:$I$1048576,'Base Realizado'!R$5,'B. Despesa'!$K$2:$K$1048576,'Base Realizado'!$B121)</f>
        <v>0</v>
      </c>
      <c r="S121" s="117">
        <f>SUMIFS('B. Despesa'!$H$2:$H$1048576,'B. Despesa'!$I$2:$I$1048576,'Base Realizado'!S$5,'B. Despesa'!$K$2:$K$1048576,'Base Realizado'!$B121)</f>
        <v>0</v>
      </c>
      <c r="T121" s="117">
        <f>SUMIFS('B. Despesa'!$H$2:$H$1048576,'B. Despesa'!$I$2:$I$1048576,'Base Realizado'!T$5,'B. Despesa'!$K$2:$K$1048576,'Base Realizado'!$B121)</f>
        <v>0</v>
      </c>
      <c r="U121" s="74"/>
    </row>
    <row r="122" spans="2:29" ht="13.5" customHeight="1">
      <c r="B122" s="475" t="s">
        <v>233</v>
      </c>
      <c r="C122" s="344"/>
      <c r="D122" s="345">
        <f>SUM(D123:D125)</f>
        <v>-17515.179999999997</v>
      </c>
      <c r="E122" s="836">
        <f>SUM(E123)</f>
        <v>1.2597686176586296E-2</v>
      </c>
      <c r="F122" s="345">
        <f>SUM(F123:F125)</f>
        <v>-18701.310000000001</v>
      </c>
      <c r="G122" s="836">
        <f>SUM(G123)</f>
        <v>1.2234640886695229E-2</v>
      </c>
      <c r="H122" s="792">
        <f>SUM(H123:H125)</f>
        <v>-26100.82</v>
      </c>
      <c r="I122" s="836">
        <f>SUM(I123)</f>
        <v>1.0681574552932458E-2</v>
      </c>
      <c r="J122" s="823"/>
      <c r="K122" s="808">
        <f>SUM(K123:K125)</f>
        <v>-25909.279999999999</v>
      </c>
      <c r="L122" s="836">
        <f>SUM(L123)</f>
        <v>1.1241885024150786E-2</v>
      </c>
      <c r="M122" s="345"/>
      <c r="N122" s="345"/>
      <c r="O122" s="345"/>
      <c r="P122" s="345"/>
      <c r="Q122" s="345"/>
      <c r="R122" s="345"/>
      <c r="S122" s="345"/>
      <c r="T122" s="345"/>
      <c r="U122" s="74"/>
      <c r="V122" s="345">
        <v>-1047077.0193922875</v>
      </c>
      <c r="W122" s="1"/>
      <c r="X122" s="860" t="s">
        <v>68</v>
      </c>
      <c r="Y122" s="861"/>
    </row>
    <row r="123" spans="2:29" ht="13.5" customHeight="1">
      <c r="B123" s="146" t="s">
        <v>234</v>
      </c>
      <c r="C123" s="116" t="s">
        <v>235</v>
      </c>
      <c r="D123" s="117">
        <f>SUMIFS('B. Despesa'!$H$2:$H$1048576,'B. Despesa'!$I$2:$I$1048576,'Base Realizado'!D$5,'B. Despesa'!$K$2:$K$1048576,'Base Realizado'!$B123)</f>
        <v>-17515.179999999997</v>
      </c>
      <c r="E123" s="832">
        <f t="shared" ref="E123:G125" si="192">-D123/D$11</f>
        <v>1.2597686176586296E-2</v>
      </c>
      <c r="F123" s="117">
        <f>SUMIFS('B. Despesa'!$H$2:$H$1048576,'B. Despesa'!$I$2:$I$1048576,'Base Realizado'!F$5,'B. Despesa'!$K$2:$K$1048576,'Base Realizado'!$B123)</f>
        <v>-18701.310000000001</v>
      </c>
      <c r="G123" s="832">
        <f t="shared" si="192"/>
        <v>1.2234640886695229E-2</v>
      </c>
      <c r="H123" s="795">
        <f>SUMIFS('B. Despesa'!$H$2:$H$1048576,'B. Despesa'!$I$2:$I$1048576,'Base Realizado'!H$5,'B. Despesa'!$K$2:$K$1048576,'Base Realizado'!$B123)</f>
        <v>-26100.82</v>
      </c>
      <c r="I123" s="832">
        <f t="shared" ref="I123" si="193">-H123/H$11</f>
        <v>1.0681574552932458E-2</v>
      </c>
      <c r="J123" s="608"/>
      <c r="K123" s="810">
        <f>SUMIFS('B. Despesa'!$H$2:$H$1048576,'B. Despesa'!$I$2:$I$1048576,'Base Realizado'!K$5,'B. Despesa'!$K$2:$K$1048576,'Base Realizado'!$B123)</f>
        <v>-25909.279999999999</v>
      </c>
      <c r="L123" s="832">
        <f t="shared" ref="L123" si="194">-K123/K$11</f>
        <v>1.1241885024150786E-2</v>
      </c>
      <c r="M123" s="117">
        <f>SUMIFS('B. Despesa'!$H$2:$H$1048576,'B. Despesa'!$I$2:$I$1048576,'Base Realizado'!M$5,'B. Despesa'!$K$2:$K$1048576,'Base Realizado'!$B123)</f>
        <v>0</v>
      </c>
      <c r="N123" s="117">
        <f>SUMIFS('B. Despesa'!$H$2:$H$1048576,'B. Despesa'!$I$2:$I$1048576,'Base Realizado'!N$5,'B. Despesa'!$K$2:$K$1048576,'Base Realizado'!$B123)</f>
        <v>0</v>
      </c>
      <c r="O123" s="117">
        <f>SUMIFS('B. Despesa'!$H$2:$H$1048576,'B. Despesa'!$I$2:$I$1048576,'Base Realizado'!O$5,'B. Despesa'!$K$2:$K$1048576,'Base Realizado'!$B123)</f>
        <v>0</v>
      </c>
      <c r="P123" s="117">
        <f>SUMIFS('B. Despesa'!$H$2:$H$1048576,'B. Despesa'!$I$2:$I$1048576,'Base Realizado'!P$5,'B. Despesa'!$K$2:$K$1048576,'Base Realizado'!$B123)</f>
        <v>0</v>
      </c>
      <c r="Q123" s="117">
        <f>SUMIFS('B. Despesa'!$H$2:$H$1048576,'B. Despesa'!$I$2:$I$1048576,'Base Realizado'!Q$5,'B. Despesa'!$K$2:$K$1048576,'Base Realizado'!$B123)</f>
        <v>0</v>
      </c>
      <c r="R123" s="117">
        <f>SUMIFS('B. Despesa'!$H$2:$H$1048576,'B. Despesa'!$I$2:$I$1048576,'Base Realizado'!R$5,'B. Despesa'!$K$2:$K$1048576,'Base Realizado'!$B123)</f>
        <v>0</v>
      </c>
      <c r="S123" s="117">
        <f>SUMIFS('B. Despesa'!$H$2:$H$1048576,'B. Despesa'!$I$2:$I$1048576,'Base Realizado'!S$5,'B. Despesa'!$K$2:$K$1048576,'Base Realizado'!$B123)</f>
        <v>0</v>
      </c>
      <c r="T123" s="117">
        <f>SUMIFS('B. Despesa'!$H$2:$H$1048576,'B. Despesa'!$I$2:$I$1048576,'Base Realizado'!T$5,'B. Despesa'!$K$2:$K$1048576,'Base Realizado'!$B123)</f>
        <v>0</v>
      </c>
      <c r="U123" s="74"/>
      <c r="V123" s="129">
        <v>-532795.5756829126</v>
      </c>
      <c r="W123" s="1"/>
      <c r="X123" s="131">
        <v>7.4999999999999997E-3</v>
      </c>
      <c r="Y123" s="131">
        <v>2.5000000000000001E-2</v>
      </c>
    </row>
    <row r="124" spans="2:29" ht="13.5" hidden="1" customHeight="1">
      <c r="B124" s="146" t="s">
        <v>236</v>
      </c>
      <c r="C124" s="116" t="s">
        <v>237</v>
      </c>
      <c r="D124" s="117">
        <f>SUMIFS('B. Despesa'!$H$2:$H$1048576,'B. Despesa'!$I$2:$I$1048576,'Base Realizado'!D$5,'B. Despesa'!$K$2:$K$1048576,'Base Realizado'!$B124)</f>
        <v>0</v>
      </c>
      <c r="E124" s="832">
        <f t="shared" si="192"/>
        <v>0</v>
      </c>
      <c r="F124" s="117">
        <f>SUMIFS('B. Despesa'!$H$2:$H$1048576,'B. Despesa'!$I$2:$I$1048576,'Base Realizado'!F$5,'B. Despesa'!$K$2:$K$1048576,'Base Realizado'!$B124)</f>
        <v>0</v>
      </c>
      <c r="G124" s="832">
        <f t="shared" si="192"/>
        <v>0</v>
      </c>
      <c r="H124" s="795">
        <f>SUMIFS('B. Despesa'!$H$2:$H$1048576,'B. Despesa'!$I$2:$I$1048576,'Base Realizado'!H$5,'B. Despesa'!$K$2:$K$1048576,'Base Realizado'!$B124)</f>
        <v>0</v>
      </c>
      <c r="I124" s="832">
        <f t="shared" ref="I124" si="195">-H124/H$11</f>
        <v>0</v>
      </c>
      <c r="J124" s="608"/>
      <c r="K124" s="810">
        <f>SUMIFS('B. Despesa'!$H$2:$H$1048576,'B. Despesa'!$I$2:$I$1048576,'Base Realizado'!K$5,'B. Despesa'!$K$2:$K$1048576,'Base Realizado'!$B124)</f>
        <v>0</v>
      </c>
      <c r="L124" s="832">
        <f t="shared" ref="L124" si="196">-K124/K$11</f>
        <v>0</v>
      </c>
      <c r="M124" s="117">
        <f>SUMIFS('B. Despesa'!$H$2:$H$1048576,'B. Despesa'!$I$2:$I$1048576,'Base Realizado'!M$5,'B. Despesa'!$K$2:$K$1048576,'Base Realizado'!$B124)</f>
        <v>0</v>
      </c>
      <c r="N124" s="117">
        <f>SUMIFS('B. Despesa'!$H$2:$H$1048576,'B. Despesa'!$I$2:$I$1048576,'Base Realizado'!N$5,'B. Despesa'!$K$2:$K$1048576,'Base Realizado'!$B124)</f>
        <v>0</v>
      </c>
      <c r="O124" s="117">
        <f>SUMIFS('B. Despesa'!$H$2:$H$1048576,'B. Despesa'!$I$2:$I$1048576,'Base Realizado'!O$5,'B. Despesa'!$K$2:$K$1048576,'Base Realizado'!$B124)</f>
        <v>0</v>
      </c>
      <c r="P124" s="117">
        <f>SUMIFS('B. Despesa'!$H$2:$H$1048576,'B. Despesa'!$I$2:$I$1048576,'Base Realizado'!P$5,'B. Despesa'!$K$2:$K$1048576,'Base Realizado'!$B124)</f>
        <v>0</v>
      </c>
      <c r="Q124" s="117">
        <f>SUMIFS('B. Despesa'!$H$2:$H$1048576,'B. Despesa'!$I$2:$I$1048576,'Base Realizado'!Q$5,'B. Despesa'!$K$2:$K$1048576,'Base Realizado'!$B124)</f>
        <v>0</v>
      </c>
      <c r="R124" s="117">
        <f>SUMIFS('B. Despesa'!$H$2:$H$1048576,'B. Despesa'!$I$2:$I$1048576,'Base Realizado'!R$5,'B. Despesa'!$K$2:$K$1048576,'Base Realizado'!$B124)</f>
        <v>0</v>
      </c>
      <c r="S124" s="117">
        <f>SUMIFS('B. Despesa'!$H$2:$H$1048576,'B. Despesa'!$I$2:$I$1048576,'Base Realizado'!S$5,'B. Despesa'!$K$2:$K$1048576,'Base Realizado'!$B124)</f>
        <v>0</v>
      </c>
      <c r="T124" s="117">
        <f>SUMIFS('B. Despesa'!$H$2:$H$1048576,'B. Despesa'!$I$2:$I$1048576,'Base Realizado'!T$5,'B. Despesa'!$K$2:$K$1048576,'Base Realizado'!$B124)</f>
        <v>0</v>
      </c>
      <c r="U124" s="74"/>
      <c r="V124" s="117">
        <v>-514281.44370937505</v>
      </c>
      <c r="W124" s="1"/>
      <c r="X124" s="186">
        <v>0.125</v>
      </c>
      <c r="Y124" s="1"/>
    </row>
    <row r="125" spans="2:29" ht="13.5" hidden="1" customHeight="1">
      <c r="B125" s="146" t="s">
        <v>238</v>
      </c>
      <c r="C125" s="116" t="s">
        <v>62</v>
      </c>
      <c r="D125" s="117">
        <f>SUMIFS('B. Despesa'!$H$2:$H$1048576,'B. Despesa'!$I$2:$I$1048576,'Base Realizado'!D$5,'B. Despesa'!$K$2:$K$1048576,'Base Realizado'!$B125)</f>
        <v>0</v>
      </c>
      <c r="E125" s="832">
        <f t="shared" si="192"/>
        <v>0</v>
      </c>
      <c r="F125" s="117">
        <f>SUMIFS('B. Despesa'!$H$2:$H$1048576,'B. Despesa'!$I$2:$I$1048576,'Base Realizado'!F$5,'B. Despesa'!$K$2:$K$1048576,'Base Realizado'!$B125)</f>
        <v>0</v>
      </c>
      <c r="G125" s="832">
        <f t="shared" si="192"/>
        <v>0</v>
      </c>
      <c r="H125" s="795">
        <f>SUMIFS('B. Despesa'!$H$2:$H$1048576,'B. Despesa'!$I$2:$I$1048576,'Base Realizado'!H$5,'B. Despesa'!$K$2:$K$1048576,'Base Realizado'!$B125)</f>
        <v>0</v>
      </c>
      <c r="I125" s="832">
        <f t="shared" ref="I125" si="197">-H125/H$11</f>
        <v>0</v>
      </c>
      <c r="J125" s="608"/>
      <c r="K125" s="810">
        <f>SUMIFS('B. Despesa'!$H$2:$H$1048576,'B. Despesa'!$I$2:$I$1048576,'Base Realizado'!K$5,'B. Despesa'!$K$2:$K$1048576,'Base Realizado'!$B125)</f>
        <v>0</v>
      </c>
      <c r="L125" s="832">
        <f t="shared" ref="L125" si="198">-K125/K$11</f>
        <v>0</v>
      </c>
      <c r="M125" s="117">
        <f>SUMIFS('B. Despesa'!$H$2:$H$1048576,'B. Despesa'!$I$2:$I$1048576,'Base Realizado'!M$5,'B. Despesa'!$K$2:$K$1048576,'Base Realizado'!$B125)</f>
        <v>0</v>
      </c>
      <c r="N125" s="117">
        <f>SUMIFS('B. Despesa'!$H$2:$H$1048576,'B. Despesa'!$I$2:$I$1048576,'Base Realizado'!N$5,'B. Despesa'!$K$2:$K$1048576,'Base Realizado'!$B125)</f>
        <v>0</v>
      </c>
      <c r="O125" s="117">
        <f>SUMIFS('B. Despesa'!$H$2:$H$1048576,'B. Despesa'!$I$2:$I$1048576,'Base Realizado'!O$5,'B. Despesa'!$K$2:$K$1048576,'Base Realizado'!$B125)</f>
        <v>0</v>
      </c>
      <c r="P125" s="117">
        <f>SUMIFS('B. Despesa'!$H$2:$H$1048576,'B. Despesa'!$I$2:$I$1048576,'Base Realizado'!P$5,'B. Despesa'!$K$2:$K$1048576,'Base Realizado'!$B125)</f>
        <v>0</v>
      </c>
      <c r="Q125" s="117">
        <f>SUMIFS('B. Despesa'!$H$2:$H$1048576,'B. Despesa'!$I$2:$I$1048576,'Base Realizado'!Q$5,'B. Despesa'!$K$2:$K$1048576,'Base Realizado'!$B125)</f>
        <v>0</v>
      </c>
      <c r="R125" s="117">
        <f>SUMIFS('B. Despesa'!$H$2:$H$1048576,'B. Despesa'!$I$2:$I$1048576,'Base Realizado'!R$5,'B. Despesa'!$K$2:$K$1048576,'Base Realizado'!$B125)</f>
        <v>0</v>
      </c>
      <c r="S125" s="117">
        <f>SUMIFS('B. Despesa'!$H$2:$H$1048576,'B. Despesa'!$I$2:$I$1048576,'Base Realizado'!S$5,'B. Despesa'!$K$2:$K$1048576,'Base Realizado'!$B125)</f>
        <v>0</v>
      </c>
      <c r="T125" s="117">
        <f>SUMIFS('B. Despesa'!$H$2:$H$1048576,'B. Despesa'!$I$2:$I$1048576,'Base Realizado'!T$5,'B. Despesa'!$K$2:$K$1048576,'Base Realizado'!$B125)</f>
        <v>0</v>
      </c>
      <c r="U125" s="74"/>
      <c r="V125" s="160">
        <v>0</v>
      </c>
      <c r="W125" s="1"/>
      <c r="X125" s="186">
        <v>0</v>
      </c>
      <c r="Y125" s="1"/>
    </row>
    <row r="126" spans="2:29" ht="13.5" hidden="1" customHeight="1">
      <c r="B126" s="182"/>
      <c r="C126" s="97"/>
      <c r="D126" s="187"/>
      <c r="E126" s="187"/>
      <c r="F126" s="187"/>
      <c r="G126" s="187"/>
      <c r="H126" s="804"/>
      <c r="I126" s="187"/>
      <c r="J126" s="827"/>
      <c r="K126" s="819"/>
      <c r="L126" s="187"/>
      <c r="M126" s="187"/>
      <c r="N126" s="187"/>
      <c r="O126" s="187"/>
      <c r="P126" s="187"/>
      <c r="Q126" s="187"/>
      <c r="R126" s="187"/>
      <c r="S126" s="187"/>
      <c r="T126" s="187"/>
      <c r="U126" s="74"/>
      <c r="V126" s="187"/>
      <c r="W126" s="1"/>
      <c r="X126" s="188"/>
      <c r="Y126" s="1"/>
    </row>
    <row r="127" spans="2:29" ht="4.5" customHeight="1">
      <c r="B127" s="87"/>
      <c r="C127" s="125"/>
      <c r="D127" s="88"/>
      <c r="E127" s="88"/>
      <c r="F127" s="88"/>
      <c r="G127" s="88"/>
      <c r="H127" s="787"/>
      <c r="I127" s="88"/>
      <c r="J127" s="787"/>
      <c r="K127" s="787"/>
      <c r="L127" s="88"/>
      <c r="M127" s="88"/>
      <c r="N127" s="88"/>
      <c r="O127" s="88"/>
      <c r="P127" s="88"/>
      <c r="Q127" s="88"/>
      <c r="R127" s="88"/>
      <c r="S127" s="88"/>
      <c r="T127" s="88"/>
      <c r="U127" s="74"/>
      <c r="V127" s="101"/>
      <c r="W127" s="1"/>
      <c r="X127" s="107"/>
      <c r="Y127" s="99"/>
    </row>
    <row r="128" spans="2:29" ht="13.5" customHeight="1">
      <c r="B128" s="349" t="s">
        <v>239</v>
      </c>
      <c r="C128" s="344"/>
      <c r="D128" s="345">
        <f>SUM(D129:D131)</f>
        <v>0</v>
      </c>
      <c r="E128" s="345"/>
      <c r="F128" s="345">
        <v>0</v>
      </c>
      <c r="G128" s="345"/>
      <c r="H128" s="792">
        <v>0</v>
      </c>
      <c r="I128" s="345"/>
      <c r="J128" s="823"/>
      <c r="K128" s="808">
        <v>0</v>
      </c>
      <c r="L128" s="345"/>
      <c r="M128" s="345">
        <v>0</v>
      </c>
      <c r="N128" s="345">
        <v>0</v>
      </c>
      <c r="O128" s="345">
        <v>0</v>
      </c>
      <c r="P128" s="345">
        <v>0</v>
      </c>
      <c r="Q128" s="345">
        <v>0</v>
      </c>
      <c r="R128" s="345">
        <v>0</v>
      </c>
      <c r="S128" s="345">
        <v>0</v>
      </c>
      <c r="T128" s="345">
        <v>0</v>
      </c>
      <c r="U128" s="74"/>
      <c r="V128" s="345">
        <v>0</v>
      </c>
      <c r="W128" s="189"/>
      <c r="X128" s="190"/>
      <c r="Y128" s="189"/>
    </row>
    <row r="129" spans="2:25" ht="13.5" customHeight="1">
      <c r="B129" s="191" t="s">
        <v>240</v>
      </c>
      <c r="C129" s="192" t="s">
        <v>241</v>
      </c>
      <c r="D129" s="117">
        <f>SUMIFS('B. Despesa'!$H$2:$H$1048576,'B. Despesa'!$I$2:$I$1048576,'Base Realizado'!D$5,'B. Despesa'!$K$2:$K$1048576,'Base Realizado'!$B129)</f>
        <v>0</v>
      </c>
      <c r="E129" s="117"/>
      <c r="F129" s="117">
        <f>SUMIFS('B. Despesa'!$H$2:$H$1048576,'B. Despesa'!$I$2:$I$1048576,'Base Realizado'!F$5,'B. Despesa'!$K$2:$K$1048576,'Base Realizado'!$B129)</f>
        <v>0</v>
      </c>
      <c r="G129" s="117"/>
      <c r="H129" s="795">
        <f>SUMIFS('B. Despesa'!$H$2:$H$1048576,'B. Despesa'!$I$2:$I$1048576,'Base Realizado'!H$5,'B. Despesa'!$K$2:$K$1048576,'Base Realizado'!$B129)</f>
        <v>0</v>
      </c>
      <c r="I129" s="117"/>
      <c r="J129" s="608"/>
      <c r="K129" s="810">
        <f>SUMIFS('B. Despesa'!$H$2:$H$1048576,'B. Despesa'!$I$2:$I$1048576,'Base Realizado'!K$5,'B. Despesa'!$K$2:$K$1048576,'Base Realizado'!$B129)</f>
        <v>0</v>
      </c>
      <c r="L129" s="117"/>
      <c r="M129" s="117">
        <f>SUMIFS('B. Despesa'!$H$2:$H$1048576,'B. Despesa'!$I$2:$I$1048576,'Base Realizado'!M$5,'B. Despesa'!$K$2:$K$1048576,'Base Realizado'!$B129)</f>
        <v>0</v>
      </c>
      <c r="N129" s="117">
        <f>SUMIFS('B. Despesa'!$H$2:$H$1048576,'B. Despesa'!$I$2:$I$1048576,'Base Realizado'!N$5,'B. Despesa'!$K$2:$K$1048576,'Base Realizado'!$B129)</f>
        <v>0</v>
      </c>
      <c r="O129" s="117">
        <f>SUMIFS('B. Despesa'!$H$2:$H$1048576,'B. Despesa'!$I$2:$I$1048576,'Base Realizado'!O$5,'B. Despesa'!$K$2:$K$1048576,'Base Realizado'!$B129)</f>
        <v>0</v>
      </c>
      <c r="P129" s="117">
        <f>SUMIFS('B. Despesa'!$H$2:$H$1048576,'B. Despesa'!$I$2:$I$1048576,'Base Realizado'!P$5,'B. Despesa'!$K$2:$K$1048576,'Base Realizado'!$B129)</f>
        <v>0</v>
      </c>
      <c r="Q129" s="117">
        <f>SUMIFS('B. Despesa'!$H$2:$H$1048576,'B. Despesa'!$I$2:$I$1048576,'Base Realizado'!Q$5,'B. Despesa'!$K$2:$K$1048576,'Base Realizado'!$B129)</f>
        <v>0</v>
      </c>
      <c r="R129" s="117">
        <f>SUMIFS('B. Despesa'!$H$2:$H$1048576,'B. Despesa'!$I$2:$I$1048576,'Base Realizado'!R$5,'B. Despesa'!$K$2:$K$1048576,'Base Realizado'!$B129)</f>
        <v>0</v>
      </c>
      <c r="S129" s="117">
        <f>SUMIFS('B. Despesa'!$H$2:$H$1048576,'B. Despesa'!$I$2:$I$1048576,'Base Realizado'!S$5,'B. Despesa'!$K$2:$K$1048576,'Base Realizado'!$B129)</f>
        <v>0</v>
      </c>
      <c r="T129" s="117">
        <f>SUMIFS('B. Despesa'!$H$2:$H$1048576,'B. Despesa'!$I$2:$I$1048576,'Base Realizado'!T$5,'B. Despesa'!$K$2:$K$1048576,'Base Realizado'!$B129)</f>
        <v>0</v>
      </c>
      <c r="U129" s="74"/>
      <c r="V129" s="185">
        <v>0</v>
      </c>
      <c r="W129" s="1"/>
      <c r="X129" s="76"/>
      <c r="Y129" s="1"/>
    </row>
    <row r="130" spans="2:25" ht="13.5" customHeight="1">
      <c r="B130" s="597"/>
      <c r="C130" s="598"/>
      <c r="D130" s="599"/>
      <c r="E130" s="599"/>
      <c r="F130" s="407">
        <f>SUMIFS('B. Despesa'!$H$2:$H$1048576,'B. Despesa'!$I$2:$I$1048576,'Base Realizado'!F$5,'B. Despesa'!$K$2:$K$1048576,'Base Realizado'!$B130)</f>
        <v>0</v>
      </c>
      <c r="G130" s="599"/>
      <c r="H130" s="805">
        <f>SUMIFS('B. Despesa'!$H$2:$H$1048576,'B. Despesa'!$I$2:$I$1048576,'Base Realizado'!H$5,'B. Despesa'!$K$2:$K$1048576,'Base Realizado'!$B130)</f>
        <v>0</v>
      </c>
      <c r="I130" s="599"/>
      <c r="J130" s="608"/>
      <c r="K130" s="820">
        <f>SUMIFS('B. Despesa'!$H$2:$H$1048576,'B. Despesa'!$I$2:$I$1048576,'Base Realizado'!K$5,'B. Despesa'!$K$2:$K$1048576,'Base Realizado'!$B130)</f>
        <v>0</v>
      </c>
      <c r="L130" s="599"/>
      <c r="M130" s="407">
        <f>SUMIFS('B. Despesa'!$H$2:$H$1048576,'B. Despesa'!$I$2:$I$1048576,'Base Realizado'!M$5,'B. Despesa'!$K$2:$K$1048576,'Base Realizado'!$B130)</f>
        <v>0</v>
      </c>
      <c r="N130" s="407">
        <f>SUMIFS('B. Despesa'!$H$2:$H$1048576,'B. Despesa'!$I$2:$I$1048576,'Base Realizado'!N$5,'B. Despesa'!$K$2:$K$1048576,'Base Realizado'!$B130)</f>
        <v>0</v>
      </c>
      <c r="O130" s="407">
        <f>SUMIFS('B. Despesa'!$H$2:$H$1048576,'B. Despesa'!$I$2:$I$1048576,'Base Realizado'!O$5,'B. Despesa'!$K$2:$K$1048576,'Base Realizado'!$B130)</f>
        <v>0</v>
      </c>
      <c r="P130" s="407">
        <f>SUMIFS('B. Despesa'!$H$2:$H$1048576,'B. Despesa'!$I$2:$I$1048576,'Base Realizado'!P$5,'B. Despesa'!$K$2:$K$1048576,'Base Realizado'!$B130)</f>
        <v>0</v>
      </c>
      <c r="Q130" s="407">
        <f>SUMIFS('B. Despesa'!$H$2:$H$1048576,'B. Despesa'!$I$2:$I$1048576,'Base Realizado'!Q$5,'B. Despesa'!$K$2:$K$1048576,'Base Realizado'!$B130)</f>
        <v>0</v>
      </c>
      <c r="R130" s="407">
        <f>SUMIFS('B. Despesa'!$H$2:$H$1048576,'B. Despesa'!$I$2:$I$1048576,'Base Realizado'!R$5,'B. Despesa'!$K$2:$K$1048576,'Base Realizado'!$B130)</f>
        <v>0</v>
      </c>
      <c r="S130" s="407">
        <f>SUMIFS('B. Despesa'!$H$2:$H$1048576,'B. Despesa'!$I$2:$I$1048576,'Base Realizado'!S$5,'B. Despesa'!$K$2:$K$1048576,'Base Realizado'!$B130)</f>
        <v>0</v>
      </c>
      <c r="T130" s="407">
        <f>SUMIFS('B. Despesa'!$H$2:$H$1048576,'B. Despesa'!$I$2:$I$1048576,'Base Realizado'!T$5,'B. Despesa'!$K$2:$K$1048576,'Base Realizado'!$B130)</f>
        <v>0</v>
      </c>
      <c r="U130" s="74"/>
      <c r="V130" s="187"/>
      <c r="W130" s="1"/>
      <c r="X130" s="76"/>
      <c r="Y130" s="1"/>
    </row>
    <row r="131" spans="2:25" ht="4.5" customHeight="1">
      <c r="B131" s="87"/>
      <c r="C131" s="125"/>
      <c r="D131" s="88"/>
      <c r="E131" s="88"/>
      <c r="F131" s="88"/>
      <c r="G131" s="88"/>
      <c r="H131" s="787"/>
      <c r="I131" s="88"/>
      <c r="J131" s="787"/>
      <c r="K131" s="787"/>
      <c r="L131" s="88"/>
      <c r="M131" s="88"/>
      <c r="N131" s="88"/>
      <c r="O131" s="88"/>
      <c r="P131" s="88"/>
      <c r="Q131" s="88"/>
      <c r="R131" s="88"/>
      <c r="S131" s="88"/>
      <c r="T131" s="88"/>
      <c r="U131" s="74"/>
      <c r="V131" s="101"/>
      <c r="W131" s="1"/>
      <c r="X131" s="107"/>
      <c r="Y131" s="99"/>
    </row>
    <row r="132" spans="2:25" ht="13.5" customHeight="1">
      <c r="B132" s="475" t="s">
        <v>242</v>
      </c>
      <c r="C132" s="344"/>
      <c r="D132" s="345">
        <f>SUM(D133:D135)</f>
        <v>-2305.52</v>
      </c>
      <c r="E132" s="836">
        <f>SUM(E133)</f>
        <v>1.6582311705528143E-3</v>
      </c>
      <c r="F132" s="345">
        <f>SUM(F133:F135)</f>
        <v>-776.05999999999983</v>
      </c>
      <c r="G132" s="836">
        <f>SUM(G133)</f>
        <v>5.0770857263628577E-4</v>
      </c>
      <c r="H132" s="792">
        <f>SUM(H133:H135)</f>
        <v>-451.00000000000006</v>
      </c>
      <c r="I132" s="836">
        <f>SUM(I133)</f>
        <v>1.8456853552388543E-4</v>
      </c>
      <c r="J132" s="823"/>
      <c r="K132" s="808">
        <f>SUM(K133:K135)</f>
        <v>-2873.21</v>
      </c>
      <c r="L132" s="836">
        <f>SUM(L133)</f>
        <v>1.2466690108810542E-3</v>
      </c>
      <c r="M132" s="345"/>
      <c r="N132" s="345"/>
      <c r="O132" s="345"/>
      <c r="P132" s="345"/>
      <c r="Q132" s="345"/>
      <c r="R132" s="345"/>
      <c r="S132" s="345"/>
      <c r="T132" s="345"/>
      <c r="U132" s="74"/>
      <c r="V132" s="345">
        <v>-191998.40565149998</v>
      </c>
      <c r="W132" s="1"/>
      <c r="X132" s="350" t="s">
        <v>68</v>
      </c>
      <c r="Y132" s="1"/>
    </row>
    <row r="133" spans="2:25" ht="13.5" customHeight="1">
      <c r="B133" s="144" t="s">
        <v>243</v>
      </c>
      <c r="C133" s="145" t="s">
        <v>244</v>
      </c>
      <c r="D133" s="117">
        <f>SUMIFS('B. Despesa'!$H$2:$H$1048576,'B. Despesa'!$I$2:$I$1048576,'Base Realizado'!D$5,'B. Despesa'!$K$2:$K$1048576,'Base Realizado'!$B133)</f>
        <v>-2305.52</v>
      </c>
      <c r="E133" s="832">
        <f t="shared" ref="E133:G133" si="199">-D133/D$11</f>
        <v>1.6582311705528143E-3</v>
      </c>
      <c r="F133" s="117">
        <f>SUMIFS('B. Despesa'!$H$2:$H$1048576,'B. Despesa'!$I$2:$I$1048576,'Base Realizado'!F$5,'B. Despesa'!$K$2:$K$1048576,'Base Realizado'!$B133)</f>
        <v>-776.05999999999983</v>
      </c>
      <c r="G133" s="832">
        <f t="shared" si="199"/>
        <v>5.0770857263628577E-4</v>
      </c>
      <c r="H133" s="795">
        <f>SUMIFS('B. Despesa'!$H$2:$H$1048576,'B. Despesa'!$I$2:$I$1048576,'Base Realizado'!H$5,'B. Despesa'!$K$2:$K$1048576,'Base Realizado'!$B133)</f>
        <v>-451.00000000000006</v>
      </c>
      <c r="I133" s="832">
        <f t="shared" ref="I133" si="200">-H133/H$11</f>
        <v>1.8456853552388543E-4</v>
      </c>
      <c r="J133" s="608"/>
      <c r="K133" s="810">
        <f>SUMIFS('B. Despesa'!$H$2:$H$1048576,'B. Despesa'!$I$2:$I$1048576,'Base Realizado'!K$5,'B. Despesa'!$K$2:$K$1048576,'Base Realizado'!$B133)</f>
        <v>-2873.21</v>
      </c>
      <c r="L133" s="832">
        <f t="shared" ref="L133" si="201">-K133/K$11</f>
        <v>1.2466690108810542E-3</v>
      </c>
      <c r="M133" s="117">
        <f>SUMIFS('B. Despesa'!$H$2:$H$1048576,'B. Despesa'!$I$2:$I$1048576,'Base Realizado'!M$5,'B. Despesa'!$K$2:$K$1048576,'Base Realizado'!$B133)</f>
        <v>0</v>
      </c>
      <c r="N133" s="117">
        <f>SUMIFS('B. Despesa'!$H$2:$H$1048576,'B. Despesa'!$I$2:$I$1048576,'Base Realizado'!N$5,'B. Despesa'!$K$2:$K$1048576,'Base Realizado'!$B133)</f>
        <v>0</v>
      </c>
      <c r="O133" s="117">
        <f>SUMIFS('B. Despesa'!$H$2:$H$1048576,'B. Despesa'!$I$2:$I$1048576,'Base Realizado'!O$5,'B. Despesa'!$K$2:$K$1048576,'Base Realizado'!$B133)</f>
        <v>0</v>
      </c>
      <c r="P133" s="117">
        <f>SUMIFS('B. Despesa'!$H$2:$H$1048576,'B. Despesa'!$I$2:$I$1048576,'Base Realizado'!P$5,'B. Despesa'!$K$2:$K$1048576,'Base Realizado'!$B133)</f>
        <v>0</v>
      </c>
      <c r="Q133" s="117">
        <f>SUMIFS('B. Despesa'!$H$2:$H$1048576,'B. Despesa'!$I$2:$I$1048576,'Base Realizado'!Q$5,'B. Despesa'!$K$2:$K$1048576,'Base Realizado'!$B133)</f>
        <v>0</v>
      </c>
      <c r="R133" s="117">
        <f>SUMIFS('B. Despesa'!$H$2:$H$1048576,'B. Despesa'!$I$2:$I$1048576,'Base Realizado'!R$5,'B. Despesa'!$K$2:$K$1048576,'Base Realizado'!$B133)</f>
        <v>0</v>
      </c>
      <c r="S133" s="117">
        <f>SUMIFS('B. Despesa'!$H$2:$H$1048576,'B. Despesa'!$I$2:$I$1048576,'Base Realizado'!S$5,'B. Despesa'!$K$2:$K$1048576,'Base Realizado'!$B133)</f>
        <v>0</v>
      </c>
      <c r="T133" s="117">
        <f>SUMIFS('B. Despesa'!$H$2:$H$1048576,'B. Despesa'!$I$2:$I$1048576,'Base Realizado'!T$5,'B. Despesa'!$K$2:$K$1048576,'Base Realizado'!$B133)</f>
        <v>0</v>
      </c>
      <c r="U133" s="74"/>
      <c r="V133" s="129">
        <v>-82285.030993500011</v>
      </c>
      <c r="W133" s="1"/>
      <c r="X133" s="194">
        <v>3.0000000000000001E-3</v>
      </c>
      <c r="Y133" s="1"/>
    </row>
    <row r="134" spans="2:25" ht="13.5" customHeight="1">
      <c r="B134" s="146" t="s">
        <v>245</v>
      </c>
      <c r="C134" s="147" t="s">
        <v>246</v>
      </c>
      <c r="D134" s="117">
        <f>SUMIFS('B. Despesa'!$H$2:$H$1048576,'B. Despesa'!$I$2:$I$1048576,'Base Realizado'!D$5,'B. Despesa'!$K$2:$K$1048576,'Base Realizado'!$B134)</f>
        <v>0</v>
      </c>
      <c r="E134" s="117"/>
      <c r="F134" s="117">
        <f>SUMIFS('B. Despesa'!$H$2:$H$1048576,'B. Despesa'!$I$2:$I$1048576,'Base Realizado'!F$5,'B. Despesa'!$K$2:$K$1048576,'Base Realizado'!$B134)</f>
        <v>0</v>
      </c>
      <c r="G134" s="795"/>
      <c r="H134" s="795">
        <f>SUMIFS('B. Despesa'!$H$2:$H$1048576,'B. Despesa'!$I$2:$I$1048576,'Base Realizado'!H$5,'B. Despesa'!$K$2:$K$1048576,'Base Realizado'!$B134)</f>
        <v>0</v>
      </c>
      <c r="I134" s="795"/>
      <c r="J134" s="608"/>
      <c r="K134" s="810">
        <f>SUMIFS('B. Despesa'!$H$2:$H$1048576,'B. Despesa'!$I$2:$I$1048576,'Base Realizado'!K$5,'B. Despesa'!$K$2:$K$1048576,'Base Realizado'!$B134)</f>
        <v>0</v>
      </c>
      <c r="L134" s="795"/>
      <c r="M134" s="117">
        <f>SUMIFS('B. Despesa'!$H$2:$H$1048576,'B. Despesa'!$I$2:$I$1048576,'Base Realizado'!M$5,'B. Despesa'!$K$2:$K$1048576,'Base Realizado'!$B134)</f>
        <v>0</v>
      </c>
      <c r="N134" s="117">
        <f>SUMIFS('B. Despesa'!$H$2:$H$1048576,'B. Despesa'!$I$2:$I$1048576,'Base Realizado'!N$5,'B. Despesa'!$K$2:$K$1048576,'Base Realizado'!$B134)</f>
        <v>0</v>
      </c>
      <c r="O134" s="117">
        <f>SUMIFS('B. Despesa'!$H$2:$H$1048576,'B. Despesa'!$I$2:$I$1048576,'Base Realizado'!O$5,'B. Despesa'!$K$2:$K$1048576,'Base Realizado'!$B134)</f>
        <v>0</v>
      </c>
      <c r="P134" s="117">
        <f>SUMIFS('B. Despesa'!$H$2:$H$1048576,'B. Despesa'!$I$2:$I$1048576,'Base Realizado'!P$5,'B. Despesa'!$K$2:$K$1048576,'Base Realizado'!$B134)</f>
        <v>0</v>
      </c>
      <c r="Q134" s="117">
        <f>SUMIFS('B. Despesa'!$H$2:$H$1048576,'B. Despesa'!$I$2:$I$1048576,'Base Realizado'!Q$5,'B. Despesa'!$K$2:$K$1048576,'Base Realizado'!$B134)</f>
        <v>0</v>
      </c>
      <c r="R134" s="117">
        <f>SUMIFS('B. Despesa'!$H$2:$H$1048576,'B. Despesa'!$I$2:$I$1048576,'Base Realizado'!R$5,'B. Despesa'!$K$2:$K$1048576,'Base Realizado'!$B134)</f>
        <v>0</v>
      </c>
      <c r="S134" s="117">
        <f>SUMIFS('B. Despesa'!$H$2:$H$1048576,'B. Despesa'!$I$2:$I$1048576,'Base Realizado'!S$5,'B. Despesa'!$K$2:$K$1048576,'Base Realizado'!$B134)</f>
        <v>0</v>
      </c>
      <c r="T134" s="117">
        <f>SUMIFS('B. Despesa'!$H$2:$H$1048576,'B. Despesa'!$I$2:$I$1048576,'Base Realizado'!T$5,'B. Despesa'!$K$2:$K$1048576,'Base Realizado'!$B134)</f>
        <v>0</v>
      </c>
      <c r="U134" s="74"/>
      <c r="V134" s="117">
        <v>-82285.030993500011</v>
      </c>
      <c r="W134" s="1"/>
      <c r="X134" s="194">
        <v>2E-3</v>
      </c>
      <c r="Y134" s="1"/>
    </row>
    <row r="135" spans="2:25" ht="13.5" customHeight="1">
      <c r="B135" s="600" t="s">
        <v>247</v>
      </c>
      <c r="C135" s="406" t="s">
        <v>248</v>
      </c>
      <c r="D135" s="407">
        <f>SUMIFS('B. Despesa'!$H$2:$H$1048576,'B. Despesa'!$I$2:$I$1048576,'Base Realizado'!D$5,'B. Despesa'!$K$2:$K$1048576,'Base Realizado'!$B135)</f>
        <v>0</v>
      </c>
      <c r="E135" s="407"/>
      <c r="F135" s="407">
        <f>SUMIFS('B. Despesa'!$H$2:$H$1048576,'B. Despesa'!$I$2:$I$1048576,'Base Realizado'!F$5,'B. Despesa'!$K$2:$K$1048576,'Base Realizado'!$B135)</f>
        <v>0</v>
      </c>
      <c r="G135" s="805"/>
      <c r="H135" s="805">
        <f>SUMIFS('B. Despesa'!$H$2:$H$1048576,'B. Despesa'!$I$2:$I$1048576,'Base Realizado'!H$5,'B. Despesa'!$K$2:$K$1048576,'Base Realizado'!$B135)</f>
        <v>0</v>
      </c>
      <c r="I135" s="805"/>
      <c r="J135" s="608"/>
      <c r="K135" s="820">
        <f>SUMIFS('B. Despesa'!$H$2:$H$1048576,'B. Despesa'!$I$2:$I$1048576,'Base Realizado'!K$5,'B. Despesa'!$K$2:$K$1048576,'Base Realizado'!$B135)</f>
        <v>0</v>
      </c>
      <c r="L135" s="805"/>
      <c r="M135" s="407">
        <f>SUMIFS('B. Despesa'!$H$2:$H$1048576,'B. Despesa'!$I$2:$I$1048576,'Base Realizado'!M$5,'B. Despesa'!$K$2:$K$1048576,'Base Realizado'!$B135)</f>
        <v>0</v>
      </c>
      <c r="N135" s="407">
        <f>SUMIFS('B. Despesa'!$H$2:$H$1048576,'B. Despesa'!$I$2:$I$1048576,'Base Realizado'!N$5,'B. Despesa'!$K$2:$K$1048576,'Base Realizado'!$B135)</f>
        <v>0</v>
      </c>
      <c r="O135" s="407">
        <f>SUMIFS('B. Despesa'!$H$2:$H$1048576,'B. Despesa'!$I$2:$I$1048576,'Base Realizado'!O$5,'B. Despesa'!$K$2:$K$1048576,'Base Realizado'!$B135)</f>
        <v>0</v>
      </c>
      <c r="P135" s="407">
        <f>SUMIFS('B. Despesa'!$H$2:$H$1048576,'B. Despesa'!$I$2:$I$1048576,'Base Realizado'!P$5,'B. Despesa'!$K$2:$K$1048576,'Base Realizado'!$B135)</f>
        <v>0</v>
      </c>
      <c r="Q135" s="407">
        <f>SUMIFS('B. Despesa'!$H$2:$H$1048576,'B. Despesa'!$I$2:$I$1048576,'Base Realizado'!Q$5,'B. Despesa'!$K$2:$K$1048576,'Base Realizado'!$B135)</f>
        <v>0</v>
      </c>
      <c r="R135" s="407">
        <f>SUMIFS('B. Despesa'!$H$2:$H$1048576,'B. Despesa'!$I$2:$I$1048576,'Base Realizado'!R$5,'B. Despesa'!$K$2:$K$1048576,'Base Realizado'!$B135)</f>
        <v>0</v>
      </c>
      <c r="S135" s="407">
        <f>SUMIFS('B. Despesa'!$H$2:$H$1048576,'B. Despesa'!$I$2:$I$1048576,'Base Realizado'!S$5,'B. Despesa'!$K$2:$K$1048576,'Base Realizado'!$B135)</f>
        <v>0</v>
      </c>
      <c r="T135" s="407">
        <f>SUMIFS('B. Despesa'!$H$2:$H$1048576,'B. Despesa'!$I$2:$I$1048576,'Base Realizado'!T$5,'B. Despesa'!$K$2:$K$1048576,'Base Realizado'!$B135)</f>
        <v>0</v>
      </c>
      <c r="U135" s="74"/>
      <c r="V135" s="117">
        <v>-27428.343664500004</v>
      </c>
      <c r="W135" s="1"/>
      <c r="X135" s="194">
        <v>1E-3</v>
      </c>
      <c r="Y135" s="1"/>
    </row>
    <row r="136" spans="2:25" ht="15" hidden="1" customHeight="1">
      <c r="U136" s="74"/>
    </row>
    <row r="137" spans="2:25" ht="20.25" hidden="1">
      <c r="U137" s="74"/>
    </row>
    <row r="138" spans="2:25" ht="20.25" hidden="1">
      <c r="B138" s="126" t="s">
        <v>249</v>
      </c>
      <c r="C138" s="83"/>
      <c r="D138" s="84">
        <f t="shared" ref="D138:V138" si="202">SUM(D139:D140)</f>
        <v>0</v>
      </c>
      <c r="E138" s="84"/>
      <c r="F138" s="84">
        <f t="shared" si="202"/>
        <v>0</v>
      </c>
      <c r="G138" s="84"/>
      <c r="H138" s="84">
        <f t="shared" si="202"/>
        <v>0</v>
      </c>
      <c r="I138" s="84"/>
      <c r="J138" s="84"/>
      <c r="K138" s="84">
        <f t="shared" si="202"/>
        <v>0</v>
      </c>
      <c r="L138" s="84"/>
      <c r="M138" s="84">
        <f t="shared" si="202"/>
        <v>0</v>
      </c>
      <c r="N138" s="84">
        <f t="shared" si="202"/>
        <v>0</v>
      </c>
      <c r="O138" s="84">
        <f t="shared" si="202"/>
        <v>0</v>
      </c>
      <c r="P138" s="84">
        <f t="shared" si="202"/>
        <v>0</v>
      </c>
      <c r="Q138" s="84">
        <f t="shared" si="202"/>
        <v>0</v>
      </c>
      <c r="R138" s="84">
        <f t="shared" si="202"/>
        <v>0</v>
      </c>
      <c r="S138" s="84">
        <f t="shared" si="202"/>
        <v>0</v>
      </c>
      <c r="T138" s="84">
        <f t="shared" si="202"/>
        <v>0</v>
      </c>
      <c r="U138" s="74"/>
      <c r="V138" s="84">
        <f t="shared" si="202"/>
        <v>0</v>
      </c>
      <c r="W138" s="189"/>
      <c r="X138" s="143" t="s">
        <v>68</v>
      </c>
    </row>
    <row r="139" spans="2:25" ht="20.25" hidden="1">
      <c r="B139" s="191" t="s">
        <v>44</v>
      </c>
      <c r="C139" s="192" t="s">
        <v>250</v>
      </c>
      <c r="D139" s="195">
        <v>0</v>
      </c>
      <c r="E139" s="195"/>
      <c r="F139" s="195">
        <v>0</v>
      </c>
      <c r="G139" s="195"/>
      <c r="H139" s="195">
        <v>0</v>
      </c>
      <c r="I139" s="195"/>
      <c r="J139" s="195"/>
      <c r="K139" s="195">
        <v>0</v>
      </c>
      <c r="L139" s="195"/>
      <c r="M139" s="195">
        <v>0</v>
      </c>
      <c r="N139" s="195">
        <v>0</v>
      </c>
      <c r="O139" s="195">
        <v>0</v>
      </c>
      <c r="P139" s="195">
        <v>0</v>
      </c>
      <c r="Q139" s="195">
        <v>0</v>
      </c>
      <c r="R139" s="195">
        <v>0</v>
      </c>
      <c r="S139" s="195">
        <v>0</v>
      </c>
      <c r="T139" s="195">
        <v>0</v>
      </c>
      <c r="U139" s="74"/>
      <c r="V139" s="195">
        <f>SUM(D139:T139)</f>
        <v>0</v>
      </c>
      <c r="W139" s="1"/>
      <c r="X139" s="196">
        <v>0.05</v>
      </c>
    </row>
    <row r="140" spans="2:25" ht="20.25" hidden="1">
      <c r="B140" s="182"/>
      <c r="C140" s="193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74"/>
      <c r="V140" s="187"/>
      <c r="W140" s="1"/>
      <c r="X140" s="76"/>
    </row>
    <row r="141" spans="2:25" ht="20.25" hidden="1">
      <c r="B141" s="87"/>
      <c r="C141" s="79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89"/>
      <c r="P141" s="89"/>
      <c r="Q141" s="89"/>
      <c r="R141" s="89"/>
      <c r="S141" s="89"/>
      <c r="T141" s="89"/>
      <c r="U141" s="74"/>
      <c r="V141" s="89"/>
      <c r="W141" s="1"/>
      <c r="X141" s="76"/>
    </row>
    <row r="142" spans="2:25" ht="13.5" hidden="1" customHeight="1">
      <c r="B142" s="349" t="s">
        <v>251</v>
      </c>
      <c r="C142" s="358"/>
      <c r="D142" s="346">
        <f t="shared" ref="D142:T142" si="203">SUM(D143:D144)</f>
        <v>0</v>
      </c>
      <c r="E142" s="346"/>
      <c r="F142" s="346">
        <f t="shared" si="203"/>
        <v>0</v>
      </c>
      <c r="G142" s="346"/>
      <c r="H142" s="346">
        <f t="shared" si="203"/>
        <v>0</v>
      </c>
      <c r="I142" s="346"/>
      <c r="J142" s="346"/>
      <c r="K142" s="346">
        <f t="shared" si="203"/>
        <v>0</v>
      </c>
      <c r="L142" s="346"/>
      <c r="M142" s="346">
        <f t="shared" si="203"/>
        <v>0</v>
      </c>
      <c r="N142" s="346">
        <f t="shared" si="203"/>
        <v>0</v>
      </c>
      <c r="O142" s="346">
        <f t="shared" si="203"/>
        <v>0</v>
      </c>
      <c r="P142" s="346">
        <f t="shared" si="203"/>
        <v>0</v>
      </c>
      <c r="Q142" s="346">
        <f t="shared" si="203"/>
        <v>0</v>
      </c>
      <c r="R142" s="346">
        <f t="shared" si="203"/>
        <v>0</v>
      </c>
      <c r="S142" s="346">
        <f t="shared" si="203"/>
        <v>0</v>
      </c>
      <c r="T142" s="346">
        <f t="shared" si="203"/>
        <v>0</v>
      </c>
      <c r="U142" s="74"/>
      <c r="V142" s="346">
        <f t="shared" ref="V142:V144" si="204">SUM(D142:T142)</f>
        <v>0</v>
      </c>
      <c r="W142" s="1"/>
      <c r="X142" s="76"/>
    </row>
    <row r="143" spans="2:25" ht="13.5" hidden="1" customHeight="1">
      <c r="B143" s="146" t="s">
        <v>252</v>
      </c>
      <c r="C143" s="147" t="s">
        <v>253</v>
      </c>
      <c r="D143" s="129">
        <v>0</v>
      </c>
      <c r="E143" s="423"/>
      <c r="F143" s="129">
        <v>0</v>
      </c>
      <c r="G143" s="423"/>
      <c r="H143" s="129">
        <v>0</v>
      </c>
      <c r="I143" s="423"/>
      <c r="J143" s="423"/>
      <c r="K143" s="129">
        <v>0</v>
      </c>
      <c r="L143" s="423"/>
      <c r="M143" s="129">
        <v>0</v>
      </c>
      <c r="N143" s="129">
        <v>0</v>
      </c>
      <c r="O143" s="129">
        <v>0</v>
      </c>
      <c r="P143" s="129">
        <v>0</v>
      </c>
      <c r="Q143" s="129">
        <v>0</v>
      </c>
      <c r="R143" s="129">
        <v>0</v>
      </c>
      <c r="S143" s="129">
        <v>0</v>
      </c>
      <c r="T143" s="129">
        <v>0</v>
      </c>
      <c r="U143" s="74"/>
      <c r="V143" s="129">
        <f t="shared" si="204"/>
        <v>0</v>
      </c>
      <c r="W143" s="1"/>
      <c r="X143" s="76"/>
    </row>
    <row r="144" spans="2:25" ht="13.5" hidden="1" customHeight="1">
      <c r="B144" s="182"/>
      <c r="C144" s="97"/>
      <c r="D144" s="187">
        <v>0</v>
      </c>
      <c r="E144" s="187"/>
      <c r="F144" s="187">
        <v>0</v>
      </c>
      <c r="G144" s="187"/>
      <c r="H144" s="187">
        <v>0</v>
      </c>
      <c r="I144" s="187"/>
      <c r="J144" s="187"/>
      <c r="K144" s="187">
        <v>0</v>
      </c>
      <c r="L144" s="187"/>
      <c r="M144" s="187">
        <v>0</v>
      </c>
      <c r="N144" s="187">
        <v>0</v>
      </c>
      <c r="O144" s="187">
        <v>0</v>
      </c>
      <c r="P144" s="187">
        <v>0</v>
      </c>
      <c r="Q144" s="187">
        <v>0</v>
      </c>
      <c r="R144" s="187">
        <v>0</v>
      </c>
      <c r="S144" s="187">
        <v>0</v>
      </c>
      <c r="T144" s="187">
        <v>0</v>
      </c>
      <c r="U144" s="74"/>
      <c r="V144" s="187">
        <f t="shared" si="204"/>
        <v>0</v>
      </c>
      <c r="W144" s="1"/>
      <c r="X144" s="76"/>
    </row>
    <row r="145" spans="2:24" ht="4.5" hidden="1" customHeight="1">
      <c r="B145" s="87"/>
      <c r="C145" s="76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74"/>
      <c r="V145" s="89"/>
      <c r="W145" s="1"/>
      <c r="X145" s="76"/>
    </row>
    <row r="146" spans="2:24" ht="13.5" hidden="1" customHeight="1">
      <c r="B146" s="402" t="s">
        <v>254</v>
      </c>
      <c r="C146" s="359"/>
      <c r="D146" s="404">
        <f t="shared" ref="D146:T146" si="205">SUM(D147:D151)</f>
        <v>0</v>
      </c>
      <c r="E146" s="785"/>
      <c r="F146" s="404">
        <f t="shared" si="205"/>
        <v>0</v>
      </c>
      <c r="G146" s="785"/>
      <c r="H146" s="404">
        <f t="shared" si="205"/>
        <v>0</v>
      </c>
      <c r="I146" s="785"/>
      <c r="J146" s="785"/>
      <c r="K146" s="404">
        <f t="shared" si="205"/>
        <v>0</v>
      </c>
      <c r="L146" s="785"/>
      <c r="M146" s="404">
        <f t="shared" si="205"/>
        <v>0</v>
      </c>
      <c r="N146" s="404">
        <f t="shared" si="205"/>
        <v>0</v>
      </c>
      <c r="O146" s="404">
        <f t="shared" si="205"/>
        <v>0</v>
      </c>
      <c r="P146" s="404">
        <f t="shared" si="205"/>
        <v>0</v>
      </c>
      <c r="Q146" s="404">
        <f t="shared" si="205"/>
        <v>0</v>
      </c>
      <c r="R146" s="404">
        <f t="shared" si="205"/>
        <v>0</v>
      </c>
      <c r="S146" s="404">
        <f t="shared" si="205"/>
        <v>0</v>
      </c>
      <c r="T146" s="404">
        <f t="shared" si="205"/>
        <v>0</v>
      </c>
      <c r="U146" s="74"/>
      <c r="V146" s="404">
        <f t="shared" ref="V146:V150" si="206">SUM(D146:T146)</f>
        <v>0</v>
      </c>
      <c r="W146" s="1"/>
      <c r="X146" s="76"/>
    </row>
    <row r="147" spans="2:24" ht="13.5" hidden="1" customHeight="1">
      <c r="B147" s="400"/>
      <c r="C147" s="401"/>
      <c r="D147" s="403"/>
      <c r="E147" s="403"/>
      <c r="F147" s="403"/>
      <c r="G147" s="403"/>
      <c r="H147" s="403"/>
      <c r="I147" s="403"/>
      <c r="J147" s="403"/>
      <c r="K147" s="403"/>
      <c r="L147" s="403"/>
      <c r="M147" s="403"/>
      <c r="N147" s="403"/>
      <c r="O147" s="403"/>
      <c r="P147" s="403"/>
      <c r="Q147" s="403"/>
      <c r="R147" s="403"/>
      <c r="S147" s="403"/>
      <c r="T147" s="403"/>
      <c r="U147" s="74"/>
      <c r="V147" s="185">
        <f t="shared" si="206"/>
        <v>0</v>
      </c>
      <c r="W147" s="1"/>
      <c r="X147" s="76"/>
    </row>
    <row r="148" spans="2:24" ht="13.5" hidden="1" customHeight="1">
      <c r="B148" s="398" t="s">
        <v>255</v>
      </c>
      <c r="C148" s="170" t="s">
        <v>256</v>
      </c>
      <c r="D148" s="399">
        <v>0</v>
      </c>
      <c r="E148" s="399"/>
      <c r="F148" s="399">
        <v>0</v>
      </c>
      <c r="G148" s="399"/>
      <c r="H148" s="399">
        <v>0</v>
      </c>
      <c r="I148" s="399"/>
      <c r="J148" s="399"/>
      <c r="K148" s="399">
        <v>0</v>
      </c>
      <c r="L148" s="399"/>
      <c r="M148" s="399">
        <v>0</v>
      </c>
      <c r="N148" s="399">
        <v>0</v>
      </c>
      <c r="O148" s="399">
        <v>0</v>
      </c>
      <c r="P148" s="399">
        <v>0</v>
      </c>
      <c r="Q148" s="399">
        <v>0</v>
      </c>
      <c r="R148" s="399">
        <v>0</v>
      </c>
      <c r="S148" s="399">
        <v>0</v>
      </c>
      <c r="T148" s="399">
        <v>0</v>
      </c>
      <c r="U148" s="74"/>
      <c r="V148" s="197">
        <f t="shared" si="206"/>
        <v>0</v>
      </c>
      <c r="W148" s="1"/>
      <c r="X148" s="76"/>
    </row>
    <row r="149" spans="2:24" ht="13.5" hidden="1" customHeight="1">
      <c r="B149" s="198" t="s">
        <v>257</v>
      </c>
      <c r="C149" s="179" t="s">
        <v>258</v>
      </c>
      <c r="D149" s="197">
        <v>0</v>
      </c>
      <c r="E149" s="197"/>
      <c r="F149" s="197">
        <v>0</v>
      </c>
      <c r="G149" s="197"/>
      <c r="H149" s="197">
        <v>0</v>
      </c>
      <c r="I149" s="197"/>
      <c r="J149" s="197"/>
      <c r="K149" s="197">
        <v>0</v>
      </c>
      <c r="L149" s="197"/>
      <c r="M149" s="197">
        <v>0</v>
      </c>
      <c r="N149" s="197">
        <v>0</v>
      </c>
      <c r="O149" s="197">
        <v>0</v>
      </c>
      <c r="P149" s="197">
        <v>0</v>
      </c>
      <c r="Q149" s="197">
        <v>0</v>
      </c>
      <c r="R149" s="197">
        <v>0</v>
      </c>
      <c r="S149" s="197">
        <v>0</v>
      </c>
      <c r="T149" s="197">
        <v>0</v>
      </c>
      <c r="U149" s="74"/>
      <c r="V149" s="199">
        <f t="shared" si="206"/>
        <v>0</v>
      </c>
      <c r="W149" s="1"/>
      <c r="X149" s="76"/>
    </row>
    <row r="150" spans="2:24" ht="13.5" hidden="1" customHeight="1">
      <c r="B150" s="158" t="s">
        <v>259</v>
      </c>
      <c r="C150" s="171" t="s">
        <v>260</v>
      </c>
      <c r="D150" s="197">
        <v>0</v>
      </c>
      <c r="E150" s="197"/>
      <c r="F150" s="197">
        <v>0</v>
      </c>
      <c r="G150" s="197"/>
      <c r="H150" s="197">
        <v>0</v>
      </c>
      <c r="I150" s="197"/>
      <c r="J150" s="197"/>
      <c r="K150" s="197">
        <v>0</v>
      </c>
      <c r="L150" s="197"/>
      <c r="M150" s="197">
        <v>0</v>
      </c>
      <c r="N150" s="197">
        <v>0</v>
      </c>
      <c r="O150" s="197">
        <v>0</v>
      </c>
      <c r="P150" s="197">
        <v>0</v>
      </c>
      <c r="Q150" s="197">
        <v>0</v>
      </c>
      <c r="R150" s="197">
        <v>0</v>
      </c>
      <c r="S150" s="197">
        <v>0</v>
      </c>
      <c r="T150" s="197">
        <v>0</v>
      </c>
      <c r="U150" s="74"/>
      <c r="V150" s="197">
        <f t="shared" si="206"/>
        <v>0</v>
      </c>
      <c r="W150" s="1"/>
      <c r="X150" s="76"/>
    </row>
    <row r="151" spans="2:24" ht="15" customHeight="1">
      <c r="U151" s="74"/>
    </row>
    <row r="152" spans="2:24" ht="15" customHeight="1">
      <c r="U152" s="74"/>
    </row>
    <row r="153" spans="2:24" ht="13.5" hidden="1" customHeight="1">
      <c r="B153" s="87" t="s">
        <v>52</v>
      </c>
      <c r="C153" s="76"/>
      <c r="D153" s="88">
        <f>D10+D128+D138+D20+D132+D122+D48+D74+D118+D86+D102+D28+D142+D146</f>
        <v>-1444068.96</v>
      </c>
      <c r="E153" s="88"/>
      <c r="F153" s="88">
        <f>F10+F128+F138+F20+F132+F122+F48+F74+F118+F86+F102+F28+F142+F146</f>
        <v>-1432285.4031000002</v>
      </c>
      <c r="G153" s="88"/>
      <c r="H153" s="88">
        <f>H10+H128+H138+H20+H132+H122+H48+H74+H118+H86+H102+H28+H142+H146</f>
        <v>-1700305.1569000001</v>
      </c>
      <c r="I153" s="88"/>
      <c r="J153" s="88"/>
      <c r="K153" s="88">
        <f>K10+K128+K138+K20+K132+K122+K48+K74+K118+K86+K102+K28+K142+K146</f>
        <v>-2011762.004</v>
      </c>
      <c r="L153" s="88"/>
      <c r="M153" s="88">
        <f>M10+M128+M138+M20+M132+M122+M48+M74+M118+M86+M102+M28+M142+M146</f>
        <v>0</v>
      </c>
      <c r="N153" s="88">
        <f>N10+N128+N138+N20+N132+N122+N48+N74+N118+N86+N102+N28+N142+N146</f>
        <v>0</v>
      </c>
      <c r="O153" s="88">
        <f>O10+O128+O138+O20+O132+O122+O48+O74+O118+O86+O102+O28+O142+O146</f>
        <v>0</v>
      </c>
      <c r="P153" s="88">
        <f>P10+P128+P138+P20+P132+P122+P48+P74+P118+P86+P102+P28+P142+P146</f>
        <v>0</v>
      </c>
      <c r="Q153" s="88">
        <f>Q10+Q128+Q138+Q20+Q132+Q122+Q48+Q74+Q118+Q86+Q102+Q28+Q142+Q146</f>
        <v>0</v>
      </c>
      <c r="R153" s="88">
        <f>R10+R128+R138+R20+R132+R122+R48+R74+R118+R86+R102+R28+R142+R146</f>
        <v>0</v>
      </c>
      <c r="S153" s="88">
        <f>S10+S128+S138+S20+S132+S122+S48+S74+S118+S86+S102+S28+S142+S146</f>
        <v>0</v>
      </c>
      <c r="T153" s="88">
        <f>T10+T128+T138+T20+T132+T122+T48+T74+T118+T86+T102+T28+T142+T146</f>
        <v>0</v>
      </c>
      <c r="U153" s="74"/>
      <c r="V153" s="101">
        <f>SUM(D153:T153)</f>
        <v>-6588421.5240000002</v>
      </c>
    </row>
    <row r="154" spans="2:24" ht="13.5" hidden="1" customHeight="1">
      <c r="B154" s="87"/>
      <c r="C154" s="76"/>
      <c r="D154" s="88">
        <f>'03- BD x RE 2026'!D72</f>
        <v>-16064.17034575354</v>
      </c>
      <c r="E154" s="88"/>
      <c r="F154" s="88">
        <f>'03- BD x RE 2026'!G72</f>
        <v>333966.84859446762</v>
      </c>
      <c r="G154" s="88"/>
      <c r="H154" s="88">
        <f>'03- BD x RE 2026'!J72</f>
        <v>363683.64936838514</v>
      </c>
      <c r="I154" s="88"/>
      <c r="J154" s="88"/>
      <c r="K154" s="88">
        <f>'03- BD x RE 2026'!M72</f>
        <v>385156.9773322948</v>
      </c>
      <c r="L154" s="88"/>
      <c r="M154" s="88">
        <f>'03- BD x RE 2026'!P72</f>
        <v>478093.42772344837</v>
      </c>
      <c r="N154" s="88">
        <f>'03- BD x RE 2026'!S72</f>
        <v>286890.97139569203</v>
      </c>
      <c r="O154" s="88">
        <f>'03- BD x RE 2026'!V72</f>
        <v>231778.64433039719</v>
      </c>
      <c r="P154" s="88">
        <f>'03- BD x RE 2026'!Y72</f>
        <v>255328.60228467177</v>
      </c>
      <c r="Q154" s="88">
        <f>'03- BD x RE 2026'!AB72</f>
        <v>242375.77005521648</v>
      </c>
      <c r="R154" s="88">
        <f>'03- BD x RE 2026'!AE72</f>
        <v>212757.57758970076</v>
      </c>
      <c r="S154" s="88">
        <f>'03- BD x RE 2026'!AH72</f>
        <v>396629.65472048527</v>
      </c>
      <c r="T154" s="88">
        <f>'03- BD x RE 2026'!AK72</f>
        <v>60592.350679407435</v>
      </c>
      <c r="U154" s="74"/>
      <c r="V154" s="101">
        <f t="shared" ref="V154" si="207">SUM(D154:T154)</f>
        <v>3231190.3037284133</v>
      </c>
    </row>
    <row r="155" spans="2:24" ht="13.5" hidden="1" customHeight="1">
      <c r="B155" s="87"/>
      <c r="C155" s="76"/>
      <c r="D155" s="89">
        <f t="shared" ref="D155:T155" si="208">D153-D154</f>
        <v>-1428004.7896542465</v>
      </c>
      <c r="E155" s="89"/>
      <c r="F155" s="89">
        <f t="shared" si="208"/>
        <v>-1766252.2516944679</v>
      </c>
      <c r="G155" s="89"/>
      <c r="H155" s="89">
        <f t="shared" si="208"/>
        <v>-2063988.8062683851</v>
      </c>
      <c r="I155" s="89"/>
      <c r="J155" s="89"/>
      <c r="K155" s="89">
        <f t="shared" si="208"/>
        <v>-2396918.9813322946</v>
      </c>
      <c r="L155" s="89"/>
      <c r="M155" s="89">
        <f t="shared" si="208"/>
        <v>-478093.42772344837</v>
      </c>
      <c r="N155" s="89">
        <f t="shared" si="208"/>
        <v>-286890.97139569203</v>
      </c>
      <c r="O155" s="89">
        <f t="shared" si="208"/>
        <v>-231778.64433039719</v>
      </c>
      <c r="P155" s="89">
        <f t="shared" si="208"/>
        <v>-255328.60228467177</v>
      </c>
      <c r="Q155" s="89">
        <f t="shared" si="208"/>
        <v>-242375.77005521648</v>
      </c>
      <c r="R155" s="89">
        <f t="shared" si="208"/>
        <v>-212757.57758970076</v>
      </c>
      <c r="S155" s="89">
        <f t="shared" si="208"/>
        <v>-396629.65472048527</v>
      </c>
      <c r="T155" s="89">
        <f t="shared" si="208"/>
        <v>-60592.350679407435</v>
      </c>
      <c r="U155" s="74"/>
      <c r="V155" s="89">
        <f>SUM(D155:T155)</f>
        <v>-9819611.8277284112</v>
      </c>
    </row>
    <row r="156" spans="2:24" ht="12.75" hidden="1" customHeight="1">
      <c r="B156" s="87"/>
      <c r="C156" s="76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74"/>
      <c r="V156" s="89"/>
    </row>
    <row r="157" spans="2:24" ht="13.5" hidden="1" customHeight="1">
      <c r="B157" s="364" t="s">
        <v>261</v>
      </c>
      <c r="C157" s="365"/>
      <c r="D157" s="366"/>
      <c r="E157" s="366"/>
      <c r="F157" s="366"/>
      <c r="G157" s="366"/>
      <c r="H157" s="366"/>
      <c r="I157" s="366"/>
      <c r="J157" s="366"/>
      <c r="K157" s="366"/>
      <c r="L157" s="366"/>
      <c r="M157" s="366"/>
      <c r="N157" s="366"/>
      <c r="O157" s="366"/>
      <c r="P157" s="366"/>
      <c r="Q157" s="366"/>
      <c r="R157" s="366"/>
      <c r="S157" s="366"/>
      <c r="T157" s="366"/>
      <c r="U157" s="74"/>
      <c r="V157" s="89"/>
    </row>
    <row r="158" spans="2:24" ht="13.5" hidden="1" customHeight="1">
      <c r="B158" s="191" t="s">
        <v>262</v>
      </c>
      <c r="C158" s="360">
        <v>0.08</v>
      </c>
      <c r="D158" s="185">
        <f>D11*$C$158</f>
        <v>111227.91760000002</v>
      </c>
      <c r="E158" s="185"/>
      <c r="F158" s="185">
        <f>F11*$C$158</f>
        <v>122284.32480000006</v>
      </c>
      <c r="G158" s="185"/>
      <c r="H158" s="185">
        <f>H11*$C$158</f>
        <v>195482.94023999997</v>
      </c>
      <c r="I158" s="185"/>
      <c r="J158" s="185"/>
      <c r="K158" s="185">
        <f>K11*$C$158</f>
        <v>184376.76560000001</v>
      </c>
      <c r="L158" s="185"/>
      <c r="M158" s="185">
        <f>M11*$C$158</f>
        <v>0</v>
      </c>
      <c r="N158" s="185">
        <f>N11*$C$158</f>
        <v>0</v>
      </c>
      <c r="O158" s="185">
        <f>O11*$C$158</f>
        <v>0</v>
      </c>
      <c r="P158" s="185">
        <f>P11*$C$158</f>
        <v>0</v>
      </c>
      <c r="Q158" s="185">
        <f>Q11*$C$158</f>
        <v>0</v>
      </c>
      <c r="R158" s="185">
        <f>R11*$C$158</f>
        <v>0</v>
      </c>
      <c r="S158" s="185">
        <f>S11*$C$158</f>
        <v>0</v>
      </c>
      <c r="T158" s="185">
        <f>T11*$C$158</f>
        <v>0</v>
      </c>
      <c r="U158" s="74"/>
      <c r="V158" s="89"/>
    </row>
    <row r="159" spans="2:24" ht="13.5" hidden="1" customHeight="1">
      <c r="B159" s="361" t="s">
        <v>263</v>
      </c>
      <c r="C159" s="362">
        <v>20000</v>
      </c>
      <c r="D159" s="160">
        <f>D158-$C$159</f>
        <v>91227.917600000015</v>
      </c>
      <c r="E159" s="160"/>
      <c r="F159" s="160">
        <f t="shared" ref="F159:T159" si="209">F158-$C$159</f>
        <v>102284.32480000006</v>
      </c>
      <c r="G159" s="160"/>
      <c r="H159" s="160">
        <f t="shared" si="209"/>
        <v>175482.94023999997</v>
      </c>
      <c r="I159" s="160"/>
      <c r="J159" s="160"/>
      <c r="K159" s="160">
        <f t="shared" si="209"/>
        <v>164376.76560000001</v>
      </c>
      <c r="L159" s="160"/>
      <c r="M159" s="160">
        <f t="shared" si="209"/>
        <v>-20000</v>
      </c>
      <c r="N159" s="160">
        <f t="shared" si="209"/>
        <v>-20000</v>
      </c>
      <c r="O159" s="160">
        <f t="shared" si="209"/>
        <v>-20000</v>
      </c>
      <c r="P159" s="160">
        <f t="shared" si="209"/>
        <v>-20000</v>
      </c>
      <c r="Q159" s="160">
        <f t="shared" si="209"/>
        <v>-20000</v>
      </c>
      <c r="R159" s="160">
        <f t="shared" si="209"/>
        <v>-20000</v>
      </c>
      <c r="S159" s="160">
        <f t="shared" si="209"/>
        <v>-20000</v>
      </c>
      <c r="T159" s="160">
        <f t="shared" si="209"/>
        <v>-20000</v>
      </c>
      <c r="U159" s="74"/>
      <c r="V159" s="89"/>
    </row>
    <row r="160" spans="2:24" ht="20.25" hidden="1">
      <c r="B160" s="120" t="s">
        <v>264</v>
      </c>
      <c r="C160" s="363">
        <v>0.1</v>
      </c>
      <c r="D160" s="122">
        <f>IF(D159&gt;=1,D159*$C$160,0)</f>
        <v>9122.7917600000019</v>
      </c>
      <c r="E160" s="122"/>
      <c r="F160" s="122">
        <f t="shared" ref="F160:T160" si="210">IF(F159&gt;=1,F159*$C$160,0)</f>
        <v>10228.432480000007</v>
      </c>
      <c r="G160" s="122"/>
      <c r="H160" s="122">
        <f t="shared" si="210"/>
        <v>17548.294023999999</v>
      </c>
      <c r="I160" s="122"/>
      <c r="J160" s="122"/>
      <c r="K160" s="122">
        <f t="shared" si="210"/>
        <v>16437.676560000004</v>
      </c>
      <c r="L160" s="122"/>
      <c r="M160" s="122">
        <f t="shared" si="210"/>
        <v>0</v>
      </c>
      <c r="N160" s="122">
        <f t="shared" si="210"/>
        <v>0</v>
      </c>
      <c r="O160" s="122">
        <f t="shared" si="210"/>
        <v>0</v>
      </c>
      <c r="P160" s="122">
        <f t="shared" si="210"/>
        <v>0</v>
      </c>
      <c r="Q160" s="122">
        <f t="shared" si="210"/>
        <v>0</v>
      </c>
      <c r="R160" s="122">
        <f t="shared" si="210"/>
        <v>0</v>
      </c>
      <c r="S160" s="122">
        <f t="shared" si="210"/>
        <v>0</v>
      </c>
      <c r="T160" s="122">
        <f t="shared" si="210"/>
        <v>0</v>
      </c>
      <c r="U160" s="74"/>
      <c r="V160" s="89"/>
    </row>
    <row r="161" spans="21:21" ht="20.25" hidden="1">
      <c r="U161" s="74"/>
    </row>
    <row r="162" spans="21:21" ht="20.25" hidden="1">
      <c r="U162" s="74"/>
    </row>
    <row r="163" spans="21:21" ht="20.25">
      <c r="U163" s="74"/>
    </row>
    <row r="164" spans="21:21" ht="15" customHeight="1">
      <c r="U164" s="74"/>
    </row>
  </sheetData>
  <mergeCells count="2">
    <mergeCell ref="X122:Y122"/>
    <mergeCell ref="D1:X1"/>
  </mergeCells>
  <conditionalFormatting sqref="E49:E66 I49:I66 L49:L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5:E77 G75:G77 I75:I77 L75:L77 L79:L81 E79:E81 G79:G81 I79:I8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4:E85 E123 E133 G84:G85 G123 G133 I84:I85 I123 I133 L84:L85 L103:L117 L123 L133 E87:E101 G87:G101 I87:I101 L87:L101 E119:E121 G119:G121 I119:I121 L119:L121 E103:E117 G103:G117 I103:I1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9:G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79000000000000015" right="0.79000000000000015" top="0.39000000000000007" bottom="0.39000000000000007" header="0" footer="0"/>
  <pageSetup paperSize="9" scale="55" orientation="landscape" r:id="rId1"/>
  <ignoredErrors>
    <ignoredError sqref="F13:F16 H13:H16 H21:H23 F21:F23 F29 F30:F41 H30:H41 H29 G41 F18 H18 E11:H11 H49:H67 F49:F67 E48 H75:H77 F75:F77 H79:H81 F79:F81 F84:F85 H83:H85 F83 E78 H87:H99 F87:F101 E86 F103:F108 H103:H108 F109:F117 E102 E118 E122 H133 F133 H132 E132 H109:H117 L48 L11 L102 I102 G102 H122 F122 H119:H121 F119:F121 F118:L118 F123:L123 G119:G121 I119:L121 G122 I122:L122 H100:H101" 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1D63-14B2-4088-BB21-8864FB50D540}">
  <dimension ref="B1:D18"/>
  <sheetViews>
    <sheetView workbookViewId="0">
      <selection activeCell="H36" sqref="H36"/>
    </sheetView>
  </sheetViews>
  <sheetFormatPr defaultRowHeight="12.75"/>
  <cols>
    <col min="1" max="1" width="1.140625" customWidth="1"/>
    <col min="2" max="2" width="25" bestFit="1" customWidth="1"/>
    <col min="3" max="4" width="11.28515625" bestFit="1" customWidth="1"/>
    <col min="5" max="5" width="1.140625" customWidth="1"/>
    <col min="6" max="6" width="11" bestFit="1" customWidth="1"/>
  </cols>
  <sheetData>
    <row r="1" spans="2:4">
      <c r="B1" s="746" t="s">
        <v>1771</v>
      </c>
      <c r="C1" s="746" t="s">
        <v>1277</v>
      </c>
      <c r="D1" s="746" t="s">
        <v>1278</v>
      </c>
    </row>
    <row r="2" spans="2:4" ht="3" customHeight="1"/>
    <row r="3" spans="2:4">
      <c r="B3" s="746" t="s">
        <v>101</v>
      </c>
      <c r="C3" s="747">
        <v>-349118.49</v>
      </c>
      <c r="D3" s="747">
        <v>-499059.97999999992</v>
      </c>
    </row>
    <row r="4" spans="2:4">
      <c r="B4" t="s">
        <v>102</v>
      </c>
      <c r="C4" s="389">
        <v>-116300.64</v>
      </c>
      <c r="D4" s="389">
        <v>-183907.4</v>
      </c>
    </row>
    <row r="5" spans="2:4">
      <c r="B5" t="s">
        <v>106</v>
      </c>
      <c r="C5" s="389">
        <v>-16319.580000000002</v>
      </c>
      <c r="D5" s="389">
        <v>-18791.330000000002</v>
      </c>
    </row>
    <row r="6" spans="2:4">
      <c r="B6" t="s">
        <v>655</v>
      </c>
      <c r="C6" s="389">
        <v>-14863.34</v>
      </c>
      <c r="D6" s="389">
        <v>-130738.87</v>
      </c>
    </row>
    <row r="7" spans="2:4">
      <c r="B7" t="s">
        <v>110</v>
      </c>
      <c r="C7" s="389">
        <v>-46511.41</v>
      </c>
      <c r="D7" s="389">
        <v>-41287.919999999998</v>
      </c>
    </row>
    <row r="8" spans="2:4">
      <c r="B8" t="s">
        <v>654</v>
      </c>
      <c r="C8" s="389">
        <v>-7373.08</v>
      </c>
      <c r="D8" s="389">
        <v>-6655.9</v>
      </c>
    </row>
    <row r="9" spans="2:4">
      <c r="B9" t="s">
        <v>114</v>
      </c>
      <c r="C9" s="389">
        <v>-16819.080000000002</v>
      </c>
      <c r="D9" s="389">
        <v>-16406.98</v>
      </c>
    </row>
    <row r="10" spans="2:4">
      <c r="B10" t="s">
        <v>120</v>
      </c>
      <c r="C10" s="389">
        <v>-6266.1600000000008</v>
      </c>
      <c r="D10" s="389">
        <v>-2525.88</v>
      </c>
    </row>
    <row r="11" spans="2:4">
      <c r="B11" t="s">
        <v>124</v>
      </c>
      <c r="C11" s="389">
        <v>-4013.16</v>
      </c>
      <c r="D11" s="389">
        <v>-4013.16</v>
      </c>
    </row>
    <row r="12" spans="2:4">
      <c r="B12" t="s">
        <v>1326</v>
      </c>
      <c r="C12" s="389">
        <v>-771.93</v>
      </c>
      <c r="D12" s="389">
        <v>-771.93</v>
      </c>
    </row>
    <row r="13" spans="2:4">
      <c r="B13" t="s">
        <v>656</v>
      </c>
      <c r="C13" s="389">
        <v>-26135.41</v>
      </c>
      <c r="D13" s="389">
        <v>-21680.649999999998</v>
      </c>
    </row>
    <row r="14" spans="2:4">
      <c r="B14" t="s">
        <v>130</v>
      </c>
      <c r="C14" s="389">
        <v>-378</v>
      </c>
      <c r="D14" s="389">
        <v>-378</v>
      </c>
    </row>
    <row r="15" spans="2:4">
      <c r="B15" t="s">
        <v>544</v>
      </c>
      <c r="C15" s="389">
        <v>-23047.200000000001</v>
      </c>
      <c r="D15" s="389">
        <v>-29046</v>
      </c>
    </row>
    <row r="16" spans="2:4">
      <c r="B16" t="s">
        <v>142</v>
      </c>
      <c r="C16" s="389">
        <v>-450</v>
      </c>
      <c r="D16" s="389">
        <v>-450</v>
      </c>
    </row>
    <row r="17" spans="2:4">
      <c r="B17" t="s">
        <v>1740</v>
      </c>
      <c r="C17" s="389">
        <v>20464.059999999998</v>
      </c>
      <c r="D17" s="389">
        <v>78153.02</v>
      </c>
    </row>
    <row r="18" spans="2:4">
      <c r="B18" t="s">
        <v>140</v>
      </c>
      <c r="C18" s="389">
        <v>-90333.56</v>
      </c>
      <c r="D18" s="389">
        <v>-120558.98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EF1D-A177-4C20-A6CA-5FD47F435162}">
  <dimension ref="B1:K60"/>
  <sheetViews>
    <sheetView showGridLines="0" topLeftCell="A30" workbookViewId="0">
      <selection activeCell="J16" sqref="J16"/>
    </sheetView>
  </sheetViews>
  <sheetFormatPr defaultRowHeight="12.75"/>
  <cols>
    <col min="1" max="1" width="1.85546875" customWidth="1"/>
    <col min="2" max="2" width="51.140625" bestFit="1" customWidth="1"/>
    <col min="3" max="3" width="40" bestFit="1" customWidth="1"/>
    <col min="4" max="4" width="18.140625" bestFit="1" customWidth="1"/>
    <col min="5" max="5" width="0.42578125" customWidth="1"/>
    <col min="6" max="6" width="14.7109375" customWidth="1"/>
    <col min="7" max="7" width="0.42578125" hidden="1" customWidth="1"/>
    <col min="8" max="8" width="0.140625" customWidth="1"/>
    <col min="9" max="9" width="14.42578125" customWidth="1"/>
    <col min="11" max="11" width="11.28515625" bestFit="1" customWidth="1"/>
  </cols>
  <sheetData>
    <row r="1" spans="2:9">
      <c r="B1" s="870" t="s">
        <v>1774</v>
      </c>
      <c r="C1" s="870"/>
      <c r="D1" s="870"/>
      <c r="F1" s="871" t="s">
        <v>916</v>
      </c>
      <c r="G1" s="871"/>
      <c r="H1" s="871"/>
      <c r="I1" s="871"/>
    </row>
    <row r="2" spans="2:9" ht="3.75" customHeight="1">
      <c r="F2" s="480"/>
      <c r="G2" s="480"/>
      <c r="H2" s="480"/>
      <c r="I2" s="480"/>
    </row>
    <row r="3" spans="2:9" ht="1.5" hidden="1" customHeight="1">
      <c r="F3" s="480"/>
      <c r="G3" s="480"/>
      <c r="H3" s="480"/>
      <c r="I3" s="480"/>
    </row>
    <row r="4" spans="2:9">
      <c r="B4" s="746" t="s">
        <v>1772</v>
      </c>
      <c r="C4" s="746" t="s">
        <v>1773</v>
      </c>
      <c r="D4" s="746" t="s">
        <v>1293</v>
      </c>
      <c r="F4" s="748" t="s">
        <v>1277</v>
      </c>
      <c r="G4" s="749"/>
      <c r="H4" s="749"/>
      <c r="I4" s="748" t="s">
        <v>1278</v>
      </c>
    </row>
    <row r="5" spans="2:9">
      <c r="B5" t="s">
        <v>864</v>
      </c>
      <c r="C5" t="s">
        <v>625</v>
      </c>
      <c r="D5" s="389">
        <v>-750</v>
      </c>
      <c r="F5" s="750">
        <f>SUM(D5:D22)</f>
        <v>-48757.13</v>
      </c>
      <c r="G5" s="751"/>
      <c r="H5" s="751"/>
      <c r="I5" s="750">
        <f>SUM(D26:D37)</f>
        <v>-14271.78</v>
      </c>
    </row>
    <row r="6" spans="2:9">
      <c r="B6" t="s">
        <v>866</v>
      </c>
      <c r="C6" t="s">
        <v>627</v>
      </c>
      <c r="D6" s="389">
        <v>-12699.78</v>
      </c>
    </row>
    <row r="7" spans="2:9">
      <c r="B7" t="s">
        <v>869</v>
      </c>
      <c r="C7" t="s">
        <v>635</v>
      </c>
      <c r="D7" s="389">
        <v>-4035</v>
      </c>
    </row>
    <row r="8" spans="2:9">
      <c r="B8" t="s">
        <v>866</v>
      </c>
      <c r="C8" t="s">
        <v>627</v>
      </c>
      <c r="D8" s="389">
        <v>-7458.06</v>
      </c>
    </row>
    <row r="9" spans="2:9">
      <c r="B9" t="s">
        <v>917</v>
      </c>
      <c r="C9" t="s">
        <v>626</v>
      </c>
      <c r="D9" s="389">
        <v>-1225</v>
      </c>
    </row>
    <row r="10" spans="2:9">
      <c r="B10" t="s">
        <v>934</v>
      </c>
      <c r="C10" t="s">
        <v>626</v>
      </c>
      <c r="D10" s="389">
        <v>-3000</v>
      </c>
    </row>
    <row r="11" spans="2:9">
      <c r="B11" t="s">
        <v>999</v>
      </c>
      <c r="C11" t="s">
        <v>635</v>
      </c>
      <c r="D11" s="389">
        <v>-2300</v>
      </c>
    </row>
    <row r="12" spans="2:9">
      <c r="B12" t="s">
        <v>1007</v>
      </c>
      <c r="C12" t="s">
        <v>635</v>
      </c>
      <c r="D12" s="389">
        <v>-1200</v>
      </c>
    </row>
    <row r="13" spans="2:9">
      <c r="B13" t="s">
        <v>1022</v>
      </c>
      <c r="C13" t="s">
        <v>626</v>
      </c>
      <c r="D13" s="389">
        <v>-1640</v>
      </c>
    </row>
    <row r="14" spans="2:9">
      <c r="B14" t="s">
        <v>1093</v>
      </c>
      <c r="C14" t="s">
        <v>625</v>
      </c>
      <c r="D14" s="389">
        <v>-5000</v>
      </c>
    </row>
    <row r="15" spans="2:9">
      <c r="B15" t="s">
        <v>1104</v>
      </c>
      <c r="C15" t="s">
        <v>625</v>
      </c>
      <c r="D15" s="389">
        <v>-1500</v>
      </c>
    </row>
    <row r="16" spans="2:9">
      <c r="B16" t="s">
        <v>1104</v>
      </c>
      <c r="C16" t="s">
        <v>625</v>
      </c>
      <c r="D16" s="389">
        <v>-1600</v>
      </c>
    </row>
    <row r="17" spans="2:4">
      <c r="B17" t="s">
        <v>1104</v>
      </c>
      <c r="C17" t="s">
        <v>625</v>
      </c>
      <c r="D17" s="389">
        <v>-1130</v>
      </c>
    </row>
    <row r="18" spans="2:4">
      <c r="B18" t="s">
        <v>1162</v>
      </c>
      <c r="C18" t="s">
        <v>625</v>
      </c>
      <c r="D18" s="389">
        <v>-340.4</v>
      </c>
    </row>
    <row r="19" spans="2:4">
      <c r="B19" t="s">
        <v>866</v>
      </c>
      <c r="C19" t="s">
        <v>627</v>
      </c>
      <c r="D19" s="389">
        <v>-3658.89</v>
      </c>
    </row>
    <row r="20" spans="2:4">
      <c r="B20" t="s">
        <v>1217</v>
      </c>
      <c r="C20" t="s">
        <v>626</v>
      </c>
      <c r="D20" s="389">
        <v>-430</v>
      </c>
    </row>
    <row r="21" spans="2:4">
      <c r="B21" t="s">
        <v>1742</v>
      </c>
      <c r="C21" t="s">
        <v>626</v>
      </c>
      <c r="D21" s="389">
        <v>-240</v>
      </c>
    </row>
    <row r="22" spans="2:4">
      <c r="B22" t="s">
        <v>1235</v>
      </c>
      <c r="C22" t="s">
        <v>625</v>
      </c>
      <c r="D22" s="389">
        <v>-550</v>
      </c>
    </row>
    <row r="24" spans="2:4">
      <c r="B24" s="870" t="s">
        <v>1775</v>
      </c>
      <c r="C24" s="870"/>
      <c r="D24" s="870"/>
    </row>
    <row r="25" spans="2:4" ht="3.75" customHeight="1"/>
    <row r="26" spans="2:4">
      <c r="B26" t="s">
        <v>866</v>
      </c>
      <c r="C26" t="s">
        <v>627</v>
      </c>
      <c r="D26" s="389">
        <v>-870.86</v>
      </c>
    </row>
    <row r="27" spans="2:4">
      <c r="B27" t="s">
        <v>1162</v>
      </c>
      <c r="C27" t="s">
        <v>625</v>
      </c>
      <c r="D27" s="389">
        <v>-682.71</v>
      </c>
    </row>
    <row r="28" spans="2:4">
      <c r="B28" t="s">
        <v>1675</v>
      </c>
      <c r="C28" t="s">
        <v>625</v>
      </c>
      <c r="D28" s="389">
        <v>-370</v>
      </c>
    </row>
    <row r="29" spans="2:4">
      <c r="B29" t="s">
        <v>794</v>
      </c>
      <c r="C29" t="s">
        <v>1721</v>
      </c>
      <c r="D29" s="389">
        <v>-121.21</v>
      </c>
    </row>
    <row r="30" spans="2:4">
      <c r="B30" t="s">
        <v>892</v>
      </c>
      <c r="C30" t="s">
        <v>625</v>
      </c>
      <c r="D30" s="389">
        <v>-190</v>
      </c>
    </row>
    <row r="31" spans="2:4">
      <c r="B31" t="s">
        <v>1104</v>
      </c>
      <c r="C31" t="s">
        <v>625</v>
      </c>
      <c r="D31" s="389">
        <v>-1500</v>
      </c>
    </row>
    <row r="32" spans="2:4">
      <c r="B32" t="s">
        <v>1688</v>
      </c>
      <c r="C32" t="s">
        <v>625</v>
      </c>
      <c r="D32" s="389">
        <v>-5100</v>
      </c>
    </row>
    <row r="33" spans="2:11">
      <c r="B33" t="s">
        <v>1675</v>
      </c>
      <c r="C33" t="s">
        <v>625</v>
      </c>
      <c r="D33" s="389">
        <v>-720</v>
      </c>
    </row>
    <row r="34" spans="2:11">
      <c r="B34" t="s">
        <v>1694</v>
      </c>
      <c r="C34" t="s">
        <v>625</v>
      </c>
      <c r="D34" s="389">
        <v>-2509</v>
      </c>
    </row>
    <row r="35" spans="2:11">
      <c r="B35" t="s">
        <v>1007</v>
      </c>
      <c r="C35" t="s">
        <v>625</v>
      </c>
      <c r="D35" s="389">
        <v>-1000</v>
      </c>
    </row>
    <row r="36" spans="2:11">
      <c r="B36" t="s">
        <v>1688</v>
      </c>
      <c r="C36" t="s">
        <v>625</v>
      </c>
      <c r="D36" s="389">
        <v>-700</v>
      </c>
    </row>
    <row r="37" spans="2:11">
      <c r="B37" t="s">
        <v>1706</v>
      </c>
      <c r="C37" t="s">
        <v>626</v>
      </c>
      <c r="D37" s="389">
        <v>-508</v>
      </c>
    </row>
    <row r="38" spans="2:11">
      <c r="D38" s="389"/>
    </row>
    <row r="39" spans="2:11">
      <c r="B39" s="870" t="s">
        <v>1776</v>
      </c>
      <c r="C39" s="870"/>
      <c r="D39" s="870"/>
      <c r="F39" s="871" t="s">
        <v>1778</v>
      </c>
      <c r="G39" s="871"/>
      <c r="H39" s="871"/>
      <c r="I39" s="871"/>
    </row>
    <row r="40" spans="2:11" ht="15">
      <c r="B40" s="518" t="s">
        <v>1725</v>
      </c>
      <c r="C40" t="s">
        <v>546</v>
      </c>
      <c r="D40" s="595">
        <v>-5250</v>
      </c>
      <c r="F40" s="748" t="s">
        <v>1277</v>
      </c>
      <c r="G40" s="749"/>
      <c r="H40" s="749"/>
      <c r="I40" s="748" t="s">
        <v>1278</v>
      </c>
    </row>
    <row r="41" spans="2:11" ht="15">
      <c r="B41" s="518" t="s">
        <v>1702</v>
      </c>
      <c r="C41" t="s">
        <v>546</v>
      </c>
      <c r="D41" s="595">
        <v>-8250</v>
      </c>
      <c r="F41" s="750">
        <f>SUM(D40:D48)</f>
        <v>-77750</v>
      </c>
      <c r="G41" s="751"/>
      <c r="H41" s="751"/>
      <c r="I41" s="750">
        <f>SUM(D51:D59)</f>
        <v>-76900</v>
      </c>
      <c r="K41" s="508"/>
    </row>
    <row r="42" spans="2:11" ht="15">
      <c r="B42" s="518" t="s">
        <v>1684</v>
      </c>
      <c r="C42" t="s">
        <v>546</v>
      </c>
      <c r="D42" s="595">
        <v>-15000</v>
      </c>
    </row>
    <row r="43" spans="2:11" ht="15">
      <c r="B43" s="518" t="s">
        <v>1704</v>
      </c>
      <c r="C43" t="s">
        <v>546</v>
      </c>
      <c r="D43" s="595">
        <v>-9250</v>
      </c>
    </row>
    <row r="44" spans="2:11" ht="15">
      <c r="B44" s="518" t="s">
        <v>1705</v>
      </c>
      <c r="C44" t="s">
        <v>546</v>
      </c>
      <c r="D44" s="595">
        <v>-8250</v>
      </c>
    </row>
    <row r="45" spans="2:11" ht="15">
      <c r="B45" s="518" t="s">
        <v>1707</v>
      </c>
      <c r="C45" t="s">
        <v>546</v>
      </c>
      <c r="D45" s="595">
        <v>-6250</v>
      </c>
    </row>
    <row r="46" spans="2:11" ht="15">
      <c r="B46" s="518" t="s">
        <v>1710</v>
      </c>
      <c r="C46" t="s">
        <v>546</v>
      </c>
      <c r="D46" s="595">
        <v>-7000</v>
      </c>
    </row>
    <row r="47" spans="2:11" ht="15">
      <c r="B47" s="518" t="s">
        <v>1217</v>
      </c>
      <c r="C47" t="s">
        <v>546</v>
      </c>
      <c r="D47" s="595">
        <v>-10000</v>
      </c>
    </row>
    <row r="48" spans="2:11" ht="15">
      <c r="B48" s="518" t="s">
        <v>1713</v>
      </c>
      <c r="C48" t="s">
        <v>546</v>
      </c>
      <c r="D48" s="595">
        <v>-8500</v>
      </c>
    </row>
    <row r="50" spans="2:4">
      <c r="B50" s="870" t="s">
        <v>1777</v>
      </c>
      <c r="C50" s="870"/>
      <c r="D50" s="870"/>
    </row>
    <row r="51" spans="2:4" ht="15">
      <c r="B51" s="518" t="s">
        <v>1702</v>
      </c>
      <c r="C51" t="s">
        <v>546</v>
      </c>
      <c r="D51" s="595">
        <v>-8250</v>
      </c>
    </row>
    <row r="52" spans="2:4" ht="15">
      <c r="B52" s="518" t="s">
        <v>1684</v>
      </c>
      <c r="C52" t="s">
        <v>546</v>
      </c>
      <c r="D52" s="595">
        <v>-15000</v>
      </c>
    </row>
    <row r="53" spans="2:4" ht="15">
      <c r="B53" s="518" t="s">
        <v>1704</v>
      </c>
      <c r="C53" t="s">
        <v>546</v>
      </c>
      <c r="D53" s="595">
        <v>-9250</v>
      </c>
    </row>
    <row r="54" spans="2:4" ht="15">
      <c r="B54" s="518" t="s">
        <v>1705</v>
      </c>
      <c r="C54" t="s">
        <v>546</v>
      </c>
      <c r="D54" s="595">
        <v>-8250</v>
      </c>
    </row>
    <row r="55" spans="2:4" ht="15">
      <c r="B55" s="518" t="s">
        <v>1707</v>
      </c>
      <c r="C55" t="s">
        <v>546</v>
      </c>
      <c r="D55" s="595">
        <v>-6250</v>
      </c>
    </row>
    <row r="56" spans="2:4" ht="15">
      <c r="B56" s="518" t="s">
        <v>1709</v>
      </c>
      <c r="C56" t="s">
        <v>546</v>
      </c>
      <c r="D56" s="595">
        <v>-4400</v>
      </c>
    </row>
    <row r="57" spans="2:4" ht="15">
      <c r="B57" s="518" t="s">
        <v>1710</v>
      </c>
      <c r="C57" t="s">
        <v>546</v>
      </c>
      <c r="D57" s="595">
        <v>-7000</v>
      </c>
    </row>
    <row r="58" spans="2:4" ht="15">
      <c r="B58" s="518" t="s">
        <v>1217</v>
      </c>
      <c r="C58" t="s">
        <v>546</v>
      </c>
      <c r="D58" s="595">
        <v>-10000</v>
      </c>
    </row>
    <row r="59" spans="2:4" ht="15">
      <c r="B59" s="518" t="s">
        <v>1713</v>
      </c>
      <c r="C59" t="s">
        <v>546</v>
      </c>
      <c r="D59" s="595">
        <v>-8500</v>
      </c>
    </row>
    <row r="60" spans="2:4">
      <c r="B60" s="518"/>
    </row>
  </sheetData>
  <mergeCells count="6">
    <mergeCell ref="B1:D1"/>
    <mergeCell ref="B24:D24"/>
    <mergeCell ref="F1:I1"/>
    <mergeCell ref="B39:D39"/>
    <mergeCell ref="B50:D50"/>
    <mergeCell ref="F39:I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9DBC-2F25-404A-BB18-5DC9D1370C19}">
  <sheetPr filterMode="1">
    <tabColor rgb="FF0070C0"/>
  </sheetPr>
  <dimension ref="A1:XEU3240"/>
  <sheetViews>
    <sheetView topLeftCell="B1" zoomScale="95" zoomScaleNormal="95" workbookViewId="0">
      <pane ySplit="1" topLeftCell="A2039" activePane="bottomLeft" state="frozen"/>
      <selection pane="bottomLeft" activeCell="E3250" sqref="E3250"/>
    </sheetView>
  </sheetViews>
  <sheetFormatPr defaultRowHeight="12.75"/>
  <cols>
    <col min="1" max="1" width="14" customWidth="1"/>
    <col min="2" max="2" width="21" customWidth="1"/>
    <col min="3" max="3" width="9.5703125" customWidth="1"/>
    <col min="4" max="4" width="98.5703125" customWidth="1"/>
    <col min="5" max="5" width="69.42578125" customWidth="1"/>
    <col min="6" max="6" width="8.7109375" bestFit="1" customWidth="1"/>
    <col min="7" max="7" width="52.42578125" bestFit="1" customWidth="1"/>
    <col min="8" max="8" width="19.140625" bestFit="1" customWidth="1"/>
    <col min="9" max="9" width="13.42578125" customWidth="1"/>
    <col min="10" max="10" width="17.140625" bestFit="1" customWidth="1"/>
    <col min="11" max="11" width="65.42578125" customWidth="1"/>
    <col min="12" max="12" width="35.28515625" customWidth="1"/>
    <col min="14" max="14" width="12" bestFit="1" customWidth="1"/>
  </cols>
  <sheetData>
    <row r="1" spans="1:12" ht="15">
      <c r="A1" s="483" t="s">
        <v>684</v>
      </c>
      <c r="B1" s="483" t="s">
        <v>685</v>
      </c>
      <c r="C1" s="483" t="s">
        <v>686</v>
      </c>
      <c r="D1" s="483" t="s">
        <v>400</v>
      </c>
      <c r="F1" s="483" t="s">
        <v>1271</v>
      </c>
      <c r="G1" s="483" t="s">
        <v>1265</v>
      </c>
      <c r="H1" s="483" t="s">
        <v>1266</v>
      </c>
      <c r="I1" s="485" t="s">
        <v>1267</v>
      </c>
      <c r="J1" s="485" t="s">
        <v>1268</v>
      </c>
      <c r="K1" s="486" t="s">
        <v>1269</v>
      </c>
      <c r="L1" s="485" t="s">
        <v>1270</v>
      </c>
    </row>
    <row r="2" spans="1:12" ht="15" hidden="1">
      <c r="A2" t="s">
        <v>688</v>
      </c>
      <c r="B2" t="s">
        <v>689</v>
      </c>
      <c r="C2" t="s">
        <v>690</v>
      </c>
      <c r="D2" t="s">
        <v>691</v>
      </c>
      <c r="E2" t="s">
        <v>692</v>
      </c>
      <c r="F2" t="s">
        <v>1272</v>
      </c>
      <c r="G2" t="s">
        <v>642</v>
      </c>
      <c r="H2" s="595">
        <v>-2753.71</v>
      </c>
      <c r="I2" t="str">
        <f>TEXT(A2, "mmmm aaaa")</f>
        <v>janeiro 2026</v>
      </c>
      <c r="J2">
        <f>YEAR(A2)</f>
        <v>2026</v>
      </c>
      <c r="K2" t="str">
        <f>VLOOKUP(G2,METRICS!C:D,2,0)</f>
        <v>Férias</v>
      </c>
      <c r="L2" t="str">
        <f>VLOOKUP(K2,METRICS!D:E,2,0)</f>
        <v>PESSOAL</v>
      </c>
    </row>
    <row r="3" spans="1:12" ht="15" hidden="1">
      <c r="A3" t="s">
        <v>688</v>
      </c>
      <c r="B3" t="s">
        <v>689</v>
      </c>
      <c r="C3" t="s">
        <v>690</v>
      </c>
      <c r="D3" t="s">
        <v>693</v>
      </c>
      <c r="E3" t="s">
        <v>694</v>
      </c>
      <c r="F3" t="s">
        <v>1272</v>
      </c>
      <c r="G3" t="s">
        <v>657</v>
      </c>
      <c r="H3" s="595">
        <v>-5338.71</v>
      </c>
      <c r="I3" t="str">
        <f t="shared" ref="I3:I59" si="0">TEXT(A3, "mmmm aaaa")</f>
        <v>janeiro 2026</v>
      </c>
      <c r="J3">
        <f t="shared" ref="J3:J66" si="1">YEAR(A3)</f>
        <v>2026</v>
      </c>
      <c r="K3" t="str">
        <f>VLOOKUP(G3,METRICS!C:D,2,0)</f>
        <v>Aluguel de Maquinas</v>
      </c>
      <c r="L3" t="str">
        <f>VLOOKUP(K3,METRICS!D:E,2,0)</f>
        <v>OPERAÇÃO</v>
      </c>
    </row>
    <row r="4" spans="1:12" ht="15" hidden="1">
      <c r="A4" t="s">
        <v>688</v>
      </c>
      <c r="B4" t="s">
        <v>689</v>
      </c>
      <c r="C4" t="s">
        <v>690</v>
      </c>
      <c r="D4" t="s">
        <v>695</v>
      </c>
      <c r="E4" t="s">
        <v>696</v>
      </c>
      <c r="F4" t="s">
        <v>1272</v>
      </c>
      <c r="G4" t="s">
        <v>660</v>
      </c>
      <c r="H4" s="595">
        <v>-237.92</v>
      </c>
      <c r="I4" t="str">
        <f t="shared" si="0"/>
        <v>janeiro 2026</v>
      </c>
      <c r="J4">
        <f t="shared" si="1"/>
        <v>2026</v>
      </c>
      <c r="K4" t="str">
        <f>VLOOKUP(G4,METRICS!C:D,2,0)</f>
        <v>Telefone e Internet</v>
      </c>
      <c r="L4" t="str">
        <f>VLOOKUP(K4,METRICS!D:E,2,0)</f>
        <v>ADMINISTRATIVA</v>
      </c>
    </row>
    <row r="5" spans="1:12" ht="15" hidden="1">
      <c r="A5" t="s">
        <v>688</v>
      </c>
      <c r="B5" t="s">
        <v>689</v>
      </c>
      <c r="C5" t="s">
        <v>690</v>
      </c>
      <c r="D5" t="s">
        <v>697</v>
      </c>
      <c r="E5" t="s">
        <v>698</v>
      </c>
      <c r="F5" t="s">
        <v>1272</v>
      </c>
      <c r="G5" t="s">
        <v>659</v>
      </c>
      <c r="H5" s="595">
        <v>-8000</v>
      </c>
      <c r="I5" t="str">
        <f t="shared" si="0"/>
        <v>janeiro 2026</v>
      </c>
      <c r="J5">
        <f t="shared" si="1"/>
        <v>2026</v>
      </c>
      <c r="K5" t="str">
        <f>VLOOKUP(G5,METRICS!C:D,2,0)</f>
        <v>Propaganda, Publicidade e Patrocínio</v>
      </c>
      <c r="L5" t="str">
        <f>VLOOKUP(K5,METRICS!D:E,2,0)</f>
        <v>MARKETING</v>
      </c>
    </row>
    <row r="6" spans="1:12" ht="15" hidden="1">
      <c r="A6" t="s">
        <v>688</v>
      </c>
      <c r="B6" t="s">
        <v>689</v>
      </c>
      <c r="C6" t="s">
        <v>690</v>
      </c>
      <c r="D6" t="s">
        <v>699</v>
      </c>
      <c r="E6" t="s">
        <v>696</v>
      </c>
      <c r="F6" t="s">
        <v>1272</v>
      </c>
      <c r="G6" t="s">
        <v>660</v>
      </c>
      <c r="H6" s="595">
        <v>-383.79</v>
      </c>
      <c r="I6" t="str">
        <f t="shared" si="0"/>
        <v>janeiro 2026</v>
      </c>
      <c r="J6">
        <f t="shared" si="1"/>
        <v>2026</v>
      </c>
      <c r="K6" t="str">
        <f>VLOOKUP(G6,METRICS!C:D,2,0)</f>
        <v>Telefone e Internet</v>
      </c>
      <c r="L6" t="str">
        <f>VLOOKUP(K6,METRICS!D:E,2,0)</f>
        <v>ADMINISTRATIVA</v>
      </c>
    </row>
    <row r="7" spans="1:12" ht="15" hidden="1">
      <c r="A7" t="s">
        <v>688</v>
      </c>
      <c r="B7" t="s">
        <v>689</v>
      </c>
      <c r="C7" t="s">
        <v>690</v>
      </c>
      <c r="D7" s="518" t="s">
        <v>1324</v>
      </c>
      <c r="E7" s="518" t="s">
        <v>700</v>
      </c>
      <c r="F7" t="s">
        <v>1272</v>
      </c>
      <c r="G7" t="s">
        <v>661</v>
      </c>
      <c r="H7" s="595">
        <v>-22000</v>
      </c>
      <c r="I7" t="str">
        <f t="shared" si="0"/>
        <v>janeiro 2026</v>
      </c>
      <c r="J7">
        <f t="shared" si="1"/>
        <v>2026</v>
      </c>
      <c r="K7" t="str">
        <f>VLOOKUP(G7,METRICS!C:D,2,0)</f>
        <v>Consultoria OP</v>
      </c>
      <c r="L7" t="str">
        <f>VLOOKUP(K7,METRICS!D:E,2,0)</f>
        <v>OPERAÇÃO</v>
      </c>
    </row>
    <row r="8" spans="1:12" ht="15" hidden="1">
      <c r="A8" t="s">
        <v>688</v>
      </c>
      <c r="B8" t="s">
        <v>689</v>
      </c>
      <c r="C8" t="s">
        <v>690</v>
      </c>
      <c r="D8" t="s">
        <v>701</v>
      </c>
      <c r="E8" t="s">
        <v>702</v>
      </c>
      <c r="F8" t="s">
        <v>1272</v>
      </c>
      <c r="G8" t="s">
        <v>659</v>
      </c>
      <c r="H8" s="595">
        <v>-15000</v>
      </c>
      <c r="I8" t="str">
        <f t="shared" si="0"/>
        <v>janeiro 2026</v>
      </c>
      <c r="J8">
        <f t="shared" si="1"/>
        <v>2026</v>
      </c>
      <c r="K8" t="str">
        <f>VLOOKUP(G8,METRICS!C:D,2,0)</f>
        <v>Propaganda, Publicidade e Patrocínio</v>
      </c>
      <c r="L8" t="str">
        <f>VLOOKUP(K8,METRICS!D:E,2,0)</f>
        <v>MARKETING</v>
      </c>
    </row>
    <row r="9" spans="1:12" ht="15" hidden="1">
      <c r="A9" t="s">
        <v>688</v>
      </c>
      <c r="B9" t="s">
        <v>689</v>
      </c>
      <c r="C9" t="s">
        <v>690</v>
      </c>
      <c r="D9" t="s">
        <v>703</v>
      </c>
      <c r="E9" t="s">
        <v>704</v>
      </c>
      <c r="F9" t="s">
        <v>1272</v>
      </c>
      <c r="G9" t="s">
        <v>643</v>
      </c>
      <c r="H9" s="595">
        <v>-4473.91</v>
      </c>
      <c r="I9" t="str">
        <f t="shared" si="0"/>
        <v>janeiro 2026</v>
      </c>
      <c r="J9">
        <f t="shared" si="1"/>
        <v>2026</v>
      </c>
      <c r="K9" t="str">
        <f>VLOOKUP(G9,METRICS!C:D,2,0)</f>
        <v>Rescisões Trabalhistas</v>
      </c>
      <c r="L9" t="str">
        <f>VLOOKUP(K9,METRICS!D:E,2,0)</f>
        <v>PESSOAL</v>
      </c>
    </row>
    <row r="10" spans="1:12" ht="15" hidden="1">
      <c r="A10" t="s">
        <v>688</v>
      </c>
      <c r="B10" t="s">
        <v>689</v>
      </c>
      <c r="C10" t="s">
        <v>690</v>
      </c>
      <c r="D10" t="s">
        <v>705</v>
      </c>
      <c r="E10" t="s">
        <v>706</v>
      </c>
      <c r="F10" t="s">
        <v>1272</v>
      </c>
      <c r="G10" t="s">
        <v>644</v>
      </c>
      <c r="H10" s="595">
        <v>-634.49</v>
      </c>
      <c r="I10" t="str">
        <f t="shared" si="0"/>
        <v>janeiro 2026</v>
      </c>
      <c r="J10">
        <f t="shared" si="1"/>
        <v>2026</v>
      </c>
      <c r="K10" t="str">
        <f>VLOOKUP(G10,METRICS!C:D,2,0)</f>
        <v>IR/INSS</v>
      </c>
      <c r="L10" t="str">
        <f>VLOOKUP(K10,METRICS!D:E,2,0)</f>
        <v>PESSOAL</v>
      </c>
    </row>
    <row r="11" spans="1:12" ht="15" hidden="1">
      <c r="A11" t="s">
        <v>688</v>
      </c>
      <c r="B11" t="s">
        <v>612</v>
      </c>
      <c r="C11" t="s">
        <v>690</v>
      </c>
      <c r="D11" t="s">
        <v>707</v>
      </c>
      <c r="E11" t="s">
        <v>708</v>
      </c>
      <c r="F11" t="s">
        <v>1272</v>
      </c>
      <c r="G11" t="s">
        <v>613</v>
      </c>
      <c r="H11" s="595">
        <v>-916.5</v>
      </c>
      <c r="I11" t="str">
        <f t="shared" si="0"/>
        <v>janeiro 2026</v>
      </c>
      <c r="J11">
        <f t="shared" si="1"/>
        <v>2026</v>
      </c>
      <c r="K11" t="str">
        <f>VLOOKUP(G11,METRICS!C:D,2,0)</f>
        <v>Dedetização</v>
      </c>
      <c r="L11" t="str">
        <f>VLOOKUP(K11,METRICS!D:E,2,0)</f>
        <v>ADMINISTRATIVA</v>
      </c>
    </row>
    <row r="12" spans="1:12" ht="15" hidden="1">
      <c r="A12" t="s">
        <v>688</v>
      </c>
      <c r="B12" t="s">
        <v>689</v>
      </c>
      <c r="C12" t="s">
        <v>690</v>
      </c>
      <c r="D12" t="s">
        <v>709</v>
      </c>
      <c r="E12" t="s">
        <v>710</v>
      </c>
      <c r="F12" t="s">
        <v>1272</v>
      </c>
      <c r="G12" t="s">
        <v>645</v>
      </c>
      <c r="H12" s="595">
        <v>-16628.349999999999</v>
      </c>
      <c r="I12" t="str">
        <f t="shared" si="0"/>
        <v>janeiro 2026</v>
      </c>
      <c r="J12">
        <f t="shared" si="1"/>
        <v>2026</v>
      </c>
      <c r="K12" t="str">
        <f>VLOOKUP(G12,METRICS!C:D,2,0)</f>
        <v>Vale Transporte</v>
      </c>
      <c r="L12" t="str">
        <f>VLOOKUP(K12,METRICS!D:E,2,0)</f>
        <v>PESSOAL</v>
      </c>
    </row>
    <row r="13" spans="1:12" ht="15" hidden="1">
      <c r="A13" t="s">
        <v>688</v>
      </c>
      <c r="B13" t="s">
        <v>689</v>
      </c>
      <c r="C13" t="s">
        <v>690</v>
      </c>
      <c r="D13" t="s">
        <v>703</v>
      </c>
      <c r="E13" t="s">
        <v>711</v>
      </c>
      <c r="F13" t="s">
        <v>1272</v>
      </c>
      <c r="G13" t="s">
        <v>643</v>
      </c>
      <c r="H13" s="595">
        <v>-2899.17</v>
      </c>
      <c r="I13" t="str">
        <f t="shared" si="0"/>
        <v>janeiro 2026</v>
      </c>
      <c r="J13">
        <f t="shared" si="1"/>
        <v>2026</v>
      </c>
      <c r="K13" t="str">
        <f>VLOOKUP(G13,METRICS!C:D,2,0)</f>
        <v>Rescisões Trabalhistas</v>
      </c>
      <c r="L13" t="str">
        <f>VLOOKUP(K13,METRICS!D:E,2,0)</f>
        <v>PESSOAL</v>
      </c>
    </row>
    <row r="14" spans="1:12" ht="15" hidden="1">
      <c r="A14" t="s">
        <v>688</v>
      </c>
      <c r="B14" t="s">
        <v>689</v>
      </c>
      <c r="C14" t="s">
        <v>690</v>
      </c>
      <c r="D14" t="s">
        <v>712</v>
      </c>
      <c r="E14" s="518" t="s">
        <v>713</v>
      </c>
      <c r="F14" t="s">
        <v>1272</v>
      </c>
      <c r="G14" s="518" t="s">
        <v>662</v>
      </c>
      <c r="H14" s="595">
        <v>-8506.41</v>
      </c>
      <c r="I14" t="str">
        <f t="shared" si="0"/>
        <v>janeiro 2026</v>
      </c>
      <c r="J14">
        <f t="shared" si="1"/>
        <v>2026</v>
      </c>
      <c r="K14" t="str">
        <f>VLOOKUP(G14,METRICS!C:D,2,0)</f>
        <v>Lavanderia</v>
      </c>
      <c r="L14" t="str">
        <f>VLOOKUP(K14,METRICS!D:E,2,0)</f>
        <v>OPERAÇÃO</v>
      </c>
    </row>
    <row r="15" spans="1:12" ht="15" hidden="1">
      <c r="A15" t="s">
        <v>714</v>
      </c>
      <c r="B15" t="s">
        <v>689</v>
      </c>
      <c r="C15" t="s">
        <v>715</v>
      </c>
      <c r="D15" t="s">
        <v>716</v>
      </c>
      <c r="E15" t="s">
        <v>717</v>
      </c>
      <c r="F15" t="s">
        <v>1272</v>
      </c>
      <c r="G15" t="s">
        <v>663</v>
      </c>
      <c r="H15" s="595">
        <v>-16112.86</v>
      </c>
      <c r="I15" t="str">
        <f t="shared" si="0"/>
        <v>janeiro 2026</v>
      </c>
      <c r="J15">
        <f t="shared" si="1"/>
        <v>2026</v>
      </c>
      <c r="K15" t="str">
        <f>VLOOKUP(G15,METRICS!C:D,2,0)</f>
        <v>Aluguéis</v>
      </c>
      <c r="L15" t="str">
        <f>VLOOKUP(K15,METRICS!D:E,2,0)</f>
        <v>OCUPAÇÃO</v>
      </c>
    </row>
    <row r="16" spans="1:12" ht="15" hidden="1">
      <c r="A16" t="s">
        <v>714</v>
      </c>
      <c r="B16" t="s">
        <v>612</v>
      </c>
      <c r="C16" t="s">
        <v>690</v>
      </c>
      <c r="D16" t="s">
        <v>718</v>
      </c>
      <c r="E16" t="s">
        <v>719</v>
      </c>
      <c r="F16" t="s">
        <v>1272</v>
      </c>
      <c r="G16" t="s">
        <v>631</v>
      </c>
      <c r="H16" s="595">
        <v>-1890.6</v>
      </c>
      <c r="I16" t="str">
        <f t="shared" si="0"/>
        <v>janeiro 2026</v>
      </c>
      <c r="J16">
        <f t="shared" si="1"/>
        <v>2026</v>
      </c>
      <c r="K16" t="str">
        <f>VLOOKUP(G16,METRICS!C:D,2,0)</f>
        <v>Midias Sociais</v>
      </c>
      <c r="L16" t="str">
        <f>VLOOKUP(K16,METRICS!D:E,2,0)</f>
        <v>MARKETING</v>
      </c>
    </row>
    <row r="17" spans="1:12" ht="15" hidden="1">
      <c r="A17" t="s">
        <v>714</v>
      </c>
      <c r="B17" t="s">
        <v>612</v>
      </c>
      <c r="C17" t="s">
        <v>690</v>
      </c>
      <c r="D17" t="s">
        <v>720</v>
      </c>
      <c r="E17" t="s">
        <v>721</v>
      </c>
      <c r="F17" t="s">
        <v>1272</v>
      </c>
      <c r="G17" s="518" t="s">
        <v>1736</v>
      </c>
      <c r="H17" s="595">
        <v>-783</v>
      </c>
      <c r="I17" t="str">
        <f t="shared" si="0"/>
        <v>janeiro 2026</v>
      </c>
      <c r="J17">
        <f t="shared" si="1"/>
        <v>2026</v>
      </c>
      <c r="K17" t="str">
        <f>VLOOKUP(G17,METRICS!C:D,2,0)</f>
        <v>Sistema e Software OP</v>
      </c>
      <c r="L17" t="str">
        <f>VLOOKUP(K17,METRICS!D:E,2,0)</f>
        <v>OPERAÇÃO</v>
      </c>
    </row>
    <row r="18" spans="1:12" ht="15" hidden="1">
      <c r="A18" t="s">
        <v>714</v>
      </c>
      <c r="B18" t="s">
        <v>612</v>
      </c>
      <c r="C18" t="s">
        <v>690</v>
      </c>
      <c r="D18" t="s">
        <v>722</v>
      </c>
      <c r="E18" t="s">
        <v>721</v>
      </c>
      <c r="F18" t="s">
        <v>1272</v>
      </c>
      <c r="G18" s="518" t="s">
        <v>1736</v>
      </c>
      <c r="H18" s="595">
        <v>-1461.91</v>
      </c>
      <c r="I18" t="str">
        <f t="shared" si="0"/>
        <v>janeiro 2026</v>
      </c>
      <c r="J18">
        <f t="shared" si="1"/>
        <v>2026</v>
      </c>
      <c r="K18" t="str">
        <f>VLOOKUP(G18,METRICS!C:D,2,0)</f>
        <v>Sistema e Software OP</v>
      </c>
      <c r="L18" t="str">
        <f>VLOOKUP(K18,METRICS!D:E,2,0)</f>
        <v>OPERAÇÃO</v>
      </c>
    </row>
    <row r="19" spans="1:12" ht="15" hidden="1">
      <c r="A19" t="s">
        <v>714</v>
      </c>
      <c r="B19" t="s">
        <v>612</v>
      </c>
      <c r="C19" t="s">
        <v>690</v>
      </c>
      <c r="D19" t="s">
        <v>723</v>
      </c>
      <c r="E19" t="s">
        <v>724</v>
      </c>
      <c r="F19" t="s">
        <v>1272</v>
      </c>
      <c r="G19" t="s">
        <v>669</v>
      </c>
      <c r="H19" s="595">
        <v>-44.69</v>
      </c>
      <c r="I19" t="str">
        <f t="shared" si="0"/>
        <v>janeiro 2026</v>
      </c>
      <c r="J19">
        <f t="shared" si="1"/>
        <v>2026</v>
      </c>
      <c r="K19" t="str">
        <f>VLOOKUP(G19,METRICS!C:D,2,0)</f>
        <v>Taxas Financeiras Diversas</v>
      </c>
      <c r="L19" t="str">
        <f>VLOOKUP(K19,METRICS!D:E,2,0)</f>
        <v>TAXAS CARTÃO DE CRÉDITO</v>
      </c>
    </row>
    <row r="20" spans="1:12" ht="15" hidden="1">
      <c r="A20" t="s">
        <v>725</v>
      </c>
      <c r="B20" t="s">
        <v>612</v>
      </c>
      <c r="C20" t="s">
        <v>690</v>
      </c>
      <c r="D20" t="s">
        <v>726</v>
      </c>
      <c r="E20" t="s">
        <v>727</v>
      </c>
      <c r="F20" t="s">
        <v>1272</v>
      </c>
      <c r="G20" t="s">
        <v>620</v>
      </c>
      <c r="H20" s="595">
        <v>-3142.58</v>
      </c>
      <c r="I20" t="str">
        <f t="shared" si="0"/>
        <v>janeiro 2026</v>
      </c>
      <c r="J20">
        <f t="shared" si="1"/>
        <v>2026</v>
      </c>
      <c r="K20" t="str">
        <f>VLOOKUP(G20,METRICS!C:D,2,0)</f>
        <v>Hortifruti</v>
      </c>
      <c r="L20" t="str">
        <f>VLOOKUP(K20,METRICS!D:E,2,0)</f>
        <v>CUSTOS DOS PRODUTOS VENDIDOS</v>
      </c>
    </row>
    <row r="21" spans="1:12" ht="15" hidden="1">
      <c r="A21" t="s">
        <v>728</v>
      </c>
      <c r="B21" t="s">
        <v>689</v>
      </c>
      <c r="C21" t="s">
        <v>690</v>
      </c>
      <c r="D21" t="s">
        <v>729</v>
      </c>
      <c r="E21" t="s">
        <v>1276</v>
      </c>
      <c r="F21" t="s">
        <v>1272</v>
      </c>
      <c r="G21" t="s">
        <v>664</v>
      </c>
      <c r="H21" s="595">
        <v>-150</v>
      </c>
      <c r="I21" t="str">
        <f t="shared" si="0"/>
        <v>janeiro 2026</v>
      </c>
      <c r="J21">
        <f t="shared" si="1"/>
        <v>2026</v>
      </c>
      <c r="K21" t="str">
        <f>VLOOKUP(G21,METRICS!C:D,2,0)</f>
        <v>Colaborador Extra</v>
      </c>
      <c r="L21" t="str">
        <f>VLOOKUP(K21,METRICS!D:E,2,0)</f>
        <v>PESSOAL</v>
      </c>
    </row>
    <row r="22" spans="1:12" ht="15" hidden="1">
      <c r="A22" t="s">
        <v>728</v>
      </c>
      <c r="B22" t="s">
        <v>612</v>
      </c>
      <c r="C22" t="s">
        <v>690</v>
      </c>
      <c r="D22" t="s">
        <v>730</v>
      </c>
      <c r="E22" t="s">
        <v>731</v>
      </c>
      <c r="F22" t="s">
        <v>1272</v>
      </c>
      <c r="G22" t="s">
        <v>637</v>
      </c>
      <c r="H22" s="595">
        <v>-2097.46</v>
      </c>
      <c r="I22" t="str">
        <f t="shared" si="0"/>
        <v>janeiro 2026</v>
      </c>
      <c r="J22">
        <f t="shared" si="1"/>
        <v>2026</v>
      </c>
      <c r="K22" t="str">
        <f>VLOOKUP(G22,METRICS!C:D,2,0)</f>
        <v>Prestação de Servço Informatica</v>
      </c>
      <c r="L22" t="str">
        <f>VLOOKUP(K22,METRICS!D:E,2,0)</f>
        <v>ADMINISTRATIVA</v>
      </c>
    </row>
    <row r="23" spans="1:12" ht="15" hidden="1">
      <c r="A23" t="s">
        <v>732</v>
      </c>
      <c r="B23" t="s">
        <v>689</v>
      </c>
      <c r="C23" t="s">
        <v>690</v>
      </c>
      <c r="D23" t="s">
        <v>1106</v>
      </c>
      <c r="E23" t="s">
        <v>1106</v>
      </c>
      <c r="F23" t="s">
        <v>1272</v>
      </c>
      <c r="G23" t="s">
        <v>650</v>
      </c>
      <c r="H23" s="595">
        <v>-46879.93</v>
      </c>
      <c r="I23" t="str">
        <f>TEXT(A23, "mmmm aaaa")</f>
        <v>janeiro 2026</v>
      </c>
      <c r="J23">
        <f>YEAR(A23)</f>
        <v>2026</v>
      </c>
      <c r="K23" t="str">
        <f>VLOOKUP(G23,METRICS!C:D,2,0)</f>
        <v>Salários e Ordenados</v>
      </c>
      <c r="L23" t="str">
        <f>VLOOKUP(K23,METRICS!D:E,2,0)</f>
        <v>PESSOAL</v>
      </c>
    </row>
    <row r="24" spans="1:12" ht="15" hidden="1">
      <c r="A24" t="s">
        <v>732</v>
      </c>
      <c r="B24" t="s">
        <v>689</v>
      </c>
      <c r="C24" t="s">
        <v>690</v>
      </c>
      <c r="D24" t="s">
        <v>1106</v>
      </c>
      <c r="E24" t="s">
        <v>1106</v>
      </c>
      <c r="F24" t="s">
        <v>1272</v>
      </c>
      <c r="G24" s="518" t="s">
        <v>1733</v>
      </c>
      <c r="H24" s="595">
        <v>-74507.259999999995</v>
      </c>
      <c r="I24" t="str">
        <f>TEXT(A24, "mmmm aaaa")</f>
        <v>janeiro 2026</v>
      </c>
      <c r="J24">
        <f>YEAR(A24)</f>
        <v>2026</v>
      </c>
      <c r="K24" t="str">
        <f>VLOOKUP(G24,METRICS!C:D,2,0)</f>
        <v>Gorjetas Pagas</v>
      </c>
      <c r="L24" t="str">
        <f>VLOOKUP(K24,METRICS!D:E,2,0)</f>
        <v>PESSOAL</v>
      </c>
    </row>
    <row r="25" spans="1:12" ht="15" hidden="1">
      <c r="A25" t="s">
        <v>732</v>
      </c>
      <c r="B25" t="s">
        <v>689</v>
      </c>
      <c r="C25" t="s">
        <v>690</v>
      </c>
      <c r="D25" t="s">
        <v>733</v>
      </c>
      <c r="E25" t="s">
        <v>734</v>
      </c>
      <c r="F25" t="s">
        <v>1272</v>
      </c>
      <c r="G25" t="s">
        <v>665</v>
      </c>
      <c r="H25" s="595">
        <v>-0.23</v>
      </c>
      <c r="I25" t="str">
        <f t="shared" si="0"/>
        <v>janeiro 2026</v>
      </c>
      <c r="J25">
        <f t="shared" si="1"/>
        <v>2026</v>
      </c>
      <c r="K25" t="str">
        <f>VLOOKUP(G25,METRICS!C:D,2,0)</f>
        <v>Taxas Financeiras Diversas</v>
      </c>
      <c r="L25" t="str">
        <f>VLOOKUP(K25,METRICS!D:E,2,0)</f>
        <v>TAXAS CARTÃO DE CRÉDITO</v>
      </c>
    </row>
    <row r="26" spans="1:12" ht="15" hidden="1">
      <c r="A26" t="s">
        <v>732</v>
      </c>
      <c r="B26" t="s">
        <v>612</v>
      </c>
      <c r="C26" t="s">
        <v>690</v>
      </c>
      <c r="D26" t="s">
        <v>735</v>
      </c>
      <c r="E26" t="s">
        <v>736</v>
      </c>
      <c r="F26" t="s">
        <v>1272</v>
      </c>
      <c r="G26" t="s">
        <v>636</v>
      </c>
      <c r="H26" s="595">
        <v>-778.8</v>
      </c>
      <c r="I26" t="str">
        <f t="shared" si="0"/>
        <v>janeiro 2026</v>
      </c>
      <c r="J26">
        <f t="shared" si="1"/>
        <v>2026</v>
      </c>
      <c r="K26" t="str">
        <f>VLOOKUP(G26,METRICS!C:D,2,0)</f>
        <v>Secos - Mercearia</v>
      </c>
      <c r="L26" t="str">
        <f>VLOOKUP(K26,METRICS!D:E,2,0)</f>
        <v>CUSTOS DOS PRODUTOS VENDIDOS</v>
      </c>
    </row>
    <row r="27" spans="1:12" ht="15" hidden="1">
      <c r="A27" t="s">
        <v>732</v>
      </c>
      <c r="B27" t="s">
        <v>612</v>
      </c>
      <c r="C27" t="s">
        <v>690</v>
      </c>
      <c r="D27" t="s">
        <v>737</v>
      </c>
      <c r="E27" t="s">
        <v>738</v>
      </c>
      <c r="F27" t="s">
        <v>1272</v>
      </c>
      <c r="G27" t="s">
        <v>636</v>
      </c>
      <c r="H27" s="595">
        <v>-1713.3</v>
      </c>
      <c r="I27" t="str">
        <f t="shared" si="0"/>
        <v>janeiro 2026</v>
      </c>
      <c r="J27">
        <f t="shared" si="1"/>
        <v>2026</v>
      </c>
      <c r="K27" t="str">
        <f>VLOOKUP(G27,METRICS!C:D,2,0)</f>
        <v>Secos - Mercearia</v>
      </c>
      <c r="L27" t="str">
        <f>VLOOKUP(K27,METRICS!D:E,2,0)</f>
        <v>CUSTOS DOS PRODUTOS VENDIDOS</v>
      </c>
    </row>
    <row r="28" spans="1:12" ht="15" hidden="1">
      <c r="A28" t="s">
        <v>732</v>
      </c>
      <c r="B28" t="s">
        <v>612</v>
      </c>
      <c r="C28" t="s">
        <v>690</v>
      </c>
      <c r="D28" t="s">
        <v>739</v>
      </c>
      <c r="E28" t="s">
        <v>740</v>
      </c>
      <c r="F28" t="s">
        <v>1272</v>
      </c>
      <c r="G28" t="s">
        <v>609</v>
      </c>
      <c r="H28" s="595">
        <v>-2761.2</v>
      </c>
      <c r="I28" t="str">
        <f t="shared" si="0"/>
        <v>janeiro 2026</v>
      </c>
      <c r="J28">
        <f t="shared" si="1"/>
        <v>2026</v>
      </c>
      <c r="K28" t="str">
        <f>VLOOKUP(G28,METRICS!C:D,2,0)</f>
        <v>Carnes e Aves</v>
      </c>
      <c r="L28" t="str">
        <f>VLOOKUP(K28,METRICS!D:E,2,0)</f>
        <v>CUSTOS DOS PRODUTOS VENDIDOS</v>
      </c>
    </row>
    <row r="29" spans="1:12" ht="15" hidden="1">
      <c r="A29" t="s">
        <v>732</v>
      </c>
      <c r="B29" t="s">
        <v>612</v>
      </c>
      <c r="C29" t="s">
        <v>690</v>
      </c>
      <c r="D29" t="s">
        <v>741</v>
      </c>
      <c r="E29" t="s">
        <v>742</v>
      </c>
      <c r="F29" t="s">
        <v>1272</v>
      </c>
      <c r="G29" t="s">
        <v>632</v>
      </c>
      <c r="H29" s="595">
        <v>-3054.34</v>
      </c>
      <c r="I29" t="str">
        <f t="shared" si="0"/>
        <v>janeiro 2026</v>
      </c>
      <c r="J29">
        <f t="shared" si="1"/>
        <v>2026</v>
      </c>
      <c r="K29" t="str">
        <f>VLOOKUP(G29,METRICS!C:D,2,0)</f>
        <v>Assessoria Nutricional</v>
      </c>
      <c r="L29" t="str">
        <f>VLOOKUP(K29,METRICS!D:E,2,0)</f>
        <v>OPERAÇÃO</v>
      </c>
    </row>
    <row r="30" spans="1:12" ht="15" hidden="1">
      <c r="A30" t="s">
        <v>732</v>
      </c>
      <c r="B30" t="s">
        <v>689</v>
      </c>
      <c r="C30" t="s">
        <v>690</v>
      </c>
      <c r="D30" t="s">
        <v>743</v>
      </c>
      <c r="E30" t="s">
        <v>734</v>
      </c>
      <c r="F30" t="s">
        <v>1272</v>
      </c>
      <c r="G30" t="s">
        <v>665</v>
      </c>
      <c r="H30" s="595">
        <v>-49.83</v>
      </c>
      <c r="I30" t="str">
        <f t="shared" si="0"/>
        <v>janeiro 2026</v>
      </c>
      <c r="J30">
        <f t="shared" si="1"/>
        <v>2026</v>
      </c>
      <c r="K30" t="str">
        <f>VLOOKUP(G30,METRICS!C:D,2,0)</f>
        <v>Taxas Financeiras Diversas</v>
      </c>
      <c r="L30" t="str">
        <f>VLOOKUP(K30,METRICS!D:E,2,0)</f>
        <v>TAXAS CARTÃO DE CRÉDITO</v>
      </c>
    </row>
    <row r="31" spans="1:12" ht="15" hidden="1">
      <c r="A31" t="s">
        <v>732</v>
      </c>
      <c r="B31" t="s">
        <v>612</v>
      </c>
      <c r="C31" t="s">
        <v>690</v>
      </c>
      <c r="D31" t="s">
        <v>744</v>
      </c>
      <c r="E31" t="s">
        <v>745</v>
      </c>
      <c r="F31" t="s">
        <v>1272</v>
      </c>
      <c r="G31" t="s">
        <v>620</v>
      </c>
      <c r="H31" s="595">
        <v>-364.6</v>
      </c>
      <c r="I31" t="str">
        <f t="shared" si="0"/>
        <v>janeiro 2026</v>
      </c>
      <c r="J31">
        <f t="shared" si="1"/>
        <v>2026</v>
      </c>
      <c r="K31" t="str">
        <f>VLOOKUP(G31,METRICS!C:D,2,0)</f>
        <v>Hortifruti</v>
      </c>
      <c r="L31" t="str">
        <f>VLOOKUP(K31,METRICS!D:E,2,0)</f>
        <v>CUSTOS DOS PRODUTOS VENDIDOS</v>
      </c>
    </row>
    <row r="32" spans="1:12" ht="15" hidden="1">
      <c r="A32" t="s">
        <v>732</v>
      </c>
      <c r="B32" t="s">
        <v>689</v>
      </c>
      <c r="C32" t="s">
        <v>690</v>
      </c>
      <c r="D32" t="s">
        <v>743</v>
      </c>
      <c r="E32" t="s">
        <v>734</v>
      </c>
      <c r="F32" t="s">
        <v>1272</v>
      </c>
      <c r="G32" t="s">
        <v>665</v>
      </c>
      <c r="H32" s="595">
        <v>-20.55</v>
      </c>
      <c r="I32" t="str">
        <f t="shared" si="0"/>
        <v>janeiro 2026</v>
      </c>
      <c r="J32">
        <f t="shared" si="1"/>
        <v>2026</v>
      </c>
      <c r="K32" t="str">
        <f>VLOOKUP(G32,METRICS!C:D,2,0)</f>
        <v>Taxas Financeiras Diversas</v>
      </c>
      <c r="L32" t="str">
        <f>VLOOKUP(K32,METRICS!D:E,2,0)</f>
        <v>TAXAS CARTÃO DE CRÉDITO</v>
      </c>
    </row>
    <row r="33" spans="1:14" ht="15" hidden="1">
      <c r="A33" t="s">
        <v>732</v>
      </c>
      <c r="B33" t="s">
        <v>612</v>
      </c>
      <c r="C33" t="s">
        <v>690</v>
      </c>
      <c r="D33" t="s">
        <v>747</v>
      </c>
      <c r="E33" t="s">
        <v>748</v>
      </c>
      <c r="F33" t="s">
        <v>1272</v>
      </c>
      <c r="G33" t="s">
        <v>620</v>
      </c>
      <c r="H33" s="595">
        <v>-283.66000000000003</v>
      </c>
      <c r="I33" t="str">
        <f t="shared" si="0"/>
        <v>janeiro 2026</v>
      </c>
      <c r="J33">
        <f t="shared" si="1"/>
        <v>2026</v>
      </c>
      <c r="K33" t="str">
        <f>VLOOKUP(G33,METRICS!C:D,2,0)</f>
        <v>Hortifruti</v>
      </c>
      <c r="L33" t="str">
        <f>VLOOKUP(K33,METRICS!D:E,2,0)</f>
        <v>CUSTOS DOS PRODUTOS VENDIDOS</v>
      </c>
    </row>
    <row r="34" spans="1:14" ht="15" hidden="1">
      <c r="A34" t="s">
        <v>732</v>
      </c>
      <c r="B34" t="s">
        <v>612</v>
      </c>
      <c r="C34" t="s">
        <v>690</v>
      </c>
      <c r="D34" t="s">
        <v>749</v>
      </c>
      <c r="E34" t="s">
        <v>750</v>
      </c>
      <c r="F34" t="s">
        <v>1272</v>
      </c>
      <c r="G34" t="s">
        <v>610</v>
      </c>
      <c r="H34" s="595">
        <v>-2388</v>
      </c>
      <c r="I34" t="str">
        <f t="shared" si="0"/>
        <v>janeiro 2026</v>
      </c>
      <c r="J34">
        <f t="shared" si="1"/>
        <v>2026</v>
      </c>
      <c r="K34" t="str">
        <f>VLOOKUP(G34,METRICS!C:D,2,0)</f>
        <v>Carvão</v>
      </c>
      <c r="L34" t="str">
        <f>VLOOKUP(K34,METRICS!D:E,2,0)</f>
        <v>CUSTOS DOS PRODUTOS VENDIDOS</v>
      </c>
    </row>
    <row r="35" spans="1:14" ht="15" hidden="1">
      <c r="A35" t="s">
        <v>732</v>
      </c>
      <c r="B35" t="s">
        <v>612</v>
      </c>
      <c r="C35" t="s">
        <v>690</v>
      </c>
      <c r="D35" t="s">
        <v>751</v>
      </c>
      <c r="E35" t="s">
        <v>752</v>
      </c>
      <c r="F35" t="s">
        <v>1272</v>
      </c>
      <c r="G35" t="s">
        <v>609</v>
      </c>
      <c r="H35" s="595">
        <v>-7180.93</v>
      </c>
      <c r="I35" t="str">
        <f t="shared" si="0"/>
        <v>janeiro 2026</v>
      </c>
      <c r="J35">
        <f t="shared" si="1"/>
        <v>2026</v>
      </c>
      <c r="K35" t="str">
        <f>VLOOKUP(G35,METRICS!C:D,2,0)</f>
        <v>Carnes e Aves</v>
      </c>
      <c r="L35" t="str">
        <f>VLOOKUP(K35,METRICS!D:E,2,0)</f>
        <v>CUSTOS DOS PRODUTOS VENDIDOS</v>
      </c>
    </row>
    <row r="36" spans="1:14" ht="15" hidden="1">
      <c r="A36" t="s">
        <v>732</v>
      </c>
      <c r="B36" t="s">
        <v>689</v>
      </c>
      <c r="C36" t="s">
        <v>690</v>
      </c>
      <c r="D36" t="s">
        <v>753</v>
      </c>
      <c r="E36" t="s">
        <v>734</v>
      </c>
      <c r="F36" t="s">
        <v>1272</v>
      </c>
      <c r="G36" t="s">
        <v>665</v>
      </c>
      <c r="H36" s="595">
        <v>-16.690000000000001</v>
      </c>
      <c r="I36" t="str">
        <f t="shared" si="0"/>
        <v>janeiro 2026</v>
      </c>
      <c r="J36">
        <f t="shared" si="1"/>
        <v>2026</v>
      </c>
      <c r="K36" t="str">
        <f>VLOOKUP(G36,METRICS!C:D,2,0)</f>
        <v>Taxas Financeiras Diversas</v>
      </c>
      <c r="L36" t="str">
        <f>VLOOKUP(K36,METRICS!D:E,2,0)</f>
        <v>TAXAS CARTÃO DE CRÉDITO</v>
      </c>
    </row>
    <row r="37" spans="1:14" ht="15" hidden="1">
      <c r="A37" t="s">
        <v>732</v>
      </c>
      <c r="B37" t="s">
        <v>689</v>
      </c>
      <c r="C37" t="s">
        <v>690</v>
      </c>
      <c r="D37" t="s">
        <v>754</v>
      </c>
      <c r="E37" t="s">
        <v>755</v>
      </c>
      <c r="F37" t="s">
        <v>1272</v>
      </c>
      <c r="G37" t="s">
        <v>646</v>
      </c>
      <c r="H37" s="595">
        <v>-3500</v>
      </c>
      <c r="I37" t="str">
        <f t="shared" si="0"/>
        <v>janeiro 2026</v>
      </c>
      <c r="J37">
        <f t="shared" si="1"/>
        <v>2026</v>
      </c>
      <c r="K37" t="str">
        <f>VLOOKUP(G37,METRICS!C:D,2,0)</f>
        <v>Ações (Eventos com Funcionários)</v>
      </c>
      <c r="L37" t="str">
        <f>VLOOKUP(K37,METRICS!D:E,2,0)</f>
        <v>OPERAÇÃO</v>
      </c>
    </row>
    <row r="38" spans="1:14" ht="15" hidden="1">
      <c r="A38" t="s">
        <v>732</v>
      </c>
      <c r="B38" t="s">
        <v>689</v>
      </c>
      <c r="C38" t="s">
        <v>690</v>
      </c>
      <c r="D38" t="s">
        <v>756</v>
      </c>
      <c r="E38" t="s">
        <v>757</v>
      </c>
      <c r="F38" t="s">
        <v>1272</v>
      </c>
      <c r="G38" t="s">
        <v>666</v>
      </c>
      <c r="H38" s="595">
        <v>-19.8</v>
      </c>
      <c r="I38" t="str">
        <f t="shared" si="0"/>
        <v>janeiro 2026</v>
      </c>
      <c r="J38">
        <f t="shared" si="1"/>
        <v>2026</v>
      </c>
      <c r="K38" t="str">
        <f>VLOOKUP(G38,METRICS!C:D,2,0)</f>
        <v>Encargos Bancarios</v>
      </c>
      <c r="L38" t="str">
        <f>VLOOKUP(K38,METRICS!D:E,2,0)</f>
        <v>DESPESAS FINANCEIRAS</v>
      </c>
    </row>
    <row r="39" spans="1:14" ht="15" hidden="1">
      <c r="A39" t="s">
        <v>732</v>
      </c>
      <c r="B39" t="s">
        <v>689</v>
      </c>
      <c r="C39" t="s">
        <v>715</v>
      </c>
      <c r="D39" t="s">
        <v>758</v>
      </c>
      <c r="E39" t="s">
        <v>759</v>
      </c>
      <c r="F39" t="s">
        <v>1272</v>
      </c>
      <c r="G39" t="s">
        <v>667</v>
      </c>
      <c r="H39" s="595">
        <v>-3500</v>
      </c>
      <c r="I39" t="str">
        <f t="shared" si="0"/>
        <v>janeiro 2026</v>
      </c>
      <c r="J39">
        <f t="shared" si="1"/>
        <v>2026</v>
      </c>
      <c r="K39" t="str">
        <f>VLOOKUP(G39,METRICS!C:D,2,0)</f>
        <v>Consultoria ADM</v>
      </c>
      <c r="L39" t="str">
        <f>VLOOKUP(K39,METRICS!D:E,2,0)</f>
        <v>ADMINISTRATIVA</v>
      </c>
    </row>
    <row r="40" spans="1:14" ht="15" hidden="1">
      <c r="A40" t="s">
        <v>732</v>
      </c>
      <c r="B40" t="s">
        <v>689</v>
      </c>
      <c r="C40" t="s">
        <v>690</v>
      </c>
      <c r="D40" t="s">
        <v>760</v>
      </c>
      <c r="E40" t="s">
        <v>761</v>
      </c>
      <c r="F40" t="s">
        <v>1272</v>
      </c>
      <c r="G40" t="s">
        <v>668</v>
      </c>
      <c r="H40" s="595">
        <v>-6400</v>
      </c>
      <c r="I40" t="str">
        <f t="shared" si="0"/>
        <v>janeiro 2026</v>
      </c>
      <c r="J40">
        <f t="shared" si="1"/>
        <v>2026</v>
      </c>
      <c r="K40" t="str">
        <f>VLOOKUP(G40,METRICS!C:D,2,0)</f>
        <v>Prestação de Serviço Pessoa Jurídica OP</v>
      </c>
      <c r="L40" t="str">
        <f>VLOOKUP(K40,METRICS!D:E,2,0)</f>
        <v>OPERAÇÃO</v>
      </c>
    </row>
    <row r="41" spans="1:14" ht="15" hidden="1">
      <c r="A41" t="s">
        <v>732</v>
      </c>
      <c r="B41" t="s">
        <v>689</v>
      </c>
      <c r="C41" t="s">
        <v>690</v>
      </c>
      <c r="D41" t="s">
        <v>743</v>
      </c>
      <c r="E41" t="s">
        <v>734</v>
      </c>
      <c r="F41" t="s">
        <v>1272</v>
      </c>
      <c r="G41" t="s">
        <v>665</v>
      </c>
      <c r="H41" s="595">
        <v>-8.1999999999999993</v>
      </c>
      <c r="I41" t="str">
        <f t="shared" si="0"/>
        <v>janeiro 2026</v>
      </c>
      <c r="J41">
        <f t="shared" si="1"/>
        <v>2026</v>
      </c>
      <c r="K41" t="str">
        <f>VLOOKUP(G41,METRICS!C:D,2,0)</f>
        <v>Taxas Financeiras Diversas</v>
      </c>
      <c r="L41" t="str">
        <f>VLOOKUP(K41,METRICS!D:E,2,0)</f>
        <v>TAXAS CARTÃO DE CRÉDITO</v>
      </c>
      <c r="N41" s="389"/>
    </row>
    <row r="42" spans="1:14" ht="15" hidden="1">
      <c r="A42" t="s">
        <v>732</v>
      </c>
      <c r="B42" t="s">
        <v>612</v>
      </c>
      <c r="C42" t="s">
        <v>690</v>
      </c>
      <c r="D42" t="s">
        <v>762</v>
      </c>
      <c r="E42" t="s">
        <v>763</v>
      </c>
      <c r="F42" t="s">
        <v>1272</v>
      </c>
      <c r="G42" t="s">
        <v>639</v>
      </c>
      <c r="H42" s="595">
        <v>-1004</v>
      </c>
      <c r="I42" t="str">
        <f t="shared" si="0"/>
        <v>janeiro 2026</v>
      </c>
      <c r="J42">
        <f t="shared" si="1"/>
        <v>2026</v>
      </c>
      <c r="K42" t="str">
        <f>VLOOKUP(G42,METRICS!C:D,2,0)</f>
        <v>Propaganda, Publicidade e Patrocínio</v>
      </c>
      <c r="L42" t="str">
        <f>VLOOKUP(K42,METRICS!D:E,2,0)</f>
        <v>MARKETING</v>
      </c>
    </row>
    <row r="43" spans="1:14" ht="15" hidden="1">
      <c r="A43" t="s">
        <v>732</v>
      </c>
      <c r="B43" t="s">
        <v>689</v>
      </c>
      <c r="C43" t="s">
        <v>690</v>
      </c>
      <c r="D43" t="s">
        <v>733</v>
      </c>
      <c r="E43" t="s">
        <v>734</v>
      </c>
      <c r="F43" t="s">
        <v>1272</v>
      </c>
      <c r="G43" t="s">
        <v>665</v>
      </c>
      <c r="H43" s="595">
        <v>-1.64</v>
      </c>
      <c r="I43" t="str">
        <f t="shared" si="0"/>
        <v>janeiro 2026</v>
      </c>
      <c r="J43">
        <f t="shared" si="1"/>
        <v>2026</v>
      </c>
      <c r="K43" t="str">
        <f>VLOOKUP(G43,METRICS!C:D,2,0)</f>
        <v>Taxas Financeiras Diversas</v>
      </c>
      <c r="L43" t="str">
        <f>VLOOKUP(K43,METRICS!D:E,2,0)</f>
        <v>TAXAS CARTÃO DE CRÉDITO</v>
      </c>
      <c r="N43" s="684"/>
    </row>
    <row r="44" spans="1:14" ht="15" hidden="1">
      <c r="A44" t="s">
        <v>732</v>
      </c>
      <c r="B44" t="s">
        <v>612</v>
      </c>
      <c r="C44" t="s">
        <v>690</v>
      </c>
      <c r="D44" t="s">
        <v>764</v>
      </c>
      <c r="E44" t="s">
        <v>765</v>
      </c>
      <c r="F44" t="s">
        <v>1272</v>
      </c>
      <c r="G44" t="s">
        <v>619</v>
      </c>
      <c r="H44" s="595">
        <v>-509.6</v>
      </c>
      <c r="I44" t="str">
        <f t="shared" si="0"/>
        <v>janeiro 2026</v>
      </c>
      <c r="J44">
        <f t="shared" si="1"/>
        <v>2026</v>
      </c>
      <c r="K44" t="str">
        <f>VLOOKUP(G44,METRICS!C:D,2,0)</f>
        <v>Gelo</v>
      </c>
      <c r="L44" t="str">
        <f>VLOOKUP(K44,METRICS!D:E,2,0)</f>
        <v>CUSTOS DOS PRODUTOS VENDIDOS</v>
      </c>
      <c r="N44" s="508"/>
    </row>
    <row r="45" spans="1:14" ht="15" hidden="1">
      <c r="A45" t="s">
        <v>732</v>
      </c>
      <c r="B45" t="s">
        <v>612</v>
      </c>
      <c r="C45" t="s">
        <v>690</v>
      </c>
      <c r="D45" t="s">
        <v>766</v>
      </c>
      <c r="E45" t="s">
        <v>767</v>
      </c>
      <c r="F45" t="s">
        <v>1272</v>
      </c>
      <c r="G45" t="s">
        <v>623</v>
      </c>
      <c r="H45" s="595">
        <v>-740.88</v>
      </c>
      <c r="I45" t="str">
        <f t="shared" si="0"/>
        <v>janeiro 2026</v>
      </c>
      <c r="J45">
        <f t="shared" si="1"/>
        <v>2026</v>
      </c>
      <c r="K45" t="str">
        <f>VLOOKUP(G45,METRICS!C:D,2,0)</f>
        <v>Secos - Mercearia</v>
      </c>
      <c r="L45" t="str">
        <f>VLOOKUP(K45,METRICS!D:E,2,0)</f>
        <v>CUSTOS DOS PRODUTOS VENDIDOS</v>
      </c>
    </row>
    <row r="46" spans="1:14" ht="15" hidden="1">
      <c r="A46" t="s">
        <v>732</v>
      </c>
      <c r="B46" t="s">
        <v>689</v>
      </c>
      <c r="C46" t="s">
        <v>690</v>
      </c>
      <c r="D46" t="s">
        <v>733</v>
      </c>
      <c r="E46" t="s">
        <v>734</v>
      </c>
      <c r="F46" t="s">
        <v>1272</v>
      </c>
      <c r="G46" t="s">
        <v>665</v>
      </c>
      <c r="H46" s="595">
        <v>-12.35</v>
      </c>
      <c r="I46" t="str">
        <f t="shared" si="0"/>
        <v>janeiro 2026</v>
      </c>
      <c r="J46">
        <f t="shared" si="1"/>
        <v>2026</v>
      </c>
      <c r="K46" t="str">
        <f>VLOOKUP(G46,METRICS!C:D,2,0)</f>
        <v>Taxas Financeiras Diversas</v>
      </c>
      <c r="L46" t="str">
        <f>VLOOKUP(K46,METRICS!D:E,2,0)</f>
        <v>TAXAS CARTÃO DE CRÉDITO</v>
      </c>
      <c r="N46" s="684"/>
    </row>
    <row r="47" spans="1:14" ht="15" hidden="1">
      <c r="A47" t="s">
        <v>732</v>
      </c>
      <c r="B47" t="s">
        <v>612</v>
      </c>
      <c r="C47" t="s">
        <v>690</v>
      </c>
      <c r="D47" t="s">
        <v>768</v>
      </c>
      <c r="E47" t="s">
        <v>752</v>
      </c>
      <c r="F47" t="s">
        <v>1272</v>
      </c>
      <c r="G47" t="s">
        <v>605</v>
      </c>
      <c r="H47" s="595">
        <v>-4198.78</v>
      </c>
      <c r="I47" t="str">
        <f t="shared" si="0"/>
        <v>janeiro 2026</v>
      </c>
      <c r="J47">
        <f t="shared" si="1"/>
        <v>2026</v>
      </c>
      <c r="K47" t="str">
        <f>VLOOKUP(G47,METRICS!C:D,2,0)</f>
        <v>Beneficios</v>
      </c>
      <c r="L47" t="str">
        <f>VLOOKUP(K47,METRICS!D:E,2,0)</f>
        <v>PESSOAL</v>
      </c>
    </row>
    <row r="48" spans="1:14" ht="15" hidden="1">
      <c r="A48" t="s">
        <v>732</v>
      </c>
      <c r="B48" t="s">
        <v>612</v>
      </c>
      <c r="C48" t="s">
        <v>690</v>
      </c>
      <c r="D48" t="s">
        <v>769</v>
      </c>
      <c r="E48" t="s">
        <v>770</v>
      </c>
      <c r="F48" t="s">
        <v>1272</v>
      </c>
      <c r="G48" t="s">
        <v>615</v>
      </c>
      <c r="H48" s="595">
        <v>-319.27999999999997</v>
      </c>
      <c r="I48" t="str">
        <f t="shared" si="0"/>
        <v>janeiro 2026</v>
      </c>
      <c r="J48">
        <f t="shared" si="1"/>
        <v>2026</v>
      </c>
      <c r="K48" t="str">
        <f>VLOOKUP(G48,METRICS!C:D,2,0)</f>
        <v>Embalagens</v>
      </c>
      <c r="L48" t="str">
        <f>VLOOKUP(K48,METRICS!D:E,2,0)</f>
        <v>OPERAÇÃO</v>
      </c>
    </row>
    <row r="49" spans="1:12" ht="15" hidden="1">
      <c r="A49" t="s">
        <v>732</v>
      </c>
      <c r="B49" t="s">
        <v>612</v>
      </c>
      <c r="C49" t="s">
        <v>690</v>
      </c>
      <c r="D49" t="s">
        <v>771</v>
      </c>
      <c r="E49" t="s">
        <v>772</v>
      </c>
      <c r="F49" t="s">
        <v>1272</v>
      </c>
      <c r="G49" t="s">
        <v>615</v>
      </c>
      <c r="H49" s="595">
        <v>-730.02</v>
      </c>
      <c r="I49" t="str">
        <f t="shared" si="0"/>
        <v>janeiro 2026</v>
      </c>
      <c r="J49">
        <f t="shared" si="1"/>
        <v>2026</v>
      </c>
      <c r="K49" t="str">
        <f>VLOOKUP(G49,METRICS!C:D,2,0)</f>
        <v>Embalagens</v>
      </c>
      <c r="L49" t="str">
        <f>VLOOKUP(K49,METRICS!D:E,2,0)</f>
        <v>OPERAÇÃO</v>
      </c>
    </row>
    <row r="50" spans="1:12" ht="15" hidden="1">
      <c r="A50" t="s">
        <v>732</v>
      </c>
      <c r="B50" t="s">
        <v>689</v>
      </c>
      <c r="C50" t="s">
        <v>690</v>
      </c>
      <c r="D50" t="s">
        <v>753</v>
      </c>
      <c r="E50" t="s">
        <v>734</v>
      </c>
      <c r="F50" t="s">
        <v>1272</v>
      </c>
      <c r="G50" t="s">
        <v>665</v>
      </c>
      <c r="H50" s="595">
        <v>-15.72</v>
      </c>
      <c r="I50" t="str">
        <f t="shared" si="0"/>
        <v>janeiro 2026</v>
      </c>
      <c r="J50">
        <f t="shared" si="1"/>
        <v>2026</v>
      </c>
      <c r="K50" t="str">
        <f>VLOOKUP(G50,METRICS!C:D,2,0)</f>
        <v>Taxas Financeiras Diversas</v>
      </c>
      <c r="L50" t="str">
        <f>VLOOKUP(K50,METRICS!D:E,2,0)</f>
        <v>TAXAS CARTÃO DE CRÉDITO</v>
      </c>
    </row>
    <row r="51" spans="1:12" ht="15" hidden="1">
      <c r="A51" t="s">
        <v>732</v>
      </c>
      <c r="B51" t="s">
        <v>689</v>
      </c>
      <c r="C51" t="s">
        <v>690</v>
      </c>
      <c r="D51" t="s">
        <v>743</v>
      </c>
      <c r="E51" t="s">
        <v>734</v>
      </c>
      <c r="F51" t="s">
        <v>1272</v>
      </c>
      <c r="G51" t="s">
        <v>665</v>
      </c>
      <c r="H51" s="595">
        <v>-3.5</v>
      </c>
      <c r="I51" t="str">
        <f t="shared" si="0"/>
        <v>janeiro 2026</v>
      </c>
      <c r="J51">
        <f t="shared" si="1"/>
        <v>2026</v>
      </c>
      <c r="K51" t="str">
        <f>VLOOKUP(G51,METRICS!C:D,2,0)</f>
        <v>Taxas Financeiras Diversas</v>
      </c>
      <c r="L51" t="str">
        <f>VLOOKUP(K51,METRICS!D:E,2,0)</f>
        <v>TAXAS CARTÃO DE CRÉDITO</v>
      </c>
    </row>
    <row r="52" spans="1:12" ht="15" hidden="1">
      <c r="A52" t="s">
        <v>732</v>
      </c>
      <c r="B52" t="s">
        <v>612</v>
      </c>
      <c r="C52" t="s">
        <v>690</v>
      </c>
      <c r="D52" t="s">
        <v>773</v>
      </c>
      <c r="E52" t="s">
        <v>774</v>
      </c>
      <c r="F52" t="s">
        <v>1272</v>
      </c>
      <c r="G52" t="s">
        <v>629</v>
      </c>
      <c r="H52" s="595">
        <v>-1406.16</v>
      </c>
      <c r="I52" t="str">
        <f t="shared" si="0"/>
        <v>janeiro 2026</v>
      </c>
      <c r="J52">
        <f t="shared" si="1"/>
        <v>2026</v>
      </c>
      <c r="K52" t="str">
        <f>VLOOKUP(G52,METRICS!C:D,2,0)</f>
        <v>Material de limpeza</v>
      </c>
      <c r="L52" t="str">
        <f>VLOOKUP(K52,METRICS!D:E,2,0)</f>
        <v>OPERAÇÃO</v>
      </c>
    </row>
    <row r="53" spans="1:12" ht="15" hidden="1">
      <c r="A53" t="s">
        <v>732</v>
      </c>
      <c r="B53" t="s">
        <v>612</v>
      </c>
      <c r="C53" t="s">
        <v>690</v>
      </c>
      <c r="D53" t="s">
        <v>775</v>
      </c>
      <c r="E53" t="s">
        <v>776</v>
      </c>
      <c r="F53" t="s">
        <v>1272</v>
      </c>
      <c r="G53" t="s">
        <v>615</v>
      </c>
      <c r="H53" s="595">
        <v>-900</v>
      </c>
      <c r="I53" t="str">
        <f t="shared" si="0"/>
        <v>janeiro 2026</v>
      </c>
      <c r="J53">
        <f t="shared" si="1"/>
        <v>2026</v>
      </c>
      <c r="K53" t="str">
        <f>VLOOKUP(G53,METRICS!C:D,2,0)</f>
        <v>Embalagens</v>
      </c>
      <c r="L53" t="str">
        <f>VLOOKUP(K53,METRICS!D:E,2,0)</f>
        <v>OPERAÇÃO</v>
      </c>
    </row>
    <row r="54" spans="1:12" ht="15" hidden="1">
      <c r="A54" t="s">
        <v>732</v>
      </c>
      <c r="B54" t="s">
        <v>612</v>
      </c>
      <c r="C54" t="s">
        <v>690</v>
      </c>
      <c r="D54" t="s">
        <v>777</v>
      </c>
      <c r="E54" t="s">
        <v>778</v>
      </c>
      <c r="F54" t="s">
        <v>1272</v>
      </c>
      <c r="G54" t="s">
        <v>640</v>
      </c>
      <c r="H54" s="595">
        <v>-378</v>
      </c>
      <c r="I54" t="str">
        <f t="shared" si="0"/>
        <v>janeiro 2026</v>
      </c>
      <c r="J54">
        <f t="shared" si="1"/>
        <v>2026</v>
      </c>
      <c r="K54" t="str">
        <f>VLOOKUP(G54,METRICS!C:D,2,0)</f>
        <v>Uniforme</v>
      </c>
      <c r="L54" t="str">
        <f>VLOOKUP(K54,METRICS!D:E,2,0)</f>
        <v>OPERAÇÃO</v>
      </c>
    </row>
    <row r="55" spans="1:12" ht="15" hidden="1">
      <c r="A55" t="s">
        <v>732</v>
      </c>
      <c r="B55" t="s">
        <v>612</v>
      </c>
      <c r="C55" t="s">
        <v>690</v>
      </c>
      <c r="D55" t="s">
        <v>779</v>
      </c>
      <c r="E55" t="s">
        <v>780</v>
      </c>
      <c r="F55" t="s">
        <v>1272</v>
      </c>
      <c r="G55" t="s">
        <v>611</v>
      </c>
      <c r="H55" s="595">
        <v>-3352.85</v>
      </c>
      <c r="I55" t="str">
        <f t="shared" si="0"/>
        <v>janeiro 2026</v>
      </c>
      <c r="J55">
        <f t="shared" si="1"/>
        <v>2026</v>
      </c>
      <c r="K55" t="str">
        <f>VLOOKUP(G55,METRICS!C:D,2,0)</f>
        <v>Bebidas Alcoólicas</v>
      </c>
      <c r="L55" t="str">
        <f>VLOOKUP(K55,METRICS!D:E,2,0)</f>
        <v>CUSTOS DOS PRODUTOS VENDIDOS</v>
      </c>
    </row>
    <row r="56" spans="1:12" ht="15" hidden="1">
      <c r="A56" t="s">
        <v>732</v>
      </c>
      <c r="B56" t="s">
        <v>612</v>
      </c>
      <c r="C56" t="s">
        <v>690</v>
      </c>
      <c r="D56" t="s">
        <v>781</v>
      </c>
      <c r="E56" t="s">
        <v>770</v>
      </c>
      <c r="F56" t="s">
        <v>1272</v>
      </c>
      <c r="G56" t="s">
        <v>630</v>
      </c>
      <c r="H56" s="595">
        <v>-402.2</v>
      </c>
      <c r="I56" t="str">
        <f t="shared" si="0"/>
        <v>janeiro 2026</v>
      </c>
      <c r="J56">
        <f t="shared" si="1"/>
        <v>2026</v>
      </c>
      <c r="K56" t="str">
        <f>VLOOKUP(G56,METRICS!C:D,2,0)</f>
        <v>Material de Copa e Limpeza</v>
      </c>
      <c r="L56" t="str">
        <f>VLOOKUP(K56,METRICS!D:E,2,0)</f>
        <v>ADMINISTRATIVA</v>
      </c>
    </row>
    <row r="57" spans="1:12" ht="15" hidden="1">
      <c r="A57" t="s">
        <v>732</v>
      </c>
      <c r="B57" t="s">
        <v>612</v>
      </c>
      <c r="C57" t="s">
        <v>690</v>
      </c>
      <c r="D57" t="s">
        <v>782</v>
      </c>
      <c r="E57" t="s">
        <v>767</v>
      </c>
      <c r="F57" t="s">
        <v>1272</v>
      </c>
      <c r="G57" t="s">
        <v>623</v>
      </c>
      <c r="H57" s="595">
        <v>-1720.01</v>
      </c>
      <c r="I57" t="str">
        <f t="shared" si="0"/>
        <v>janeiro 2026</v>
      </c>
      <c r="J57">
        <f t="shared" si="1"/>
        <v>2026</v>
      </c>
      <c r="K57" t="str">
        <f>VLOOKUP(G57,METRICS!C:D,2,0)</f>
        <v>Secos - Mercearia</v>
      </c>
      <c r="L57" t="str">
        <f>VLOOKUP(K57,METRICS!D:E,2,0)</f>
        <v>CUSTOS DOS PRODUTOS VENDIDOS</v>
      </c>
    </row>
    <row r="58" spans="1:12" ht="15" hidden="1">
      <c r="A58" s="512">
        <v>46058</v>
      </c>
      <c r="B58" t="s">
        <v>689</v>
      </c>
      <c r="C58" t="s">
        <v>690</v>
      </c>
      <c r="D58" t="s">
        <v>754</v>
      </c>
      <c r="E58" t="s">
        <v>755</v>
      </c>
      <c r="F58" t="s">
        <v>1272</v>
      </c>
      <c r="G58" t="s">
        <v>646</v>
      </c>
      <c r="H58" s="595">
        <v>-3500</v>
      </c>
      <c r="I58" t="str">
        <f t="shared" si="0"/>
        <v>fevereiro 2026</v>
      </c>
      <c r="J58">
        <f t="shared" si="1"/>
        <v>2026</v>
      </c>
      <c r="K58" t="str">
        <f>VLOOKUP(G58,METRICS!C:D,2,0)</f>
        <v>Ações (Eventos com Funcionários)</v>
      </c>
      <c r="L58" t="str">
        <f>VLOOKUP(K58,METRICS!D:E,2,0)</f>
        <v>OPERAÇÃO</v>
      </c>
    </row>
    <row r="59" spans="1:12" ht="15" hidden="1">
      <c r="A59" t="s">
        <v>732</v>
      </c>
      <c r="B59" t="s">
        <v>612</v>
      </c>
      <c r="C59" t="s">
        <v>690</v>
      </c>
      <c r="D59" t="s">
        <v>783</v>
      </c>
      <c r="E59" t="s">
        <v>784</v>
      </c>
      <c r="F59" t="s">
        <v>1272</v>
      </c>
      <c r="G59" t="s">
        <v>636</v>
      </c>
      <c r="H59" s="595">
        <v>-1900</v>
      </c>
      <c r="I59" t="str">
        <f t="shared" si="0"/>
        <v>janeiro 2026</v>
      </c>
      <c r="J59">
        <f t="shared" si="1"/>
        <v>2026</v>
      </c>
      <c r="K59" t="str">
        <f>VLOOKUP(G59,METRICS!C:D,2,0)</f>
        <v>Secos - Mercearia</v>
      </c>
      <c r="L59" t="str">
        <f>VLOOKUP(K59,METRICS!D:E,2,0)</f>
        <v>CUSTOS DOS PRODUTOS VENDIDOS</v>
      </c>
    </row>
    <row r="60" spans="1:12" ht="15" hidden="1">
      <c r="A60" t="s">
        <v>732</v>
      </c>
      <c r="B60" t="s">
        <v>689</v>
      </c>
      <c r="C60" t="s">
        <v>690</v>
      </c>
      <c r="D60" t="s">
        <v>785</v>
      </c>
      <c r="E60" t="s">
        <v>786</v>
      </c>
      <c r="F60" t="s">
        <v>1272</v>
      </c>
      <c r="G60" s="518" t="s">
        <v>1736</v>
      </c>
      <c r="H60" s="595">
        <v>-2503.31</v>
      </c>
      <c r="I60" t="str">
        <f t="shared" ref="I60:I105" si="2">TEXT(A60, "mmmm aaaa")</f>
        <v>janeiro 2026</v>
      </c>
      <c r="J60">
        <f t="shared" si="1"/>
        <v>2026</v>
      </c>
      <c r="K60" t="str">
        <f>VLOOKUP(G60,METRICS!C:D,2,0)</f>
        <v>Sistema e Software OP</v>
      </c>
      <c r="L60" t="str">
        <f>VLOOKUP(K60,METRICS!D:E,2,0)</f>
        <v>OPERAÇÃO</v>
      </c>
    </row>
    <row r="61" spans="1:12" ht="15" hidden="1">
      <c r="A61" t="s">
        <v>732</v>
      </c>
      <c r="B61" t="s">
        <v>689</v>
      </c>
      <c r="C61" t="s">
        <v>690</v>
      </c>
      <c r="D61" t="s">
        <v>733</v>
      </c>
      <c r="E61" t="s">
        <v>734</v>
      </c>
      <c r="F61" t="s">
        <v>1272</v>
      </c>
      <c r="G61" t="s">
        <v>665</v>
      </c>
      <c r="H61" s="595">
        <v>-6.85</v>
      </c>
      <c r="I61" t="str">
        <f t="shared" si="2"/>
        <v>janeiro 2026</v>
      </c>
      <c r="J61">
        <f t="shared" si="1"/>
        <v>2026</v>
      </c>
      <c r="K61" t="str">
        <f>VLOOKUP(G61,METRICS!C:D,2,0)</f>
        <v>Taxas Financeiras Diversas</v>
      </c>
      <c r="L61" t="str">
        <f>VLOOKUP(K61,METRICS!D:E,2,0)</f>
        <v>TAXAS CARTÃO DE CRÉDITO</v>
      </c>
    </row>
    <row r="62" spans="1:12" ht="15" hidden="1">
      <c r="A62" t="s">
        <v>732</v>
      </c>
      <c r="B62" t="s">
        <v>689</v>
      </c>
      <c r="C62" t="s">
        <v>690</v>
      </c>
      <c r="D62" t="s">
        <v>743</v>
      </c>
      <c r="E62" t="s">
        <v>734</v>
      </c>
      <c r="F62" t="s">
        <v>1272</v>
      </c>
      <c r="G62" t="s">
        <v>665</v>
      </c>
      <c r="H62" s="595">
        <v>-2.86</v>
      </c>
      <c r="I62" t="str">
        <f t="shared" si="2"/>
        <v>janeiro 2026</v>
      </c>
      <c r="J62">
        <f t="shared" si="1"/>
        <v>2026</v>
      </c>
      <c r="K62" t="str">
        <f>VLOOKUP(G62,METRICS!C:D,2,0)</f>
        <v>Taxas Financeiras Diversas</v>
      </c>
      <c r="L62" t="str">
        <f>VLOOKUP(K62,METRICS!D:E,2,0)</f>
        <v>TAXAS CARTÃO DE CRÉDITO</v>
      </c>
    </row>
    <row r="63" spans="1:12" ht="15" hidden="1">
      <c r="A63" t="s">
        <v>732</v>
      </c>
      <c r="B63" t="s">
        <v>612</v>
      </c>
      <c r="C63" t="s">
        <v>690</v>
      </c>
      <c r="D63" t="s">
        <v>787</v>
      </c>
      <c r="E63" t="s">
        <v>752</v>
      </c>
      <c r="F63" t="s">
        <v>1272</v>
      </c>
      <c r="G63" t="s">
        <v>605</v>
      </c>
      <c r="H63" s="595">
        <v>-1640.4</v>
      </c>
      <c r="I63" t="str">
        <f t="shared" si="2"/>
        <v>janeiro 2026</v>
      </c>
      <c r="J63">
        <f t="shared" si="1"/>
        <v>2026</v>
      </c>
      <c r="K63" t="str">
        <f>VLOOKUP(G63,METRICS!C:D,2,0)</f>
        <v>Beneficios</v>
      </c>
      <c r="L63" t="str">
        <f>VLOOKUP(K63,METRICS!D:E,2,0)</f>
        <v>PESSOAL</v>
      </c>
    </row>
    <row r="64" spans="1:12" ht="15" hidden="1">
      <c r="A64" t="s">
        <v>732</v>
      </c>
      <c r="B64" t="s">
        <v>689</v>
      </c>
      <c r="C64" t="s">
        <v>690</v>
      </c>
      <c r="D64" t="s">
        <v>733</v>
      </c>
      <c r="E64" t="s">
        <v>734</v>
      </c>
      <c r="F64" t="s">
        <v>1272</v>
      </c>
      <c r="G64" t="s">
        <v>665</v>
      </c>
      <c r="H64" s="595">
        <v>-4.37</v>
      </c>
      <c r="I64" t="str">
        <f t="shared" si="2"/>
        <v>janeiro 2026</v>
      </c>
      <c r="J64">
        <f t="shared" si="1"/>
        <v>2026</v>
      </c>
      <c r="K64" t="str">
        <f>VLOOKUP(G64,METRICS!C:D,2,0)</f>
        <v>Taxas Financeiras Diversas</v>
      </c>
      <c r="L64" t="str">
        <f>VLOOKUP(K64,METRICS!D:E,2,0)</f>
        <v>TAXAS CARTÃO DE CRÉDITO</v>
      </c>
    </row>
    <row r="65" spans="1:12" ht="15" hidden="1">
      <c r="A65" t="s">
        <v>732</v>
      </c>
      <c r="B65" t="s">
        <v>689</v>
      </c>
      <c r="C65" t="s">
        <v>690</v>
      </c>
      <c r="D65" t="s">
        <v>788</v>
      </c>
      <c r="E65" t="s">
        <v>789</v>
      </c>
      <c r="F65" t="s">
        <v>1272</v>
      </c>
      <c r="G65" t="s">
        <v>647</v>
      </c>
      <c r="H65" s="595">
        <v>-508.76</v>
      </c>
      <c r="I65" t="str">
        <f t="shared" si="2"/>
        <v>janeiro 2026</v>
      </c>
      <c r="J65">
        <f t="shared" si="1"/>
        <v>2026</v>
      </c>
      <c r="K65" t="str">
        <f>VLOOKUP(G65,METRICS!C:D,2,0)</f>
        <v>FGTS</v>
      </c>
      <c r="L65" t="str">
        <f>VLOOKUP(K65,METRICS!D:E,2,0)</f>
        <v>PESSOAL</v>
      </c>
    </row>
    <row r="66" spans="1:12" ht="15" hidden="1">
      <c r="A66" t="s">
        <v>732</v>
      </c>
      <c r="B66" t="s">
        <v>689</v>
      </c>
      <c r="C66" t="s">
        <v>690</v>
      </c>
      <c r="D66" t="s">
        <v>790</v>
      </c>
      <c r="E66" t="s">
        <v>791</v>
      </c>
      <c r="F66" t="s">
        <v>1272</v>
      </c>
      <c r="G66" t="s">
        <v>664</v>
      </c>
      <c r="H66" s="595">
        <v>-950</v>
      </c>
      <c r="I66" t="str">
        <f t="shared" si="2"/>
        <v>janeiro 2026</v>
      </c>
      <c r="J66">
        <f t="shared" si="1"/>
        <v>2026</v>
      </c>
      <c r="K66" t="str">
        <f>VLOOKUP(G66,METRICS!C:D,2,0)</f>
        <v>Colaborador Extra</v>
      </c>
      <c r="L66" t="str">
        <f>VLOOKUP(K66,METRICS!D:E,2,0)</f>
        <v>PESSOAL</v>
      </c>
    </row>
    <row r="67" spans="1:12" ht="15" hidden="1">
      <c r="A67" t="s">
        <v>732</v>
      </c>
      <c r="B67" t="s">
        <v>612</v>
      </c>
      <c r="C67" t="s">
        <v>690</v>
      </c>
      <c r="D67" t="s">
        <v>792</v>
      </c>
      <c r="E67" t="s">
        <v>727</v>
      </c>
      <c r="F67" t="s">
        <v>1272</v>
      </c>
      <c r="G67" t="s">
        <v>620</v>
      </c>
      <c r="H67" s="595">
        <v>-6926.84</v>
      </c>
      <c r="I67" t="str">
        <f t="shared" si="2"/>
        <v>janeiro 2026</v>
      </c>
      <c r="J67">
        <f t="shared" ref="J67:J125" si="3">YEAR(A67)</f>
        <v>2026</v>
      </c>
      <c r="K67" t="str">
        <f>VLOOKUP(G67,METRICS!C:D,2,0)</f>
        <v>Hortifruti</v>
      </c>
      <c r="L67" t="str">
        <f>VLOOKUP(K67,METRICS!D:E,2,0)</f>
        <v>CUSTOS DOS PRODUTOS VENDIDOS</v>
      </c>
    </row>
    <row r="68" spans="1:12" ht="15" hidden="1">
      <c r="A68" t="s">
        <v>732</v>
      </c>
      <c r="B68" t="s">
        <v>612</v>
      </c>
      <c r="C68" t="s">
        <v>690</v>
      </c>
      <c r="D68" t="s">
        <v>793</v>
      </c>
      <c r="E68" t="s">
        <v>794</v>
      </c>
      <c r="F68" t="s">
        <v>1272</v>
      </c>
      <c r="G68" t="s">
        <v>607</v>
      </c>
      <c r="H68" s="595">
        <v>-356.4</v>
      </c>
      <c r="I68" t="str">
        <f t="shared" si="2"/>
        <v>janeiro 2026</v>
      </c>
      <c r="J68">
        <f t="shared" si="3"/>
        <v>2026</v>
      </c>
      <c r="K68" t="str">
        <f>VLOOKUP(G68,METRICS!C:D,2,0)</f>
        <v>Bebidas Alcoólicas</v>
      </c>
      <c r="L68" t="str">
        <f>VLOOKUP(K68,METRICS!D:E,2,0)</f>
        <v>CUSTOS DOS PRODUTOS VENDIDOS</v>
      </c>
    </row>
    <row r="69" spans="1:12" ht="15" hidden="1">
      <c r="A69" t="s">
        <v>732</v>
      </c>
      <c r="B69" t="s">
        <v>612</v>
      </c>
      <c r="C69" t="s">
        <v>690</v>
      </c>
      <c r="D69" t="s">
        <v>795</v>
      </c>
      <c r="E69" t="s">
        <v>796</v>
      </c>
      <c r="F69" t="s">
        <v>1272</v>
      </c>
      <c r="G69" t="s">
        <v>604</v>
      </c>
      <c r="H69" s="595">
        <v>-4000</v>
      </c>
      <c r="I69" t="str">
        <f t="shared" si="2"/>
        <v>janeiro 2026</v>
      </c>
      <c r="J69">
        <f t="shared" si="3"/>
        <v>2026</v>
      </c>
      <c r="K69" t="str">
        <f>VLOOKUP(G69,METRICS!C:D,2,0)</f>
        <v>Propaganda, Publicidade e Patrocínio</v>
      </c>
      <c r="L69" t="str">
        <f>VLOOKUP(K69,METRICS!D:E,2,0)</f>
        <v>MARKETING</v>
      </c>
    </row>
    <row r="70" spans="1:12" ht="15" hidden="1">
      <c r="A70" t="s">
        <v>797</v>
      </c>
      <c r="B70" t="s">
        <v>689</v>
      </c>
      <c r="C70" t="s">
        <v>690</v>
      </c>
      <c r="D70" t="s">
        <v>733</v>
      </c>
      <c r="E70" t="s">
        <v>734</v>
      </c>
      <c r="F70" t="s">
        <v>1272</v>
      </c>
      <c r="G70" t="s">
        <v>665</v>
      </c>
      <c r="H70" s="595">
        <v>-4.78</v>
      </c>
      <c r="I70" t="str">
        <f t="shared" si="2"/>
        <v>janeiro 2026</v>
      </c>
      <c r="J70">
        <f t="shared" si="3"/>
        <v>2026</v>
      </c>
      <c r="K70" t="str">
        <f>VLOOKUP(G70,METRICS!C:D,2,0)</f>
        <v>Taxas Financeiras Diversas</v>
      </c>
      <c r="L70" t="str">
        <f>VLOOKUP(K70,METRICS!D:E,2,0)</f>
        <v>TAXAS CARTÃO DE CRÉDITO</v>
      </c>
    </row>
    <row r="71" spans="1:12" ht="15" hidden="1">
      <c r="A71" t="s">
        <v>797</v>
      </c>
      <c r="B71" t="s">
        <v>689</v>
      </c>
      <c r="C71" t="s">
        <v>690</v>
      </c>
      <c r="D71" t="s">
        <v>743</v>
      </c>
      <c r="E71" t="s">
        <v>734</v>
      </c>
      <c r="F71" t="s">
        <v>1272</v>
      </c>
      <c r="G71" t="s">
        <v>665</v>
      </c>
      <c r="H71" s="595">
        <v>-2.16</v>
      </c>
      <c r="I71" t="str">
        <f t="shared" si="2"/>
        <v>janeiro 2026</v>
      </c>
      <c r="J71">
        <f t="shared" si="3"/>
        <v>2026</v>
      </c>
      <c r="K71" t="str">
        <f>VLOOKUP(G71,METRICS!C:D,2,0)</f>
        <v>Taxas Financeiras Diversas</v>
      </c>
      <c r="L71" t="str">
        <f>VLOOKUP(K71,METRICS!D:E,2,0)</f>
        <v>TAXAS CARTÃO DE CRÉDITO</v>
      </c>
    </row>
    <row r="72" spans="1:12" ht="15" hidden="1">
      <c r="A72" t="s">
        <v>797</v>
      </c>
      <c r="B72" t="s">
        <v>612</v>
      </c>
      <c r="C72" t="s">
        <v>690</v>
      </c>
      <c r="D72" t="s">
        <v>798</v>
      </c>
      <c r="E72" t="s">
        <v>799</v>
      </c>
      <c r="F72" t="s">
        <v>1272</v>
      </c>
      <c r="G72" t="s">
        <v>609</v>
      </c>
      <c r="H72" s="595">
        <v>-1474.9</v>
      </c>
      <c r="I72" t="str">
        <f t="shared" si="2"/>
        <v>janeiro 2026</v>
      </c>
      <c r="J72">
        <f t="shared" si="3"/>
        <v>2026</v>
      </c>
      <c r="K72" t="str">
        <f>VLOOKUP(G72,METRICS!C:D,2,0)</f>
        <v>Carnes e Aves</v>
      </c>
      <c r="L72" t="str">
        <f>VLOOKUP(K72,METRICS!D:E,2,0)</f>
        <v>CUSTOS DOS PRODUTOS VENDIDOS</v>
      </c>
    </row>
    <row r="73" spans="1:12" ht="15" hidden="1">
      <c r="A73" t="s">
        <v>797</v>
      </c>
      <c r="B73" t="s">
        <v>612</v>
      </c>
      <c r="C73" t="s">
        <v>690</v>
      </c>
      <c r="D73" t="s">
        <v>800</v>
      </c>
      <c r="E73" t="s">
        <v>748</v>
      </c>
      <c r="F73" t="s">
        <v>1272</v>
      </c>
      <c r="G73" t="s">
        <v>620</v>
      </c>
      <c r="H73" s="595">
        <v>-1660.71</v>
      </c>
      <c r="I73" t="str">
        <f t="shared" si="2"/>
        <v>janeiro 2026</v>
      </c>
      <c r="J73">
        <f t="shared" si="3"/>
        <v>2026</v>
      </c>
      <c r="K73" t="str">
        <f>VLOOKUP(G73,METRICS!C:D,2,0)</f>
        <v>Hortifruti</v>
      </c>
      <c r="L73" t="str">
        <f>VLOOKUP(K73,METRICS!D:E,2,0)</f>
        <v>CUSTOS DOS PRODUTOS VENDIDOS</v>
      </c>
    </row>
    <row r="74" spans="1:12" ht="15" hidden="1">
      <c r="A74" t="s">
        <v>797</v>
      </c>
      <c r="B74" t="s">
        <v>612</v>
      </c>
      <c r="C74" t="s">
        <v>690</v>
      </c>
      <c r="D74" t="s">
        <v>801</v>
      </c>
      <c r="E74" t="s">
        <v>802</v>
      </c>
      <c r="F74" t="s">
        <v>1272</v>
      </c>
      <c r="G74" t="s">
        <v>633</v>
      </c>
      <c r="H74" s="595">
        <v>-576</v>
      </c>
      <c r="I74" t="str">
        <f t="shared" si="2"/>
        <v>janeiro 2026</v>
      </c>
      <c r="J74">
        <f t="shared" si="3"/>
        <v>2026</v>
      </c>
      <c r="K74" t="str">
        <f>VLOOKUP(G74,METRICS!C:D,2,0)</f>
        <v>Paes, Massas e Salgados</v>
      </c>
      <c r="L74" t="str">
        <f>VLOOKUP(K74,METRICS!D:E,2,0)</f>
        <v>CUSTOS DOS PRODUTOS VENDIDOS</v>
      </c>
    </row>
    <row r="75" spans="1:12" ht="15" hidden="1">
      <c r="A75" t="s">
        <v>797</v>
      </c>
      <c r="B75" t="s">
        <v>689</v>
      </c>
      <c r="C75" t="s">
        <v>690</v>
      </c>
      <c r="D75" t="s">
        <v>733</v>
      </c>
      <c r="E75" t="s">
        <v>734</v>
      </c>
      <c r="F75" t="s">
        <v>1272</v>
      </c>
      <c r="G75" t="s">
        <v>665</v>
      </c>
      <c r="H75" s="595">
        <v>-6.46</v>
      </c>
      <c r="I75" t="str">
        <f t="shared" si="2"/>
        <v>janeiro 2026</v>
      </c>
      <c r="J75">
        <f t="shared" si="3"/>
        <v>2026</v>
      </c>
      <c r="K75" t="str">
        <f>VLOOKUP(G75,METRICS!C:D,2,0)</f>
        <v>Taxas Financeiras Diversas</v>
      </c>
      <c r="L75" t="str">
        <f>VLOOKUP(K75,METRICS!D:E,2,0)</f>
        <v>TAXAS CARTÃO DE CRÉDITO</v>
      </c>
    </row>
    <row r="76" spans="1:12" ht="15" hidden="1">
      <c r="A76" t="s">
        <v>797</v>
      </c>
      <c r="B76" t="s">
        <v>612</v>
      </c>
      <c r="C76" t="s">
        <v>690</v>
      </c>
      <c r="D76" t="s">
        <v>803</v>
      </c>
      <c r="E76" t="s">
        <v>804</v>
      </c>
      <c r="F76" t="s">
        <v>1272</v>
      </c>
      <c r="G76" t="s">
        <v>607</v>
      </c>
      <c r="H76" s="595">
        <v>-5814.26</v>
      </c>
      <c r="I76" t="str">
        <f t="shared" si="2"/>
        <v>janeiro 2026</v>
      </c>
      <c r="J76">
        <f t="shared" si="3"/>
        <v>2026</v>
      </c>
      <c r="K76" t="str">
        <f>VLOOKUP(G76,METRICS!C:D,2,0)</f>
        <v>Bebidas Alcoólicas</v>
      </c>
      <c r="L76" t="str">
        <f>VLOOKUP(K76,METRICS!D:E,2,0)</f>
        <v>CUSTOS DOS PRODUTOS VENDIDOS</v>
      </c>
    </row>
    <row r="77" spans="1:12" ht="15" hidden="1">
      <c r="A77" t="s">
        <v>797</v>
      </c>
      <c r="B77" t="s">
        <v>689</v>
      </c>
      <c r="C77" t="s">
        <v>690</v>
      </c>
      <c r="D77" t="s">
        <v>733</v>
      </c>
      <c r="E77" t="s">
        <v>734</v>
      </c>
      <c r="F77" t="s">
        <v>1272</v>
      </c>
      <c r="G77" t="s">
        <v>665</v>
      </c>
      <c r="H77" s="595">
        <v>-5.4</v>
      </c>
      <c r="I77" t="str">
        <f t="shared" si="2"/>
        <v>janeiro 2026</v>
      </c>
      <c r="J77">
        <f t="shared" si="3"/>
        <v>2026</v>
      </c>
      <c r="K77" t="str">
        <f>VLOOKUP(G77,METRICS!C:D,2,0)</f>
        <v>Taxas Financeiras Diversas</v>
      </c>
      <c r="L77" t="str">
        <f>VLOOKUP(K77,METRICS!D:E,2,0)</f>
        <v>TAXAS CARTÃO DE CRÉDITO</v>
      </c>
    </row>
    <row r="78" spans="1:12" ht="15" hidden="1">
      <c r="A78" t="s">
        <v>797</v>
      </c>
      <c r="B78" t="s">
        <v>612</v>
      </c>
      <c r="C78" t="s">
        <v>690</v>
      </c>
      <c r="D78" t="s">
        <v>806</v>
      </c>
      <c r="E78" t="s">
        <v>807</v>
      </c>
      <c r="F78" t="s">
        <v>1272</v>
      </c>
      <c r="G78" t="s">
        <v>609</v>
      </c>
      <c r="H78" s="595">
        <v>-2187.1</v>
      </c>
      <c r="I78" t="str">
        <f t="shared" si="2"/>
        <v>janeiro 2026</v>
      </c>
      <c r="J78">
        <f t="shared" si="3"/>
        <v>2026</v>
      </c>
      <c r="K78" t="str">
        <f>VLOOKUP(G78,METRICS!C:D,2,0)</f>
        <v>Carnes e Aves</v>
      </c>
      <c r="L78" t="str">
        <f>VLOOKUP(K78,METRICS!D:E,2,0)</f>
        <v>CUSTOS DOS PRODUTOS VENDIDOS</v>
      </c>
    </row>
    <row r="79" spans="1:12" ht="15" hidden="1">
      <c r="A79" t="s">
        <v>797</v>
      </c>
      <c r="B79" t="s">
        <v>612</v>
      </c>
      <c r="C79" t="s">
        <v>690</v>
      </c>
      <c r="D79" t="s">
        <v>808</v>
      </c>
      <c r="E79" t="s">
        <v>809</v>
      </c>
      <c r="F79" t="s">
        <v>1272</v>
      </c>
      <c r="G79" t="s">
        <v>413</v>
      </c>
      <c r="H79" s="595">
        <v>-2104.38</v>
      </c>
      <c r="I79" t="str">
        <f t="shared" si="2"/>
        <v>janeiro 2026</v>
      </c>
      <c r="J79">
        <f t="shared" si="3"/>
        <v>2026</v>
      </c>
      <c r="K79" t="str">
        <f>VLOOKUP(G79,METRICS!C:D,2,0)</f>
        <v>Pescados</v>
      </c>
      <c r="L79" t="str">
        <f>VLOOKUP(K79,METRICS!D:E,2,0)</f>
        <v>CUSTOS DOS PRODUTOS VENDIDOS</v>
      </c>
    </row>
    <row r="80" spans="1:12" ht="15" hidden="1">
      <c r="A80" t="s">
        <v>797</v>
      </c>
      <c r="B80" t="s">
        <v>689</v>
      </c>
      <c r="C80" t="s">
        <v>690</v>
      </c>
      <c r="D80" t="s">
        <v>733</v>
      </c>
      <c r="E80" t="s">
        <v>734</v>
      </c>
      <c r="F80" t="s">
        <v>1272</v>
      </c>
      <c r="G80" t="s">
        <v>665</v>
      </c>
      <c r="H80" s="595">
        <v>-4.0199999999999996</v>
      </c>
      <c r="I80" t="str">
        <f t="shared" si="2"/>
        <v>janeiro 2026</v>
      </c>
      <c r="J80">
        <f t="shared" si="3"/>
        <v>2026</v>
      </c>
      <c r="K80" t="str">
        <f>VLOOKUP(G80,METRICS!C:D,2,0)</f>
        <v>Taxas Financeiras Diversas</v>
      </c>
      <c r="L80" t="str">
        <f>VLOOKUP(K80,METRICS!D:E,2,0)</f>
        <v>TAXAS CARTÃO DE CRÉDITO</v>
      </c>
    </row>
    <row r="81" spans="1:12" ht="15" hidden="1">
      <c r="A81" t="s">
        <v>797</v>
      </c>
      <c r="B81" t="s">
        <v>689</v>
      </c>
      <c r="C81" t="s">
        <v>690</v>
      </c>
      <c r="D81" t="s">
        <v>733</v>
      </c>
      <c r="E81" t="s">
        <v>734</v>
      </c>
      <c r="F81" t="s">
        <v>1272</v>
      </c>
      <c r="G81" t="s">
        <v>665</v>
      </c>
      <c r="H81" s="595">
        <v>-8.0299999999999994</v>
      </c>
      <c r="I81" t="str">
        <f t="shared" si="2"/>
        <v>janeiro 2026</v>
      </c>
      <c r="J81">
        <f t="shared" si="3"/>
        <v>2026</v>
      </c>
      <c r="K81" t="str">
        <f>VLOOKUP(G81,METRICS!C:D,2,0)</f>
        <v>Taxas Financeiras Diversas</v>
      </c>
      <c r="L81" t="str">
        <f>VLOOKUP(K81,METRICS!D:E,2,0)</f>
        <v>TAXAS CARTÃO DE CRÉDITO</v>
      </c>
    </row>
    <row r="82" spans="1:12" ht="15" hidden="1">
      <c r="A82" t="s">
        <v>797</v>
      </c>
      <c r="B82" t="s">
        <v>612</v>
      </c>
      <c r="C82" t="s">
        <v>690</v>
      </c>
      <c r="D82" t="s">
        <v>810</v>
      </c>
      <c r="E82" t="s">
        <v>811</v>
      </c>
      <c r="F82" t="s">
        <v>1272</v>
      </c>
      <c r="G82" t="s">
        <v>636</v>
      </c>
      <c r="H82" s="595">
        <v>-6067.16</v>
      </c>
      <c r="I82" t="str">
        <f t="shared" si="2"/>
        <v>janeiro 2026</v>
      </c>
      <c r="J82">
        <f t="shared" si="3"/>
        <v>2026</v>
      </c>
      <c r="K82" t="str">
        <f>VLOOKUP(G82,METRICS!C:D,2,0)</f>
        <v>Secos - Mercearia</v>
      </c>
      <c r="L82" t="str">
        <f>VLOOKUP(K82,METRICS!D:E,2,0)</f>
        <v>CUSTOS DOS PRODUTOS VENDIDOS</v>
      </c>
    </row>
    <row r="83" spans="1:12" ht="15" hidden="1">
      <c r="A83" t="s">
        <v>797</v>
      </c>
      <c r="B83" t="s">
        <v>612</v>
      </c>
      <c r="C83" t="s">
        <v>690</v>
      </c>
      <c r="D83" t="s">
        <v>812</v>
      </c>
      <c r="E83" t="s">
        <v>738</v>
      </c>
      <c r="F83" t="s">
        <v>1272</v>
      </c>
      <c r="G83" t="s">
        <v>623</v>
      </c>
      <c r="H83" s="595">
        <v>-2800.92</v>
      </c>
      <c r="I83" t="str">
        <f t="shared" si="2"/>
        <v>janeiro 2026</v>
      </c>
      <c r="J83">
        <f t="shared" si="3"/>
        <v>2026</v>
      </c>
      <c r="K83" t="str">
        <f>VLOOKUP(G83,METRICS!C:D,2,0)</f>
        <v>Secos - Mercearia</v>
      </c>
      <c r="L83" t="str">
        <f>VLOOKUP(K83,METRICS!D:E,2,0)</f>
        <v>CUSTOS DOS PRODUTOS VENDIDOS</v>
      </c>
    </row>
    <row r="84" spans="1:12" ht="15" hidden="1">
      <c r="A84" t="s">
        <v>797</v>
      </c>
      <c r="B84" t="s">
        <v>689</v>
      </c>
      <c r="C84" t="s">
        <v>690</v>
      </c>
      <c r="D84" t="s">
        <v>733</v>
      </c>
      <c r="E84" t="s">
        <v>734</v>
      </c>
      <c r="F84" t="s">
        <v>1272</v>
      </c>
      <c r="G84" t="s">
        <v>665</v>
      </c>
      <c r="H84" s="595">
        <v>-9.24</v>
      </c>
      <c r="I84" t="str">
        <f t="shared" si="2"/>
        <v>janeiro 2026</v>
      </c>
      <c r="J84">
        <f t="shared" si="3"/>
        <v>2026</v>
      </c>
      <c r="K84" t="str">
        <f>VLOOKUP(G84,METRICS!C:D,2,0)</f>
        <v>Taxas Financeiras Diversas</v>
      </c>
      <c r="L84" t="str">
        <f>VLOOKUP(K84,METRICS!D:E,2,0)</f>
        <v>TAXAS CARTÃO DE CRÉDITO</v>
      </c>
    </row>
    <row r="85" spans="1:12" ht="15" hidden="1">
      <c r="A85" t="s">
        <v>797</v>
      </c>
      <c r="B85" t="s">
        <v>689</v>
      </c>
      <c r="C85" t="s">
        <v>690</v>
      </c>
      <c r="D85" t="s">
        <v>813</v>
      </c>
      <c r="E85" t="s">
        <v>696</v>
      </c>
      <c r="F85" t="s">
        <v>1272</v>
      </c>
      <c r="G85" t="s">
        <v>660</v>
      </c>
      <c r="H85" s="595">
        <v>-109.9</v>
      </c>
      <c r="I85" t="str">
        <f t="shared" si="2"/>
        <v>janeiro 2026</v>
      </c>
      <c r="J85">
        <f t="shared" si="3"/>
        <v>2026</v>
      </c>
      <c r="K85" t="str">
        <f>VLOOKUP(G85,METRICS!C:D,2,0)</f>
        <v>Telefone e Internet</v>
      </c>
      <c r="L85" t="str">
        <f>VLOOKUP(K85,METRICS!D:E,2,0)</f>
        <v>ADMINISTRATIVA</v>
      </c>
    </row>
    <row r="86" spans="1:12" ht="15" hidden="1">
      <c r="A86" t="s">
        <v>797</v>
      </c>
      <c r="B86" t="s">
        <v>612</v>
      </c>
      <c r="C86" t="s">
        <v>690</v>
      </c>
      <c r="D86" t="s">
        <v>814</v>
      </c>
      <c r="E86" t="s">
        <v>721</v>
      </c>
      <c r="F86" t="s">
        <v>1272</v>
      </c>
      <c r="G86" s="518" t="s">
        <v>1736</v>
      </c>
      <c r="H86" s="595">
        <v>-365</v>
      </c>
      <c r="I86" t="str">
        <f t="shared" si="2"/>
        <v>janeiro 2026</v>
      </c>
      <c r="J86">
        <f t="shared" si="3"/>
        <v>2026</v>
      </c>
      <c r="K86" t="str">
        <f>VLOOKUP(G86,METRICS!C:D,2,0)</f>
        <v>Sistema e Software OP</v>
      </c>
      <c r="L86" t="str">
        <f>VLOOKUP(K86,METRICS!D:E,2,0)</f>
        <v>OPERAÇÃO</v>
      </c>
    </row>
    <row r="87" spans="1:12" ht="15" hidden="1">
      <c r="A87" t="s">
        <v>797</v>
      </c>
      <c r="B87" t="s">
        <v>689</v>
      </c>
      <c r="C87" t="s">
        <v>690</v>
      </c>
      <c r="D87" t="s">
        <v>733</v>
      </c>
      <c r="E87" t="s">
        <v>734</v>
      </c>
      <c r="F87" t="s">
        <v>1272</v>
      </c>
      <c r="G87" t="s">
        <v>665</v>
      </c>
      <c r="H87" s="595">
        <v>-5.1100000000000003</v>
      </c>
      <c r="I87" t="str">
        <f t="shared" si="2"/>
        <v>janeiro 2026</v>
      </c>
      <c r="J87">
        <f t="shared" si="3"/>
        <v>2026</v>
      </c>
      <c r="K87" t="str">
        <f>VLOOKUP(G87,METRICS!C:D,2,0)</f>
        <v>Taxas Financeiras Diversas</v>
      </c>
      <c r="L87" t="str">
        <f>VLOOKUP(K87,METRICS!D:E,2,0)</f>
        <v>TAXAS CARTÃO DE CRÉDITO</v>
      </c>
    </row>
    <row r="88" spans="1:12" ht="15" hidden="1">
      <c r="A88" t="s">
        <v>797</v>
      </c>
      <c r="B88" t="s">
        <v>612</v>
      </c>
      <c r="C88" t="s">
        <v>690</v>
      </c>
      <c r="D88" t="s">
        <v>815</v>
      </c>
      <c r="E88" t="s">
        <v>727</v>
      </c>
      <c r="F88" t="s">
        <v>1272</v>
      </c>
      <c r="G88" t="s">
        <v>620</v>
      </c>
      <c r="H88" s="595">
        <v>-1572.28</v>
      </c>
      <c r="I88" t="str">
        <f t="shared" si="2"/>
        <v>janeiro 2026</v>
      </c>
      <c r="J88">
        <f t="shared" si="3"/>
        <v>2026</v>
      </c>
      <c r="K88" t="str">
        <f>VLOOKUP(G88,METRICS!C:D,2,0)</f>
        <v>Hortifruti</v>
      </c>
      <c r="L88" t="str">
        <f>VLOOKUP(K88,METRICS!D:E,2,0)</f>
        <v>CUSTOS DOS PRODUTOS VENDIDOS</v>
      </c>
    </row>
    <row r="89" spans="1:12" ht="15" hidden="1">
      <c r="A89" t="s">
        <v>797</v>
      </c>
      <c r="B89" t="s">
        <v>689</v>
      </c>
      <c r="C89" t="s">
        <v>690</v>
      </c>
      <c r="D89" t="s">
        <v>753</v>
      </c>
      <c r="E89" t="s">
        <v>734</v>
      </c>
      <c r="F89" t="s">
        <v>1272</v>
      </c>
      <c r="G89" t="s">
        <v>665</v>
      </c>
      <c r="H89" s="595">
        <v>-45.07</v>
      </c>
      <c r="I89" t="str">
        <f t="shared" si="2"/>
        <v>janeiro 2026</v>
      </c>
      <c r="J89">
        <f t="shared" si="3"/>
        <v>2026</v>
      </c>
      <c r="K89" t="str">
        <f>VLOOKUP(G89,METRICS!C:D,2,0)</f>
        <v>Taxas Financeiras Diversas</v>
      </c>
      <c r="L89" t="str">
        <f>VLOOKUP(K89,METRICS!D:E,2,0)</f>
        <v>TAXAS CARTÃO DE CRÉDITO</v>
      </c>
    </row>
    <row r="90" spans="1:12" ht="15" hidden="1">
      <c r="A90" t="s">
        <v>797</v>
      </c>
      <c r="B90" t="s">
        <v>689</v>
      </c>
      <c r="C90" t="s">
        <v>690</v>
      </c>
      <c r="D90" t="s">
        <v>733</v>
      </c>
      <c r="E90" t="s">
        <v>734</v>
      </c>
      <c r="F90" t="s">
        <v>1272</v>
      </c>
      <c r="G90" t="s">
        <v>665</v>
      </c>
      <c r="H90" s="595">
        <v>-4.1900000000000004</v>
      </c>
      <c r="I90" t="str">
        <f t="shared" si="2"/>
        <v>janeiro 2026</v>
      </c>
      <c r="J90">
        <f t="shared" si="3"/>
        <v>2026</v>
      </c>
      <c r="K90" t="str">
        <f>VLOOKUP(G90,METRICS!C:D,2,0)</f>
        <v>Taxas Financeiras Diversas</v>
      </c>
      <c r="L90" t="str">
        <f>VLOOKUP(K90,METRICS!D:E,2,0)</f>
        <v>TAXAS CARTÃO DE CRÉDITO</v>
      </c>
    </row>
    <row r="91" spans="1:12" ht="15" hidden="1">
      <c r="A91" t="s">
        <v>797</v>
      </c>
      <c r="B91" t="s">
        <v>689</v>
      </c>
      <c r="C91" t="s">
        <v>690</v>
      </c>
      <c r="D91" t="s">
        <v>816</v>
      </c>
      <c r="E91" t="s">
        <v>746</v>
      </c>
      <c r="F91" t="s">
        <v>1272</v>
      </c>
      <c r="G91" t="s">
        <v>669</v>
      </c>
      <c r="H91" s="595">
        <v>-0.65</v>
      </c>
      <c r="I91" t="str">
        <f t="shared" si="2"/>
        <v>janeiro 2026</v>
      </c>
      <c r="J91">
        <f t="shared" si="3"/>
        <v>2026</v>
      </c>
      <c r="K91" t="str">
        <f>VLOOKUP(G91,METRICS!C:D,2,0)</f>
        <v>Taxas Financeiras Diversas</v>
      </c>
      <c r="L91" t="str">
        <f>VLOOKUP(K91,METRICS!D:E,2,0)</f>
        <v>TAXAS CARTÃO DE CRÉDITO</v>
      </c>
    </row>
    <row r="92" spans="1:12" ht="15" hidden="1">
      <c r="A92" t="s">
        <v>797</v>
      </c>
      <c r="B92" t="s">
        <v>689</v>
      </c>
      <c r="C92" t="s">
        <v>690</v>
      </c>
      <c r="D92" t="s">
        <v>743</v>
      </c>
      <c r="E92" t="s">
        <v>734</v>
      </c>
      <c r="F92" t="s">
        <v>1272</v>
      </c>
      <c r="G92" t="s">
        <v>665</v>
      </c>
      <c r="H92" s="595">
        <v>-3.6</v>
      </c>
      <c r="I92" t="str">
        <f t="shared" si="2"/>
        <v>janeiro 2026</v>
      </c>
      <c r="J92">
        <f t="shared" si="3"/>
        <v>2026</v>
      </c>
      <c r="K92" t="str">
        <f>VLOOKUP(G92,METRICS!C:D,2,0)</f>
        <v>Taxas Financeiras Diversas</v>
      </c>
      <c r="L92" t="str">
        <f>VLOOKUP(K92,METRICS!D:E,2,0)</f>
        <v>TAXAS CARTÃO DE CRÉDITO</v>
      </c>
    </row>
    <row r="93" spans="1:12" ht="15" hidden="1">
      <c r="A93" t="s">
        <v>797</v>
      </c>
      <c r="B93" t="s">
        <v>689</v>
      </c>
      <c r="C93" t="s">
        <v>690</v>
      </c>
      <c r="D93" t="s">
        <v>817</v>
      </c>
      <c r="E93" t="s">
        <v>544</v>
      </c>
      <c r="F93" t="s">
        <v>1272</v>
      </c>
      <c r="G93" t="s">
        <v>664</v>
      </c>
      <c r="H93" s="595">
        <v>-1450</v>
      </c>
      <c r="I93" t="str">
        <f t="shared" si="2"/>
        <v>janeiro 2026</v>
      </c>
      <c r="J93">
        <f t="shared" si="3"/>
        <v>2026</v>
      </c>
      <c r="K93" t="str">
        <f>VLOOKUP(G93,METRICS!C:D,2,0)</f>
        <v>Colaborador Extra</v>
      </c>
      <c r="L93" t="str">
        <f>VLOOKUP(K93,METRICS!D:E,2,0)</f>
        <v>PESSOAL</v>
      </c>
    </row>
    <row r="94" spans="1:12" ht="15" hidden="1">
      <c r="A94" t="s">
        <v>797</v>
      </c>
      <c r="B94" t="s">
        <v>689</v>
      </c>
      <c r="C94" t="s">
        <v>690</v>
      </c>
      <c r="D94" t="s">
        <v>733</v>
      </c>
      <c r="E94" t="s">
        <v>734</v>
      </c>
      <c r="F94" t="s">
        <v>1272</v>
      </c>
      <c r="G94" t="s">
        <v>665</v>
      </c>
      <c r="H94" s="595">
        <v>-21.88</v>
      </c>
      <c r="I94" t="str">
        <f t="shared" si="2"/>
        <v>janeiro 2026</v>
      </c>
      <c r="J94">
        <f t="shared" si="3"/>
        <v>2026</v>
      </c>
      <c r="K94" t="str">
        <f>VLOOKUP(G94,METRICS!C:D,2,0)</f>
        <v>Taxas Financeiras Diversas</v>
      </c>
      <c r="L94" t="str">
        <f>VLOOKUP(K94,METRICS!D:E,2,0)</f>
        <v>TAXAS CARTÃO DE CRÉDITO</v>
      </c>
    </row>
    <row r="95" spans="1:12" ht="15" hidden="1">
      <c r="A95" t="s">
        <v>797</v>
      </c>
      <c r="B95" t="s">
        <v>689</v>
      </c>
      <c r="C95" t="s">
        <v>690</v>
      </c>
      <c r="D95" t="s">
        <v>818</v>
      </c>
      <c r="E95" t="s">
        <v>791</v>
      </c>
      <c r="F95" t="s">
        <v>1272</v>
      </c>
      <c r="G95" t="s">
        <v>664</v>
      </c>
      <c r="H95" s="595">
        <v>-1300</v>
      </c>
      <c r="I95" t="str">
        <f t="shared" si="2"/>
        <v>janeiro 2026</v>
      </c>
      <c r="J95">
        <f t="shared" si="3"/>
        <v>2026</v>
      </c>
      <c r="K95" t="str">
        <f>VLOOKUP(G95,METRICS!C:D,2,0)</f>
        <v>Colaborador Extra</v>
      </c>
      <c r="L95" t="str">
        <f>VLOOKUP(K95,METRICS!D:E,2,0)</f>
        <v>PESSOAL</v>
      </c>
    </row>
    <row r="96" spans="1:12" ht="15" hidden="1">
      <c r="A96" t="s">
        <v>797</v>
      </c>
      <c r="B96" t="s">
        <v>689</v>
      </c>
      <c r="C96" t="s">
        <v>690</v>
      </c>
      <c r="D96" t="s">
        <v>733</v>
      </c>
      <c r="E96" t="s">
        <v>734</v>
      </c>
      <c r="F96" t="s">
        <v>1272</v>
      </c>
      <c r="G96" t="s">
        <v>665</v>
      </c>
      <c r="H96" s="595">
        <v>-8.61</v>
      </c>
      <c r="I96" t="str">
        <f t="shared" si="2"/>
        <v>janeiro 2026</v>
      </c>
      <c r="J96">
        <f t="shared" si="3"/>
        <v>2026</v>
      </c>
      <c r="K96" t="str">
        <f>VLOOKUP(G96,METRICS!C:D,2,0)</f>
        <v>Taxas Financeiras Diversas</v>
      </c>
      <c r="L96" t="str">
        <f>VLOOKUP(K96,METRICS!D:E,2,0)</f>
        <v>TAXAS CARTÃO DE CRÉDITO</v>
      </c>
    </row>
    <row r="97" spans="1:12" ht="15" hidden="1">
      <c r="A97" t="s">
        <v>797</v>
      </c>
      <c r="B97" t="s">
        <v>612</v>
      </c>
      <c r="C97" t="s">
        <v>690</v>
      </c>
      <c r="D97" t="s">
        <v>819</v>
      </c>
      <c r="E97" t="s">
        <v>820</v>
      </c>
      <c r="F97" t="s">
        <v>1272</v>
      </c>
      <c r="G97" t="s">
        <v>611</v>
      </c>
      <c r="H97" s="595">
        <v>-8404.3799999999992</v>
      </c>
      <c r="I97" t="str">
        <f t="shared" si="2"/>
        <v>janeiro 2026</v>
      </c>
      <c r="J97">
        <f t="shared" si="3"/>
        <v>2026</v>
      </c>
      <c r="K97" t="str">
        <f>VLOOKUP(G97,METRICS!C:D,2,0)</f>
        <v>Bebidas Alcoólicas</v>
      </c>
      <c r="L97" t="str">
        <f>VLOOKUP(K97,METRICS!D:E,2,0)</f>
        <v>CUSTOS DOS PRODUTOS VENDIDOS</v>
      </c>
    </row>
    <row r="98" spans="1:12" ht="15" hidden="1">
      <c r="A98" t="s">
        <v>797</v>
      </c>
      <c r="B98" t="s">
        <v>689</v>
      </c>
      <c r="C98" t="s">
        <v>690</v>
      </c>
      <c r="D98" t="s">
        <v>733</v>
      </c>
      <c r="E98" t="s">
        <v>734</v>
      </c>
      <c r="F98" t="s">
        <v>1272</v>
      </c>
      <c r="G98" t="s">
        <v>665</v>
      </c>
      <c r="H98" s="595">
        <v>-0.23</v>
      </c>
      <c r="I98" t="str">
        <f t="shared" si="2"/>
        <v>janeiro 2026</v>
      </c>
      <c r="J98">
        <f t="shared" si="3"/>
        <v>2026</v>
      </c>
      <c r="K98" t="str">
        <f>VLOOKUP(G98,METRICS!C:D,2,0)</f>
        <v>Taxas Financeiras Diversas</v>
      </c>
      <c r="L98" t="str">
        <f>VLOOKUP(K98,METRICS!D:E,2,0)</f>
        <v>TAXAS CARTÃO DE CRÉDITO</v>
      </c>
    </row>
    <row r="99" spans="1:12" ht="15" hidden="1">
      <c r="A99" t="s">
        <v>797</v>
      </c>
      <c r="B99" t="s">
        <v>612</v>
      </c>
      <c r="C99" t="s">
        <v>690</v>
      </c>
      <c r="D99" t="s">
        <v>821</v>
      </c>
      <c r="E99" t="s">
        <v>822</v>
      </c>
      <c r="F99" t="s">
        <v>1272</v>
      </c>
      <c r="G99" t="s">
        <v>607</v>
      </c>
      <c r="H99" s="595">
        <v>-504</v>
      </c>
      <c r="I99" t="str">
        <f t="shared" si="2"/>
        <v>janeiro 2026</v>
      </c>
      <c r="J99">
        <f t="shared" si="3"/>
        <v>2026</v>
      </c>
      <c r="K99" t="str">
        <f>VLOOKUP(G99,METRICS!C:D,2,0)</f>
        <v>Bebidas Alcoólicas</v>
      </c>
      <c r="L99" t="str">
        <f>VLOOKUP(K99,METRICS!D:E,2,0)</f>
        <v>CUSTOS DOS PRODUTOS VENDIDOS</v>
      </c>
    </row>
    <row r="100" spans="1:12" ht="15" hidden="1">
      <c r="A100" t="s">
        <v>797</v>
      </c>
      <c r="B100" t="s">
        <v>612</v>
      </c>
      <c r="C100" t="s">
        <v>690</v>
      </c>
      <c r="D100" t="s">
        <v>823</v>
      </c>
      <c r="E100" t="s">
        <v>824</v>
      </c>
      <c r="F100" t="s">
        <v>1272</v>
      </c>
      <c r="G100" t="s">
        <v>413</v>
      </c>
      <c r="H100" s="595">
        <v>-2015</v>
      </c>
      <c r="I100" t="str">
        <f t="shared" si="2"/>
        <v>janeiro 2026</v>
      </c>
      <c r="J100">
        <f t="shared" si="3"/>
        <v>2026</v>
      </c>
      <c r="K100" t="str">
        <f>VLOOKUP(G100,METRICS!C:D,2,0)</f>
        <v>Pescados</v>
      </c>
      <c r="L100" t="str">
        <f>VLOOKUP(K100,METRICS!D:E,2,0)</f>
        <v>CUSTOS DOS PRODUTOS VENDIDOS</v>
      </c>
    </row>
    <row r="101" spans="1:12" ht="15" hidden="1">
      <c r="A101" t="s">
        <v>797</v>
      </c>
      <c r="B101" t="s">
        <v>612</v>
      </c>
      <c r="C101" t="s">
        <v>690</v>
      </c>
      <c r="D101" t="s">
        <v>825</v>
      </c>
      <c r="E101" t="s">
        <v>826</v>
      </c>
      <c r="F101" t="s">
        <v>1272</v>
      </c>
      <c r="G101" t="s">
        <v>633</v>
      </c>
      <c r="H101" s="595">
        <v>-5440</v>
      </c>
      <c r="I101" t="str">
        <f t="shared" si="2"/>
        <v>janeiro 2026</v>
      </c>
      <c r="J101">
        <f t="shared" si="3"/>
        <v>2026</v>
      </c>
      <c r="K101" t="str">
        <f>VLOOKUP(G101,METRICS!C:D,2,0)</f>
        <v>Paes, Massas e Salgados</v>
      </c>
      <c r="L101" t="str">
        <f>VLOOKUP(K101,METRICS!D:E,2,0)</f>
        <v>CUSTOS DOS PRODUTOS VENDIDOS</v>
      </c>
    </row>
    <row r="102" spans="1:12" ht="15" hidden="1">
      <c r="A102" t="s">
        <v>797</v>
      </c>
      <c r="B102" t="s">
        <v>612</v>
      </c>
      <c r="C102" t="s">
        <v>690</v>
      </c>
      <c r="D102" t="s">
        <v>827</v>
      </c>
      <c r="E102" t="s">
        <v>828</v>
      </c>
      <c r="F102" t="s">
        <v>1272</v>
      </c>
      <c r="G102" t="s">
        <v>636</v>
      </c>
      <c r="H102" s="595">
        <v>-4777.3599999999997</v>
      </c>
      <c r="I102" t="str">
        <f t="shared" si="2"/>
        <v>janeiro 2026</v>
      </c>
      <c r="J102">
        <f t="shared" si="3"/>
        <v>2026</v>
      </c>
      <c r="K102" t="str">
        <f>VLOOKUP(G102,METRICS!C:D,2,0)</f>
        <v>Secos - Mercearia</v>
      </c>
      <c r="L102" t="str">
        <f>VLOOKUP(K102,METRICS!D:E,2,0)</f>
        <v>CUSTOS DOS PRODUTOS VENDIDOS</v>
      </c>
    </row>
    <row r="103" spans="1:12" ht="15" hidden="1">
      <c r="A103" t="s">
        <v>797</v>
      </c>
      <c r="B103" t="s">
        <v>689</v>
      </c>
      <c r="C103" t="s">
        <v>690</v>
      </c>
      <c r="D103" t="s">
        <v>743</v>
      </c>
      <c r="E103" t="s">
        <v>734</v>
      </c>
      <c r="F103" t="s">
        <v>1272</v>
      </c>
      <c r="G103" t="s">
        <v>665</v>
      </c>
      <c r="H103" s="595">
        <v>-7.74</v>
      </c>
      <c r="I103" t="str">
        <f t="shared" si="2"/>
        <v>janeiro 2026</v>
      </c>
      <c r="J103">
        <f t="shared" si="3"/>
        <v>2026</v>
      </c>
      <c r="K103" t="str">
        <f>VLOOKUP(G103,METRICS!C:D,2,0)</f>
        <v>Taxas Financeiras Diversas</v>
      </c>
      <c r="L103" t="str">
        <f>VLOOKUP(K103,METRICS!D:E,2,0)</f>
        <v>TAXAS CARTÃO DE CRÉDITO</v>
      </c>
    </row>
    <row r="104" spans="1:12" ht="15" hidden="1">
      <c r="A104" t="s">
        <v>797</v>
      </c>
      <c r="B104" t="s">
        <v>689</v>
      </c>
      <c r="C104" t="s">
        <v>690</v>
      </c>
      <c r="D104" t="s">
        <v>743</v>
      </c>
      <c r="E104" t="s">
        <v>734</v>
      </c>
      <c r="F104" t="s">
        <v>1272</v>
      </c>
      <c r="G104" t="s">
        <v>665</v>
      </c>
      <c r="H104" s="595">
        <v>-0.14000000000000001</v>
      </c>
      <c r="I104" t="str">
        <f t="shared" si="2"/>
        <v>janeiro 2026</v>
      </c>
      <c r="J104">
        <f t="shared" si="3"/>
        <v>2026</v>
      </c>
      <c r="K104" t="str">
        <f>VLOOKUP(G104,METRICS!C:D,2,0)</f>
        <v>Taxas Financeiras Diversas</v>
      </c>
      <c r="L104" t="str">
        <f>VLOOKUP(K104,METRICS!D:E,2,0)</f>
        <v>TAXAS CARTÃO DE CRÉDITO</v>
      </c>
    </row>
    <row r="105" spans="1:12" ht="15" hidden="1">
      <c r="A105" t="s">
        <v>797</v>
      </c>
      <c r="B105" t="s">
        <v>612</v>
      </c>
      <c r="C105" t="s">
        <v>690</v>
      </c>
      <c r="D105" t="s">
        <v>829</v>
      </c>
      <c r="E105" t="s">
        <v>830</v>
      </c>
      <c r="F105" t="s">
        <v>1272</v>
      </c>
      <c r="G105" t="s">
        <v>623</v>
      </c>
      <c r="H105" s="595">
        <v>-407</v>
      </c>
      <c r="I105" t="str">
        <f t="shared" si="2"/>
        <v>janeiro 2026</v>
      </c>
      <c r="J105">
        <f t="shared" si="3"/>
        <v>2026</v>
      </c>
      <c r="K105" t="str">
        <f>VLOOKUP(G105,METRICS!C:D,2,0)</f>
        <v>Secos - Mercearia</v>
      </c>
      <c r="L105" t="str">
        <f>VLOOKUP(K105,METRICS!D:E,2,0)</f>
        <v>CUSTOS DOS PRODUTOS VENDIDOS</v>
      </c>
    </row>
    <row r="106" spans="1:12" ht="15" hidden="1">
      <c r="A106" t="s">
        <v>797</v>
      </c>
      <c r="B106" t="s">
        <v>689</v>
      </c>
      <c r="C106" t="s">
        <v>690</v>
      </c>
      <c r="D106" t="s">
        <v>733</v>
      </c>
      <c r="E106" t="s">
        <v>734</v>
      </c>
      <c r="F106" t="s">
        <v>1272</v>
      </c>
      <c r="G106" t="s">
        <v>665</v>
      </c>
      <c r="H106" s="595">
        <v>-13.77</v>
      </c>
      <c r="I106" t="str">
        <f t="shared" ref="I106:I150" si="4">TEXT(A106, "mmmm aaaa")</f>
        <v>janeiro 2026</v>
      </c>
      <c r="J106">
        <f t="shared" si="3"/>
        <v>2026</v>
      </c>
      <c r="K106" t="str">
        <f>VLOOKUP(G106,METRICS!C:D,2,0)</f>
        <v>Taxas Financeiras Diversas</v>
      </c>
      <c r="L106" t="str">
        <f>VLOOKUP(K106,METRICS!D:E,2,0)</f>
        <v>TAXAS CARTÃO DE CRÉDITO</v>
      </c>
    </row>
    <row r="107" spans="1:12" ht="15" hidden="1">
      <c r="A107" t="s">
        <v>797</v>
      </c>
      <c r="B107" t="s">
        <v>612</v>
      </c>
      <c r="C107" t="s">
        <v>690</v>
      </c>
      <c r="D107" t="s">
        <v>831</v>
      </c>
      <c r="E107" t="s">
        <v>832</v>
      </c>
      <c r="F107" t="s">
        <v>1272</v>
      </c>
      <c r="G107" t="s">
        <v>633</v>
      </c>
      <c r="H107" s="595">
        <v>-231.35</v>
      </c>
      <c r="I107" t="str">
        <f t="shared" si="4"/>
        <v>janeiro 2026</v>
      </c>
      <c r="J107">
        <f t="shared" si="3"/>
        <v>2026</v>
      </c>
      <c r="K107" t="str">
        <f>VLOOKUP(G107,METRICS!C:D,2,0)</f>
        <v>Paes, Massas e Salgados</v>
      </c>
      <c r="L107" t="str">
        <f>VLOOKUP(K107,METRICS!D:E,2,0)</f>
        <v>CUSTOS DOS PRODUTOS VENDIDOS</v>
      </c>
    </row>
    <row r="108" spans="1:12" ht="15" hidden="1">
      <c r="A108" t="s">
        <v>797</v>
      </c>
      <c r="B108" t="s">
        <v>689</v>
      </c>
      <c r="C108" t="s">
        <v>690</v>
      </c>
      <c r="D108" t="s">
        <v>733</v>
      </c>
      <c r="E108" t="s">
        <v>734</v>
      </c>
      <c r="F108" t="s">
        <v>1272</v>
      </c>
      <c r="G108" t="s">
        <v>665</v>
      </c>
      <c r="H108" s="595">
        <v>-9.0299999999999994</v>
      </c>
      <c r="I108" t="str">
        <f t="shared" si="4"/>
        <v>janeiro 2026</v>
      </c>
      <c r="J108">
        <f t="shared" si="3"/>
        <v>2026</v>
      </c>
      <c r="K108" t="str">
        <f>VLOOKUP(G108,METRICS!C:D,2,0)</f>
        <v>Taxas Financeiras Diversas</v>
      </c>
      <c r="L108" t="str">
        <f>VLOOKUP(K108,METRICS!D:E,2,0)</f>
        <v>TAXAS CARTÃO DE CRÉDITO</v>
      </c>
    </row>
    <row r="109" spans="1:12" ht="15" hidden="1">
      <c r="A109" t="s">
        <v>797</v>
      </c>
      <c r="B109" t="s">
        <v>689</v>
      </c>
      <c r="C109" t="s">
        <v>690</v>
      </c>
      <c r="D109" t="s">
        <v>733</v>
      </c>
      <c r="E109" t="s">
        <v>734</v>
      </c>
      <c r="F109" t="s">
        <v>1272</v>
      </c>
      <c r="G109" t="s">
        <v>665</v>
      </c>
      <c r="H109" s="595">
        <v>-7.64</v>
      </c>
      <c r="I109" t="str">
        <f t="shared" si="4"/>
        <v>janeiro 2026</v>
      </c>
      <c r="J109">
        <f t="shared" si="3"/>
        <v>2026</v>
      </c>
      <c r="K109" t="str">
        <f>VLOOKUP(G109,METRICS!C:D,2,0)</f>
        <v>Taxas Financeiras Diversas</v>
      </c>
      <c r="L109" t="str">
        <f>VLOOKUP(K109,METRICS!D:E,2,0)</f>
        <v>TAXAS CARTÃO DE CRÉDITO</v>
      </c>
    </row>
    <row r="110" spans="1:12" ht="15" hidden="1">
      <c r="A110" t="s">
        <v>797</v>
      </c>
      <c r="B110" t="s">
        <v>689</v>
      </c>
      <c r="C110" t="s">
        <v>690</v>
      </c>
      <c r="D110" t="s">
        <v>743</v>
      </c>
      <c r="E110" t="s">
        <v>734</v>
      </c>
      <c r="F110" t="s">
        <v>1272</v>
      </c>
      <c r="G110" t="s">
        <v>665</v>
      </c>
      <c r="H110" s="595">
        <v>-10.81</v>
      </c>
      <c r="I110" t="str">
        <f t="shared" si="4"/>
        <v>janeiro 2026</v>
      </c>
      <c r="J110">
        <f t="shared" si="3"/>
        <v>2026</v>
      </c>
      <c r="K110" t="str">
        <f>VLOOKUP(G110,METRICS!C:D,2,0)</f>
        <v>Taxas Financeiras Diversas</v>
      </c>
      <c r="L110" t="str">
        <f>VLOOKUP(K110,METRICS!D:E,2,0)</f>
        <v>TAXAS CARTÃO DE CRÉDITO</v>
      </c>
    </row>
    <row r="111" spans="1:12" ht="15" hidden="1">
      <c r="A111" t="s">
        <v>797</v>
      </c>
      <c r="B111" t="s">
        <v>612</v>
      </c>
      <c r="C111" t="s">
        <v>690</v>
      </c>
      <c r="D111" t="s">
        <v>833</v>
      </c>
      <c r="E111" t="s">
        <v>834</v>
      </c>
      <c r="F111" t="s">
        <v>1272</v>
      </c>
      <c r="G111" t="s">
        <v>413</v>
      </c>
      <c r="H111" s="595">
        <v>-9835.7999999999993</v>
      </c>
      <c r="I111" t="str">
        <f t="shared" si="4"/>
        <v>janeiro 2026</v>
      </c>
      <c r="J111">
        <f t="shared" si="3"/>
        <v>2026</v>
      </c>
      <c r="K111" t="str">
        <f>VLOOKUP(G111,METRICS!C:D,2,0)</f>
        <v>Pescados</v>
      </c>
      <c r="L111" t="str">
        <f>VLOOKUP(K111,METRICS!D:E,2,0)</f>
        <v>CUSTOS DOS PRODUTOS VENDIDOS</v>
      </c>
    </row>
    <row r="112" spans="1:12" ht="15" hidden="1">
      <c r="A112" t="s">
        <v>835</v>
      </c>
      <c r="B112" t="s">
        <v>689</v>
      </c>
      <c r="C112" t="s">
        <v>690</v>
      </c>
      <c r="D112" t="s">
        <v>743</v>
      </c>
      <c r="E112" t="s">
        <v>734</v>
      </c>
      <c r="F112" t="s">
        <v>1272</v>
      </c>
      <c r="G112" t="s">
        <v>665</v>
      </c>
      <c r="H112" s="595">
        <v>-6.19</v>
      </c>
      <c r="I112" t="str">
        <f t="shared" si="4"/>
        <v>janeiro 2026</v>
      </c>
      <c r="J112">
        <f t="shared" si="3"/>
        <v>2026</v>
      </c>
      <c r="K112" t="str">
        <f>VLOOKUP(G112,METRICS!C:D,2,0)</f>
        <v>Taxas Financeiras Diversas</v>
      </c>
      <c r="L112" t="str">
        <f>VLOOKUP(K112,METRICS!D:E,2,0)</f>
        <v>TAXAS CARTÃO DE CRÉDITO</v>
      </c>
    </row>
    <row r="113" spans="1:12" ht="15" hidden="1">
      <c r="A113" t="s">
        <v>835</v>
      </c>
      <c r="B113" t="s">
        <v>689</v>
      </c>
      <c r="C113" t="s">
        <v>690</v>
      </c>
      <c r="D113" t="s">
        <v>743</v>
      </c>
      <c r="E113" t="s">
        <v>734</v>
      </c>
      <c r="F113" t="s">
        <v>1272</v>
      </c>
      <c r="G113" t="s">
        <v>665</v>
      </c>
      <c r="H113" s="595">
        <v>-14.12</v>
      </c>
      <c r="I113" t="str">
        <f t="shared" si="4"/>
        <v>janeiro 2026</v>
      </c>
      <c r="J113">
        <f t="shared" si="3"/>
        <v>2026</v>
      </c>
      <c r="K113" t="str">
        <f>VLOOKUP(G113,METRICS!C:D,2,0)</f>
        <v>Taxas Financeiras Diversas</v>
      </c>
      <c r="L113" t="str">
        <f>VLOOKUP(K113,METRICS!D:E,2,0)</f>
        <v>TAXAS CARTÃO DE CRÉDITO</v>
      </c>
    </row>
    <row r="114" spans="1:12" ht="15" hidden="1">
      <c r="A114" t="s">
        <v>835</v>
      </c>
      <c r="B114" t="s">
        <v>689</v>
      </c>
      <c r="C114" t="s">
        <v>690</v>
      </c>
      <c r="D114" t="s">
        <v>733</v>
      </c>
      <c r="E114" t="s">
        <v>734</v>
      </c>
      <c r="F114" t="s">
        <v>1272</v>
      </c>
      <c r="G114" t="s">
        <v>665</v>
      </c>
      <c r="H114" s="595">
        <v>-4.8099999999999996</v>
      </c>
      <c r="I114" t="str">
        <f t="shared" si="4"/>
        <v>janeiro 2026</v>
      </c>
      <c r="J114">
        <f t="shared" si="3"/>
        <v>2026</v>
      </c>
      <c r="K114" t="str">
        <f>VLOOKUP(G114,METRICS!C:D,2,0)</f>
        <v>Taxas Financeiras Diversas</v>
      </c>
      <c r="L114" t="str">
        <f>VLOOKUP(K114,METRICS!D:E,2,0)</f>
        <v>TAXAS CARTÃO DE CRÉDITO</v>
      </c>
    </row>
    <row r="115" spans="1:12" ht="15" hidden="1">
      <c r="A115" t="s">
        <v>835</v>
      </c>
      <c r="B115" t="s">
        <v>689</v>
      </c>
      <c r="C115" t="s">
        <v>690</v>
      </c>
      <c r="D115" t="s">
        <v>733</v>
      </c>
      <c r="E115" t="s">
        <v>734</v>
      </c>
      <c r="F115" t="s">
        <v>1272</v>
      </c>
      <c r="G115" t="s">
        <v>665</v>
      </c>
      <c r="H115" s="595">
        <v>-6.04</v>
      </c>
      <c r="I115" t="str">
        <f t="shared" si="4"/>
        <v>janeiro 2026</v>
      </c>
      <c r="J115">
        <f t="shared" si="3"/>
        <v>2026</v>
      </c>
      <c r="K115" t="str">
        <f>VLOOKUP(G115,METRICS!C:D,2,0)</f>
        <v>Taxas Financeiras Diversas</v>
      </c>
      <c r="L115" t="str">
        <f>VLOOKUP(K115,METRICS!D:E,2,0)</f>
        <v>TAXAS CARTÃO DE CRÉDITO</v>
      </c>
    </row>
    <row r="116" spans="1:12" ht="15" hidden="1">
      <c r="A116" t="s">
        <v>835</v>
      </c>
      <c r="B116" t="s">
        <v>689</v>
      </c>
      <c r="C116" t="s">
        <v>690</v>
      </c>
      <c r="D116" t="s">
        <v>733</v>
      </c>
      <c r="E116" t="s">
        <v>734</v>
      </c>
      <c r="F116" t="s">
        <v>1272</v>
      </c>
      <c r="G116" t="s">
        <v>665</v>
      </c>
      <c r="H116" s="595">
        <v>-2.7</v>
      </c>
      <c r="I116" t="str">
        <f t="shared" si="4"/>
        <v>janeiro 2026</v>
      </c>
      <c r="J116">
        <f t="shared" si="3"/>
        <v>2026</v>
      </c>
      <c r="K116" t="str">
        <f>VLOOKUP(G116,METRICS!C:D,2,0)</f>
        <v>Taxas Financeiras Diversas</v>
      </c>
      <c r="L116" t="str">
        <f>VLOOKUP(K116,METRICS!D:E,2,0)</f>
        <v>TAXAS CARTÃO DE CRÉDITO</v>
      </c>
    </row>
    <row r="117" spans="1:12" ht="15" hidden="1">
      <c r="A117" t="s">
        <v>835</v>
      </c>
      <c r="B117" t="s">
        <v>689</v>
      </c>
      <c r="C117" t="s">
        <v>690</v>
      </c>
      <c r="D117" t="s">
        <v>733</v>
      </c>
      <c r="E117" t="s">
        <v>734</v>
      </c>
      <c r="F117" t="s">
        <v>1272</v>
      </c>
      <c r="G117" t="s">
        <v>665</v>
      </c>
      <c r="H117" s="595">
        <v>-4.3600000000000003</v>
      </c>
      <c r="I117" t="str">
        <f t="shared" si="4"/>
        <v>janeiro 2026</v>
      </c>
      <c r="J117">
        <f t="shared" si="3"/>
        <v>2026</v>
      </c>
      <c r="K117" t="str">
        <f>VLOOKUP(G117,METRICS!C:D,2,0)</f>
        <v>Taxas Financeiras Diversas</v>
      </c>
      <c r="L117" t="str">
        <f>VLOOKUP(K117,METRICS!D:E,2,0)</f>
        <v>TAXAS CARTÃO DE CRÉDITO</v>
      </c>
    </row>
    <row r="118" spans="1:12" ht="15" hidden="1">
      <c r="A118" t="s">
        <v>835</v>
      </c>
      <c r="B118" t="s">
        <v>612</v>
      </c>
      <c r="C118" t="s">
        <v>690</v>
      </c>
      <c r="D118" t="s">
        <v>836</v>
      </c>
      <c r="E118" t="s">
        <v>767</v>
      </c>
      <c r="F118" t="s">
        <v>1272</v>
      </c>
      <c r="G118" t="s">
        <v>623</v>
      </c>
      <c r="H118" s="595">
        <v>-487.68</v>
      </c>
      <c r="I118" t="str">
        <f t="shared" si="4"/>
        <v>janeiro 2026</v>
      </c>
      <c r="J118">
        <f t="shared" si="3"/>
        <v>2026</v>
      </c>
      <c r="K118" t="str">
        <f>VLOOKUP(G118,METRICS!C:D,2,0)</f>
        <v>Secos - Mercearia</v>
      </c>
      <c r="L118" t="str">
        <f>VLOOKUP(K118,METRICS!D:E,2,0)</f>
        <v>CUSTOS DOS PRODUTOS VENDIDOS</v>
      </c>
    </row>
    <row r="119" spans="1:12" ht="15" hidden="1">
      <c r="A119" t="s">
        <v>835</v>
      </c>
      <c r="B119" t="s">
        <v>689</v>
      </c>
      <c r="C119" t="s">
        <v>690</v>
      </c>
      <c r="D119" t="s">
        <v>733</v>
      </c>
      <c r="E119" t="s">
        <v>734</v>
      </c>
      <c r="F119" t="s">
        <v>1272</v>
      </c>
      <c r="G119" t="s">
        <v>665</v>
      </c>
      <c r="H119" s="595">
        <v>-0.23</v>
      </c>
      <c r="I119" t="str">
        <f t="shared" si="4"/>
        <v>janeiro 2026</v>
      </c>
      <c r="J119">
        <f t="shared" si="3"/>
        <v>2026</v>
      </c>
      <c r="K119" t="str">
        <f>VLOOKUP(G119,METRICS!C:D,2,0)</f>
        <v>Taxas Financeiras Diversas</v>
      </c>
      <c r="L119" t="str">
        <f>VLOOKUP(K119,METRICS!D:E,2,0)</f>
        <v>TAXAS CARTÃO DE CRÉDITO</v>
      </c>
    </row>
    <row r="120" spans="1:12" ht="15" hidden="1">
      <c r="A120" t="s">
        <v>835</v>
      </c>
      <c r="B120" t="s">
        <v>689</v>
      </c>
      <c r="C120" t="s">
        <v>690</v>
      </c>
      <c r="D120" t="s">
        <v>733</v>
      </c>
      <c r="E120" t="s">
        <v>734</v>
      </c>
      <c r="F120" t="s">
        <v>1272</v>
      </c>
      <c r="G120" t="s">
        <v>665</v>
      </c>
      <c r="H120" s="595">
        <v>-11.54</v>
      </c>
      <c r="I120" t="str">
        <f t="shared" si="4"/>
        <v>janeiro 2026</v>
      </c>
      <c r="J120">
        <f t="shared" si="3"/>
        <v>2026</v>
      </c>
      <c r="K120" t="str">
        <f>VLOOKUP(G120,METRICS!C:D,2,0)</f>
        <v>Taxas Financeiras Diversas</v>
      </c>
      <c r="L120" t="str">
        <f>VLOOKUP(K120,METRICS!D:E,2,0)</f>
        <v>TAXAS CARTÃO DE CRÉDITO</v>
      </c>
    </row>
    <row r="121" spans="1:12" ht="15" hidden="1">
      <c r="A121" t="s">
        <v>835</v>
      </c>
      <c r="B121" t="s">
        <v>689</v>
      </c>
      <c r="C121" t="s">
        <v>690</v>
      </c>
      <c r="D121" t="s">
        <v>733</v>
      </c>
      <c r="E121" t="s">
        <v>734</v>
      </c>
      <c r="F121" t="s">
        <v>1272</v>
      </c>
      <c r="G121" t="s">
        <v>665</v>
      </c>
      <c r="H121" s="595">
        <v>-4.3600000000000003</v>
      </c>
      <c r="I121" t="str">
        <f t="shared" si="4"/>
        <v>janeiro 2026</v>
      </c>
      <c r="J121">
        <f t="shared" si="3"/>
        <v>2026</v>
      </c>
      <c r="K121" t="str">
        <f>VLOOKUP(G121,METRICS!C:D,2,0)</f>
        <v>Taxas Financeiras Diversas</v>
      </c>
      <c r="L121" t="str">
        <f>VLOOKUP(K121,METRICS!D:E,2,0)</f>
        <v>TAXAS CARTÃO DE CRÉDITO</v>
      </c>
    </row>
    <row r="122" spans="1:12" ht="15" hidden="1">
      <c r="A122" t="s">
        <v>835</v>
      </c>
      <c r="B122" t="s">
        <v>689</v>
      </c>
      <c r="C122" t="s">
        <v>690</v>
      </c>
      <c r="D122" t="s">
        <v>743</v>
      </c>
      <c r="E122" t="s">
        <v>734</v>
      </c>
      <c r="F122" t="s">
        <v>1272</v>
      </c>
      <c r="G122" t="s">
        <v>665</v>
      </c>
      <c r="H122" s="595">
        <v>-1.95</v>
      </c>
      <c r="I122" t="str">
        <f t="shared" si="4"/>
        <v>janeiro 2026</v>
      </c>
      <c r="J122">
        <f t="shared" si="3"/>
        <v>2026</v>
      </c>
      <c r="K122" t="str">
        <f>VLOOKUP(G122,METRICS!C:D,2,0)</f>
        <v>Taxas Financeiras Diversas</v>
      </c>
      <c r="L122" t="str">
        <f>VLOOKUP(K122,METRICS!D:E,2,0)</f>
        <v>TAXAS CARTÃO DE CRÉDITO</v>
      </c>
    </row>
    <row r="123" spans="1:12" ht="15" hidden="1">
      <c r="A123" t="s">
        <v>835</v>
      </c>
      <c r="B123" t="s">
        <v>612</v>
      </c>
      <c r="C123" t="s">
        <v>690</v>
      </c>
      <c r="D123" t="s">
        <v>837</v>
      </c>
      <c r="E123" t="s">
        <v>826</v>
      </c>
      <c r="F123" t="s">
        <v>1272</v>
      </c>
      <c r="G123" t="s">
        <v>633</v>
      </c>
      <c r="H123" s="595">
        <v>-405</v>
      </c>
      <c r="I123" t="str">
        <f t="shared" si="4"/>
        <v>janeiro 2026</v>
      </c>
      <c r="J123">
        <f t="shared" si="3"/>
        <v>2026</v>
      </c>
      <c r="K123" t="str">
        <f>VLOOKUP(G123,METRICS!C:D,2,0)</f>
        <v>Paes, Massas e Salgados</v>
      </c>
      <c r="L123" t="str">
        <f>VLOOKUP(K123,METRICS!D:E,2,0)</f>
        <v>CUSTOS DOS PRODUTOS VENDIDOS</v>
      </c>
    </row>
    <row r="124" spans="1:12" ht="15" hidden="1">
      <c r="A124" t="s">
        <v>835</v>
      </c>
      <c r="B124" t="s">
        <v>689</v>
      </c>
      <c r="C124" t="s">
        <v>690</v>
      </c>
      <c r="D124" t="s">
        <v>743</v>
      </c>
      <c r="E124" t="s">
        <v>734</v>
      </c>
      <c r="F124" t="s">
        <v>1272</v>
      </c>
      <c r="G124" t="s">
        <v>665</v>
      </c>
      <c r="H124" s="595">
        <v>-21.85</v>
      </c>
      <c r="I124" t="str">
        <f t="shared" si="4"/>
        <v>janeiro 2026</v>
      </c>
      <c r="J124">
        <f t="shared" si="3"/>
        <v>2026</v>
      </c>
      <c r="K124" t="str">
        <f>VLOOKUP(G124,METRICS!C:D,2,0)</f>
        <v>Taxas Financeiras Diversas</v>
      </c>
      <c r="L124" t="str">
        <f>VLOOKUP(K124,METRICS!D:E,2,0)</f>
        <v>TAXAS CARTÃO DE CRÉDITO</v>
      </c>
    </row>
    <row r="125" spans="1:12" ht="15" hidden="1">
      <c r="A125" t="s">
        <v>835</v>
      </c>
      <c r="B125" t="s">
        <v>689</v>
      </c>
      <c r="C125" t="s">
        <v>690</v>
      </c>
      <c r="D125" t="s">
        <v>733</v>
      </c>
      <c r="E125" t="s">
        <v>734</v>
      </c>
      <c r="F125" t="s">
        <v>1272</v>
      </c>
      <c r="G125" t="s">
        <v>665</v>
      </c>
      <c r="H125" s="595">
        <v>-1.95</v>
      </c>
      <c r="I125" t="str">
        <f t="shared" si="4"/>
        <v>janeiro 2026</v>
      </c>
      <c r="J125">
        <f t="shared" si="3"/>
        <v>2026</v>
      </c>
      <c r="K125" t="str">
        <f>VLOOKUP(G125,METRICS!C:D,2,0)</f>
        <v>Taxas Financeiras Diversas</v>
      </c>
      <c r="L125" t="str">
        <f>VLOOKUP(K125,METRICS!D:E,2,0)</f>
        <v>TAXAS CARTÃO DE CRÉDITO</v>
      </c>
    </row>
    <row r="126" spans="1:12" ht="15" hidden="1">
      <c r="A126" t="s">
        <v>835</v>
      </c>
      <c r="B126" t="s">
        <v>612</v>
      </c>
      <c r="C126" t="s">
        <v>690</v>
      </c>
      <c r="D126" t="s">
        <v>838</v>
      </c>
      <c r="E126" t="s">
        <v>839</v>
      </c>
      <c r="F126" t="s">
        <v>1272</v>
      </c>
      <c r="G126" t="s">
        <v>617</v>
      </c>
      <c r="H126" s="595">
        <v>-1053.8399999999999</v>
      </c>
      <c r="I126" t="str">
        <f t="shared" si="4"/>
        <v>janeiro 2026</v>
      </c>
      <c r="J126">
        <f t="shared" ref="J126:J188" si="5">YEAR(A126)</f>
        <v>2026</v>
      </c>
      <c r="K126" t="str">
        <f>VLOOKUP(G126,METRICS!C:D,2,0)</f>
        <v>Secos - Mercearia</v>
      </c>
      <c r="L126" t="str">
        <f>VLOOKUP(K126,METRICS!D:E,2,0)</f>
        <v>CUSTOS DOS PRODUTOS VENDIDOS</v>
      </c>
    </row>
    <row r="127" spans="1:12" ht="15" hidden="1">
      <c r="A127" t="s">
        <v>835</v>
      </c>
      <c r="B127" t="s">
        <v>612</v>
      </c>
      <c r="C127" t="s">
        <v>690</v>
      </c>
      <c r="D127" t="s">
        <v>840</v>
      </c>
      <c r="E127" t="s">
        <v>841</v>
      </c>
      <c r="F127" t="s">
        <v>1272</v>
      </c>
      <c r="G127" t="s">
        <v>616</v>
      </c>
      <c r="H127" s="595">
        <v>-400</v>
      </c>
      <c r="I127" t="str">
        <f t="shared" si="4"/>
        <v>janeiro 2026</v>
      </c>
      <c r="J127">
        <f t="shared" si="5"/>
        <v>2026</v>
      </c>
      <c r="K127" t="str">
        <f>VLOOKUP(G127,METRICS!C:D,2,0)</f>
        <v>Enlatados e Conservas</v>
      </c>
      <c r="L127" t="str">
        <f>VLOOKUP(K127,METRICS!D:E,2,0)</f>
        <v>CUSTOS DOS PRODUTOS VENDIDOS</v>
      </c>
    </row>
    <row r="128" spans="1:12" ht="15" hidden="1">
      <c r="A128" t="s">
        <v>835</v>
      </c>
      <c r="B128" t="s">
        <v>689</v>
      </c>
      <c r="C128" t="s">
        <v>690</v>
      </c>
      <c r="D128" t="s">
        <v>743</v>
      </c>
      <c r="E128" t="s">
        <v>734</v>
      </c>
      <c r="F128" t="s">
        <v>1272</v>
      </c>
      <c r="G128" t="s">
        <v>665</v>
      </c>
      <c r="H128" s="595">
        <v>-11.86</v>
      </c>
      <c r="I128" t="str">
        <f t="shared" si="4"/>
        <v>janeiro 2026</v>
      </c>
      <c r="J128">
        <f t="shared" si="5"/>
        <v>2026</v>
      </c>
      <c r="K128" t="str">
        <f>VLOOKUP(G128,METRICS!C:D,2,0)</f>
        <v>Taxas Financeiras Diversas</v>
      </c>
      <c r="L128" t="str">
        <f>VLOOKUP(K128,METRICS!D:E,2,0)</f>
        <v>TAXAS CARTÃO DE CRÉDITO</v>
      </c>
    </row>
    <row r="129" spans="1:12" ht="15" hidden="1">
      <c r="A129" t="s">
        <v>835</v>
      </c>
      <c r="B129" t="s">
        <v>689</v>
      </c>
      <c r="C129" t="s">
        <v>690</v>
      </c>
      <c r="D129" t="s">
        <v>743</v>
      </c>
      <c r="E129" t="s">
        <v>734</v>
      </c>
      <c r="F129" t="s">
        <v>1272</v>
      </c>
      <c r="G129" t="s">
        <v>665</v>
      </c>
      <c r="H129" s="595">
        <v>-4.3600000000000003</v>
      </c>
      <c r="I129" t="str">
        <f t="shared" si="4"/>
        <v>janeiro 2026</v>
      </c>
      <c r="J129">
        <f t="shared" si="5"/>
        <v>2026</v>
      </c>
      <c r="K129" t="str">
        <f>VLOOKUP(G129,METRICS!C:D,2,0)</f>
        <v>Taxas Financeiras Diversas</v>
      </c>
      <c r="L129" t="str">
        <f>VLOOKUP(K129,METRICS!D:E,2,0)</f>
        <v>TAXAS CARTÃO DE CRÉDITO</v>
      </c>
    </row>
    <row r="130" spans="1:12" ht="15" hidden="1">
      <c r="A130" t="s">
        <v>835</v>
      </c>
      <c r="B130" t="s">
        <v>689</v>
      </c>
      <c r="C130" t="s">
        <v>690</v>
      </c>
      <c r="D130" t="s">
        <v>733</v>
      </c>
      <c r="E130" t="s">
        <v>734</v>
      </c>
      <c r="F130" t="s">
        <v>1272</v>
      </c>
      <c r="G130" t="s">
        <v>665</v>
      </c>
      <c r="H130" s="595">
        <v>-45.34</v>
      </c>
      <c r="I130" t="str">
        <f t="shared" si="4"/>
        <v>janeiro 2026</v>
      </c>
      <c r="J130">
        <f t="shared" si="5"/>
        <v>2026</v>
      </c>
      <c r="K130" t="str">
        <f>VLOOKUP(G130,METRICS!C:D,2,0)</f>
        <v>Taxas Financeiras Diversas</v>
      </c>
      <c r="L130" t="str">
        <f>VLOOKUP(K130,METRICS!D:E,2,0)</f>
        <v>TAXAS CARTÃO DE CRÉDITO</v>
      </c>
    </row>
    <row r="131" spans="1:12" ht="15" hidden="1">
      <c r="A131" t="s">
        <v>835</v>
      </c>
      <c r="B131" t="s">
        <v>612</v>
      </c>
      <c r="C131" t="s">
        <v>690</v>
      </c>
      <c r="D131" t="s">
        <v>842</v>
      </c>
      <c r="E131" t="s">
        <v>767</v>
      </c>
      <c r="F131" t="s">
        <v>1272</v>
      </c>
      <c r="G131" t="s">
        <v>623</v>
      </c>
      <c r="H131" s="595">
        <v>-740.88</v>
      </c>
      <c r="I131" t="str">
        <f t="shared" si="4"/>
        <v>janeiro 2026</v>
      </c>
      <c r="J131">
        <f t="shared" si="5"/>
        <v>2026</v>
      </c>
      <c r="K131" t="str">
        <f>VLOOKUP(G131,METRICS!C:D,2,0)</f>
        <v>Secos - Mercearia</v>
      </c>
      <c r="L131" t="str">
        <f>VLOOKUP(K131,METRICS!D:E,2,0)</f>
        <v>CUSTOS DOS PRODUTOS VENDIDOS</v>
      </c>
    </row>
    <row r="132" spans="1:12" ht="15" hidden="1">
      <c r="A132" t="s">
        <v>835</v>
      </c>
      <c r="B132" t="s">
        <v>612</v>
      </c>
      <c r="C132" t="s">
        <v>690</v>
      </c>
      <c r="D132" t="s">
        <v>843</v>
      </c>
      <c r="E132" t="s">
        <v>844</v>
      </c>
      <c r="F132" t="s">
        <v>1272</v>
      </c>
      <c r="G132" t="s">
        <v>636</v>
      </c>
      <c r="H132" s="595">
        <v>-1620.36</v>
      </c>
      <c r="I132" t="str">
        <f t="shared" si="4"/>
        <v>janeiro 2026</v>
      </c>
      <c r="J132">
        <f t="shared" si="5"/>
        <v>2026</v>
      </c>
      <c r="K132" t="str">
        <f>VLOOKUP(G132,METRICS!C:D,2,0)</f>
        <v>Secos - Mercearia</v>
      </c>
      <c r="L132" t="str">
        <f>VLOOKUP(K132,METRICS!D:E,2,0)</f>
        <v>CUSTOS DOS PRODUTOS VENDIDOS</v>
      </c>
    </row>
    <row r="133" spans="1:12" ht="15" hidden="1">
      <c r="A133" t="s">
        <v>835</v>
      </c>
      <c r="B133" t="s">
        <v>689</v>
      </c>
      <c r="C133" t="s">
        <v>690</v>
      </c>
      <c r="D133" t="s">
        <v>743</v>
      </c>
      <c r="E133" t="s">
        <v>734</v>
      </c>
      <c r="F133" t="s">
        <v>1272</v>
      </c>
      <c r="G133" t="s">
        <v>665</v>
      </c>
      <c r="H133" s="595">
        <v>-2.83</v>
      </c>
      <c r="I133" t="str">
        <f t="shared" si="4"/>
        <v>janeiro 2026</v>
      </c>
      <c r="J133">
        <f t="shared" si="5"/>
        <v>2026</v>
      </c>
      <c r="K133" t="str">
        <f>VLOOKUP(G133,METRICS!C:D,2,0)</f>
        <v>Taxas Financeiras Diversas</v>
      </c>
      <c r="L133" t="str">
        <f>VLOOKUP(K133,METRICS!D:E,2,0)</f>
        <v>TAXAS CARTÃO DE CRÉDITO</v>
      </c>
    </row>
    <row r="134" spans="1:12" ht="15" hidden="1">
      <c r="A134" t="s">
        <v>835</v>
      </c>
      <c r="B134" t="s">
        <v>689</v>
      </c>
      <c r="C134" t="s">
        <v>690</v>
      </c>
      <c r="D134" t="s">
        <v>733</v>
      </c>
      <c r="E134" t="s">
        <v>734</v>
      </c>
      <c r="F134" t="s">
        <v>1272</v>
      </c>
      <c r="G134" t="s">
        <v>665</v>
      </c>
      <c r="H134" s="595">
        <v>-2.42</v>
      </c>
      <c r="I134" t="str">
        <f t="shared" si="4"/>
        <v>janeiro 2026</v>
      </c>
      <c r="J134">
        <f t="shared" si="5"/>
        <v>2026</v>
      </c>
      <c r="K134" t="str">
        <f>VLOOKUP(G134,METRICS!C:D,2,0)</f>
        <v>Taxas Financeiras Diversas</v>
      </c>
      <c r="L134" t="str">
        <f>VLOOKUP(K134,METRICS!D:E,2,0)</f>
        <v>TAXAS CARTÃO DE CRÉDITO</v>
      </c>
    </row>
    <row r="135" spans="1:12" ht="15" hidden="1">
      <c r="A135" t="s">
        <v>835</v>
      </c>
      <c r="B135" t="s">
        <v>689</v>
      </c>
      <c r="C135" t="s">
        <v>690</v>
      </c>
      <c r="D135" t="s">
        <v>816</v>
      </c>
      <c r="E135" t="s">
        <v>746</v>
      </c>
      <c r="F135" t="s">
        <v>1272</v>
      </c>
      <c r="G135" t="s">
        <v>669</v>
      </c>
      <c r="H135" s="595">
        <v>-5.44</v>
      </c>
      <c r="I135" t="str">
        <f t="shared" si="4"/>
        <v>janeiro 2026</v>
      </c>
      <c r="J135">
        <f t="shared" si="5"/>
        <v>2026</v>
      </c>
      <c r="K135" t="str">
        <f>VLOOKUP(G135,METRICS!C:D,2,0)</f>
        <v>Taxas Financeiras Diversas</v>
      </c>
      <c r="L135" t="str">
        <f>VLOOKUP(K135,METRICS!D:E,2,0)</f>
        <v>TAXAS CARTÃO DE CRÉDITO</v>
      </c>
    </row>
    <row r="136" spans="1:12" ht="15" hidden="1">
      <c r="A136" t="s">
        <v>835</v>
      </c>
      <c r="B136" t="s">
        <v>612</v>
      </c>
      <c r="C136" t="s">
        <v>690</v>
      </c>
      <c r="D136" t="s">
        <v>845</v>
      </c>
      <c r="E136" t="s">
        <v>846</v>
      </c>
      <c r="F136" t="s">
        <v>1272</v>
      </c>
      <c r="G136" t="s">
        <v>631</v>
      </c>
      <c r="H136" s="595">
        <v>-2000</v>
      </c>
      <c r="I136" t="str">
        <f t="shared" si="4"/>
        <v>janeiro 2026</v>
      </c>
      <c r="J136">
        <f t="shared" si="5"/>
        <v>2026</v>
      </c>
      <c r="K136" t="str">
        <f>VLOOKUP(G136,METRICS!C:D,2,0)</f>
        <v>Midias Sociais</v>
      </c>
      <c r="L136" t="str">
        <f>VLOOKUP(K136,METRICS!D:E,2,0)</f>
        <v>MARKETING</v>
      </c>
    </row>
    <row r="137" spans="1:12" ht="15" hidden="1">
      <c r="A137" t="s">
        <v>835</v>
      </c>
      <c r="B137" t="s">
        <v>689</v>
      </c>
      <c r="C137" t="s">
        <v>690</v>
      </c>
      <c r="D137" t="s">
        <v>847</v>
      </c>
      <c r="E137" t="s">
        <v>789</v>
      </c>
      <c r="F137" t="s">
        <v>1272</v>
      </c>
      <c r="G137" t="s">
        <v>647</v>
      </c>
      <c r="H137" s="595">
        <v>-4422.53</v>
      </c>
      <c r="I137" t="str">
        <f t="shared" si="4"/>
        <v>janeiro 2026</v>
      </c>
      <c r="J137">
        <f t="shared" si="5"/>
        <v>2026</v>
      </c>
      <c r="K137" t="str">
        <f>VLOOKUP(G137,METRICS!C:D,2,0)</f>
        <v>FGTS</v>
      </c>
      <c r="L137" t="str">
        <f>VLOOKUP(K137,METRICS!D:E,2,0)</f>
        <v>PESSOAL</v>
      </c>
    </row>
    <row r="138" spans="1:12" ht="15" hidden="1">
      <c r="A138" t="s">
        <v>835</v>
      </c>
      <c r="B138" t="s">
        <v>689</v>
      </c>
      <c r="C138" t="s">
        <v>690</v>
      </c>
      <c r="D138" t="s">
        <v>753</v>
      </c>
      <c r="E138" t="s">
        <v>734</v>
      </c>
      <c r="F138" t="s">
        <v>1272</v>
      </c>
      <c r="G138" t="s">
        <v>665</v>
      </c>
      <c r="H138" s="595">
        <v>-19.7</v>
      </c>
      <c r="I138" t="str">
        <f t="shared" si="4"/>
        <v>janeiro 2026</v>
      </c>
      <c r="J138">
        <f t="shared" si="5"/>
        <v>2026</v>
      </c>
      <c r="K138" t="str">
        <f>VLOOKUP(G138,METRICS!C:D,2,0)</f>
        <v>Taxas Financeiras Diversas</v>
      </c>
      <c r="L138" t="str">
        <f>VLOOKUP(K138,METRICS!D:E,2,0)</f>
        <v>TAXAS CARTÃO DE CRÉDITO</v>
      </c>
    </row>
    <row r="139" spans="1:12" ht="15" hidden="1">
      <c r="A139" t="s">
        <v>835</v>
      </c>
      <c r="B139" t="s">
        <v>612</v>
      </c>
      <c r="C139" t="s">
        <v>690</v>
      </c>
      <c r="D139" t="s">
        <v>848</v>
      </c>
      <c r="E139" t="s">
        <v>849</v>
      </c>
      <c r="F139" t="s">
        <v>1272</v>
      </c>
      <c r="G139" t="s">
        <v>621</v>
      </c>
      <c r="H139" s="595">
        <v>-2500</v>
      </c>
      <c r="I139" t="str">
        <f t="shared" si="4"/>
        <v>janeiro 2026</v>
      </c>
      <c r="J139">
        <f t="shared" si="5"/>
        <v>2026</v>
      </c>
      <c r="K139" t="str">
        <f>VLOOKUP(G139,METRICS!C:D,2,0)</f>
        <v>Influencer</v>
      </c>
      <c r="L139" t="str">
        <f>VLOOKUP(K139,METRICS!D:E,2,0)</f>
        <v>MARKETING</v>
      </c>
    </row>
    <row r="140" spans="1:12" ht="15" hidden="1">
      <c r="A140" t="s">
        <v>835</v>
      </c>
      <c r="B140" t="s">
        <v>612</v>
      </c>
      <c r="C140" t="s">
        <v>690</v>
      </c>
      <c r="D140" t="s">
        <v>850</v>
      </c>
      <c r="E140" t="s">
        <v>851</v>
      </c>
      <c r="F140" t="s">
        <v>1272</v>
      </c>
      <c r="G140" t="s">
        <v>609</v>
      </c>
      <c r="H140" s="595">
        <v>-1868.9</v>
      </c>
      <c r="I140" t="str">
        <f t="shared" si="4"/>
        <v>janeiro 2026</v>
      </c>
      <c r="J140">
        <f t="shared" si="5"/>
        <v>2026</v>
      </c>
      <c r="K140" t="str">
        <f>VLOOKUP(G140,METRICS!C:D,2,0)</f>
        <v>Carnes e Aves</v>
      </c>
      <c r="L140" t="str">
        <f>VLOOKUP(K140,METRICS!D:E,2,0)</f>
        <v>CUSTOS DOS PRODUTOS VENDIDOS</v>
      </c>
    </row>
    <row r="141" spans="1:12" ht="15" hidden="1">
      <c r="A141" t="s">
        <v>835</v>
      </c>
      <c r="B141" t="s">
        <v>689</v>
      </c>
      <c r="C141" t="s">
        <v>690</v>
      </c>
      <c r="D141" t="s">
        <v>743</v>
      </c>
      <c r="E141" t="s">
        <v>734</v>
      </c>
      <c r="F141" t="s">
        <v>1272</v>
      </c>
      <c r="G141" t="s">
        <v>665</v>
      </c>
      <c r="H141" s="595">
        <v>-10.58</v>
      </c>
      <c r="I141" t="str">
        <f t="shared" si="4"/>
        <v>janeiro 2026</v>
      </c>
      <c r="J141">
        <f t="shared" si="5"/>
        <v>2026</v>
      </c>
      <c r="K141" t="str">
        <f>VLOOKUP(G141,METRICS!C:D,2,0)</f>
        <v>Taxas Financeiras Diversas</v>
      </c>
      <c r="L141" t="str">
        <f>VLOOKUP(K141,METRICS!D:E,2,0)</f>
        <v>TAXAS CARTÃO DE CRÉDITO</v>
      </c>
    </row>
    <row r="142" spans="1:12" ht="15" hidden="1">
      <c r="A142" t="s">
        <v>835</v>
      </c>
      <c r="B142" t="s">
        <v>689</v>
      </c>
      <c r="C142" t="s">
        <v>690</v>
      </c>
      <c r="D142" t="s">
        <v>743</v>
      </c>
      <c r="E142" t="s">
        <v>734</v>
      </c>
      <c r="F142" t="s">
        <v>1272</v>
      </c>
      <c r="G142" t="s">
        <v>665</v>
      </c>
      <c r="H142" s="595">
        <v>-2.38</v>
      </c>
      <c r="I142" t="str">
        <f t="shared" si="4"/>
        <v>janeiro 2026</v>
      </c>
      <c r="J142">
        <f t="shared" si="5"/>
        <v>2026</v>
      </c>
      <c r="K142" t="str">
        <f>VLOOKUP(G142,METRICS!C:D,2,0)</f>
        <v>Taxas Financeiras Diversas</v>
      </c>
      <c r="L142" t="str">
        <f>VLOOKUP(K142,METRICS!D:E,2,0)</f>
        <v>TAXAS CARTÃO DE CRÉDITO</v>
      </c>
    </row>
    <row r="143" spans="1:12" ht="15" hidden="1">
      <c r="A143" t="s">
        <v>835</v>
      </c>
      <c r="B143" t="s">
        <v>689</v>
      </c>
      <c r="C143" t="s">
        <v>690</v>
      </c>
      <c r="D143" t="s">
        <v>743</v>
      </c>
      <c r="E143" t="s">
        <v>734</v>
      </c>
      <c r="F143" t="s">
        <v>1272</v>
      </c>
      <c r="G143" t="s">
        <v>665</v>
      </c>
      <c r="H143" s="595">
        <v>-5.42</v>
      </c>
      <c r="I143" t="str">
        <f t="shared" si="4"/>
        <v>janeiro 2026</v>
      </c>
      <c r="J143">
        <f t="shared" si="5"/>
        <v>2026</v>
      </c>
      <c r="K143" t="str">
        <f>VLOOKUP(G143,METRICS!C:D,2,0)</f>
        <v>Taxas Financeiras Diversas</v>
      </c>
      <c r="L143" t="str">
        <f>VLOOKUP(K143,METRICS!D:E,2,0)</f>
        <v>TAXAS CARTÃO DE CRÉDITO</v>
      </c>
    </row>
    <row r="144" spans="1:12" ht="15" hidden="1">
      <c r="A144" t="s">
        <v>835</v>
      </c>
      <c r="B144" t="s">
        <v>689</v>
      </c>
      <c r="C144" t="s">
        <v>690</v>
      </c>
      <c r="D144" t="s">
        <v>743</v>
      </c>
      <c r="E144" t="s">
        <v>734</v>
      </c>
      <c r="F144" t="s">
        <v>1272</v>
      </c>
      <c r="G144" t="s">
        <v>665</v>
      </c>
      <c r="H144" s="595">
        <v>-2.83</v>
      </c>
      <c r="I144" t="str">
        <f t="shared" si="4"/>
        <v>janeiro 2026</v>
      </c>
      <c r="J144">
        <f t="shared" si="5"/>
        <v>2026</v>
      </c>
      <c r="K144" t="str">
        <f>VLOOKUP(G144,METRICS!C:D,2,0)</f>
        <v>Taxas Financeiras Diversas</v>
      </c>
      <c r="L144" t="str">
        <f>VLOOKUP(K144,METRICS!D:E,2,0)</f>
        <v>TAXAS CARTÃO DE CRÉDITO</v>
      </c>
    </row>
    <row r="145" spans="1:12" ht="15" hidden="1">
      <c r="A145" t="s">
        <v>835</v>
      </c>
      <c r="B145" t="s">
        <v>689</v>
      </c>
      <c r="C145" t="s">
        <v>690</v>
      </c>
      <c r="D145" t="s">
        <v>733</v>
      </c>
      <c r="E145" t="s">
        <v>734</v>
      </c>
      <c r="F145" t="s">
        <v>1272</v>
      </c>
      <c r="G145" t="s">
        <v>665</v>
      </c>
      <c r="H145" s="595">
        <v>-5.4</v>
      </c>
      <c r="I145" t="str">
        <f t="shared" si="4"/>
        <v>janeiro 2026</v>
      </c>
      <c r="J145">
        <f t="shared" si="5"/>
        <v>2026</v>
      </c>
      <c r="K145" t="str">
        <f>VLOOKUP(G145,METRICS!C:D,2,0)</f>
        <v>Taxas Financeiras Diversas</v>
      </c>
      <c r="L145" t="str">
        <f>VLOOKUP(K145,METRICS!D:E,2,0)</f>
        <v>TAXAS CARTÃO DE CRÉDITO</v>
      </c>
    </row>
    <row r="146" spans="1:12" ht="15" hidden="1">
      <c r="A146" t="s">
        <v>835</v>
      </c>
      <c r="B146" t="s">
        <v>689</v>
      </c>
      <c r="C146" t="s">
        <v>690</v>
      </c>
      <c r="D146" t="s">
        <v>847</v>
      </c>
      <c r="E146" t="s">
        <v>789</v>
      </c>
      <c r="F146" t="s">
        <v>1272</v>
      </c>
      <c r="G146" t="s">
        <v>647</v>
      </c>
      <c r="H146" s="595">
        <v>-3020.14</v>
      </c>
      <c r="I146" t="str">
        <f t="shared" si="4"/>
        <v>janeiro 2026</v>
      </c>
      <c r="J146">
        <f t="shared" si="5"/>
        <v>2026</v>
      </c>
      <c r="K146" t="str">
        <f>VLOOKUP(G146,METRICS!C:D,2,0)</f>
        <v>FGTS</v>
      </c>
      <c r="L146" t="str">
        <f>VLOOKUP(K146,METRICS!D:E,2,0)</f>
        <v>PESSOAL</v>
      </c>
    </row>
    <row r="147" spans="1:12" ht="15" hidden="1">
      <c r="A147" t="s">
        <v>835</v>
      </c>
      <c r="B147" t="s">
        <v>689</v>
      </c>
      <c r="C147" t="s">
        <v>690</v>
      </c>
      <c r="D147" t="s">
        <v>743</v>
      </c>
      <c r="E147" t="s">
        <v>734</v>
      </c>
      <c r="F147" t="s">
        <v>1272</v>
      </c>
      <c r="G147" t="s">
        <v>665</v>
      </c>
      <c r="H147" s="595">
        <v>-2.7</v>
      </c>
      <c r="I147" t="str">
        <f t="shared" si="4"/>
        <v>janeiro 2026</v>
      </c>
      <c r="J147">
        <f t="shared" si="5"/>
        <v>2026</v>
      </c>
      <c r="K147" t="str">
        <f>VLOOKUP(G147,METRICS!C:D,2,0)</f>
        <v>Taxas Financeiras Diversas</v>
      </c>
      <c r="L147" t="str">
        <f>VLOOKUP(K147,METRICS!D:E,2,0)</f>
        <v>TAXAS CARTÃO DE CRÉDITO</v>
      </c>
    </row>
    <row r="148" spans="1:12" ht="15" hidden="1">
      <c r="A148" t="s">
        <v>835</v>
      </c>
      <c r="B148" t="s">
        <v>689</v>
      </c>
      <c r="C148" t="s">
        <v>690</v>
      </c>
      <c r="D148" t="s">
        <v>753</v>
      </c>
      <c r="E148" t="s">
        <v>734</v>
      </c>
      <c r="F148" t="s">
        <v>1272</v>
      </c>
      <c r="G148" t="s">
        <v>665</v>
      </c>
      <c r="H148" s="595">
        <v>-13.18</v>
      </c>
      <c r="I148" t="str">
        <f t="shared" si="4"/>
        <v>janeiro 2026</v>
      </c>
      <c r="J148">
        <f t="shared" si="5"/>
        <v>2026</v>
      </c>
      <c r="K148" t="str">
        <f>VLOOKUP(G148,METRICS!C:D,2,0)</f>
        <v>Taxas Financeiras Diversas</v>
      </c>
      <c r="L148" t="str">
        <f>VLOOKUP(K148,METRICS!D:E,2,0)</f>
        <v>TAXAS CARTÃO DE CRÉDITO</v>
      </c>
    </row>
    <row r="149" spans="1:12" ht="15" hidden="1">
      <c r="A149" t="s">
        <v>835</v>
      </c>
      <c r="B149" t="s">
        <v>689</v>
      </c>
      <c r="C149" t="s">
        <v>690</v>
      </c>
      <c r="D149" t="s">
        <v>852</v>
      </c>
      <c r="E149" s="155" t="s">
        <v>544</v>
      </c>
      <c r="F149" t="s">
        <v>1272</v>
      </c>
      <c r="G149" t="s">
        <v>664</v>
      </c>
      <c r="H149" s="595">
        <v>-2650</v>
      </c>
      <c r="I149" t="str">
        <f t="shared" si="4"/>
        <v>janeiro 2026</v>
      </c>
      <c r="J149">
        <f t="shared" si="5"/>
        <v>2026</v>
      </c>
      <c r="K149" t="str">
        <f>VLOOKUP(G149,METRICS!C:D,2,0)</f>
        <v>Colaborador Extra</v>
      </c>
      <c r="L149" t="str">
        <f>VLOOKUP(K149,METRICS!D:E,2,0)</f>
        <v>PESSOAL</v>
      </c>
    </row>
    <row r="150" spans="1:12" ht="15" hidden="1">
      <c r="A150" t="s">
        <v>835</v>
      </c>
      <c r="B150" t="s">
        <v>689</v>
      </c>
      <c r="C150" t="s">
        <v>690</v>
      </c>
      <c r="D150" t="s">
        <v>743</v>
      </c>
      <c r="E150" t="s">
        <v>734</v>
      </c>
      <c r="F150" t="s">
        <v>1272</v>
      </c>
      <c r="G150" t="s">
        <v>665</v>
      </c>
      <c r="H150" s="595">
        <v>-24.53</v>
      </c>
      <c r="I150" t="str">
        <f t="shared" si="4"/>
        <v>janeiro 2026</v>
      </c>
      <c r="J150">
        <f t="shared" si="5"/>
        <v>2026</v>
      </c>
      <c r="K150" t="str">
        <f>VLOOKUP(G150,METRICS!C:D,2,0)</f>
        <v>Taxas Financeiras Diversas</v>
      </c>
      <c r="L150" t="str">
        <f>VLOOKUP(K150,METRICS!D:E,2,0)</f>
        <v>TAXAS CARTÃO DE CRÉDITO</v>
      </c>
    </row>
    <row r="151" spans="1:12" ht="15" hidden="1">
      <c r="A151" t="s">
        <v>835</v>
      </c>
      <c r="B151" t="s">
        <v>689</v>
      </c>
      <c r="C151" t="s">
        <v>690</v>
      </c>
      <c r="D151" t="s">
        <v>743</v>
      </c>
      <c r="E151" t="s">
        <v>734</v>
      </c>
      <c r="F151" t="s">
        <v>1272</v>
      </c>
      <c r="G151" t="s">
        <v>665</v>
      </c>
      <c r="H151" s="595">
        <v>-10.58</v>
      </c>
      <c r="I151" t="str">
        <f t="shared" ref="I151:I190" si="6">TEXT(A151, "mmmm aaaa")</f>
        <v>janeiro 2026</v>
      </c>
      <c r="J151">
        <f t="shared" si="5"/>
        <v>2026</v>
      </c>
      <c r="K151" t="str">
        <f>VLOOKUP(G151,METRICS!C:D,2,0)</f>
        <v>Taxas Financeiras Diversas</v>
      </c>
      <c r="L151" t="str">
        <f>VLOOKUP(K151,METRICS!D:E,2,0)</f>
        <v>TAXAS CARTÃO DE CRÉDITO</v>
      </c>
    </row>
    <row r="152" spans="1:12" ht="15" hidden="1">
      <c r="A152" t="s">
        <v>835</v>
      </c>
      <c r="B152" t="s">
        <v>689</v>
      </c>
      <c r="C152" t="s">
        <v>690</v>
      </c>
      <c r="D152" t="s">
        <v>733</v>
      </c>
      <c r="E152" t="s">
        <v>734</v>
      </c>
      <c r="F152" t="s">
        <v>1272</v>
      </c>
      <c r="G152" t="s">
        <v>665</v>
      </c>
      <c r="H152" s="595">
        <v>-13.19</v>
      </c>
      <c r="I152" t="str">
        <f t="shared" si="6"/>
        <v>janeiro 2026</v>
      </c>
      <c r="J152">
        <f t="shared" si="5"/>
        <v>2026</v>
      </c>
      <c r="K152" t="str">
        <f>VLOOKUP(G152,METRICS!C:D,2,0)</f>
        <v>Taxas Financeiras Diversas</v>
      </c>
      <c r="L152" t="str">
        <f>VLOOKUP(K152,METRICS!D:E,2,0)</f>
        <v>TAXAS CARTÃO DE CRÉDITO</v>
      </c>
    </row>
    <row r="153" spans="1:12" ht="15" hidden="1">
      <c r="A153" t="s">
        <v>835</v>
      </c>
      <c r="B153" t="s">
        <v>689</v>
      </c>
      <c r="C153" t="s">
        <v>690</v>
      </c>
      <c r="D153" t="s">
        <v>733</v>
      </c>
      <c r="E153" t="s">
        <v>734</v>
      </c>
      <c r="F153" t="s">
        <v>1272</v>
      </c>
      <c r="G153" t="s">
        <v>665</v>
      </c>
      <c r="H153" s="595">
        <v>-2.5299999999999998</v>
      </c>
      <c r="I153" t="str">
        <f t="shared" si="6"/>
        <v>janeiro 2026</v>
      </c>
      <c r="J153">
        <f t="shared" si="5"/>
        <v>2026</v>
      </c>
      <c r="K153" t="str">
        <f>VLOOKUP(G153,METRICS!C:D,2,0)</f>
        <v>Taxas Financeiras Diversas</v>
      </c>
      <c r="L153" t="str">
        <f>VLOOKUP(K153,METRICS!D:E,2,0)</f>
        <v>TAXAS CARTÃO DE CRÉDITO</v>
      </c>
    </row>
    <row r="154" spans="1:12" ht="15" hidden="1">
      <c r="A154" t="s">
        <v>835</v>
      </c>
      <c r="B154" t="s">
        <v>689</v>
      </c>
      <c r="C154" t="s">
        <v>690</v>
      </c>
      <c r="D154" t="s">
        <v>743</v>
      </c>
      <c r="E154" t="s">
        <v>734</v>
      </c>
      <c r="F154" t="s">
        <v>1272</v>
      </c>
      <c r="G154" t="s">
        <v>665</v>
      </c>
      <c r="H154" s="595">
        <v>-16.98</v>
      </c>
      <c r="I154" t="str">
        <f t="shared" si="6"/>
        <v>janeiro 2026</v>
      </c>
      <c r="J154">
        <f t="shared" si="5"/>
        <v>2026</v>
      </c>
      <c r="K154" t="str">
        <f>VLOOKUP(G154,METRICS!C:D,2,0)</f>
        <v>Taxas Financeiras Diversas</v>
      </c>
      <c r="L154" t="str">
        <f>VLOOKUP(K154,METRICS!D:E,2,0)</f>
        <v>TAXAS CARTÃO DE CRÉDITO</v>
      </c>
    </row>
    <row r="155" spans="1:12" ht="15" hidden="1">
      <c r="A155" t="s">
        <v>835</v>
      </c>
      <c r="B155" t="s">
        <v>612</v>
      </c>
      <c r="C155" t="s">
        <v>690</v>
      </c>
      <c r="D155" t="s">
        <v>853</v>
      </c>
      <c r="E155" t="s">
        <v>765</v>
      </c>
      <c r="F155" t="s">
        <v>1272</v>
      </c>
      <c r="G155" t="s">
        <v>619</v>
      </c>
      <c r="H155" s="595">
        <v>-509.6</v>
      </c>
      <c r="I155" t="str">
        <f t="shared" si="6"/>
        <v>janeiro 2026</v>
      </c>
      <c r="J155">
        <f t="shared" si="5"/>
        <v>2026</v>
      </c>
      <c r="K155" t="str">
        <f>VLOOKUP(G155,METRICS!C:D,2,0)</f>
        <v>Gelo</v>
      </c>
      <c r="L155" t="str">
        <f>VLOOKUP(K155,METRICS!D:E,2,0)</f>
        <v>CUSTOS DOS PRODUTOS VENDIDOS</v>
      </c>
    </row>
    <row r="156" spans="1:12" ht="15" hidden="1">
      <c r="A156" t="s">
        <v>835</v>
      </c>
      <c r="B156" t="s">
        <v>612</v>
      </c>
      <c r="C156" t="s">
        <v>690</v>
      </c>
      <c r="D156" t="s">
        <v>854</v>
      </c>
      <c r="E156" t="s">
        <v>855</v>
      </c>
      <c r="F156" t="s">
        <v>1272</v>
      </c>
      <c r="G156" t="s">
        <v>609</v>
      </c>
      <c r="H156" s="595">
        <v>-1941.91</v>
      </c>
      <c r="I156" t="str">
        <f t="shared" si="6"/>
        <v>janeiro 2026</v>
      </c>
      <c r="J156">
        <f t="shared" si="5"/>
        <v>2026</v>
      </c>
      <c r="K156" t="str">
        <f>VLOOKUP(G156,METRICS!C:D,2,0)</f>
        <v>Carnes e Aves</v>
      </c>
      <c r="L156" t="str">
        <f>VLOOKUP(K156,METRICS!D:E,2,0)</f>
        <v>CUSTOS DOS PRODUTOS VENDIDOS</v>
      </c>
    </row>
    <row r="157" spans="1:12" ht="15" hidden="1">
      <c r="A157" t="s">
        <v>835</v>
      </c>
      <c r="B157" t="s">
        <v>612</v>
      </c>
      <c r="C157" t="s">
        <v>690</v>
      </c>
      <c r="D157" t="s">
        <v>856</v>
      </c>
      <c r="E157" t="s">
        <v>857</v>
      </c>
      <c r="F157" t="s">
        <v>1272</v>
      </c>
      <c r="G157" t="s">
        <v>413</v>
      </c>
      <c r="H157" s="595">
        <v>-330</v>
      </c>
      <c r="I157" t="str">
        <f t="shared" si="6"/>
        <v>janeiro 2026</v>
      </c>
      <c r="J157">
        <f t="shared" si="5"/>
        <v>2026</v>
      </c>
      <c r="K157" t="str">
        <f>VLOOKUP(G157,METRICS!C:D,2,0)</f>
        <v>Pescados</v>
      </c>
      <c r="L157" t="str">
        <f>VLOOKUP(K157,METRICS!D:E,2,0)</f>
        <v>CUSTOS DOS PRODUTOS VENDIDOS</v>
      </c>
    </row>
    <row r="158" spans="1:12" ht="15" hidden="1">
      <c r="A158" t="s">
        <v>835</v>
      </c>
      <c r="B158" t="s">
        <v>689</v>
      </c>
      <c r="C158" t="s">
        <v>690</v>
      </c>
      <c r="D158" t="s">
        <v>743</v>
      </c>
      <c r="E158" t="s">
        <v>734</v>
      </c>
      <c r="F158" t="s">
        <v>1272</v>
      </c>
      <c r="G158" t="s">
        <v>665</v>
      </c>
      <c r="H158" s="595">
        <v>-1.83</v>
      </c>
      <c r="I158" t="str">
        <f t="shared" si="6"/>
        <v>janeiro 2026</v>
      </c>
      <c r="J158">
        <f t="shared" si="5"/>
        <v>2026</v>
      </c>
      <c r="K158" t="str">
        <f>VLOOKUP(G158,METRICS!C:D,2,0)</f>
        <v>Taxas Financeiras Diversas</v>
      </c>
      <c r="L158" t="str">
        <f>VLOOKUP(K158,METRICS!D:E,2,0)</f>
        <v>TAXAS CARTÃO DE CRÉDITO</v>
      </c>
    </row>
    <row r="159" spans="1:12" ht="15" hidden="1">
      <c r="A159" t="s">
        <v>835</v>
      </c>
      <c r="B159" t="s">
        <v>689</v>
      </c>
      <c r="C159" t="s">
        <v>690</v>
      </c>
      <c r="D159" t="s">
        <v>743</v>
      </c>
      <c r="E159" t="s">
        <v>734</v>
      </c>
      <c r="F159" t="s">
        <v>1272</v>
      </c>
      <c r="G159" t="s">
        <v>665</v>
      </c>
      <c r="H159" s="595">
        <v>-4.3600000000000003</v>
      </c>
      <c r="I159" t="str">
        <f t="shared" si="6"/>
        <v>janeiro 2026</v>
      </c>
      <c r="J159">
        <f t="shared" si="5"/>
        <v>2026</v>
      </c>
      <c r="K159" t="str">
        <f>VLOOKUP(G159,METRICS!C:D,2,0)</f>
        <v>Taxas Financeiras Diversas</v>
      </c>
      <c r="L159" t="str">
        <f>VLOOKUP(K159,METRICS!D:E,2,0)</f>
        <v>TAXAS CARTÃO DE CRÉDITO</v>
      </c>
    </row>
    <row r="160" spans="1:12" ht="15" hidden="1">
      <c r="A160" t="s">
        <v>835</v>
      </c>
      <c r="B160" t="s">
        <v>689</v>
      </c>
      <c r="C160" t="s">
        <v>690</v>
      </c>
      <c r="D160" t="s">
        <v>733</v>
      </c>
      <c r="E160" t="s">
        <v>734</v>
      </c>
      <c r="F160" t="s">
        <v>1272</v>
      </c>
      <c r="G160" t="s">
        <v>665</v>
      </c>
      <c r="H160" s="595">
        <v>-4.49</v>
      </c>
      <c r="I160" t="str">
        <f t="shared" si="6"/>
        <v>janeiro 2026</v>
      </c>
      <c r="J160">
        <f t="shared" si="5"/>
        <v>2026</v>
      </c>
      <c r="K160" t="str">
        <f>VLOOKUP(G160,METRICS!C:D,2,0)</f>
        <v>Taxas Financeiras Diversas</v>
      </c>
      <c r="L160" t="str">
        <f>VLOOKUP(K160,METRICS!D:E,2,0)</f>
        <v>TAXAS CARTÃO DE CRÉDITO</v>
      </c>
    </row>
    <row r="161" spans="1:12" ht="15" hidden="1">
      <c r="A161" t="s">
        <v>835</v>
      </c>
      <c r="B161" t="s">
        <v>689</v>
      </c>
      <c r="C161" t="s">
        <v>690</v>
      </c>
      <c r="D161" t="s">
        <v>733</v>
      </c>
      <c r="E161" t="s">
        <v>734</v>
      </c>
      <c r="F161" t="s">
        <v>1272</v>
      </c>
      <c r="G161" t="s">
        <v>665</v>
      </c>
      <c r="H161" s="595">
        <v>-1.95</v>
      </c>
      <c r="I161" t="str">
        <f t="shared" si="6"/>
        <v>janeiro 2026</v>
      </c>
      <c r="J161">
        <f t="shared" si="5"/>
        <v>2026</v>
      </c>
      <c r="K161" t="str">
        <f>VLOOKUP(G161,METRICS!C:D,2,0)</f>
        <v>Taxas Financeiras Diversas</v>
      </c>
      <c r="L161" t="str">
        <f>VLOOKUP(K161,METRICS!D:E,2,0)</f>
        <v>TAXAS CARTÃO DE CRÉDITO</v>
      </c>
    </row>
    <row r="162" spans="1:12" ht="15" hidden="1">
      <c r="A162" t="s">
        <v>835</v>
      </c>
      <c r="B162" t="s">
        <v>689</v>
      </c>
      <c r="C162" t="s">
        <v>690</v>
      </c>
      <c r="D162" t="s">
        <v>753</v>
      </c>
      <c r="E162" t="s">
        <v>734</v>
      </c>
      <c r="F162" t="s">
        <v>1272</v>
      </c>
      <c r="G162" t="s">
        <v>665</v>
      </c>
      <c r="H162" s="595">
        <v>-21.55</v>
      </c>
      <c r="I162" t="str">
        <f t="shared" si="6"/>
        <v>janeiro 2026</v>
      </c>
      <c r="J162">
        <f t="shared" si="5"/>
        <v>2026</v>
      </c>
      <c r="K162" t="str">
        <f>VLOOKUP(G162,METRICS!C:D,2,0)</f>
        <v>Taxas Financeiras Diversas</v>
      </c>
      <c r="L162" t="str">
        <f>VLOOKUP(K162,METRICS!D:E,2,0)</f>
        <v>TAXAS CARTÃO DE CRÉDITO</v>
      </c>
    </row>
    <row r="163" spans="1:12" ht="15" hidden="1">
      <c r="A163" t="s">
        <v>835</v>
      </c>
      <c r="B163" t="s">
        <v>689</v>
      </c>
      <c r="C163" t="s">
        <v>690</v>
      </c>
      <c r="D163" t="s">
        <v>858</v>
      </c>
      <c r="E163" t="s">
        <v>846</v>
      </c>
      <c r="F163" t="s">
        <v>1272</v>
      </c>
      <c r="G163" t="s">
        <v>631</v>
      </c>
      <c r="H163" s="595">
        <v>-2000</v>
      </c>
      <c r="I163" t="str">
        <f t="shared" si="6"/>
        <v>janeiro 2026</v>
      </c>
      <c r="J163">
        <f t="shared" si="5"/>
        <v>2026</v>
      </c>
      <c r="K163" t="str">
        <f>VLOOKUP(G163,METRICS!C:D,2,0)</f>
        <v>Midias Sociais</v>
      </c>
      <c r="L163" t="str">
        <f>VLOOKUP(K163,METRICS!D:E,2,0)</f>
        <v>MARKETING</v>
      </c>
    </row>
    <row r="164" spans="1:12" ht="15" hidden="1">
      <c r="A164" t="s">
        <v>835</v>
      </c>
      <c r="B164" t="s">
        <v>689</v>
      </c>
      <c r="C164" t="s">
        <v>690</v>
      </c>
      <c r="D164" t="s">
        <v>743</v>
      </c>
      <c r="E164" t="s">
        <v>734</v>
      </c>
      <c r="F164" t="s">
        <v>1272</v>
      </c>
      <c r="G164" t="s">
        <v>665</v>
      </c>
      <c r="H164" s="595">
        <v>-5.4</v>
      </c>
      <c r="I164" t="str">
        <f t="shared" si="6"/>
        <v>janeiro 2026</v>
      </c>
      <c r="J164">
        <f t="shared" si="5"/>
        <v>2026</v>
      </c>
      <c r="K164" t="str">
        <f>VLOOKUP(G164,METRICS!C:D,2,0)</f>
        <v>Taxas Financeiras Diversas</v>
      </c>
      <c r="L164" t="str">
        <f>VLOOKUP(K164,METRICS!D:E,2,0)</f>
        <v>TAXAS CARTÃO DE CRÉDITO</v>
      </c>
    </row>
    <row r="165" spans="1:12" ht="15" hidden="1">
      <c r="A165" t="s">
        <v>835</v>
      </c>
      <c r="B165" t="s">
        <v>689</v>
      </c>
      <c r="C165" t="s">
        <v>690</v>
      </c>
      <c r="D165" t="s">
        <v>753</v>
      </c>
      <c r="E165" t="s">
        <v>734</v>
      </c>
      <c r="F165" t="s">
        <v>1272</v>
      </c>
      <c r="G165" t="s">
        <v>665</v>
      </c>
      <c r="H165" s="595">
        <v>-5.55</v>
      </c>
      <c r="I165" t="str">
        <f t="shared" si="6"/>
        <v>janeiro 2026</v>
      </c>
      <c r="J165">
        <f t="shared" si="5"/>
        <v>2026</v>
      </c>
      <c r="K165" t="str">
        <f>VLOOKUP(G165,METRICS!C:D,2,0)</f>
        <v>Taxas Financeiras Diversas</v>
      </c>
      <c r="L165" t="str">
        <f>VLOOKUP(K165,METRICS!D:E,2,0)</f>
        <v>TAXAS CARTÃO DE CRÉDITO</v>
      </c>
    </row>
    <row r="166" spans="1:12" ht="15" hidden="1">
      <c r="A166" t="s">
        <v>835</v>
      </c>
      <c r="B166" t="s">
        <v>689</v>
      </c>
      <c r="C166" t="s">
        <v>690</v>
      </c>
      <c r="D166" t="s">
        <v>743</v>
      </c>
      <c r="E166" t="s">
        <v>734</v>
      </c>
      <c r="F166" t="s">
        <v>1272</v>
      </c>
      <c r="G166" t="s">
        <v>665</v>
      </c>
      <c r="H166" s="595">
        <v>-4.3600000000000003</v>
      </c>
      <c r="I166" t="str">
        <f t="shared" si="6"/>
        <v>janeiro 2026</v>
      </c>
      <c r="J166">
        <f t="shared" si="5"/>
        <v>2026</v>
      </c>
      <c r="K166" t="str">
        <f>VLOOKUP(G166,METRICS!C:D,2,0)</f>
        <v>Taxas Financeiras Diversas</v>
      </c>
      <c r="L166" t="str">
        <f>VLOOKUP(K166,METRICS!D:E,2,0)</f>
        <v>TAXAS CARTÃO DE CRÉDITO</v>
      </c>
    </row>
    <row r="167" spans="1:12" ht="15" hidden="1">
      <c r="A167" t="s">
        <v>859</v>
      </c>
      <c r="B167" t="s">
        <v>689</v>
      </c>
      <c r="C167" t="s">
        <v>690</v>
      </c>
      <c r="D167" t="s">
        <v>743</v>
      </c>
      <c r="E167" t="s">
        <v>734</v>
      </c>
      <c r="F167" t="s">
        <v>1272</v>
      </c>
      <c r="G167" t="s">
        <v>665</v>
      </c>
      <c r="H167" s="595">
        <v>-17.5</v>
      </c>
      <c r="I167" t="str">
        <f t="shared" si="6"/>
        <v>janeiro 2026</v>
      </c>
      <c r="J167">
        <f t="shared" si="5"/>
        <v>2026</v>
      </c>
      <c r="K167" t="str">
        <f>VLOOKUP(G167,METRICS!C:D,2,0)</f>
        <v>Taxas Financeiras Diversas</v>
      </c>
      <c r="L167" t="str">
        <f>VLOOKUP(K167,METRICS!D:E,2,0)</f>
        <v>TAXAS CARTÃO DE CRÉDITO</v>
      </c>
    </row>
    <row r="168" spans="1:12" ht="15" hidden="1">
      <c r="A168" t="s">
        <v>859</v>
      </c>
      <c r="B168" t="s">
        <v>689</v>
      </c>
      <c r="C168" t="s">
        <v>690</v>
      </c>
      <c r="D168" t="s">
        <v>743</v>
      </c>
      <c r="E168" t="s">
        <v>734</v>
      </c>
      <c r="F168" t="s">
        <v>1272</v>
      </c>
      <c r="G168" t="s">
        <v>665</v>
      </c>
      <c r="H168" s="595">
        <v>-3.25</v>
      </c>
      <c r="I168" t="str">
        <f t="shared" si="6"/>
        <v>janeiro 2026</v>
      </c>
      <c r="J168">
        <f t="shared" si="5"/>
        <v>2026</v>
      </c>
      <c r="K168" t="str">
        <f>VLOOKUP(G168,METRICS!C:D,2,0)</f>
        <v>Taxas Financeiras Diversas</v>
      </c>
      <c r="L168" t="str">
        <f>VLOOKUP(K168,METRICS!D:E,2,0)</f>
        <v>TAXAS CARTÃO DE CRÉDITO</v>
      </c>
    </row>
    <row r="169" spans="1:12" ht="15" hidden="1">
      <c r="A169" t="s">
        <v>859</v>
      </c>
      <c r="B169" t="s">
        <v>689</v>
      </c>
      <c r="C169" t="s">
        <v>690</v>
      </c>
      <c r="D169" t="s">
        <v>733</v>
      </c>
      <c r="E169" t="s">
        <v>734</v>
      </c>
      <c r="F169" t="s">
        <v>1272</v>
      </c>
      <c r="G169" t="s">
        <v>665</v>
      </c>
      <c r="H169" s="595">
        <v>-5.25</v>
      </c>
      <c r="I169" t="str">
        <f t="shared" si="6"/>
        <v>janeiro 2026</v>
      </c>
      <c r="J169">
        <f t="shared" si="5"/>
        <v>2026</v>
      </c>
      <c r="K169" t="str">
        <f>VLOOKUP(G169,METRICS!C:D,2,0)</f>
        <v>Taxas Financeiras Diversas</v>
      </c>
      <c r="L169" t="str">
        <f>VLOOKUP(K169,METRICS!D:E,2,0)</f>
        <v>TAXAS CARTÃO DE CRÉDITO</v>
      </c>
    </row>
    <row r="170" spans="1:12" ht="15" hidden="1">
      <c r="A170" t="s">
        <v>859</v>
      </c>
      <c r="B170" t="s">
        <v>689</v>
      </c>
      <c r="C170" t="s">
        <v>690</v>
      </c>
      <c r="D170" t="s">
        <v>860</v>
      </c>
      <c r="E170" t="s">
        <v>734</v>
      </c>
      <c r="F170" t="s">
        <v>1272</v>
      </c>
      <c r="G170" t="s">
        <v>665</v>
      </c>
      <c r="H170" s="595">
        <v>-8.15</v>
      </c>
      <c r="I170" t="str">
        <f t="shared" si="6"/>
        <v>janeiro 2026</v>
      </c>
      <c r="J170">
        <f t="shared" si="5"/>
        <v>2026</v>
      </c>
      <c r="K170" t="str">
        <f>VLOOKUP(G170,METRICS!C:D,2,0)</f>
        <v>Taxas Financeiras Diversas</v>
      </c>
      <c r="L170" t="str">
        <f>VLOOKUP(K170,METRICS!D:E,2,0)</f>
        <v>TAXAS CARTÃO DE CRÉDITO</v>
      </c>
    </row>
    <row r="171" spans="1:12" ht="15" hidden="1">
      <c r="A171" t="s">
        <v>859</v>
      </c>
      <c r="B171" t="s">
        <v>612</v>
      </c>
      <c r="C171" t="s">
        <v>690</v>
      </c>
      <c r="D171" t="s">
        <v>861</v>
      </c>
      <c r="E171" t="s">
        <v>862</v>
      </c>
      <c r="F171" t="s">
        <v>1272</v>
      </c>
      <c r="G171" t="s">
        <v>624</v>
      </c>
      <c r="H171" s="595">
        <v>-1000</v>
      </c>
      <c r="I171" t="str">
        <f t="shared" si="6"/>
        <v>janeiro 2026</v>
      </c>
      <c r="J171">
        <f t="shared" si="5"/>
        <v>2026</v>
      </c>
      <c r="K171" t="str">
        <f>VLOOKUP(G171,METRICS!C:D,2,0)</f>
        <v>Manutenção e Conservação</v>
      </c>
      <c r="L171" t="str">
        <f>VLOOKUP(K171,METRICS!D:E,2,0)</f>
        <v>OPERAÇÃO</v>
      </c>
    </row>
    <row r="172" spans="1:12" ht="15" hidden="1">
      <c r="A172" t="s">
        <v>859</v>
      </c>
      <c r="B172" t="s">
        <v>689</v>
      </c>
      <c r="C172" t="s">
        <v>690</v>
      </c>
      <c r="D172" t="s">
        <v>743</v>
      </c>
      <c r="E172" t="s">
        <v>734</v>
      </c>
      <c r="F172" t="s">
        <v>1272</v>
      </c>
      <c r="G172" t="s">
        <v>665</v>
      </c>
      <c r="H172" s="595">
        <v>-5.2</v>
      </c>
      <c r="I172" t="str">
        <f t="shared" si="6"/>
        <v>janeiro 2026</v>
      </c>
      <c r="J172">
        <f t="shared" si="5"/>
        <v>2026</v>
      </c>
      <c r="K172" t="str">
        <f>VLOOKUP(G172,METRICS!C:D,2,0)</f>
        <v>Taxas Financeiras Diversas</v>
      </c>
      <c r="L172" t="str">
        <f>VLOOKUP(K172,METRICS!D:E,2,0)</f>
        <v>TAXAS CARTÃO DE CRÉDITO</v>
      </c>
    </row>
    <row r="173" spans="1:12" ht="15" hidden="1">
      <c r="A173" t="s">
        <v>859</v>
      </c>
      <c r="B173" t="s">
        <v>612</v>
      </c>
      <c r="C173" t="s">
        <v>690</v>
      </c>
      <c r="D173" t="s">
        <v>863</v>
      </c>
      <c r="E173" t="s">
        <v>864</v>
      </c>
      <c r="F173" t="s">
        <v>1272</v>
      </c>
      <c r="G173" t="s">
        <v>625</v>
      </c>
      <c r="H173" s="595">
        <v>-750</v>
      </c>
      <c r="I173" t="str">
        <f t="shared" si="6"/>
        <v>janeiro 2026</v>
      </c>
      <c r="J173">
        <f t="shared" si="5"/>
        <v>2026</v>
      </c>
      <c r="K173" t="str">
        <f>VLOOKUP(G173,METRICS!C:D,2,0)</f>
        <v>Manutenção e Conservação</v>
      </c>
      <c r="L173" t="str">
        <f>VLOOKUP(K173,METRICS!D:E,2,0)</f>
        <v>OPERAÇÃO</v>
      </c>
    </row>
    <row r="174" spans="1:12" ht="15" hidden="1">
      <c r="A174" t="s">
        <v>859</v>
      </c>
      <c r="B174" t="s">
        <v>689</v>
      </c>
      <c r="C174" t="s">
        <v>690</v>
      </c>
      <c r="D174" t="s">
        <v>733</v>
      </c>
      <c r="E174" t="s">
        <v>734</v>
      </c>
      <c r="F174" t="s">
        <v>1272</v>
      </c>
      <c r="G174" t="s">
        <v>665</v>
      </c>
      <c r="H174" s="595">
        <v>-2.12</v>
      </c>
      <c r="I174" t="str">
        <f t="shared" si="6"/>
        <v>janeiro 2026</v>
      </c>
      <c r="J174">
        <f t="shared" si="5"/>
        <v>2026</v>
      </c>
      <c r="K174" t="str">
        <f>VLOOKUP(G174,METRICS!C:D,2,0)</f>
        <v>Taxas Financeiras Diversas</v>
      </c>
      <c r="L174" t="str">
        <f>VLOOKUP(K174,METRICS!D:E,2,0)</f>
        <v>TAXAS CARTÃO DE CRÉDITO</v>
      </c>
    </row>
    <row r="175" spans="1:12" ht="15" hidden="1">
      <c r="A175" t="s">
        <v>859</v>
      </c>
      <c r="B175" t="s">
        <v>689</v>
      </c>
      <c r="C175" t="s">
        <v>690</v>
      </c>
      <c r="D175" t="s">
        <v>733</v>
      </c>
      <c r="E175" t="s">
        <v>734</v>
      </c>
      <c r="F175" t="s">
        <v>1272</v>
      </c>
      <c r="G175" t="s">
        <v>665</v>
      </c>
      <c r="H175" s="595">
        <v>-2.86</v>
      </c>
      <c r="I175" t="str">
        <f t="shared" si="6"/>
        <v>janeiro 2026</v>
      </c>
      <c r="J175">
        <f t="shared" si="5"/>
        <v>2026</v>
      </c>
      <c r="K175" t="str">
        <f>VLOOKUP(G175,METRICS!C:D,2,0)</f>
        <v>Taxas Financeiras Diversas</v>
      </c>
      <c r="L175" t="str">
        <f>VLOOKUP(K175,METRICS!D:E,2,0)</f>
        <v>TAXAS CARTÃO DE CRÉDITO</v>
      </c>
    </row>
    <row r="176" spans="1:12" ht="15" hidden="1">
      <c r="A176" t="s">
        <v>859</v>
      </c>
      <c r="B176" t="s">
        <v>689</v>
      </c>
      <c r="C176" t="s">
        <v>690</v>
      </c>
      <c r="D176" t="s">
        <v>733</v>
      </c>
      <c r="E176" t="s">
        <v>734</v>
      </c>
      <c r="F176" t="s">
        <v>1272</v>
      </c>
      <c r="G176" t="s">
        <v>665</v>
      </c>
      <c r="H176" s="595">
        <v>-3.25</v>
      </c>
      <c r="I176" t="str">
        <f t="shared" si="6"/>
        <v>janeiro 2026</v>
      </c>
      <c r="J176">
        <f t="shared" si="5"/>
        <v>2026</v>
      </c>
      <c r="K176" t="str">
        <f>VLOOKUP(G176,METRICS!C:D,2,0)</f>
        <v>Taxas Financeiras Diversas</v>
      </c>
      <c r="L176" t="str">
        <f>VLOOKUP(K176,METRICS!D:E,2,0)</f>
        <v>TAXAS CARTÃO DE CRÉDITO</v>
      </c>
    </row>
    <row r="177" spans="1:12" ht="15" hidden="1">
      <c r="A177" t="s">
        <v>859</v>
      </c>
      <c r="B177" t="s">
        <v>689</v>
      </c>
      <c r="C177" t="s">
        <v>690</v>
      </c>
      <c r="D177" t="s">
        <v>743</v>
      </c>
      <c r="E177" t="s">
        <v>734</v>
      </c>
      <c r="F177" t="s">
        <v>1272</v>
      </c>
      <c r="G177" t="s">
        <v>665</v>
      </c>
      <c r="H177" s="595">
        <v>-46.73</v>
      </c>
      <c r="I177" t="str">
        <f t="shared" si="6"/>
        <v>janeiro 2026</v>
      </c>
      <c r="J177">
        <f t="shared" si="5"/>
        <v>2026</v>
      </c>
      <c r="K177" t="str">
        <f>VLOOKUP(G177,METRICS!C:D,2,0)</f>
        <v>Taxas Financeiras Diversas</v>
      </c>
      <c r="L177" t="str">
        <f>VLOOKUP(K177,METRICS!D:E,2,0)</f>
        <v>TAXAS CARTÃO DE CRÉDITO</v>
      </c>
    </row>
    <row r="178" spans="1:12" ht="15" hidden="1">
      <c r="A178" t="s">
        <v>859</v>
      </c>
      <c r="B178" t="s">
        <v>689</v>
      </c>
      <c r="C178" t="s">
        <v>690</v>
      </c>
      <c r="D178" t="s">
        <v>733</v>
      </c>
      <c r="E178" t="s">
        <v>734</v>
      </c>
      <c r="F178" t="s">
        <v>1272</v>
      </c>
      <c r="G178" t="s">
        <v>665</v>
      </c>
      <c r="H178" s="595">
        <v>-2.97</v>
      </c>
      <c r="I178" t="str">
        <f t="shared" si="6"/>
        <v>janeiro 2026</v>
      </c>
      <c r="J178">
        <f t="shared" si="5"/>
        <v>2026</v>
      </c>
      <c r="K178" t="str">
        <f>VLOOKUP(G178,METRICS!C:D,2,0)</f>
        <v>Taxas Financeiras Diversas</v>
      </c>
      <c r="L178" t="str">
        <f>VLOOKUP(K178,METRICS!D:E,2,0)</f>
        <v>TAXAS CARTÃO DE CRÉDITO</v>
      </c>
    </row>
    <row r="179" spans="1:12" ht="15" hidden="1">
      <c r="A179" t="s">
        <v>859</v>
      </c>
      <c r="B179" t="s">
        <v>612</v>
      </c>
      <c r="C179" t="s">
        <v>690</v>
      </c>
      <c r="D179" t="s">
        <v>865</v>
      </c>
      <c r="E179" t="s">
        <v>866</v>
      </c>
      <c r="F179" t="s">
        <v>1272</v>
      </c>
      <c r="G179" t="s">
        <v>627</v>
      </c>
      <c r="H179" s="595">
        <v>-12699.78</v>
      </c>
      <c r="I179" t="str">
        <f t="shared" si="6"/>
        <v>janeiro 2026</v>
      </c>
      <c r="J179">
        <f t="shared" si="5"/>
        <v>2026</v>
      </c>
      <c r="K179" t="str">
        <f>VLOOKUP(G179,METRICS!C:D,2,0)</f>
        <v>Manutenção e Conservação</v>
      </c>
      <c r="L179" t="str">
        <f>VLOOKUP(K179,METRICS!D:E,2,0)</f>
        <v>OPERAÇÃO</v>
      </c>
    </row>
    <row r="180" spans="1:12" ht="15" hidden="1">
      <c r="A180" t="s">
        <v>859</v>
      </c>
      <c r="B180" t="s">
        <v>612</v>
      </c>
      <c r="C180" t="s">
        <v>690</v>
      </c>
      <c r="D180" t="s">
        <v>867</v>
      </c>
      <c r="E180" t="s">
        <v>727</v>
      </c>
      <c r="F180" t="s">
        <v>1272</v>
      </c>
      <c r="G180" t="s">
        <v>620</v>
      </c>
      <c r="H180" s="595">
        <v>-5480.26</v>
      </c>
      <c r="I180" t="str">
        <f t="shared" si="6"/>
        <v>janeiro 2026</v>
      </c>
      <c r="J180">
        <f t="shared" si="5"/>
        <v>2026</v>
      </c>
      <c r="K180" t="str">
        <f>VLOOKUP(G180,METRICS!C:D,2,0)</f>
        <v>Hortifruti</v>
      </c>
      <c r="L180" t="str">
        <f>VLOOKUP(K180,METRICS!D:E,2,0)</f>
        <v>CUSTOS DOS PRODUTOS VENDIDOS</v>
      </c>
    </row>
    <row r="181" spans="1:12" ht="15" hidden="1">
      <c r="A181" t="s">
        <v>859</v>
      </c>
      <c r="B181" t="s">
        <v>689</v>
      </c>
      <c r="C181" t="s">
        <v>690</v>
      </c>
      <c r="D181" t="s">
        <v>743</v>
      </c>
      <c r="E181" t="s">
        <v>734</v>
      </c>
      <c r="F181" t="s">
        <v>1272</v>
      </c>
      <c r="G181" t="s">
        <v>665</v>
      </c>
      <c r="H181" s="595">
        <v>-2.89</v>
      </c>
      <c r="I181" t="str">
        <f t="shared" si="6"/>
        <v>janeiro 2026</v>
      </c>
      <c r="J181">
        <f t="shared" si="5"/>
        <v>2026</v>
      </c>
      <c r="K181" t="str">
        <f>VLOOKUP(G181,METRICS!C:D,2,0)</f>
        <v>Taxas Financeiras Diversas</v>
      </c>
      <c r="L181" t="str">
        <f>VLOOKUP(K181,METRICS!D:E,2,0)</f>
        <v>TAXAS CARTÃO DE CRÉDITO</v>
      </c>
    </row>
    <row r="182" spans="1:12" ht="15" hidden="1">
      <c r="A182" t="s">
        <v>859</v>
      </c>
      <c r="B182" t="s">
        <v>689</v>
      </c>
      <c r="C182" t="s">
        <v>690</v>
      </c>
      <c r="D182" t="s">
        <v>733</v>
      </c>
      <c r="E182" t="s">
        <v>734</v>
      </c>
      <c r="F182" t="s">
        <v>1272</v>
      </c>
      <c r="G182" t="s">
        <v>665</v>
      </c>
      <c r="H182" s="595">
        <v>-3.25</v>
      </c>
      <c r="I182" t="str">
        <f t="shared" si="6"/>
        <v>janeiro 2026</v>
      </c>
      <c r="J182">
        <f t="shared" si="5"/>
        <v>2026</v>
      </c>
      <c r="K182" t="str">
        <f>VLOOKUP(G182,METRICS!C:D,2,0)</f>
        <v>Taxas Financeiras Diversas</v>
      </c>
      <c r="L182" t="str">
        <f>VLOOKUP(K182,METRICS!D:E,2,0)</f>
        <v>TAXAS CARTÃO DE CRÉDITO</v>
      </c>
    </row>
    <row r="183" spans="1:12" ht="15" hidden="1">
      <c r="A183" t="s">
        <v>859</v>
      </c>
      <c r="B183" t="s">
        <v>689</v>
      </c>
      <c r="C183" t="s">
        <v>690</v>
      </c>
      <c r="D183" t="s">
        <v>733</v>
      </c>
      <c r="E183" t="s">
        <v>734</v>
      </c>
      <c r="F183" t="s">
        <v>1272</v>
      </c>
      <c r="G183" t="s">
        <v>665</v>
      </c>
      <c r="H183" s="595">
        <v>-15.95</v>
      </c>
      <c r="I183" t="str">
        <f t="shared" si="6"/>
        <v>janeiro 2026</v>
      </c>
      <c r="J183">
        <f t="shared" si="5"/>
        <v>2026</v>
      </c>
      <c r="K183" t="str">
        <f>VLOOKUP(G183,METRICS!C:D,2,0)</f>
        <v>Taxas Financeiras Diversas</v>
      </c>
      <c r="L183" t="str">
        <f>VLOOKUP(K183,METRICS!D:E,2,0)</f>
        <v>TAXAS CARTÃO DE CRÉDITO</v>
      </c>
    </row>
    <row r="184" spans="1:12" ht="15" hidden="1">
      <c r="A184" t="s">
        <v>859</v>
      </c>
      <c r="B184" t="s">
        <v>612</v>
      </c>
      <c r="C184" t="s">
        <v>690</v>
      </c>
      <c r="D184" t="s">
        <v>868</v>
      </c>
      <c r="E184" t="s">
        <v>869</v>
      </c>
      <c r="F184" t="s">
        <v>1272</v>
      </c>
      <c r="G184" t="s">
        <v>635</v>
      </c>
      <c r="H184" s="595">
        <v>-4035</v>
      </c>
      <c r="I184" t="str">
        <f t="shared" si="6"/>
        <v>janeiro 2026</v>
      </c>
      <c r="J184">
        <f t="shared" si="5"/>
        <v>2026</v>
      </c>
      <c r="K184" t="str">
        <f>VLOOKUP(G184,METRICS!C:D,2,0)</f>
        <v>Manutenção e Conservação</v>
      </c>
      <c r="L184" t="str">
        <f>VLOOKUP(K184,METRICS!D:E,2,0)</f>
        <v>OPERAÇÃO</v>
      </c>
    </row>
    <row r="185" spans="1:12" ht="15" hidden="1">
      <c r="A185" t="s">
        <v>859</v>
      </c>
      <c r="B185" t="s">
        <v>689</v>
      </c>
      <c r="C185" t="s">
        <v>690</v>
      </c>
      <c r="D185" t="s">
        <v>733</v>
      </c>
      <c r="E185" t="s">
        <v>734</v>
      </c>
      <c r="F185" t="s">
        <v>1272</v>
      </c>
      <c r="G185" t="s">
        <v>665</v>
      </c>
      <c r="H185" s="595">
        <v>-0.44</v>
      </c>
      <c r="I185" t="str">
        <f t="shared" si="6"/>
        <v>janeiro 2026</v>
      </c>
      <c r="J185">
        <f t="shared" si="5"/>
        <v>2026</v>
      </c>
      <c r="K185" t="str">
        <f>VLOOKUP(G185,METRICS!C:D,2,0)</f>
        <v>Taxas Financeiras Diversas</v>
      </c>
      <c r="L185" t="str">
        <f>VLOOKUP(K185,METRICS!D:E,2,0)</f>
        <v>TAXAS CARTÃO DE CRÉDITO</v>
      </c>
    </row>
    <row r="186" spans="1:12" ht="15" hidden="1">
      <c r="A186" t="s">
        <v>859</v>
      </c>
      <c r="B186" t="s">
        <v>689</v>
      </c>
      <c r="C186" t="s">
        <v>690</v>
      </c>
      <c r="D186" t="s">
        <v>733</v>
      </c>
      <c r="E186" t="s">
        <v>734</v>
      </c>
      <c r="F186" t="s">
        <v>1272</v>
      </c>
      <c r="G186" t="s">
        <v>665</v>
      </c>
      <c r="H186" s="595">
        <v>-2.61</v>
      </c>
      <c r="I186" t="str">
        <f t="shared" si="6"/>
        <v>janeiro 2026</v>
      </c>
      <c r="J186">
        <f t="shared" si="5"/>
        <v>2026</v>
      </c>
      <c r="K186" t="str">
        <f>VLOOKUP(G186,METRICS!C:D,2,0)</f>
        <v>Taxas Financeiras Diversas</v>
      </c>
      <c r="L186" t="str">
        <f>VLOOKUP(K186,METRICS!D:E,2,0)</f>
        <v>TAXAS CARTÃO DE CRÉDITO</v>
      </c>
    </row>
    <row r="187" spans="1:12" ht="15" hidden="1">
      <c r="A187" t="s">
        <v>859</v>
      </c>
      <c r="B187" t="s">
        <v>612</v>
      </c>
      <c r="C187" t="s">
        <v>690</v>
      </c>
      <c r="D187" t="s">
        <v>870</v>
      </c>
      <c r="E187" t="s">
        <v>805</v>
      </c>
      <c r="F187" t="s">
        <v>1272</v>
      </c>
      <c r="G187" t="s">
        <v>609</v>
      </c>
      <c r="H187" s="595">
        <v>-30823.26</v>
      </c>
      <c r="I187" t="str">
        <f t="shared" si="6"/>
        <v>janeiro 2026</v>
      </c>
      <c r="J187">
        <f t="shared" si="5"/>
        <v>2026</v>
      </c>
      <c r="K187" t="str">
        <f>VLOOKUP(G187,METRICS!C:D,2,0)</f>
        <v>Carnes e Aves</v>
      </c>
      <c r="L187" t="str">
        <f>VLOOKUP(K187,METRICS!D:E,2,0)</f>
        <v>CUSTOS DOS PRODUTOS VENDIDOS</v>
      </c>
    </row>
    <row r="188" spans="1:12" ht="15" hidden="1">
      <c r="A188" t="s">
        <v>859</v>
      </c>
      <c r="B188" t="s">
        <v>612</v>
      </c>
      <c r="C188" t="s">
        <v>690</v>
      </c>
      <c r="D188" t="s">
        <v>871</v>
      </c>
      <c r="E188" t="s">
        <v>872</v>
      </c>
      <c r="F188" t="s">
        <v>1272</v>
      </c>
      <c r="G188" t="s">
        <v>608</v>
      </c>
      <c r="H188" s="595">
        <v>-1350.72</v>
      </c>
      <c r="I188" t="str">
        <f t="shared" si="6"/>
        <v>janeiro 2026</v>
      </c>
      <c r="J188">
        <f t="shared" si="5"/>
        <v>2026</v>
      </c>
      <c r="K188" t="str">
        <f>VLOOKUP(G188,METRICS!C:D,2,0)</f>
        <v>Bebidas não Alcoolicas</v>
      </c>
      <c r="L188" t="str">
        <f>VLOOKUP(K188,METRICS!D:E,2,0)</f>
        <v>CUSTOS DOS PRODUTOS VENDIDOS</v>
      </c>
    </row>
    <row r="189" spans="1:12" ht="15" hidden="1">
      <c r="A189" t="s">
        <v>859</v>
      </c>
      <c r="B189" t="s">
        <v>612</v>
      </c>
      <c r="C189" t="s">
        <v>690</v>
      </c>
      <c r="D189" t="s">
        <v>873</v>
      </c>
      <c r="E189" t="s">
        <v>874</v>
      </c>
      <c r="F189" t="s">
        <v>1272</v>
      </c>
      <c r="G189" t="s">
        <v>631</v>
      </c>
      <c r="H189" s="595">
        <v>-599.9</v>
      </c>
      <c r="I189" t="str">
        <f t="shared" si="6"/>
        <v>janeiro 2026</v>
      </c>
      <c r="J189">
        <f t="shared" ref="J189:J252" si="7">YEAR(A189)</f>
        <v>2026</v>
      </c>
      <c r="K189" t="str">
        <f>VLOOKUP(G189,METRICS!C:D,2,0)</f>
        <v>Midias Sociais</v>
      </c>
      <c r="L189" t="str">
        <f>VLOOKUP(K189,METRICS!D:E,2,0)</f>
        <v>MARKETING</v>
      </c>
    </row>
    <row r="190" spans="1:12" ht="15" hidden="1">
      <c r="A190" t="s">
        <v>859</v>
      </c>
      <c r="B190" t="s">
        <v>612</v>
      </c>
      <c r="C190" t="s">
        <v>690</v>
      </c>
      <c r="D190" t="s">
        <v>875</v>
      </c>
      <c r="E190" t="s">
        <v>876</v>
      </c>
      <c r="F190" t="s">
        <v>1272</v>
      </c>
      <c r="G190" t="s">
        <v>609</v>
      </c>
      <c r="H190" s="595">
        <v>-3637.56</v>
      </c>
      <c r="I190" t="str">
        <f t="shared" si="6"/>
        <v>janeiro 2026</v>
      </c>
      <c r="J190">
        <f t="shared" si="7"/>
        <v>2026</v>
      </c>
      <c r="K190" t="str">
        <f>VLOOKUP(G190,METRICS!C:D,2,0)</f>
        <v>Carnes e Aves</v>
      </c>
      <c r="L190" t="str">
        <f>VLOOKUP(K190,METRICS!D:E,2,0)</f>
        <v>CUSTOS DOS PRODUTOS VENDIDOS</v>
      </c>
    </row>
    <row r="191" spans="1:12" ht="15" hidden="1">
      <c r="A191" t="s">
        <v>859</v>
      </c>
      <c r="B191" t="s">
        <v>689</v>
      </c>
      <c r="C191" t="s">
        <v>690</v>
      </c>
      <c r="D191" t="s">
        <v>733</v>
      </c>
      <c r="E191" t="s">
        <v>734</v>
      </c>
      <c r="F191" t="s">
        <v>1272</v>
      </c>
      <c r="G191" t="s">
        <v>665</v>
      </c>
      <c r="H191" s="595">
        <v>-4.6500000000000004</v>
      </c>
      <c r="I191" t="str">
        <f t="shared" ref="I191:I234" si="8">TEXT(A191, "mmmm aaaa")</f>
        <v>janeiro 2026</v>
      </c>
      <c r="J191">
        <f t="shared" si="7"/>
        <v>2026</v>
      </c>
      <c r="K191" t="str">
        <f>VLOOKUP(G191,METRICS!C:D,2,0)</f>
        <v>Taxas Financeiras Diversas</v>
      </c>
      <c r="L191" t="str">
        <f>VLOOKUP(K191,METRICS!D:E,2,0)</f>
        <v>TAXAS CARTÃO DE CRÉDITO</v>
      </c>
    </row>
    <row r="192" spans="1:12" ht="15" hidden="1">
      <c r="A192" t="s">
        <v>859</v>
      </c>
      <c r="B192" t="s">
        <v>689</v>
      </c>
      <c r="C192" t="s">
        <v>690</v>
      </c>
      <c r="D192" t="s">
        <v>753</v>
      </c>
      <c r="E192" t="s">
        <v>734</v>
      </c>
      <c r="F192" t="s">
        <v>1272</v>
      </c>
      <c r="G192" t="s">
        <v>665</v>
      </c>
      <c r="H192" s="595">
        <v>-5.93</v>
      </c>
      <c r="I192" t="str">
        <f t="shared" si="8"/>
        <v>janeiro 2026</v>
      </c>
      <c r="J192">
        <f t="shared" si="7"/>
        <v>2026</v>
      </c>
      <c r="K192" t="str">
        <f>VLOOKUP(G192,METRICS!C:D,2,0)</f>
        <v>Taxas Financeiras Diversas</v>
      </c>
      <c r="L192" t="str">
        <f>VLOOKUP(K192,METRICS!D:E,2,0)</f>
        <v>TAXAS CARTÃO DE CRÉDITO</v>
      </c>
    </row>
    <row r="193" spans="1:12" ht="15" hidden="1">
      <c r="A193" t="s">
        <v>859</v>
      </c>
      <c r="B193" t="s">
        <v>689</v>
      </c>
      <c r="C193" t="s">
        <v>690</v>
      </c>
      <c r="D193" t="s">
        <v>733</v>
      </c>
      <c r="E193" t="s">
        <v>734</v>
      </c>
      <c r="F193" t="s">
        <v>1272</v>
      </c>
      <c r="G193" t="s">
        <v>665</v>
      </c>
      <c r="H193" s="595">
        <v>-0.66</v>
      </c>
      <c r="I193" t="str">
        <f t="shared" si="8"/>
        <v>janeiro 2026</v>
      </c>
      <c r="J193">
        <f t="shared" si="7"/>
        <v>2026</v>
      </c>
      <c r="K193" t="str">
        <f>VLOOKUP(G193,METRICS!C:D,2,0)</f>
        <v>Taxas Financeiras Diversas</v>
      </c>
      <c r="L193" t="str">
        <f>VLOOKUP(K193,METRICS!D:E,2,0)</f>
        <v>TAXAS CARTÃO DE CRÉDITO</v>
      </c>
    </row>
    <row r="194" spans="1:12" ht="15" hidden="1">
      <c r="A194" t="s">
        <v>859</v>
      </c>
      <c r="B194" t="s">
        <v>689</v>
      </c>
      <c r="C194" t="s">
        <v>690</v>
      </c>
      <c r="D194" t="s">
        <v>860</v>
      </c>
      <c r="E194" t="s">
        <v>734</v>
      </c>
      <c r="F194" t="s">
        <v>1272</v>
      </c>
      <c r="G194" t="s">
        <v>665</v>
      </c>
      <c r="H194" s="595">
        <v>-31.87</v>
      </c>
      <c r="I194" t="str">
        <f t="shared" si="8"/>
        <v>janeiro 2026</v>
      </c>
      <c r="J194">
        <f t="shared" si="7"/>
        <v>2026</v>
      </c>
      <c r="K194" t="str">
        <f>VLOOKUP(G194,METRICS!C:D,2,0)</f>
        <v>Taxas Financeiras Diversas</v>
      </c>
      <c r="L194" t="str">
        <f>VLOOKUP(K194,METRICS!D:E,2,0)</f>
        <v>TAXAS CARTÃO DE CRÉDITO</v>
      </c>
    </row>
    <row r="195" spans="1:12" ht="15" hidden="1">
      <c r="A195" t="s">
        <v>859</v>
      </c>
      <c r="B195" t="s">
        <v>689</v>
      </c>
      <c r="C195" t="s">
        <v>690</v>
      </c>
      <c r="D195" t="s">
        <v>733</v>
      </c>
      <c r="E195" t="s">
        <v>734</v>
      </c>
      <c r="F195" t="s">
        <v>1272</v>
      </c>
      <c r="G195" t="s">
        <v>665</v>
      </c>
      <c r="H195" s="595">
        <v>-0.62</v>
      </c>
      <c r="I195" t="str">
        <f t="shared" si="8"/>
        <v>janeiro 2026</v>
      </c>
      <c r="J195">
        <f t="shared" si="7"/>
        <v>2026</v>
      </c>
      <c r="K195" t="str">
        <f>VLOOKUP(G195,METRICS!C:D,2,0)</f>
        <v>Taxas Financeiras Diversas</v>
      </c>
      <c r="L195" t="str">
        <f>VLOOKUP(K195,METRICS!D:E,2,0)</f>
        <v>TAXAS CARTÃO DE CRÉDITO</v>
      </c>
    </row>
    <row r="196" spans="1:12" ht="15" hidden="1">
      <c r="A196" t="s">
        <v>859</v>
      </c>
      <c r="B196" t="s">
        <v>689</v>
      </c>
      <c r="C196" t="s">
        <v>690</v>
      </c>
      <c r="D196" t="s">
        <v>733</v>
      </c>
      <c r="E196" t="s">
        <v>734</v>
      </c>
      <c r="F196" t="s">
        <v>1272</v>
      </c>
      <c r="G196" t="s">
        <v>665</v>
      </c>
      <c r="H196" s="595">
        <v>-3.25</v>
      </c>
      <c r="I196" t="str">
        <f t="shared" si="8"/>
        <v>janeiro 2026</v>
      </c>
      <c r="J196">
        <f t="shared" si="7"/>
        <v>2026</v>
      </c>
      <c r="K196" t="str">
        <f>VLOOKUP(G196,METRICS!C:D,2,0)</f>
        <v>Taxas Financeiras Diversas</v>
      </c>
      <c r="L196" t="str">
        <f>VLOOKUP(K196,METRICS!D:E,2,0)</f>
        <v>TAXAS CARTÃO DE CRÉDITO</v>
      </c>
    </row>
    <row r="197" spans="1:12" ht="15" hidden="1">
      <c r="A197" t="s">
        <v>859</v>
      </c>
      <c r="B197" t="s">
        <v>612</v>
      </c>
      <c r="C197" t="s">
        <v>690</v>
      </c>
      <c r="D197" t="s">
        <v>877</v>
      </c>
      <c r="E197" t="s">
        <v>878</v>
      </c>
      <c r="F197" t="s">
        <v>1272</v>
      </c>
      <c r="G197" t="s">
        <v>609</v>
      </c>
      <c r="H197" s="595">
        <v>-6607.6</v>
      </c>
      <c r="I197" t="str">
        <f t="shared" si="8"/>
        <v>janeiro 2026</v>
      </c>
      <c r="J197">
        <f t="shared" si="7"/>
        <v>2026</v>
      </c>
      <c r="K197" t="str">
        <f>VLOOKUP(G197,METRICS!C:D,2,0)</f>
        <v>Carnes e Aves</v>
      </c>
      <c r="L197" t="str">
        <f>VLOOKUP(K197,METRICS!D:E,2,0)</f>
        <v>CUSTOS DOS PRODUTOS VENDIDOS</v>
      </c>
    </row>
    <row r="198" spans="1:12" ht="15" hidden="1">
      <c r="A198" t="s">
        <v>859</v>
      </c>
      <c r="B198" t="s">
        <v>689</v>
      </c>
      <c r="C198" t="s">
        <v>690</v>
      </c>
      <c r="D198" t="s">
        <v>733</v>
      </c>
      <c r="E198" t="s">
        <v>734</v>
      </c>
      <c r="F198" t="s">
        <v>1272</v>
      </c>
      <c r="G198" t="s">
        <v>665</v>
      </c>
      <c r="H198" s="595">
        <v>-2.61</v>
      </c>
      <c r="I198" t="str">
        <f t="shared" si="8"/>
        <v>janeiro 2026</v>
      </c>
      <c r="J198">
        <f t="shared" si="7"/>
        <v>2026</v>
      </c>
      <c r="K198" t="str">
        <f>VLOOKUP(G198,METRICS!C:D,2,0)</f>
        <v>Taxas Financeiras Diversas</v>
      </c>
      <c r="L198" t="str">
        <f>VLOOKUP(K198,METRICS!D:E,2,0)</f>
        <v>TAXAS CARTÃO DE CRÉDITO</v>
      </c>
    </row>
    <row r="199" spans="1:12" ht="15" hidden="1">
      <c r="A199" t="s">
        <v>859</v>
      </c>
      <c r="B199" t="s">
        <v>689</v>
      </c>
      <c r="C199" t="s">
        <v>690</v>
      </c>
      <c r="D199" t="s">
        <v>733</v>
      </c>
      <c r="E199" t="s">
        <v>734</v>
      </c>
      <c r="F199" t="s">
        <v>1272</v>
      </c>
      <c r="G199" t="s">
        <v>665</v>
      </c>
      <c r="H199" s="595">
        <v>-3.25</v>
      </c>
      <c r="I199" t="str">
        <f t="shared" si="8"/>
        <v>janeiro 2026</v>
      </c>
      <c r="J199">
        <f t="shared" si="7"/>
        <v>2026</v>
      </c>
      <c r="K199" t="str">
        <f>VLOOKUP(G199,METRICS!C:D,2,0)</f>
        <v>Taxas Financeiras Diversas</v>
      </c>
      <c r="L199" t="str">
        <f>VLOOKUP(K199,METRICS!D:E,2,0)</f>
        <v>TAXAS CARTÃO DE CRÉDITO</v>
      </c>
    </row>
    <row r="200" spans="1:12" ht="15" hidden="1">
      <c r="A200" t="s">
        <v>859</v>
      </c>
      <c r="B200" t="s">
        <v>689</v>
      </c>
      <c r="C200" t="s">
        <v>690</v>
      </c>
      <c r="D200" t="s">
        <v>743</v>
      </c>
      <c r="E200" t="s">
        <v>734</v>
      </c>
      <c r="F200" t="s">
        <v>1272</v>
      </c>
      <c r="G200" t="s">
        <v>665</v>
      </c>
      <c r="H200" s="595">
        <v>-6.59</v>
      </c>
      <c r="I200" t="str">
        <f t="shared" si="8"/>
        <v>janeiro 2026</v>
      </c>
      <c r="J200">
        <f t="shared" si="7"/>
        <v>2026</v>
      </c>
      <c r="K200" t="str">
        <f>VLOOKUP(G200,METRICS!C:D,2,0)</f>
        <v>Taxas Financeiras Diversas</v>
      </c>
      <c r="L200" t="str">
        <f>VLOOKUP(K200,METRICS!D:E,2,0)</f>
        <v>TAXAS CARTÃO DE CRÉDITO</v>
      </c>
    </row>
    <row r="201" spans="1:12" ht="15" hidden="1">
      <c r="A201" t="s">
        <v>859</v>
      </c>
      <c r="B201" t="s">
        <v>689</v>
      </c>
      <c r="C201" t="s">
        <v>690</v>
      </c>
      <c r="D201" t="s">
        <v>733</v>
      </c>
      <c r="E201" t="s">
        <v>734</v>
      </c>
      <c r="F201" t="s">
        <v>1272</v>
      </c>
      <c r="G201" t="s">
        <v>665</v>
      </c>
      <c r="H201" s="595">
        <v>-0.31</v>
      </c>
      <c r="I201" t="str">
        <f t="shared" si="8"/>
        <v>janeiro 2026</v>
      </c>
      <c r="J201">
        <f t="shared" si="7"/>
        <v>2026</v>
      </c>
      <c r="K201" t="str">
        <f>VLOOKUP(G201,METRICS!C:D,2,0)</f>
        <v>Taxas Financeiras Diversas</v>
      </c>
      <c r="L201" t="str">
        <f>VLOOKUP(K201,METRICS!D:E,2,0)</f>
        <v>TAXAS CARTÃO DE CRÉDITO</v>
      </c>
    </row>
    <row r="202" spans="1:12" ht="15" hidden="1">
      <c r="A202" t="s">
        <v>859</v>
      </c>
      <c r="B202" t="s">
        <v>612</v>
      </c>
      <c r="C202" t="s">
        <v>690</v>
      </c>
      <c r="D202" t="s">
        <v>879</v>
      </c>
      <c r="E202" t="s">
        <v>748</v>
      </c>
      <c r="F202" t="s">
        <v>1272</v>
      </c>
      <c r="G202" t="s">
        <v>620</v>
      </c>
      <c r="H202" s="595">
        <v>-120.6</v>
      </c>
      <c r="I202" t="str">
        <f t="shared" si="8"/>
        <v>janeiro 2026</v>
      </c>
      <c r="J202">
        <f t="shared" si="7"/>
        <v>2026</v>
      </c>
      <c r="K202" t="str">
        <f>VLOOKUP(G202,METRICS!C:D,2,0)</f>
        <v>Hortifruti</v>
      </c>
      <c r="L202" t="str">
        <f>VLOOKUP(K202,METRICS!D:E,2,0)</f>
        <v>CUSTOS DOS PRODUTOS VENDIDOS</v>
      </c>
    </row>
    <row r="203" spans="1:12" ht="15" hidden="1">
      <c r="A203" t="s">
        <v>859</v>
      </c>
      <c r="B203" t="s">
        <v>689</v>
      </c>
      <c r="C203" t="s">
        <v>690</v>
      </c>
      <c r="D203" t="s">
        <v>733</v>
      </c>
      <c r="E203" t="s">
        <v>734</v>
      </c>
      <c r="F203" t="s">
        <v>1272</v>
      </c>
      <c r="G203" t="s">
        <v>665</v>
      </c>
      <c r="H203" s="595">
        <v>-1.1000000000000001</v>
      </c>
      <c r="I203" t="str">
        <f t="shared" si="8"/>
        <v>janeiro 2026</v>
      </c>
      <c r="J203">
        <f t="shared" si="7"/>
        <v>2026</v>
      </c>
      <c r="K203" t="str">
        <f>VLOOKUP(G203,METRICS!C:D,2,0)</f>
        <v>Taxas Financeiras Diversas</v>
      </c>
      <c r="L203" t="str">
        <f>VLOOKUP(K203,METRICS!D:E,2,0)</f>
        <v>TAXAS CARTÃO DE CRÉDITO</v>
      </c>
    </row>
    <row r="204" spans="1:12" ht="15" hidden="1">
      <c r="A204" t="s">
        <v>859</v>
      </c>
      <c r="B204" t="s">
        <v>689</v>
      </c>
      <c r="C204" t="s">
        <v>690</v>
      </c>
      <c r="D204" t="s">
        <v>743</v>
      </c>
      <c r="E204" t="s">
        <v>734</v>
      </c>
      <c r="F204" t="s">
        <v>1272</v>
      </c>
      <c r="G204" t="s">
        <v>665</v>
      </c>
      <c r="H204" s="595">
        <v>-6.63</v>
      </c>
      <c r="I204" t="str">
        <f t="shared" si="8"/>
        <v>janeiro 2026</v>
      </c>
      <c r="J204">
        <f t="shared" si="7"/>
        <v>2026</v>
      </c>
      <c r="K204" t="str">
        <f>VLOOKUP(G204,METRICS!C:D,2,0)</f>
        <v>Taxas Financeiras Diversas</v>
      </c>
      <c r="L204" t="str">
        <f>VLOOKUP(K204,METRICS!D:E,2,0)</f>
        <v>TAXAS CARTÃO DE CRÉDITO</v>
      </c>
    </row>
    <row r="205" spans="1:12" ht="15" hidden="1">
      <c r="A205" t="s">
        <v>859</v>
      </c>
      <c r="B205" t="s">
        <v>689</v>
      </c>
      <c r="C205" t="s">
        <v>690</v>
      </c>
      <c r="D205" t="s">
        <v>733</v>
      </c>
      <c r="E205" t="s">
        <v>734</v>
      </c>
      <c r="F205" t="s">
        <v>1272</v>
      </c>
      <c r="G205" t="s">
        <v>665</v>
      </c>
      <c r="H205" s="595">
        <v>-2.97</v>
      </c>
      <c r="I205" t="str">
        <f t="shared" si="8"/>
        <v>janeiro 2026</v>
      </c>
      <c r="J205">
        <f t="shared" si="7"/>
        <v>2026</v>
      </c>
      <c r="K205" t="str">
        <f>VLOOKUP(G205,METRICS!C:D,2,0)</f>
        <v>Taxas Financeiras Diversas</v>
      </c>
      <c r="L205" t="str">
        <f>VLOOKUP(K205,METRICS!D:E,2,0)</f>
        <v>TAXAS CARTÃO DE CRÉDITO</v>
      </c>
    </row>
    <row r="206" spans="1:12" ht="15" hidden="1">
      <c r="A206" t="s">
        <v>859</v>
      </c>
      <c r="B206" t="s">
        <v>612</v>
      </c>
      <c r="C206" t="s">
        <v>690</v>
      </c>
      <c r="D206" t="s">
        <v>880</v>
      </c>
      <c r="E206" t="s">
        <v>881</v>
      </c>
      <c r="F206" t="s">
        <v>1272</v>
      </c>
      <c r="G206" t="s">
        <v>607</v>
      </c>
      <c r="H206" s="595">
        <v>-889.8</v>
      </c>
      <c r="I206" t="str">
        <f t="shared" si="8"/>
        <v>janeiro 2026</v>
      </c>
      <c r="J206">
        <f t="shared" si="7"/>
        <v>2026</v>
      </c>
      <c r="K206" t="str">
        <f>VLOOKUP(G206,METRICS!C:D,2,0)</f>
        <v>Bebidas Alcoólicas</v>
      </c>
      <c r="L206" t="str">
        <f>VLOOKUP(K206,METRICS!D:E,2,0)</f>
        <v>CUSTOS DOS PRODUTOS VENDIDOS</v>
      </c>
    </row>
    <row r="207" spans="1:12" ht="15" hidden="1">
      <c r="A207" t="s">
        <v>859</v>
      </c>
      <c r="B207" t="s">
        <v>689</v>
      </c>
      <c r="C207" t="s">
        <v>690</v>
      </c>
      <c r="D207" t="s">
        <v>733</v>
      </c>
      <c r="E207" t="s">
        <v>734</v>
      </c>
      <c r="F207" t="s">
        <v>1272</v>
      </c>
      <c r="G207" t="s">
        <v>665</v>
      </c>
      <c r="H207" s="595">
        <v>-0.46</v>
      </c>
      <c r="I207" t="str">
        <f t="shared" si="8"/>
        <v>janeiro 2026</v>
      </c>
      <c r="J207">
        <f t="shared" si="7"/>
        <v>2026</v>
      </c>
      <c r="K207" t="str">
        <f>VLOOKUP(G207,METRICS!C:D,2,0)</f>
        <v>Taxas Financeiras Diversas</v>
      </c>
      <c r="L207" t="str">
        <f>VLOOKUP(K207,METRICS!D:E,2,0)</f>
        <v>TAXAS CARTÃO DE CRÉDITO</v>
      </c>
    </row>
    <row r="208" spans="1:12" ht="15" hidden="1">
      <c r="A208" t="s">
        <v>859</v>
      </c>
      <c r="B208" t="s">
        <v>612</v>
      </c>
      <c r="C208" t="s">
        <v>690</v>
      </c>
      <c r="D208" t="s">
        <v>882</v>
      </c>
      <c r="E208" t="s">
        <v>745</v>
      </c>
      <c r="F208" t="s">
        <v>1272</v>
      </c>
      <c r="G208" t="s">
        <v>620</v>
      </c>
      <c r="H208" s="595">
        <v>-337.35</v>
      </c>
      <c r="I208" t="str">
        <f t="shared" si="8"/>
        <v>janeiro 2026</v>
      </c>
      <c r="J208">
        <f t="shared" si="7"/>
        <v>2026</v>
      </c>
      <c r="K208" t="str">
        <f>VLOOKUP(G208,METRICS!C:D,2,0)</f>
        <v>Hortifruti</v>
      </c>
      <c r="L208" t="str">
        <f>VLOOKUP(K208,METRICS!D:E,2,0)</f>
        <v>CUSTOS DOS PRODUTOS VENDIDOS</v>
      </c>
    </row>
    <row r="209" spans="1:12" ht="15" hidden="1">
      <c r="A209" t="s">
        <v>859</v>
      </c>
      <c r="B209" t="s">
        <v>689</v>
      </c>
      <c r="C209" t="s">
        <v>690</v>
      </c>
      <c r="D209" t="s">
        <v>733</v>
      </c>
      <c r="E209" t="s">
        <v>734</v>
      </c>
      <c r="F209" t="s">
        <v>1272</v>
      </c>
      <c r="G209" t="s">
        <v>665</v>
      </c>
      <c r="H209" s="595">
        <v>-0.64</v>
      </c>
      <c r="I209" t="str">
        <f t="shared" si="8"/>
        <v>janeiro 2026</v>
      </c>
      <c r="J209">
        <f t="shared" si="7"/>
        <v>2026</v>
      </c>
      <c r="K209" t="str">
        <f>VLOOKUP(G209,METRICS!C:D,2,0)</f>
        <v>Taxas Financeiras Diversas</v>
      </c>
      <c r="L209" t="str">
        <f>VLOOKUP(K209,METRICS!D:E,2,0)</f>
        <v>TAXAS CARTÃO DE CRÉDITO</v>
      </c>
    </row>
    <row r="210" spans="1:12" ht="15" hidden="1">
      <c r="A210" t="s">
        <v>859</v>
      </c>
      <c r="B210" t="s">
        <v>689</v>
      </c>
      <c r="C210" t="s">
        <v>690</v>
      </c>
      <c r="D210" t="s">
        <v>883</v>
      </c>
      <c r="E210" t="s">
        <v>746</v>
      </c>
      <c r="F210" t="s">
        <v>1272</v>
      </c>
      <c r="G210" t="s">
        <v>669</v>
      </c>
      <c r="H210" s="595">
        <v>-19.329999999999998</v>
      </c>
      <c r="I210" t="str">
        <f t="shared" si="8"/>
        <v>janeiro 2026</v>
      </c>
      <c r="J210">
        <f t="shared" si="7"/>
        <v>2026</v>
      </c>
      <c r="K210" t="str">
        <f>VLOOKUP(G210,METRICS!C:D,2,0)</f>
        <v>Taxas Financeiras Diversas</v>
      </c>
      <c r="L210" t="str">
        <f>VLOOKUP(K210,METRICS!D:E,2,0)</f>
        <v>TAXAS CARTÃO DE CRÉDITO</v>
      </c>
    </row>
    <row r="211" spans="1:12" ht="15" hidden="1">
      <c r="A211" t="s">
        <v>859</v>
      </c>
      <c r="B211" t="s">
        <v>612</v>
      </c>
      <c r="C211" t="s">
        <v>690</v>
      </c>
      <c r="D211" t="s">
        <v>884</v>
      </c>
      <c r="E211" t="s">
        <v>830</v>
      </c>
      <c r="F211" t="s">
        <v>1272</v>
      </c>
      <c r="G211" t="s">
        <v>623</v>
      </c>
      <c r="H211" s="595">
        <v>-203.5</v>
      </c>
      <c r="I211" t="str">
        <f t="shared" si="8"/>
        <v>janeiro 2026</v>
      </c>
      <c r="J211">
        <f t="shared" si="7"/>
        <v>2026</v>
      </c>
      <c r="K211" t="str">
        <f>VLOOKUP(G211,METRICS!C:D,2,0)</f>
        <v>Secos - Mercearia</v>
      </c>
      <c r="L211" t="str">
        <f>VLOOKUP(K211,METRICS!D:E,2,0)</f>
        <v>CUSTOS DOS PRODUTOS VENDIDOS</v>
      </c>
    </row>
    <row r="212" spans="1:12" ht="15" hidden="1">
      <c r="A212" t="s">
        <v>859</v>
      </c>
      <c r="B212" t="s">
        <v>689</v>
      </c>
      <c r="C212" t="s">
        <v>690</v>
      </c>
      <c r="D212" t="s">
        <v>733</v>
      </c>
      <c r="E212" t="s">
        <v>734</v>
      </c>
      <c r="F212" t="s">
        <v>1272</v>
      </c>
      <c r="G212" t="s">
        <v>665</v>
      </c>
      <c r="H212" s="595">
        <v>-18.260000000000002</v>
      </c>
      <c r="I212" t="str">
        <f t="shared" si="8"/>
        <v>janeiro 2026</v>
      </c>
      <c r="J212">
        <f t="shared" si="7"/>
        <v>2026</v>
      </c>
      <c r="K212" t="str">
        <f>VLOOKUP(G212,METRICS!C:D,2,0)</f>
        <v>Taxas Financeiras Diversas</v>
      </c>
      <c r="L212" t="str">
        <f>VLOOKUP(K212,METRICS!D:E,2,0)</f>
        <v>TAXAS CARTÃO DE CRÉDITO</v>
      </c>
    </row>
    <row r="213" spans="1:12" ht="15" hidden="1">
      <c r="A213" t="s">
        <v>859</v>
      </c>
      <c r="B213" t="s">
        <v>689</v>
      </c>
      <c r="C213" t="s">
        <v>690</v>
      </c>
      <c r="D213" t="s">
        <v>733</v>
      </c>
      <c r="E213" t="s">
        <v>734</v>
      </c>
      <c r="F213" t="s">
        <v>1272</v>
      </c>
      <c r="G213" t="s">
        <v>665</v>
      </c>
      <c r="H213" s="595">
        <v>-9.2799999999999994</v>
      </c>
      <c r="I213" t="str">
        <f t="shared" si="8"/>
        <v>janeiro 2026</v>
      </c>
      <c r="J213">
        <f t="shared" si="7"/>
        <v>2026</v>
      </c>
      <c r="K213" t="str">
        <f>VLOOKUP(G213,METRICS!C:D,2,0)</f>
        <v>Taxas Financeiras Diversas</v>
      </c>
      <c r="L213" t="str">
        <f>VLOOKUP(K213,METRICS!D:E,2,0)</f>
        <v>TAXAS CARTÃO DE CRÉDITO</v>
      </c>
    </row>
    <row r="214" spans="1:12" ht="15" hidden="1">
      <c r="A214" t="s">
        <v>859</v>
      </c>
      <c r="B214" t="s">
        <v>689</v>
      </c>
      <c r="C214" t="s">
        <v>690</v>
      </c>
      <c r="D214" t="s">
        <v>753</v>
      </c>
      <c r="E214" t="s">
        <v>734</v>
      </c>
      <c r="F214" t="s">
        <v>1272</v>
      </c>
      <c r="G214" t="s">
        <v>665</v>
      </c>
      <c r="H214" s="595">
        <v>-63.3</v>
      </c>
      <c r="I214" t="str">
        <f t="shared" si="8"/>
        <v>janeiro 2026</v>
      </c>
      <c r="J214">
        <f t="shared" si="7"/>
        <v>2026</v>
      </c>
      <c r="K214" t="str">
        <f>VLOOKUP(G214,METRICS!C:D,2,0)</f>
        <v>Taxas Financeiras Diversas</v>
      </c>
      <c r="L214" t="str">
        <f>VLOOKUP(K214,METRICS!D:E,2,0)</f>
        <v>TAXAS CARTÃO DE CRÉDITO</v>
      </c>
    </row>
    <row r="215" spans="1:12" ht="15" hidden="1">
      <c r="A215" t="s">
        <v>859</v>
      </c>
      <c r="B215" t="s">
        <v>612</v>
      </c>
      <c r="C215" t="s">
        <v>690</v>
      </c>
      <c r="D215" t="s">
        <v>885</v>
      </c>
      <c r="E215" t="s">
        <v>886</v>
      </c>
      <c r="F215" t="s">
        <v>1272</v>
      </c>
      <c r="G215" t="s">
        <v>669</v>
      </c>
      <c r="H215" s="595">
        <v>-27.58</v>
      </c>
      <c r="I215" t="str">
        <f t="shared" si="8"/>
        <v>janeiro 2026</v>
      </c>
      <c r="J215">
        <f t="shared" si="7"/>
        <v>2026</v>
      </c>
      <c r="K215" t="str">
        <f>VLOOKUP(G215,METRICS!C:D,2,0)</f>
        <v>Taxas Financeiras Diversas</v>
      </c>
      <c r="L215" t="str">
        <f>VLOOKUP(K215,METRICS!D:E,2,0)</f>
        <v>TAXAS CARTÃO DE CRÉDITO</v>
      </c>
    </row>
    <row r="216" spans="1:12" ht="15" hidden="1">
      <c r="A216" t="s">
        <v>859</v>
      </c>
      <c r="B216" t="s">
        <v>612</v>
      </c>
      <c r="C216" t="s">
        <v>690</v>
      </c>
      <c r="D216" t="s">
        <v>887</v>
      </c>
      <c r="E216" t="s">
        <v>888</v>
      </c>
      <c r="F216" t="s">
        <v>1272</v>
      </c>
      <c r="G216" s="518" t="s">
        <v>1736</v>
      </c>
      <c r="H216" s="595">
        <v>-320</v>
      </c>
      <c r="I216" t="str">
        <f t="shared" si="8"/>
        <v>janeiro 2026</v>
      </c>
      <c r="J216">
        <f t="shared" si="7"/>
        <v>2026</v>
      </c>
      <c r="K216" t="str">
        <f>VLOOKUP(G216,METRICS!C:D,2,0)</f>
        <v>Sistema e Software OP</v>
      </c>
      <c r="L216" t="str">
        <f>VLOOKUP(K216,METRICS!D:E,2,0)</f>
        <v>OPERAÇÃO</v>
      </c>
    </row>
    <row r="217" spans="1:12" ht="15" hidden="1">
      <c r="A217" t="s">
        <v>859</v>
      </c>
      <c r="B217" t="s">
        <v>689</v>
      </c>
      <c r="C217" t="s">
        <v>690</v>
      </c>
      <c r="D217" t="s">
        <v>743</v>
      </c>
      <c r="E217" t="s">
        <v>734</v>
      </c>
      <c r="F217" t="s">
        <v>1272</v>
      </c>
      <c r="G217" t="s">
        <v>665</v>
      </c>
      <c r="H217" s="595">
        <v>-12.33</v>
      </c>
      <c r="I217" t="str">
        <f t="shared" si="8"/>
        <v>janeiro 2026</v>
      </c>
      <c r="J217">
        <f t="shared" si="7"/>
        <v>2026</v>
      </c>
      <c r="K217" t="str">
        <f>VLOOKUP(G217,METRICS!C:D,2,0)</f>
        <v>Taxas Financeiras Diversas</v>
      </c>
      <c r="L217" t="str">
        <f>VLOOKUP(K217,METRICS!D:E,2,0)</f>
        <v>TAXAS CARTÃO DE CRÉDITO</v>
      </c>
    </row>
    <row r="218" spans="1:12" ht="15" hidden="1">
      <c r="A218" t="s">
        <v>859</v>
      </c>
      <c r="B218" t="s">
        <v>612</v>
      </c>
      <c r="C218" t="s">
        <v>690</v>
      </c>
      <c r="D218" t="s">
        <v>889</v>
      </c>
      <c r="E218" t="s">
        <v>890</v>
      </c>
      <c r="F218" t="s">
        <v>1272</v>
      </c>
      <c r="G218" s="518" t="s">
        <v>1736</v>
      </c>
      <c r="H218" s="595">
        <v>-373.43</v>
      </c>
      <c r="I218" t="str">
        <f t="shared" si="8"/>
        <v>janeiro 2026</v>
      </c>
      <c r="J218">
        <f t="shared" si="7"/>
        <v>2026</v>
      </c>
      <c r="K218" t="str">
        <f>VLOOKUP(G218,METRICS!C:D,2,0)</f>
        <v>Sistema e Software OP</v>
      </c>
      <c r="L218" t="str">
        <f>VLOOKUP(K218,METRICS!D:E,2,0)</f>
        <v>OPERAÇÃO</v>
      </c>
    </row>
    <row r="219" spans="1:12" ht="15" hidden="1">
      <c r="A219" t="s">
        <v>859</v>
      </c>
      <c r="B219" t="s">
        <v>689</v>
      </c>
      <c r="C219" t="s">
        <v>690</v>
      </c>
      <c r="D219" t="s">
        <v>733</v>
      </c>
      <c r="E219" t="s">
        <v>734</v>
      </c>
      <c r="F219" t="s">
        <v>1272</v>
      </c>
      <c r="G219" t="s">
        <v>665</v>
      </c>
      <c r="H219" s="595">
        <v>-9.7100000000000009</v>
      </c>
      <c r="I219" t="str">
        <f t="shared" si="8"/>
        <v>janeiro 2026</v>
      </c>
      <c r="J219">
        <f t="shared" si="7"/>
        <v>2026</v>
      </c>
      <c r="K219" t="str">
        <f>VLOOKUP(G219,METRICS!C:D,2,0)</f>
        <v>Taxas Financeiras Diversas</v>
      </c>
      <c r="L219" t="str">
        <f>VLOOKUP(K219,METRICS!D:E,2,0)</f>
        <v>TAXAS CARTÃO DE CRÉDITO</v>
      </c>
    </row>
    <row r="220" spans="1:12" ht="15" hidden="1">
      <c r="A220" t="s">
        <v>859</v>
      </c>
      <c r="B220" t="s">
        <v>689</v>
      </c>
      <c r="C220" t="s">
        <v>690</v>
      </c>
      <c r="D220" t="s">
        <v>733</v>
      </c>
      <c r="E220" t="s">
        <v>734</v>
      </c>
      <c r="F220" t="s">
        <v>1272</v>
      </c>
      <c r="G220" t="s">
        <v>665</v>
      </c>
      <c r="H220" s="595">
        <v>-1.3</v>
      </c>
      <c r="I220" t="str">
        <f t="shared" si="8"/>
        <v>janeiro 2026</v>
      </c>
      <c r="J220">
        <f t="shared" si="7"/>
        <v>2026</v>
      </c>
      <c r="K220" t="str">
        <f>VLOOKUP(G220,METRICS!C:D,2,0)</f>
        <v>Taxas Financeiras Diversas</v>
      </c>
      <c r="L220" t="str">
        <f>VLOOKUP(K220,METRICS!D:E,2,0)</f>
        <v>TAXAS CARTÃO DE CRÉDITO</v>
      </c>
    </row>
    <row r="221" spans="1:12" ht="15" hidden="1">
      <c r="A221" t="s">
        <v>859</v>
      </c>
      <c r="B221" t="s">
        <v>612</v>
      </c>
      <c r="C221" t="s">
        <v>690</v>
      </c>
      <c r="D221" t="s">
        <v>891</v>
      </c>
      <c r="E221" t="s">
        <v>892</v>
      </c>
      <c r="F221" t="s">
        <v>1272</v>
      </c>
      <c r="G221" t="s">
        <v>615</v>
      </c>
      <c r="H221" s="595">
        <v>-780</v>
      </c>
      <c r="I221" t="str">
        <f t="shared" si="8"/>
        <v>janeiro 2026</v>
      </c>
      <c r="J221">
        <f t="shared" si="7"/>
        <v>2026</v>
      </c>
      <c r="K221" t="str">
        <f>VLOOKUP(G221,METRICS!C:D,2,0)</f>
        <v>Embalagens</v>
      </c>
      <c r="L221" t="str">
        <f>VLOOKUP(K221,METRICS!D:E,2,0)</f>
        <v>OPERAÇÃO</v>
      </c>
    </row>
    <row r="222" spans="1:12" ht="15" hidden="1">
      <c r="A222" t="s">
        <v>859</v>
      </c>
      <c r="B222" t="s">
        <v>612</v>
      </c>
      <c r="C222" t="s">
        <v>690</v>
      </c>
      <c r="D222" t="s">
        <v>893</v>
      </c>
      <c r="E222" t="s">
        <v>866</v>
      </c>
      <c r="F222" t="s">
        <v>1272</v>
      </c>
      <c r="G222" t="s">
        <v>627</v>
      </c>
      <c r="H222" s="595">
        <v>-7458.06</v>
      </c>
      <c r="I222" t="str">
        <f t="shared" si="8"/>
        <v>janeiro 2026</v>
      </c>
      <c r="J222">
        <f t="shared" si="7"/>
        <v>2026</v>
      </c>
      <c r="K222" t="str">
        <f>VLOOKUP(G222,METRICS!C:D,2,0)</f>
        <v>Manutenção e Conservação</v>
      </c>
      <c r="L222" t="str">
        <f>VLOOKUP(K222,METRICS!D:E,2,0)</f>
        <v>OPERAÇÃO</v>
      </c>
    </row>
    <row r="223" spans="1:12" ht="15" hidden="1">
      <c r="A223" t="s">
        <v>859</v>
      </c>
      <c r="B223" t="s">
        <v>689</v>
      </c>
      <c r="C223" t="s">
        <v>690</v>
      </c>
      <c r="D223" t="s">
        <v>733</v>
      </c>
      <c r="E223" t="s">
        <v>734</v>
      </c>
      <c r="F223" t="s">
        <v>1272</v>
      </c>
      <c r="G223" t="s">
        <v>665</v>
      </c>
      <c r="H223" s="595">
        <v>-6.5</v>
      </c>
      <c r="I223" t="str">
        <f t="shared" si="8"/>
        <v>janeiro 2026</v>
      </c>
      <c r="J223">
        <f t="shared" si="7"/>
        <v>2026</v>
      </c>
      <c r="K223" t="str">
        <f>VLOOKUP(G223,METRICS!C:D,2,0)</f>
        <v>Taxas Financeiras Diversas</v>
      </c>
      <c r="L223" t="str">
        <f>VLOOKUP(K223,METRICS!D:E,2,0)</f>
        <v>TAXAS CARTÃO DE CRÉDITO</v>
      </c>
    </row>
    <row r="224" spans="1:12" ht="15" hidden="1">
      <c r="A224" t="s">
        <v>859</v>
      </c>
      <c r="B224" t="s">
        <v>689</v>
      </c>
      <c r="C224" t="s">
        <v>690</v>
      </c>
      <c r="D224" t="s">
        <v>743</v>
      </c>
      <c r="E224" t="s">
        <v>734</v>
      </c>
      <c r="F224" t="s">
        <v>1272</v>
      </c>
      <c r="G224" t="s">
        <v>665</v>
      </c>
      <c r="H224" s="595">
        <v>-4.4400000000000004</v>
      </c>
      <c r="I224" t="str">
        <f t="shared" si="8"/>
        <v>janeiro 2026</v>
      </c>
      <c r="J224">
        <f t="shared" si="7"/>
        <v>2026</v>
      </c>
      <c r="K224" t="str">
        <f>VLOOKUP(G224,METRICS!C:D,2,0)</f>
        <v>Taxas Financeiras Diversas</v>
      </c>
      <c r="L224" t="str">
        <f>VLOOKUP(K224,METRICS!D:E,2,0)</f>
        <v>TAXAS CARTÃO DE CRÉDITO</v>
      </c>
    </row>
    <row r="225" spans="1:12" ht="15" hidden="1">
      <c r="A225" t="s">
        <v>859</v>
      </c>
      <c r="B225" t="s">
        <v>689</v>
      </c>
      <c r="C225" t="s">
        <v>690</v>
      </c>
      <c r="D225" t="s">
        <v>733</v>
      </c>
      <c r="E225" t="s">
        <v>734</v>
      </c>
      <c r="F225" t="s">
        <v>1272</v>
      </c>
      <c r="G225" t="s">
        <v>665</v>
      </c>
      <c r="H225" s="595">
        <v>-9.9700000000000006</v>
      </c>
      <c r="I225" t="str">
        <f t="shared" si="8"/>
        <v>janeiro 2026</v>
      </c>
      <c r="J225">
        <f t="shared" si="7"/>
        <v>2026</v>
      </c>
      <c r="K225" t="str">
        <f>VLOOKUP(G225,METRICS!C:D,2,0)</f>
        <v>Taxas Financeiras Diversas</v>
      </c>
      <c r="L225" t="str">
        <f>VLOOKUP(K225,METRICS!D:E,2,0)</f>
        <v>TAXAS CARTÃO DE CRÉDITO</v>
      </c>
    </row>
    <row r="226" spans="1:12" ht="15" hidden="1">
      <c r="A226" t="s">
        <v>859</v>
      </c>
      <c r="B226" t="s">
        <v>612</v>
      </c>
      <c r="C226" t="s">
        <v>690</v>
      </c>
      <c r="D226" t="s">
        <v>894</v>
      </c>
      <c r="E226" t="s">
        <v>724</v>
      </c>
      <c r="F226" t="s">
        <v>1272</v>
      </c>
      <c r="G226" t="s">
        <v>669</v>
      </c>
      <c r="H226" s="595">
        <v>-71.989999999999995</v>
      </c>
      <c r="I226" t="str">
        <f t="shared" si="8"/>
        <v>janeiro 2026</v>
      </c>
      <c r="J226">
        <f t="shared" si="7"/>
        <v>2026</v>
      </c>
      <c r="K226" t="str">
        <f>VLOOKUP(G226,METRICS!C:D,2,0)</f>
        <v>Taxas Financeiras Diversas</v>
      </c>
      <c r="L226" t="str">
        <f>VLOOKUP(K226,METRICS!D:E,2,0)</f>
        <v>TAXAS CARTÃO DE CRÉDITO</v>
      </c>
    </row>
    <row r="227" spans="1:12" ht="15" hidden="1">
      <c r="A227" t="s">
        <v>859</v>
      </c>
      <c r="B227" t="s">
        <v>689</v>
      </c>
      <c r="C227" t="s">
        <v>690</v>
      </c>
      <c r="D227" t="s">
        <v>733</v>
      </c>
      <c r="E227" t="s">
        <v>734</v>
      </c>
      <c r="F227" t="s">
        <v>1272</v>
      </c>
      <c r="G227" t="s">
        <v>665</v>
      </c>
      <c r="H227" s="595">
        <v>-12.55</v>
      </c>
      <c r="I227" t="str">
        <f t="shared" si="8"/>
        <v>janeiro 2026</v>
      </c>
      <c r="J227">
        <f t="shared" si="7"/>
        <v>2026</v>
      </c>
      <c r="K227" t="str">
        <f>VLOOKUP(G227,METRICS!C:D,2,0)</f>
        <v>Taxas Financeiras Diversas</v>
      </c>
      <c r="L227" t="str">
        <f>VLOOKUP(K227,METRICS!D:E,2,0)</f>
        <v>TAXAS CARTÃO DE CRÉDITO</v>
      </c>
    </row>
    <row r="228" spans="1:12" ht="15" hidden="1">
      <c r="A228" t="s">
        <v>859</v>
      </c>
      <c r="B228" t="s">
        <v>689</v>
      </c>
      <c r="C228" t="s">
        <v>690</v>
      </c>
      <c r="D228" t="s">
        <v>743</v>
      </c>
      <c r="E228" t="s">
        <v>734</v>
      </c>
      <c r="F228" t="s">
        <v>1272</v>
      </c>
      <c r="G228" t="s">
        <v>665</v>
      </c>
      <c r="H228" s="595">
        <v>-6.75</v>
      </c>
      <c r="I228" t="str">
        <f t="shared" si="8"/>
        <v>janeiro 2026</v>
      </c>
      <c r="J228">
        <f t="shared" si="7"/>
        <v>2026</v>
      </c>
      <c r="K228" t="str">
        <f>VLOOKUP(G228,METRICS!C:D,2,0)</f>
        <v>Taxas Financeiras Diversas</v>
      </c>
      <c r="L228" t="str">
        <f>VLOOKUP(K228,METRICS!D:E,2,0)</f>
        <v>TAXAS CARTÃO DE CRÉDITO</v>
      </c>
    </row>
    <row r="229" spans="1:12" ht="15" hidden="1">
      <c r="A229" t="s">
        <v>859</v>
      </c>
      <c r="B229" t="s">
        <v>689</v>
      </c>
      <c r="C229" t="s">
        <v>690</v>
      </c>
      <c r="D229" t="s">
        <v>733</v>
      </c>
      <c r="E229" t="s">
        <v>734</v>
      </c>
      <c r="F229" t="s">
        <v>1272</v>
      </c>
      <c r="G229" t="s">
        <v>665</v>
      </c>
      <c r="H229" s="595">
        <v>-5.87</v>
      </c>
      <c r="I229" t="str">
        <f t="shared" si="8"/>
        <v>janeiro 2026</v>
      </c>
      <c r="J229">
        <f t="shared" si="7"/>
        <v>2026</v>
      </c>
      <c r="K229" t="str">
        <f>VLOOKUP(G229,METRICS!C:D,2,0)</f>
        <v>Taxas Financeiras Diversas</v>
      </c>
      <c r="L229" t="str">
        <f>VLOOKUP(K229,METRICS!D:E,2,0)</f>
        <v>TAXAS CARTÃO DE CRÉDITO</v>
      </c>
    </row>
    <row r="230" spans="1:12" ht="15" hidden="1">
      <c r="A230" t="s">
        <v>859</v>
      </c>
      <c r="B230" t="s">
        <v>689</v>
      </c>
      <c r="C230" t="s">
        <v>690</v>
      </c>
      <c r="D230" t="s">
        <v>733</v>
      </c>
      <c r="E230" t="s">
        <v>734</v>
      </c>
      <c r="F230" t="s">
        <v>1272</v>
      </c>
      <c r="G230" t="s">
        <v>665</v>
      </c>
      <c r="H230" s="595">
        <v>-4.6900000000000004</v>
      </c>
      <c r="I230" t="str">
        <f t="shared" si="8"/>
        <v>janeiro 2026</v>
      </c>
      <c r="J230">
        <f t="shared" si="7"/>
        <v>2026</v>
      </c>
      <c r="K230" t="str">
        <f>VLOOKUP(G230,METRICS!C:D,2,0)</f>
        <v>Taxas Financeiras Diversas</v>
      </c>
      <c r="L230" t="str">
        <f>VLOOKUP(K230,METRICS!D:E,2,0)</f>
        <v>TAXAS CARTÃO DE CRÉDITO</v>
      </c>
    </row>
    <row r="231" spans="1:12" ht="15" hidden="1">
      <c r="A231" t="s">
        <v>859</v>
      </c>
      <c r="B231" t="s">
        <v>689</v>
      </c>
      <c r="C231" t="s">
        <v>690</v>
      </c>
      <c r="D231" t="s">
        <v>743</v>
      </c>
      <c r="E231" t="s">
        <v>734</v>
      </c>
      <c r="F231" t="s">
        <v>1272</v>
      </c>
      <c r="G231" t="s">
        <v>665</v>
      </c>
      <c r="H231" s="595">
        <v>-15.59</v>
      </c>
      <c r="I231" t="str">
        <f t="shared" si="8"/>
        <v>janeiro 2026</v>
      </c>
      <c r="J231">
        <f t="shared" si="7"/>
        <v>2026</v>
      </c>
      <c r="K231" t="str">
        <f>VLOOKUP(G231,METRICS!C:D,2,0)</f>
        <v>Taxas Financeiras Diversas</v>
      </c>
      <c r="L231" t="str">
        <f>VLOOKUP(K231,METRICS!D:E,2,0)</f>
        <v>TAXAS CARTÃO DE CRÉDITO</v>
      </c>
    </row>
    <row r="232" spans="1:12" ht="15" hidden="1">
      <c r="A232" t="s">
        <v>859</v>
      </c>
      <c r="B232" t="s">
        <v>689</v>
      </c>
      <c r="C232" t="s">
        <v>690</v>
      </c>
      <c r="D232" t="s">
        <v>743</v>
      </c>
      <c r="E232" t="s">
        <v>734</v>
      </c>
      <c r="F232" t="s">
        <v>1272</v>
      </c>
      <c r="G232" t="s">
        <v>665</v>
      </c>
      <c r="H232" s="595">
        <v>-16.350000000000001</v>
      </c>
      <c r="I232" t="str">
        <f t="shared" si="8"/>
        <v>janeiro 2026</v>
      </c>
      <c r="J232">
        <f t="shared" si="7"/>
        <v>2026</v>
      </c>
      <c r="K232" t="str">
        <f>VLOOKUP(G232,METRICS!C:D,2,0)</f>
        <v>Taxas Financeiras Diversas</v>
      </c>
      <c r="L232" t="str">
        <f>VLOOKUP(K232,METRICS!D:E,2,0)</f>
        <v>TAXAS CARTÃO DE CRÉDITO</v>
      </c>
    </row>
    <row r="233" spans="1:12" ht="15" hidden="1">
      <c r="A233" t="s">
        <v>859</v>
      </c>
      <c r="B233" t="s">
        <v>689</v>
      </c>
      <c r="C233" t="s">
        <v>690</v>
      </c>
      <c r="D233" t="s">
        <v>733</v>
      </c>
      <c r="E233" t="s">
        <v>734</v>
      </c>
      <c r="F233" t="s">
        <v>1272</v>
      </c>
      <c r="G233" t="s">
        <v>665</v>
      </c>
      <c r="H233" s="595">
        <v>-5.82</v>
      </c>
      <c r="I233" t="str">
        <f t="shared" si="8"/>
        <v>janeiro 2026</v>
      </c>
      <c r="J233">
        <f t="shared" si="7"/>
        <v>2026</v>
      </c>
      <c r="K233" t="str">
        <f>VLOOKUP(G233,METRICS!C:D,2,0)</f>
        <v>Taxas Financeiras Diversas</v>
      </c>
      <c r="L233" t="str">
        <f>VLOOKUP(K233,METRICS!D:E,2,0)</f>
        <v>TAXAS CARTÃO DE CRÉDITO</v>
      </c>
    </row>
    <row r="234" spans="1:12" ht="15" hidden="1">
      <c r="A234" t="s">
        <v>859</v>
      </c>
      <c r="B234" t="s">
        <v>689</v>
      </c>
      <c r="C234" t="s">
        <v>690</v>
      </c>
      <c r="D234" t="s">
        <v>733</v>
      </c>
      <c r="E234" t="s">
        <v>734</v>
      </c>
      <c r="F234" t="s">
        <v>1272</v>
      </c>
      <c r="G234" t="s">
        <v>665</v>
      </c>
      <c r="H234" s="595">
        <v>-12.55</v>
      </c>
      <c r="I234" t="str">
        <f t="shared" si="8"/>
        <v>janeiro 2026</v>
      </c>
      <c r="J234">
        <f t="shared" si="7"/>
        <v>2026</v>
      </c>
      <c r="K234" t="str">
        <f>VLOOKUP(G234,METRICS!C:D,2,0)</f>
        <v>Taxas Financeiras Diversas</v>
      </c>
      <c r="L234" t="str">
        <f>VLOOKUP(K234,METRICS!D:E,2,0)</f>
        <v>TAXAS CARTÃO DE CRÉDITO</v>
      </c>
    </row>
    <row r="235" spans="1:12" ht="15" hidden="1">
      <c r="A235" t="s">
        <v>859</v>
      </c>
      <c r="B235" t="s">
        <v>689</v>
      </c>
      <c r="C235" t="s">
        <v>690</v>
      </c>
      <c r="D235" t="s">
        <v>733</v>
      </c>
      <c r="E235" t="s">
        <v>734</v>
      </c>
      <c r="F235" t="s">
        <v>1272</v>
      </c>
      <c r="G235" t="s">
        <v>665</v>
      </c>
      <c r="H235" s="595">
        <v>-4.93</v>
      </c>
      <c r="I235" t="str">
        <f t="shared" ref="I235:I274" si="9">TEXT(A235, "mmmm aaaa")</f>
        <v>janeiro 2026</v>
      </c>
      <c r="J235">
        <f t="shared" si="7"/>
        <v>2026</v>
      </c>
      <c r="K235" t="str">
        <f>VLOOKUP(G235,METRICS!C:D,2,0)</f>
        <v>Taxas Financeiras Diversas</v>
      </c>
      <c r="L235" t="str">
        <f>VLOOKUP(K235,METRICS!D:E,2,0)</f>
        <v>TAXAS CARTÃO DE CRÉDITO</v>
      </c>
    </row>
    <row r="236" spans="1:12" ht="15" hidden="1">
      <c r="A236" t="s">
        <v>859</v>
      </c>
      <c r="B236" t="s">
        <v>612</v>
      </c>
      <c r="C236" t="s">
        <v>690</v>
      </c>
      <c r="D236" t="s">
        <v>895</v>
      </c>
      <c r="E236" t="s">
        <v>708</v>
      </c>
      <c r="F236" t="s">
        <v>1272</v>
      </c>
      <c r="G236" t="s">
        <v>613</v>
      </c>
      <c r="H236" s="595">
        <v>-916.5</v>
      </c>
      <c r="I236" t="str">
        <f t="shared" si="9"/>
        <v>janeiro 2026</v>
      </c>
      <c r="J236">
        <f t="shared" si="7"/>
        <v>2026</v>
      </c>
      <c r="K236" t="str">
        <f>VLOOKUP(G236,METRICS!C:D,2,0)</f>
        <v>Dedetização</v>
      </c>
      <c r="L236" t="str">
        <f>VLOOKUP(K236,METRICS!D:E,2,0)</f>
        <v>ADMINISTRATIVA</v>
      </c>
    </row>
    <row r="237" spans="1:12" ht="15" hidden="1">
      <c r="A237" t="s">
        <v>859</v>
      </c>
      <c r="B237" t="s">
        <v>612</v>
      </c>
      <c r="C237" t="s">
        <v>690</v>
      </c>
      <c r="D237" t="s">
        <v>896</v>
      </c>
      <c r="E237" t="s">
        <v>770</v>
      </c>
      <c r="F237" t="s">
        <v>1272</v>
      </c>
      <c r="G237" t="s">
        <v>630</v>
      </c>
      <c r="H237" s="595">
        <v>-1093.97</v>
      </c>
      <c r="I237" t="str">
        <f t="shared" si="9"/>
        <v>janeiro 2026</v>
      </c>
      <c r="J237">
        <f t="shared" si="7"/>
        <v>2026</v>
      </c>
      <c r="K237" t="str">
        <f>VLOOKUP(G237,METRICS!C:D,2,0)</f>
        <v>Material de Copa e Limpeza</v>
      </c>
      <c r="L237" t="str">
        <f>VLOOKUP(K237,METRICS!D:E,2,0)</f>
        <v>ADMINISTRATIVA</v>
      </c>
    </row>
    <row r="238" spans="1:12" ht="15" hidden="1">
      <c r="A238" t="s">
        <v>859</v>
      </c>
      <c r="B238" t="s">
        <v>689</v>
      </c>
      <c r="C238" t="s">
        <v>690</v>
      </c>
      <c r="D238" t="s">
        <v>733</v>
      </c>
      <c r="E238" t="s">
        <v>734</v>
      </c>
      <c r="F238" t="s">
        <v>1272</v>
      </c>
      <c r="G238" t="s">
        <v>665</v>
      </c>
      <c r="H238" s="595">
        <v>-3.63</v>
      </c>
      <c r="I238" t="str">
        <f t="shared" si="9"/>
        <v>janeiro 2026</v>
      </c>
      <c r="J238">
        <f t="shared" si="7"/>
        <v>2026</v>
      </c>
      <c r="K238" t="str">
        <f>VLOOKUP(G238,METRICS!C:D,2,0)</f>
        <v>Taxas Financeiras Diversas</v>
      </c>
      <c r="L238" t="str">
        <f>VLOOKUP(K238,METRICS!D:E,2,0)</f>
        <v>TAXAS CARTÃO DE CRÉDITO</v>
      </c>
    </row>
    <row r="239" spans="1:12" ht="15" hidden="1">
      <c r="A239" t="s">
        <v>859</v>
      </c>
      <c r="B239" t="s">
        <v>612</v>
      </c>
      <c r="C239" t="s">
        <v>690</v>
      </c>
      <c r="D239" t="s">
        <v>897</v>
      </c>
      <c r="E239" t="s">
        <v>898</v>
      </c>
      <c r="F239" t="s">
        <v>1272</v>
      </c>
      <c r="G239" t="s">
        <v>609</v>
      </c>
      <c r="H239" s="595">
        <v>-1032.8</v>
      </c>
      <c r="I239" t="str">
        <f t="shared" si="9"/>
        <v>janeiro 2026</v>
      </c>
      <c r="J239">
        <f t="shared" si="7"/>
        <v>2026</v>
      </c>
      <c r="K239" t="str">
        <f>VLOOKUP(G239,METRICS!C:D,2,0)</f>
        <v>Carnes e Aves</v>
      </c>
      <c r="L239" t="str">
        <f>VLOOKUP(K239,METRICS!D:E,2,0)</f>
        <v>CUSTOS DOS PRODUTOS VENDIDOS</v>
      </c>
    </row>
    <row r="240" spans="1:12" ht="15" hidden="1">
      <c r="A240" t="s">
        <v>859</v>
      </c>
      <c r="B240" t="s">
        <v>612</v>
      </c>
      <c r="C240" t="s">
        <v>690</v>
      </c>
      <c r="D240" t="s">
        <v>899</v>
      </c>
      <c r="E240" t="s">
        <v>900</v>
      </c>
      <c r="F240" t="s">
        <v>1272</v>
      </c>
      <c r="G240" t="s">
        <v>624</v>
      </c>
      <c r="H240" s="595">
        <v>-370</v>
      </c>
      <c r="I240" t="str">
        <f t="shared" si="9"/>
        <v>janeiro 2026</v>
      </c>
      <c r="J240">
        <f t="shared" si="7"/>
        <v>2026</v>
      </c>
      <c r="K240" t="str">
        <f>VLOOKUP(G240,METRICS!C:D,2,0)</f>
        <v>Manutenção e Conservação</v>
      </c>
      <c r="L240" t="str">
        <f>VLOOKUP(K240,METRICS!D:E,2,0)</f>
        <v>OPERAÇÃO</v>
      </c>
    </row>
    <row r="241" spans="1:12" ht="15" hidden="1">
      <c r="A241" t="s">
        <v>859</v>
      </c>
      <c r="B241" t="s">
        <v>689</v>
      </c>
      <c r="C241" t="s">
        <v>690</v>
      </c>
      <c r="D241" t="s">
        <v>733</v>
      </c>
      <c r="E241" t="s">
        <v>734</v>
      </c>
      <c r="F241" t="s">
        <v>1272</v>
      </c>
      <c r="G241" t="s">
        <v>665</v>
      </c>
      <c r="H241" s="595">
        <v>-0.01</v>
      </c>
      <c r="I241" t="str">
        <f t="shared" si="9"/>
        <v>janeiro 2026</v>
      </c>
      <c r="J241">
        <f t="shared" si="7"/>
        <v>2026</v>
      </c>
      <c r="K241" t="str">
        <f>VLOOKUP(G241,METRICS!C:D,2,0)</f>
        <v>Taxas Financeiras Diversas</v>
      </c>
      <c r="L241" t="str">
        <f>VLOOKUP(K241,METRICS!D:E,2,0)</f>
        <v>TAXAS CARTÃO DE CRÉDITO</v>
      </c>
    </row>
    <row r="242" spans="1:12" ht="15" hidden="1">
      <c r="A242" t="s">
        <v>859</v>
      </c>
      <c r="B242" t="s">
        <v>689</v>
      </c>
      <c r="C242" t="s">
        <v>690</v>
      </c>
      <c r="D242" t="s">
        <v>733</v>
      </c>
      <c r="E242" t="s">
        <v>734</v>
      </c>
      <c r="F242" t="s">
        <v>1272</v>
      </c>
      <c r="G242" t="s">
        <v>665</v>
      </c>
      <c r="H242" s="595">
        <v>-2.73</v>
      </c>
      <c r="I242" t="str">
        <f t="shared" si="9"/>
        <v>janeiro 2026</v>
      </c>
      <c r="J242">
        <f t="shared" si="7"/>
        <v>2026</v>
      </c>
      <c r="K242" t="str">
        <f>VLOOKUP(G242,METRICS!C:D,2,0)</f>
        <v>Taxas Financeiras Diversas</v>
      </c>
      <c r="L242" t="str">
        <f>VLOOKUP(K242,METRICS!D:E,2,0)</f>
        <v>TAXAS CARTÃO DE CRÉDITO</v>
      </c>
    </row>
    <row r="243" spans="1:12" ht="15" hidden="1">
      <c r="A243" t="s">
        <v>859</v>
      </c>
      <c r="B243" t="s">
        <v>689</v>
      </c>
      <c r="C243" t="s">
        <v>690</v>
      </c>
      <c r="D243" t="s">
        <v>733</v>
      </c>
      <c r="E243" t="s">
        <v>734</v>
      </c>
      <c r="F243" t="s">
        <v>1272</v>
      </c>
      <c r="G243" t="s">
        <v>665</v>
      </c>
      <c r="H243" s="595">
        <v>-2.61</v>
      </c>
      <c r="I243" t="str">
        <f t="shared" si="9"/>
        <v>janeiro 2026</v>
      </c>
      <c r="J243">
        <f t="shared" si="7"/>
        <v>2026</v>
      </c>
      <c r="K243" t="str">
        <f>VLOOKUP(G243,METRICS!C:D,2,0)</f>
        <v>Taxas Financeiras Diversas</v>
      </c>
      <c r="L243" t="str">
        <f>VLOOKUP(K243,METRICS!D:E,2,0)</f>
        <v>TAXAS CARTÃO DE CRÉDITO</v>
      </c>
    </row>
    <row r="244" spans="1:12" ht="15" hidden="1">
      <c r="A244" t="s">
        <v>859</v>
      </c>
      <c r="B244" t="s">
        <v>689</v>
      </c>
      <c r="C244" t="s">
        <v>690</v>
      </c>
      <c r="D244" t="s">
        <v>733</v>
      </c>
      <c r="E244" t="s">
        <v>734</v>
      </c>
      <c r="F244" t="s">
        <v>1272</v>
      </c>
      <c r="G244" t="s">
        <v>665</v>
      </c>
      <c r="H244" s="595">
        <v>-5.96</v>
      </c>
      <c r="I244" t="str">
        <f t="shared" si="9"/>
        <v>janeiro 2026</v>
      </c>
      <c r="J244">
        <f t="shared" si="7"/>
        <v>2026</v>
      </c>
      <c r="K244" t="str">
        <f>VLOOKUP(G244,METRICS!C:D,2,0)</f>
        <v>Taxas Financeiras Diversas</v>
      </c>
      <c r="L244" t="str">
        <f>VLOOKUP(K244,METRICS!D:E,2,0)</f>
        <v>TAXAS CARTÃO DE CRÉDITO</v>
      </c>
    </row>
    <row r="245" spans="1:12" ht="15" hidden="1">
      <c r="A245" t="s">
        <v>859</v>
      </c>
      <c r="B245" t="s">
        <v>612</v>
      </c>
      <c r="C245" t="s">
        <v>690</v>
      </c>
      <c r="D245" t="s">
        <v>901</v>
      </c>
      <c r="E245" t="s">
        <v>902</v>
      </c>
      <c r="F245" t="s">
        <v>1272</v>
      </c>
      <c r="G245" t="s">
        <v>1737</v>
      </c>
      <c r="H245" s="595">
        <v>-1510</v>
      </c>
      <c r="I245" t="str">
        <f t="shared" si="9"/>
        <v>janeiro 2026</v>
      </c>
      <c r="J245">
        <f t="shared" si="7"/>
        <v>2026</v>
      </c>
      <c r="K245" t="str">
        <f>VLOOKUP(G245,METRICS!C:D,2,0)</f>
        <v>Sistema e Software ADM</v>
      </c>
      <c r="L245" t="str">
        <f>VLOOKUP(K245,METRICS!D:E,2,0)</f>
        <v>ADMINISTRATIVA</v>
      </c>
    </row>
    <row r="246" spans="1:12" ht="15" hidden="1">
      <c r="A246" t="s">
        <v>903</v>
      </c>
      <c r="B246" t="s">
        <v>689</v>
      </c>
      <c r="C246" t="s">
        <v>690</v>
      </c>
      <c r="D246" t="s">
        <v>743</v>
      </c>
      <c r="E246" t="s">
        <v>734</v>
      </c>
      <c r="F246" t="s">
        <v>1272</v>
      </c>
      <c r="G246" t="s">
        <v>665</v>
      </c>
      <c r="H246" s="595">
        <v>-5.27</v>
      </c>
      <c r="I246" t="str">
        <f t="shared" si="9"/>
        <v>janeiro 2026</v>
      </c>
      <c r="J246">
        <f t="shared" si="7"/>
        <v>2026</v>
      </c>
      <c r="K246" t="str">
        <f>VLOOKUP(G246,METRICS!C:D,2,0)</f>
        <v>Taxas Financeiras Diversas</v>
      </c>
      <c r="L246" t="str">
        <f>VLOOKUP(K246,METRICS!D:E,2,0)</f>
        <v>TAXAS CARTÃO DE CRÉDITO</v>
      </c>
    </row>
    <row r="247" spans="1:12" ht="15" hidden="1">
      <c r="A247" t="s">
        <v>903</v>
      </c>
      <c r="B247" t="s">
        <v>612</v>
      </c>
      <c r="C247" t="s">
        <v>690</v>
      </c>
      <c r="D247" t="s">
        <v>904</v>
      </c>
      <c r="E247" t="s">
        <v>811</v>
      </c>
      <c r="F247" t="s">
        <v>1272</v>
      </c>
      <c r="G247" t="s">
        <v>636</v>
      </c>
      <c r="H247" s="595">
        <v>-2068.66</v>
      </c>
      <c r="I247" t="str">
        <f t="shared" si="9"/>
        <v>janeiro 2026</v>
      </c>
      <c r="J247">
        <f t="shared" si="7"/>
        <v>2026</v>
      </c>
      <c r="K247" t="str">
        <f>VLOOKUP(G247,METRICS!C:D,2,0)</f>
        <v>Secos - Mercearia</v>
      </c>
      <c r="L247" t="str">
        <f>VLOOKUP(K247,METRICS!D:E,2,0)</f>
        <v>CUSTOS DOS PRODUTOS VENDIDOS</v>
      </c>
    </row>
    <row r="248" spans="1:12" ht="15" hidden="1">
      <c r="A248" t="s">
        <v>903</v>
      </c>
      <c r="B248" t="s">
        <v>689</v>
      </c>
      <c r="C248" t="s">
        <v>690</v>
      </c>
      <c r="D248" t="s">
        <v>733</v>
      </c>
      <c r="E248" t="s">
        <v>734</v>
      </c>
      <c r="F248" t="s">
        <v>1272</v>
      </c>
      <c r="G248" t="s">
        <v>665</v>
      </c>
      <c r="H248" s="595">
        <v>-2.14</v>
      </c>
      <c r="I248" t="str">
        <f t="shared" si="9"/>
        <v>janeiro 2026</v>
      </c>
      <c r="J248">
        <f t="shared" si="7"/>
        <v>2026</v>
      </c>
      <c r="K248" t="str">
        <f>VLOOKUP(G248,METRICS!C:D,2,0)</f>
        <v>Taxas Financeiras Diversas</v>
      </c>
      <c r="L248" t="str">
        <f>VLOOKUP(K248,METRICS!D:E,2,0)</f>
        <v>TAXAS CARTÃO DE CRÉDITO</v>
      </c>
    </row>
    <row r="249" spans="1:12" ht="15" hidden="1">
      <c r="A249" t="s">
        <v>903</v>
      </c>
      <c r="B249" t="s">
        <v>689</v>
      </c>
      <c r="C249" t="s">
        <v>690</v>
      </c>
      <c r="D249" t="s">
        <v>743</v>
      </c>
      <c r="E249" t="s">
        <v>734</v>
      </c>
      <c r="F249" t="s">
        <v>1272</v>
      </c>
      <c r="G249" t="s">
        <v>665</v>
      </c>
      <c r="H249" s="595">
        <v>-6.25</v>
      </c>
      <c r="I249" t="str">
        <f t="shared" si="9"/>
        <v>janeiro 2026</v>
      </c>
      <c r="J249">
        <f t="shared" si="7"/>
        <v>2026</v>
      </c>
      <c r="K249" t="str">
        <f>VLOOKUP(G249,METRICS!C:D,2,0)</f>
        <v>Taxas Financeiras Diversas</v>
      </c>
      <c r="L249" t="str">
        <f>VLOOKUP(K249,METRICS!D:E,2,0)</f>
        <v>TAXAS CARTÃO DE CRÉDITO</v>
      </c>
    </row>
    <row r="250" spans="1:12" ht="15" hidden="1">
      <c r="A250" t="s">
        <v>903</v>
      </c>
      <c r="B250" t="s">
        <v>689</v>
      </c>
      <c r="C250" t="s">
        <v>690</v>
      </c>
      <c r="D250" t="s">
        <v>743</v>
      </c>
      <c r="E250" t="s">
        <v>734</v>
      </c>
      <c r="F250" t="s">
        <v>1272</v>
      </c>
      <c r="G250" t="s">
        <v>665</v>
      </c>
      <c r="H250" s="595">
        <v>-5.2</v>
      </c>
      <c r="I250" t="str">
        <f t="shared" si="9"/>
        <v>janeiro 2026</v>
      </c>
      <c r="J250">
        <f t="shared" si="7"/>
        <v>2026</v>
      </c>
      <c r="K250" t="str">
        <f>VLOOKUP(G250,METRICS!C:D,2,0)</f>
        <v>Taxas Financeiras Diversas</v>
      </c>
      <c r="L250" t="str">
        <f>VLOOKUP(K250,METRICS!D:E,2,0)</f>
        <v>TAXAS CARTÃO DE CRÉDITO</v>
      </c>
    </row>
    <row r="251" spans="1:12" ht="15" hidden="1">
      <c r="A251" t="s">
        <v>903</v>
      </c>
      <c r="B251" t="s">
        <v>689</v>
      </c>
      <c r="C251" t="s">
        <v>690</v>
      </c>
      <c r="D251" t="s">
        <v>743</v>
      </c>
      <c r="E251" t="s">
        <v>734</v>
      </c>
      <c r="F251" t="s">
        <v>1272</v>
      </c>
      <c r="G251" t="s">
        <v>665</v>
      </c>
      <c r="H251" s="595">
        <v>-1.54</v>
      </c>
      <c r="I251" t="str">
        <f t="shared" si="9"/>
        <v>janeiro 2026</v>
      </c>
      <c r="J251">
        <f t="shared" si="7"/>
        <v>2026</v>
      </c>
      <c r="K251" t="str">
        <f>VLOOKUP(G251,METRICS!C:D,2,0)</f>
        <v>Taxas Financeiras Diversas</v>
      </c>
      <c r="L251" t="str">
        <f>VLOOKUP(K251,METRICS!D:E,2,0)</f>
        <v>TAXAS CARTÃO DE CRÉDITO</v>
      </c>
    </row>
    <row r="252" spans="1:12" ht="15" hidden="1">
      <c r="A252" t="s">
        <v>903</v>
      </c>
      <c r="B252" t="s">
        <v>689</v>
      </c>
      <c r="C252" t="s">
        <v>690</v>
      </c>
      <c r="D252" t="s">
        <v>733</v>
      </c>
      <c r="E252" t="s">
        <v>734</v>
      </c>
      <c r="F252" t="s">
        <v>1272</v>
      </c>
      <c r="G252" t="s">
        <v>665</v>
      </c>
      <c r="H252" s="595">
        <v>-15.88</v>
      </c>
      <c r="I252" t="str">
        <f t="shared" si="9"/>
        <v>janeiro 2026</v>
      </c>
      <c r="J252">
        <f t="shared" si="7"/>
        <v>2026</v>
      </c>
      <c r="K252" t="str">
        <f>VLOOKUP(G252,METRICS!C:D,2,0)</f>
        <v>Taxas Financeiras Diversas</v>
      </c>
      <c r="L252" t="str">
        <f>VLOOKUP(K252,METRICS!D:E,2,0)</f>
        <v>TAXAS CARTÃO DE CRÉDITO</v>
      </c>
    </row>
    <row r="253" spans="1:12" ht="15" hidden="1">
      <c r="A253" t="s">
        <v>903</v>
      </c>
      <c r="B253" t="s">
        <v>689</v>
      </c>
      <c r="C253" t="s">
        <v>690</v>
      </c>
      <c r="D253" t="s">
        <v>743</v>
      </c>
      <c r="E253" t="s">
        <v>734</v>
      </c>
      <c r="F253" t="s">
        <v>1272</v>
      </c>
      <c r="G253" t="s">
        <v>665</v>
      </c>
      <c r="H253" s="595">
        <v>-7.68</v>
      </c>
      <c r="I253" t="str">
        <f t="shared" si="9"/>
        <v>janeiro 2026</v>
      </c>
      <c r="J253">
        <f t="shared" ref="J253:J315" si="10">YEAR(A253)</f>
        <v>2026</v>
      </c>
      <c r="K253" t="str">
        <f>VLOOKUP(G253,METRICS!C:D,2,0)</f>
        <v>Taxas Financeiras Diversas</v>
      </c>
      <c r="L253" t="str">
        <f>VLOOKUP(K253,METRICS!D:E,2,0)</f>
        <v>TAXAS CARTÃO DE CRÉDITO</v>
      </c>
    </row>
    <row r="254" spans="1:12" ht="15" hidden="1">
      <c r="A254" t="s">
        <v>903</v>
      </c>
      <c r="B254" t="s">
        <v>689</v>
      </c>
      <c r="C254" t="s">
        <v>690</v>
      </c>
      <c r="D254" t="s">
        <v>743</v>
      </c>
      <c r="E254" t="s">
        <v>734</v>
      </c>
      <c r="F254" t="s">
        <v>1272</v>
      </c>
      <c r="G254" t="s">
        <v>665</v>
      </c>
      <c r="H254" s="595">
        <v>-2.2200000000000002</v>
      </c>
      <c r="I254" t="str">
        <f t="shared" si="9"/>
        <v>janeiro 2026</v>
      </c>
      <c r="J254">
        <f t="shared" si="10"/>
        <v>2026</v>
      </c>
      <c r="K254" t="str">
        <f>VLOOKUP(G254,METRICS!C:D,2,0)</f>
        <v>Taxas Financeiras Diversas</v>
      </c>
      <c r="L254" t="str">
        <f>VLOOKUP(K254,METRICS!D:E,2,0)</f>
        <v>TAXAS CARTÃO DE CRÉDITO</v>
      </c>
    </row>
    <row r="255" spans="1:12" ht="15" hidden="1">
      <c r="A255" t="s">
        <v>903</v>
      </c>
      <c r="B255" t="s">
        <v>689</v>
      </c>
      <c r="C255" t="s">
        <v>690</v>
      </c>
      <c r="D255" t="s">
        <v>905</v>
      </c>
      <c r="E255" t="s">
        <v>906</v>
      </c>
      <c r="F255" t="s">
        <v>1272</v>
      </c>
      <c r="G255" t="s">
        <v>628</v>
      </c>
      <c r="H255" s="595">
        <v>-378.13</v>
      </c>
      <c r="I255" t="str">
        <f t="shared" si="9"/>
        <v>janeiro 2026</v>
      </c>
      <c r="J255">
        <f t="shared" si="10"/>
        <v>2026</v>
      </c>
      <c r="K255" t="str">
        <f>VLOOKUP(G255,METRICS!C:D,2,0)</f>
        <v>Material de Escritório</v>
      </c>
      <c r="L255" t="str">
        <f>VLOOKUP(K255,METRICS!D:E,2,0)</f>
        <v>ADMINISTRATIVA</v>
      </c>
    </row>
    <row r="256" spans="1:12" ht="15" hidden="1">
      <c r="A256" t="s">
        <v>903</v>
      </c>
      <c r="B256" t="s">
        <v>689</v>
      </c>
      <c r="C256" t="s">
        <v>690</v>
      </c>
      <c r="D256" t="s">
        <v>733</v>
      </c>
      <c r="E256" t="s">
        <v>734</v>
      </c>
      <c r="F256" t="s">
        <v>1272</v>
      </c>
      <c r="G256" t="s">
        <v>665</v>
      </c>
      <c r="H256" s="595">
        <v>-1.61</v>
      </c>
      <c r="I256" t="str">
        <f t="shared" si="9"/>
        <v>janeiro 2026</v>
      </c>
      <c r="J256">
        <f t="shared" si="10"/>
        <v>2026</v>
      </c>
      <c r="K256" t="str">
        <f>VLOOKUP(G256,METRICS!C:D,2,0)</f>
        <v>Taxas Financeiras Diversas</v>
      </c>
      <c r="L256" t="str">
        <f>VLOOKUP(K256,METRICS!D:E,2,0)</f>
        <v>TAXAS CARTÃO DE CRÉDITO</v>
      </c>
    </row>
    <row r="257" spans="1:12" ht="15" hidden="1">
      <c r="A257" t="s">
        <v>903</v>
      </c>
      <c r="B257" t="s">
        <v>689</v>
      </c>
      <c r="C257" t="s">
        <v>690</v>
      </c>
      <c r="D257" t="s">
        <v>733</v>
      </c>
      <c r="E257" t="s">
        <v>734</v>
      </c>
      <c r="F257" t="s">
        <v>1272</v>
      </c>
      <c r="G257" t="s">
        <v>665</v>
      </c>
      <c r="H257" s="595">
        <v>-3.7</v>
      </c>
      <c r="I257" t="str">
        <f t="shared" si="9"/>
        <v>janeiro 2026</v>
      </c>
      <c r="J257">
        <f t="shared" si="10"/>
        <v>2026</v>
      </c>
      <c r="K257" t="str">
        <f>VLOOKUP(G257,METRICS!C:D,2,0)</f>
        <v>Taxas Financeiras Diversas</v>
      </c>
      <c r="L257" t="str">
        <f>VLOOKUP(K257,METRICS!D:E,2,0)</f>
        <v>TAXAS CARTÃO DE CRÉDITO</v>
      </c>
    </row>
    <row r="258" spans="1:12" ht="15" hidden="1">
      <c r="A258" t="s">
        <v>903</v>
      </c>
      <c r="B258" t="s">
        <v>689</v>
      </c>
      <c r="C258" t="s">
        <v>690</v>
      </c>
      <c r="D258" t="s">
        <v>733</v>
      </c>
      <c r="E258" t="s">
        <v>734</v>
      </c>
      <c r="F258" t="s">
        <v>1272</v>
      </c>
      <c r="G258" t="s">
        <v>665</v>
      </c>
      <c r="H258" s="595">
        <v>-2.5299999999999998</v>
      </c>
      <c r="I258" t="str">
        <f t="shared" si="9"/>
        <v>janeiro 2026</v>
      </c>
      <c r="J258">
        <f t="shared" si="10"/>
        <v>2026</v>
      </c>
      <c r="K258" t="str">
        <f>VLOOKUP(G258,METRICS!C:D,2,0)</f>
        <v>Taxas Financeiras Diversas</v>
      </c>
      <c r="L258" t="str">
        <f>VLOOKUP(K258,METRICS!D:E,2,0)</f>
        <v>TAXAS CARTÃO DE CRÉDITO</v>
      </c>
    </row>
    <row r="259" spans="1:12" ht="15" hidden="1">
      <c r="A259" t="s">
        <v>903</v>
      </c>
      <c r="B259" t="s">
        <v>689</v>
      </c>
      <c r="C259" t="s">
        <v>690</v>
      </c>
      <c r="D259" t="s">
        <v>907</v>
      </c>
      <c r="E259" t="s">
        <v>908</v>
      </c>
      <c r="F259" t="s">
        <v>1272</v>
      </c>
      <c r="G259" t="s">
        <v>670</v>
      </c>
      <c r="H259" s="595">
        <v>-330555.48</v>
      </c>
      <c r="I259" t="str">
        <f t="shared" si="9"/>
        <v>janeiro 2026</v>
      </c>
      <c r="J259">
        <f t="shared" si="10"/>
        <v>2026</v>
      </c>
      <c r="K259" t="str">
        <f>VLOOKUP(G259,METRICS!C:D,2,0)</f>
        <v>Ativo Fixo</v>
      </c>
      <c r="L259" t="str">
        <f>VLOOKUP(K259,METRICS!D:E,2,0)</f>
        <v>INVESTIMENTO</v>
      </c>
    </row>
    <row r="260" spans="1:12" ht="15" hidden="1">
      <c r="A260" t="s">
        <v>903</v>
      </c>
      <c r="B260" t="s">
        <v>689</v>
      </c>
      <c r="C260" t="s">
        <v>690</v>
      </c>
      <c r="D260" t="s">
        <v>733</v>
      </c>
      <c r="E260" t="s">
        <v>734</v>
      </c>
      <c r="F260" t="s">
        <v>1272</v>
      </c>
      <c r="G260" t="s">
        <v>665</v>
      </c>
      <c r="H260" s="595">
        <v>-8.94</v>
      </c>
      <c r="I260" t="str">
        <f t="shared" si="9"/>
        <v>janeiro 2026</v>
      </c>
      <c r="J260">
        <f t="shared" si="10"/>
        <v>2026</v>
      </c>
      <c r="K260" t="str">
        <f>VLOOKUP(G260,METRICS!C:D,2,0)</f>
        <v>Taxas Financeiras Diversas</v>
      </c>
      <c r="L260" t="str">
        <f>VLOOKUP(K260,METRICS!D:E,2,0)</f>
        <v>TAXAS CARTÃO DE CRÉDITO</v>
      </c>
    </row>
    <row r="261" spans="1:12" ht="15" hidden="1">
      <c r="A261" t="s">
        <v>903</v>
      </c>
      <c r="B261" t="s">
        <v>689</v>
      </c>
      <c r="C261" t="s">
        <v>690</v>
      </c>
      <c r="D261" t="s">
        <v>733</v>
      </c>
      <c r="E261" t="s">
        <v>734</v>
      </c>
      <c r="F261" t="s">
        <v>1272</v>
      </c>
      <c r="G261" t="s">
        <v>665</v>
      </c>
      <c r="H261" s="595">
        <v>-7.72</v>
      </c>
      <c r="I261" t="str">
        <f t="shared" si="9"/>
        <v>janeiro 2026</v>
      </c>
      <c r="J261">
        <f t="shared" si="10"/>
        <v>2026</v>
      </c>
      <c r="K261" t="str">
        <f>VLOOKUP(G261,METRICS!C:D,2,0)</f>
        <v>Taxas Financeiras Diversas</v>
      </c>
      <c r="L261" t="str">
        <f>VLOOKUP(K261,METRICS!D:E,2,0)</f>
        <v>TAXAS CARTÃO DE CRÉDITO</v>
      </c>
    </row>
    <row r="262" spans="1:12" ht="15" hidden="1">
      <c r="A262" t="s">
        <v>903</v>
      </c>
      <c r="B262" t="s">
        <v>689</v>
      </c>
      <c r="C262" t="s">
        <v>690</v>
      </c>
      <c r="D262" t="s">
        <v>743</v>
      </c>
      <c r="E262" t="s">
        <v>734</v>
      </c>
      <c r="F262" t="s">
        <v>1272</v>
      </c>
      <c r="G262" t="s">
        <v>665</v>
      </c>
      <c r="H262" s="595">
        <v>-30.25</v>
      </c>
      <c r="I262" t="str">
        <f t="shared" si="9"/>
        <v>janeiro 2026</v>
      </c>
      <c r="J262">
        <f t="shared" si="10"/>
        <v>2026</v>
      </c>
      <c r="K262" t="str">
        <f>VLOOKUP(G262,METRICS!C:D,2,0)</f>
        <v>Taxas Financeiras Diversas</v>
      </c>
      <c r="L262" t="str">
        <f>VLOOKUP(K262,METRICS!D:E,2,0)</f>
        <v>TAXAS CARTÃO DE CRÉDITO</v>
      </c>
    </row>
    <row r="263" spans="1:12" ht="15" hidden="1">
      <c r="A263" t="s">
        <v>903</v>
      </c>
      <c r="B263" t="s">
        <v>689</v>
      </c>
      <c r="C263" t="s">
        <v>690</v>
      </c>
      <c r="D263" t="s">
        <v>860</v>
      </c>
      <c r="E263" t="s">
        <v>734</v>
      </c>
      <c r="F263" t="s">
        <v>1272</v>
      </c>
      <c r="G263" t="s">
        <v>665</v>
      </c>
      <c r="H263" s="595">
        <v>-3.25</v>
      </c>
      <c r="I263" t="str">
        <f t="shared" si="9"/>
        <v>janeiro 2026</v>
      </c>
      <c r="J263">
        <f t="shared" si="10"/>
        <v>2026</v>
      </c>
      <c r="K263" t="str">
        <f>VLOOKUP(G263,METRICS!C:D,2,0)</f>
        <v>Taxas Financeiras Diversas</v>
      </c>
      <c r="L263" t="str">
        <f>VLOOKUP(K263,METRICS!D:E,2,0)</f>
        <v>TAXAS CARTÃO DE CRÉDITO</v>
      </c>
    </row>
    <row r="264" spans="1:12" ht="15" hidden="1">
      <c r="A264" t="s">
        <v>903</v>
      </c>
      <c r="B264" t="s">
        <v>689</v>
      </c>
      <c r="C264" t="s">
        <v>690</v>
      </c>
      <c r="D264" t="s">
        <v>743</v>
      </c>
      <c r="E264" t="s">
        <v>734</v>
      </c>
      <c r="F264" t="s">
        <v>1272</v>
      </c>
      <c r="G264" t="s">
        <v>665</v>
      </c>
      <c r="H264" s="595">
        <v>-1.61</v>
      </c>
      <c r="I264" t="str">
        <f t="shared" si="9"/>
        <v>janeiro 2026</v>
      </c>
      <c r="J264">
        <f t="shared" si="10"/>
        <v>2026</v>
      </c>
      <c r="K264" t="str">
        <f>VLOOKUP(G264,METRICS!C:D,2,0)</f>
        <v>Taxas Financeiras Diversas</v>
      </c>
      <c r="L264" t="str">
        <f>VLOOKUP(K264,METRICS!D:E,2,0)</f>
        <v>TAXAS CARTÃO DE CRÉDITO</v>
      </c>
    </row>
    <row r="265" spans="1:12" ht="15" hidden="1">
      <c r="A265" t="s">
        <v>903</v>
      </c>
      <c r="B265" t="s">
        <v>689</v>
      </c>
      <c r="C265" t="s">
        <v>690</v>
      </c>
      <c r="D265" t="s">
        <v>733</v>
      </c>
      <c r="E265" t="s">
        <v>734</v>
      </c>
      <c r="F265" t="s">
        <v>1272</v>
      </c>
      <c r="G265" t="s">
        <v>665</v>
      </c>
      <c r="H265" s="595">
        <v>-3.66</v>
      </c>
      <c r="I265" t="str">
        <f t="shared" si="9"/>
        <v>janeiro 2026</v>
      </c>
      <c r="J265">
        <f t="shared" si="10"/>
        <v>2026</v>
      </c>
      <c r="K265" t="str">
        <f>VLOOKUP(G265,METRICS!C:D,2,0)</f>
        <v>Taxas Financeiras Diversas</v>
      </c>
      <c r="L265" t="str">
        <f>VLOOKUP(K265,METRICS!D:E,2,0)</f>
        <v>TAXAS CARTÃO DE CRÉDITO</v>
      </c>
    </row>
    <row r="266" spans="1:12" ht="15" hidden="1">
      <c r="A266" t="s">
        <v>903</v>
      </c>
      <c r="B266" t="s">
        <v>689</v>
      </c>
      <c r="C266" t="s">
        <v>690</v>
      </c>
      <c r="D266" t="s">
        <v>733</v>
      </c>
      <c r="E266" t="s">
        <v>734</v>
      </c>
      <c r="F266" t="s">
        <v>1272</v>
      </c>
      <c r="G266" t="s">
        <v>665</v>
      </c>
      <c r="H266" s="595">
        <v>-6.16</v>
      </c>
      <c r="I266" t="str">
        <f t="shared" si="9"/>
        <v>janeiro 2026</v>
      </c>
      <c r="J266">
        <f t="shared" si="10"/>
        <v>2026</v>
      </c>
      <c r="K266" t="str">
        <f>VLOOKUP(G266,METRICS!C:D,2,0)</f>
        <v>Taxas Financeiras Diversas</v>
      </c>
      <c r="L266" t="str">
        <f>VLOOKUP(K266,METRICS!D:E,2,0)</f>
        <v>TAXAS CARTÃO DE CRÉDITO</v>
      </c>
    </row>
    <row r="267" spans="1:12" ht="15" hidden="1">
      <c r="A267" t="s">
        <v>903</v>
      </c>
      <c r="B267" t="s">
        <v>689</v>
      </c>
      <c r="C267" t="s">
        <v>690</v>
      </c>
      <c r="D267" t="s">
        <v>733</v>
      </c>
      <c r="E267" t="s">
        <v>734</v>
      </c>
      <c r="F267" t="s">
        <v>1272</v>
      </c>
      <c r="G267" t="s">
        <v>665</v>
      </c>
      <c r="H267" s="595">
        <v>-10.210000000000001</v>
      </c>
      <c r="I267" t="str">
        <f t="shared" si="9"/>
        <v>janeiro 2026</v>
      </c>
      <c r="J267">
        <f t="shared" si="10"/>
        <v>2026</v>
      </c>
      <c r="K267" t="str">
        <f>VLOOKUP(G267,METRICS!C:D,2,0)</f>
        <v>Taxas Financeiras Diversas</v>
      </c>
      <c r="L267" t="str">
        <f>VLOOKUP(K267,METRICS!D:E,2,0)</f>
        <v>TAXAS CARTÃO DE CRÉDITO</v>
      </c>
    </row>
    <row r="268" spans="1:12" ht="15" hidden="1">
      <c r="A268" t="s">
        <v>903</v>
      </c>
      <c r="B268" t="s">
        <v>612</v>
      </c>
      <c r="C268" t="s">
        <v>690</v>
      </c>
      <c r="D268" t="s">
        <v>909</v>
      </c>
      <c r="E268" t="s">
        <v>910</v>
      </c>
      <c r="F268" t="s">
        <v>1272</v>
      </c>
      <c r="G268" t="s">
        <v>623</v>
      </c>
      <c r="H268" s="595">
        <v>-420</v>
      </c>
      <c r="I268" t="str">
        <f t="shared" si="9"/>
        <v>janeiro 2026</v>
      </c>
      <c r="J268">
        <f t="shared" si="10"/>
        <v>2026</v>
      </c>
      <c r="K268" t="str">
        <f>VLOOKUP(G268,METRICS!C:D,2,0)</f>
        <v>Secos - Mercearia</v>
      </c>
      <c r="L268" t="str">
        <f>VLOOKUP(K268,METRICS!D:E,2,0)</f>
        <v>CUSTOS DOS PRODUTOS VENDIDOS</v>
      </c>
    </row>
    <row r="269" spans="1:12" ht="15" hidden="1">
      <c r="A269" t="s">
        <v>903</v>
      </c>
      <c r="B269" t="s">
        <v>689</v>
      </c>
      <c r="C269" t="s">
        <v>690</v>
      </c>
      <c r="D269" t="s">
        <v>733</v>
      </c>
      <c r="E269" t="s">
        <v>734</v>
      </c>
      <c r="F269" t="s">
        <v>1272</v>
      </c>
      <c r="G269" t="s">
        <v>665</v>
      </c>
      <c r="H269" s="595">
        <v>-2.16</v>
      </c>
      <c r="I269" t="str">
        <f t="shared" si="9"/>
        <v>janeiro 2026</v>
      </c>
      <c r="J269">
        <f t="shared" si="10"/>
        <v>2026</v>
      </c>
      <c r="K269" t="str">
        <f>VLOOKUP(G269,METRICS!C:D,2,0)</f>
        <v>Taxas Financeiras Diversas</v>
      </c>
      <c r="L269" t="str">
        <f>VLOOKUP(K269,METRICS!D:E,2,0)</f>
        <v>TAXAS CARTÃO DE CRÉDITO</v>
      </c>
    </row>
    <row r="270" spans="1:12" ht="15" hidden="1">
      <c r="A270" t="s">
        <v>903</v>
      </c>
      <c r="B270" t="s">
        <v>689</v>
      </c>
      <c r="C270" t="s">
        <v>690</v>
      </c>
      <c r="D270" t="s">
        <v>743</v>
      </c>
      <c r="E270" t="s">
        <v>734</v>
      </c>
      <c r="F270" t="s">
        <v>1272</v>
      </c>
      <c r="G270" t="s">
        <v>665</v>
      </c>
      <c r="H270" s="595">
        <v>-5.28</v>
      </c>
      <c r="I270" t="str">
        <f t="shared" si="9"/>
        <v>janeiro 2026</v>
      </c>
      <c r="J270">
        <f t="shared" si="10"/>
        <v>2026</v>
      </c>
      <c r="K270" t="str">
        <f>VLOOKUP(G270,METRICS!C:D,2,0)</f>
        <v>Taxas Financeiras Diversas</v>
      </c>
      <c r="L270" t="str">
        <f>VLOOKUP(K270,METRICS!D:E,2,0)</f>
        <v>TAXAS CARTÃO DE CRÉDITO</v>
      </c>
    </row>
    <row r="271" spans="1:12" ht="15" hidden="1">
      <c r="A271" t="s">
        <v>903</v>
      </c>
      <c r="B271" t="s">
        <v>689</v>
      </c>
      <c r="C271" t="s">
        <v>690</v>
      </c>
      <c r="D271" t="s">
        <v>743</v>
      </c>
      <c r="E271" t="s">
        <v>734</v>
      </c>
      <c r="F271" t="s">
        <v>1272</v>
      </c>
      <c r="G271" t="s">
        <v>665</v>
      </c>
      <c r="H271" s="595">
        <v>-10</v>
      </c>
      <c r="I271" t="str">
        <f t="shared" si="9"/>
        <v>janeiro 2026</v>
      </c>
      <c r="J271">
        <f t="shared" si="10"/>
        <v>2026</v>
      </c>
      <c r="K271" t="str">
        <f>VLOOKUP(G271,METRICS!C:D,2,0)</f>
        <v>Taxas Financeiras Diversas</v>
      </c>
      <c r="L271" t="str">
        <f>VLOOKUP(K271,METRICS!D:E,2,0)</f>
        <v>TAXAS CARTÃO DE CRÉDITO</v>
      </c>
    </row>
    <row r="272" spans="1:12" ht="15" hidden="1">
      <c r="A272" t="s">
        <v>903</v>
      </c>
      <c r="B272" t="s">
        <v>689</v>
      </c>
      <c r="C272" t="s">
        <v>690</v>
      </c>
      <c r="D272" t="s">
        <v>733</v>
      </c>
      <c r="E272" t="s">
        <v>734</v>
      </c>
      <c r="F272" t="s">
        <v>1272</v>
      </c>
      <c r="G272" t="s">
        <v>665</v>
      </c>
      <c r="H272" s="595">
        <v>-5.95</v>
      </c>
      <c r="I272" t="str">
        <f t="shared" si="9"/>
        <v>janeiro 2026</v>
      </c>
      <c r="J272">
        <f t="shared" si="10"/>
        <v>2026</v>
      </c>
      <c r="K272" t="str">
        <f>VLOOKUP(G272,METRICS!C:D,2,0)</f>
        <v>Taxas Financeiras Diversas</v>
      </c>
      <c r="L272" t="str">
        <f>VLOOKUP(K272,METRICS!D:E,2,0)</f>
        <v>TAXAS CARTÃO DE CRÉDITO</v>
      </c>
    </row>
    <row r="273" spans="1:12" ht="15" hidden="1">
      <c r="A273" t="s">
        <v>903</v>
      </c>
      <c r="B273" t="s">
        <v>689</v>
      </c>
      <c r="C273" t="s">
        <v>690</v>
      </c>
      <c r="D273" t="s">
        <v>733</v>
      </c>
      <c r="E273" t="s">
        <v>734</v>
      </c>
      <c r="F273" t="s">
        <v>1272</v>
      </c>
      <c r="G273" t="s">
        <v>665</v>
      </c>
      <c r="H273" s="595">
        <v>-11.13</v>
      </c>
      <c r="I273" t="str">
        <f t="shared" si="9"/>
        <v>janeiro 2026</v>
      </c>
      <c r="J273">
        <f t="shared" si="10"/>
        <v>2026</v>
      </c>
      <c r="K273" t="str">
        <f>VLOOKUP(G273,METRICS!C:D,2,0)</f>
        <v>Taxas Financeiras Diversas</v>
      </c>
      <c r="L273" t="str">
        <f>VLOOKUP(K273,METRICS!D:E,2,0)</f>
        <v>TAXAS CARTÃO DE CRÉDITO</v>
      </c>
    </row>
    <row r="274" spans="1:12" ht="15" hidden="1">
      <c r="A274" t="s">
        <v>903</v>
      </c>
      <c r="B274" t="s">
        <v>689</v>
      </c>
      <c r="C274" t="s">
        <v>690</v>
      </c>
      <c r="D274" t="s">
        <v>860</v>
      </c>
      <c r="E274" t="s">
        <v>734</v>
      </c>
      <c r="F274" t="s">
        <v>1272</v>
      </c>
      <c r="G274" t="s">
        <v>665</v>
      </c>
      <c r="H274" s="595">
        <v>-8.51</v>
      </c>
      <c r="I274" t="str">
        <f t="shared" si="9"/>
        <v>janeiro 2026</v>
      </c>
      <c r="J274">
        <f t="shared" si="10"/>
        <v>2026</v>
      </c>
      <c r="K274" t="str">
        <f>VLOOKUP(G274,METRICS!C:D,2,0)</f>
        <v>Taxas Financeiras Diversas</v>
      </c>
      <c r="L274" t="str">
        <f>VLOOKUP(K274,METRICS!D:E,2,0)</f>
        <v>TAXAS CARTÃO DE CRÉDITO</v>
      </c>
    </row>
    <row r="275" spans="1:12" ht="15" hidden="1">
      <c r="A275" t="s">
        <v>903</v>
      </c>
      <c r="B275" t="s">
        <v>689</v>
      </c>
      <c r="C275" t="s">
        <v>690</v>
      </c>
      <c r="D275" t="s">
        <v>743</v>
      </c>
      <c r="E275" t="s">
        <v>734</v>
      </c>
      <c r="F275" t="s">
        <v>1272</v>
      </c>
      <c r="G275" t="s">
        <v>665</v>
      </c>
      <c r="H275" s="595">
        <v>-2.16</v>
      </c>
      <c r="I275" t="str">
        <f t="shared" ref="I275:I310" si="11">TEXT(A275, "mmmm aaaa")</f>
        <v>janeiro 2026</v>
      </c>
      <c r="J275">
        <f t="shared" si="10"/>
        <v>2026</v>
      </c>
      <c r="K275" t="str">
        <f>VLOOKUP(G275,METRICS!C:D,2,0)</f>
        <v>Taxas Financeiras Diversas</v>
      </c>
      <c r="L275" t="str">
        <f>VLOOKUP(K275,METRICS!D:E,2,0)</f>
        <v>TAXAS CARTÃO DE CRÉDITO</v>
      </c>
    </row>
    <row r="276" spans="1:12" ht="15" hidden="1">
      <c r="A276" t="s">
        <v>903</v>
      </c>
      <c r="B276" t="s">
        <v>689</v>
      </c>
      <c r="C276" t="s">
        <v>690</v>
      </c>
      <c r="D276" t="s">
        <v>883</v>
      </c>
      <c r="E276" t="s">
        <v>746</v>
      </c>
      <c r="F276" t="s">
        <v>1272</v>
      </c>
      <c r="G276" t="s">
        <v>669</v>
      </c>
      <c r="H276" s="595">
        <v>-24.58</v>
      </c>
      <c r="I276" t="str">
        <f t="shared" si="11"/>
        <v>janeiro 2026</v>
      </c>
      <c r="J276">
        <f t="shared" si="10"/>
        <v>2026</v>
      </c>
      <c r="K276" t="str">
        <f>VLOOKUP(G276,METRICS!C:D,2,0)</f>
        <v>Taxas Financeiras Diversas</v>
      </c>
      <c r="L276" t="str">
        <f>VLOOKUP(K276,METRICS!D:E,2,0)</f>
        <v>TAXAS CARTÃO DE CRÉDITO</v>
      </c>
    </row>
    <row r="277" spans="1:12" ht="15" hidden="1">
      <c r="A277" t="s">
        <v>903</v>
      </c>
      <c r="B277" t="s">
        <v>612</v>
      </c>
      <c r="C277" t="s">
        <v>690</v>
      </c>
      <c r="D277" t="s">
        <v>911</v>
      </c>
      <c r="E277" t="s">
        <v>912</v>
      </c>
      <c r="F277" t="s">
        <v>1272</v>
      </c>
      <c r="G277" t="s">
        <v>623</v>
      </c>
      <c r="H277" s="595">
        <v>-275.68</v>
      </c>
      <c r="I277" t="str">
        <f t="shared" si="11"/>
        <v>janeiro 2026</v>
      </c>
      <c r="J277">
        <f t="shared" si="10"/>
        <v>2026</v>
      </c>
      <c r="K277" t="str">
        <f>VLOOKUP(G277,METRICS!C:D,2,0)</f>
        <v>Secos - Mercearia</v>
      </c>
      <c r="L277" t="str">
        <f>VLOOKUP(K277,METRICS!D:E,2,0)</f>
        <v>CUSTOS DOS PRODUTOS VENDIDOS</v>
      </c>
    </row>
    <row r="278" spans="1:12" ht="15" hidden="1">
      <c r="A278" t="s">
        <v>903</v>
      </c>
      <c r="B278" t="s">
        <v>689</v>
      </c>
      <c r="C278" t="s">
        <v>690</v>
      </c>
      <c r="D278" t="s">
        <v>733</v>
      </c>
      <c r="E278" t="s">
        <v>734</v>
      </c>
      <c r="F278" t="s">
        <v>1272</v>
      </c>
      <c r="G278" t="s">
        <v>665</v>
      </c>
      <c r="H278" s="595">
        <v>-5.57</v>
      </c>
      <c r="I278" t="str">
        <f t="shared" si="11"/>
        <v>janeiro 2026</v>
      </c>
      <c r="J278">
        <f t="shared" si="10"/>
        <v>2026</v>
      </c>
      <c r="K278" t="str">
        <f>VLOOKUP(G278,METRICS!C:D,2,0)</f>
        <v>Taxas Financeiras Diversas</v>
      </c>
      <c r="L278" t="str">
        <f>VLOOKUP(K278,METRICS!D:E,2,0)</f>
        <v>TAXAS CARTÃO DE CRÉDITO</v>
      </c>
    </row>
    <row r="279" spans="1:12" ht="15" hidden="1">
      <c r="A279" t="s">
        <v>903</v>
      </c>
      <c r="B279" t="s">
        <v>689</v>
      </c>
      <c r="C279" t="s">
        <v>690</v>
      </c>
      <c r="D279" t="s">
        <v>743</v>
      </c>
      <c r="E279" t="s">
        <v>734</v>
      </c>
      <c r="F279" t="s">
        <v>1272</v>
      </c>
      <c r="G279" t="s">
        <v>665</v>
      </c>
      <c r="H279" s="595">
        <v>-11.44</v>
      </c>
      <c r="I279" t="str">
        <f t="shared" si="11"/>
        <v>janeiro 2026</v>
      </c>
      <c r="J279">
        <f t="shared" si="10"/>
        <v>2026</v>
      </c>
      <c r="K279" t="str">
        <f>VLOOKUP(G279,METRICS!C:D,2,0)</f>
        <v>Taxas Financeiras Diversas</v>
      </c>
      <c r="L279" t="str">
        <f>VLOOKUP(K279,METRICS!D:E,2,0)</f>
        <v>TAXAS CARTÃO DE CRÉDITO</v>
      </c>
    </row>
    <row r="280" spans="1:12" ht="15" hidden="1">
      <c r="A280" t="s">
        <v>903</v>
      </c>
      <c r="B280" t="s">
        <v>689</v>
      </c>
      <c r="C280" t="s">
        <v>690</v>
      </c>
      <c r="D280" t="s">
        <v>743</v>
      </c>
      <c r="E280" t="s">
        <v>734</v>
      </c>
      <c r="F280" t="s">
        <v>1272</v>
      </c>
      <c r="G280" t="s">
        <v>665</v>
      </c>
      <c r="H280" s="595">
        <v>-13.67</v>
      </c>
      <c r="I280" t="str">
        <f t="shared" si="11"/>
        <v>janeiro 2026</v>
      </c>
      <c r="J280">
        <f t="shared" si="10"/>
        <v>2026</v>
      </c>
      <c r="K280" t="str">
        <f>VLOOKUP(G280,METRICS!C:D,2,0)</f>
        <v>Taxas Financeiras Diversas</v>
      </c>
      <c r="L280" t="str">
        <f>VLOOKUP(K280,METRICS!D:E,2,0)</f>
        <v>TAXAS CARTÃO DE CRÉDITO</v>
      </c>
    </row>
    <row r="281" spans="1:12" ht="15" hidden="1">
      <c r="A281" t="s">
        <v>903</v>
      </c>
      <c r="B281" t="s">
        <v>689</v>
      </c>
      <c r="C281" t="s">
        <v>690</v>
      </c>
      <c r="D281" t="s">
        <v>913</v>
      </c>
      <c r="E281" s="518" t="s">
        <v>1325</v>
      </c>
      <c r="F281" t="s">
        <v>1272</v>
      </c>
      <c r="G281" t="s">
        <v>664</v>
      </c>
      <c r="H281" s="595">
        <v>-285</v>
      </c>
      <c r="I281" t="str">
        <f t="shared" si="11"/>
        <v>janeiro 2026</v>
      </c>
      <c r="J281">
        <f t="shared" si="10"/>
        <v>2026</v>
      </c>
      <c r="K281" t="str">
        <f>VLOOKUP(G281,METRICS!C:D,2,0)</f>
        <v>Colaborador Extra</v>
      </c>
      <c r="L281" t="str">
        <f>VLOOKUP(K281,METRICS!D:E,2,0)</f>
        <v>PESSOAL</v>
      </c>
    </row>
    <row r="282" spans="1:12" ht="15" hidden="1">
      <c r="A282" t="s">
        <v>903</v>
      </c>
      <c r="B282" t="s">
        <v>689</v>
      </c>
      <c r="C282" t="s">
        <v>690</v>
      </c>
      <c r="D282" t="s">
        <v>733</v>
      </c>
      <c r="E282" t="s">
        <v>734</v>
      </c>
      <c r="F282" t="s">
        <v>1272</v>
      </c>
      <c r="G282" t="s">
        <v>665</v>
      </c>
      <c r="H282" s="595">
        <v>-2.5299999999999998</v>
      </c>
      <c r="I282" t="str">
        <f t="shared" si="11"/>
        <v>janeiro 2026</v>
      </c>
      <c r="J282">
        <f t="shared" si="10"/>
        <v>2026</v>
      </c>
      <c r="K282" t="str">
        <f>VLOOKUP(G282,METRICS!C:D,2,0)</f>
        <v>Taxas Financeiras Diversas</v>
      </c>
      <c r="L282" t="str">
        <f>VLOOKUP(K282,METRICS!D:E,2,0)</f>
        <v>TAXAS CARTÃO DE CRÉDITO</v>
      </c>
    </row>
    <row r="283" spans="1:12" ht="15" hidden="1">
      <c r="A283" t="s">
        <v>903</v>
      </c>
      <c r="B283" t="s">
        <v>689</v>
      </c>
      <c r="C283" t="s">
        <v>690</v>
      </c>
      <c r="D283" t="s">
        <v>733</v>
      </c>
      <c r="E283" t="s">
        <v>734</v>
      </c>
      <c r="F283" t="s">
        <v>1272</v>
      </c>
      <c r="G283" t="s">
        <v>665</v>
      </c>
      <c r="H283" s="595">
        <v>-1.54</v>
      </c>
      <c r="I283" t="str">
        <f t="shared" si="11"/>
        <v>janeiro 2026</v>
      </c>
      <c r="J283">
        <f t="shared" si="10"/>
        <v>2026</v>
      </c>
      <c r="K283" t="str">
        <f>VLOOKUP(G283,METRICS!C:D,2,0)</f>
        <v>Taxas Financeiras Diversas</v>
      </c>
      <c r="L283" t="str">
        <f>VLOOKUP(K283,METRICS!D:E,2,0)</f>
        <v>TAXAS CARTÃO DE CRÉDITO</v>
      </c>
    </row>
    <row r="284" spans="1:12" ht="15" hidden="1">
      <c r="A284" t="s">
        <v>903</v>
      </c>
      <c r="B284" t="s">
        <v>689</v>
      </c>
      <c r="C284" t="s">
        <v>690</v>
      </c>
      <c r="D284" t="s">
        <v>743</v>
      </c>
      <c r="E284" t="s">
        <v>734</v>
      </c>
      <c r="F284" t="s">
        <v>1272</v>
      </c>
      <c r="G284" t="s">
        <v>665</v>
      </c>
      <c r="H284" s="595">
        <v>-1.64</v>
      </c>
      <c r="I284" t="str">
        <f t="shared" si="11"/>
        <v>janeiro 2026</v>
      </c>
      <c r="J284">
        <f t="shared" si="10"/>
        <v>2026</v>
      </c>
      <c r="K284" t="str">
        <f>VLOOKUP(G284,METRICS!C:D,2,0)</f>
        <v>Taxas Financeiras Diversas</v>
      </c>
      <c r="L284" t="str">
        <f>VLOOKUP(K284,METRICS!D:E,2,0)</f>
        <v>TAXAS CARTÃO DE CRÉDITO</v>
      </c>
    </row>
    <row r="285" spans="1:12" ht="15" hidden="1">
      <c r="A285" t="s">
        <v>903</v>
      </c>
      <c r="B285" t="s">
        <v>689</v>
      </c>
      <c r="C285" t="s">
        <v>690</v>
      </c>
      <c r="D285" t="s">
        <v>733</v>
      </c>
      <c r="E285" t="s">
        <v>734</v>
      </c>
      <c r="F285" t="s">
        <v>1272</v>
      </c>
      <c r="G285" t="s">
        <v>665</v>
      </c>
      <c r="H285" s="595">
        <v>-9.5299999999999994</v>
      </c>
      <c r="I285" t="str">
        <f t="shared" si="11"/>
        <v>janeiro 2026</v>
      </c>
      <c r="J285">
        <f t="shared" si="10"/>
        <v>2026</v>
      </c>
      <c r="K285" t="str">
        <f>VLOOKUP(G285,METRICS!C:D,2,0)</f>
        <v>Taxas Financeiras Diversas</v>
      </c>
      <c r="L285" t="str">
        <f>VLOOKUP(K285,METRICS!D:E,2,0)</f>
        <v>TAXAS CARTÃO DE CRÉDITO</v>
      </c>
    </row>
    <row r="286" spans="1:12" ht="15" hidden="1">
      <c r="A286" t="s">
        <v>903</v>
      </c>
      <c r="B286" t="s">
        <v>689</v>
      </c>
      <c r="C286" t="s">
        <v>690</v>
      </c>
      <c r="D286" t="s">
        <v>733</v>
      </c>
      <c r="E286" t="s">
        <v>734</v>
      </c>
      <c r="F286" t="s">
        <v>1272</v>
      </c>
      <c r="G286" t="s">
        <v>665</v>
      </c>
      <c r="H286" s="595">
        <v>-6.58</v>
      </c>
      <c r="I286" t="str">
        <f t="shared" si="11"/>
        <v>janeiro 2026</v>
      </c>
      <c r="J286">
        <f t="shared" si="10"/>
        <v>2026</v>
      </c>
      <c r="K286" t="str">
        <f>VLOOKUP(G286,METRICS!C:D,2,0)</f>
        <v>Taxas Financeiras Diversas</v>
      </c>
      <c r="L286" t="str">
        <f>VLOOKUP(K286,METRICS!D:E,2,0)</f>
        <v>TAXAS CARTÃO DE CRÉDITO</v>
      </c>
    </row>
    <row r="287" spans="1:12" ht="15" hidden="1">
      <c r="A287" t="s">
        <v>903</v>
      </c>
      <c r="B287" t="s">
        <v>689</v>
      </c>
      <c r="C287" t="s">
        <v>690</v>
      </c>
      <c r="D287" t="s">
        <v>733</v>
      </c>
      <c r="E287" t="s">
        <v>734</v>
      </c>
      <c r="F287" t="s">
        <v>1272</v>
      </c>
      <c r="G287" t="s">
        <v>665</v>
      </c>
      <c r="H287" s="595">
        <v>-1.49</v>
      </c>
      <c r="I287" t="str">
        <f t="shared" si="11"/>
        <v>janeiro 2026</v>
      </c>
      <c r="J287">
        <f t="shared" si="10"/>
        <v>2026</v>
      </c>
      <c r="K287" t="str">
        <f>VLOOKUP(G287,METRICS!C:D,2,0)</f>
        <v>Taxas Financeiras Diversas</v>
      </c>
      <c r="L287" t="str">
        <f>VLOOKUP(K287,METRICS!D:E,2,0)</f>
        <v>TAXAS CARTÃO DE CRÉDITO</v>
      </c>
    </row>
    <row r="288" spans="1:12" ht="15" hidden="1">
      <c r="A288" t="s">
        <v>903</v>
      </c>
      <c r="B288" t="s">
        <v>689</v>
      </c>
      <c r="C288" t="s">
        <v>690</v>
      </c>
      <c r="D288" t="s">
        <v>914</v>
      </c>
      <c r="E288" t="s">
        <v>791</v>
      </c>
      <c r="F288" t="s">
        <v>1272</v>
      </c>
      <c r="G288" t="s">
        <v>664</v>
      </c>
      <c r="H288" s="595">
        <v>-2880</v>
      </c>
      <c r="I288" t="str">
        <f t="shared" si="11"/>
        <v>janeiro 2026</v>
      </c>
      <c r="J288">
        <f t="shared" si="10"/>
        <v>2026</v>
      </c>
      <c r="K288" t="str">
        <f>VLOOKUP(G288,METRICS!C:D,2,0)</f>
        <v>Colaborador Extra</v>
      </c>
      <c r="L288" t="str">
        <f>VLOOKUP(K288,METRICS!D:E,2,0)</f>
        <v>PESSOAL</v>
      </c>
    </row>
    <row r="289" spans="1:12" ht="15" hidden="1">
      <c r="A289" t="s">
        <v>903</v>
      </c>
      <c r="B289" t="s">
        <v>612</v>
      </c>
      <c r="C289" t="s">
        <v>690</v>
      </c>
      <c r="D289" t="s">
        <v>915</v>
      </c>
      <c r="E289" t="s">
        <v>828</v>
      </c>
      <c r="F289" t="s">
        <v>1272</v>
      </c>
      <c r="G289" t="s">
        <v>636</v>
      </c>
      <c r="H289" s="595">
        <v>-1529.49</v>
      </c>
      <c r="I289" t="str">
        <f t="shared" si="11"/>
        <v>janeiro 2026</v>
      </c>
      <c r="J289">
        <f t="shared" si="10"/>
        <v>2026</v>
      </c>
      <c r="K289" t="str">
        <f>VLOOKUP(G289,METRICS!C:D,2,0)</f>
        <v>Secos - Mercearia</v>
      </c>
      <c r="L289" t="str">
        <f>VLOOKUP(K289,METRICS!D:E,2,0)</f>
        <v>CUSTOS DOS PRODUTOS VENDIDOS</v>
      </c>
    </row>
    <row r="290" spans="1:12" ht="15" hidden="1">
      <c r="A290" t="s">
        <v>903</v>
      </c>
      <c r="B290" t="s">
        <v>689</v>
      </c>
      <c r="C290" t="s">
        <v>690</v>
      </c>
      <c r="D290" t="s">
        <v>860</v>
      </c>
      <c r="E290" t="s">
        <v>734</v>
      </c>
      <c r="F290" t="s">
        <v>1272</v>
      </c>
      <c r="G290" t="s">
        <v>665</v>
      </c>
      <c r="H290" s="595">
        <v>-0.15</v>
      </c>
      <c r="I290" t="str">
        <f t="shared" si="11"/>
        <v>janeiro 2026</v>
      </c>
      <c r="J290">
        <f t="shared" si="10"/>
        <v>2026</v>
      </c>
      <c r="K290" t="str">
        <f>VLOOKUP(G290,METRICS!C:D,2,0)</f>
        <v>Taxas Financeiras Diversas</v>
      </c>
      <c r="L290" t="str">
        <f>VLOOKUP(K290,METRICS!D:E,2,0)</f>
        <v>TAXAS CARTÃO DE CRÉDITO</v>
      </c>
    </row>
    <row r="291" spans="1:12" ht="15" hidden="1">
      <c r="A291" t="s">
        <v>903</v>
      </c>
      <c r="B291" t="s">
        <v>689</v>
      </c>
      <c r="C291" t="s">
        <v>690</v>
      </c>
      <c r="D291" t="s">
        <v>916</v>
      </c>
      <c r="E291" t="s">
        <v>917</v>
      </c>
      <c r="F291" t="s">
        <v>1272</v>
      </c>
      <c r="G291" t="s">
        <v>626</v>
      </c>
      <c r="H291" s="595">
        <v>-1225</v>
      </c>
      <c r="I291" t="str">
        <f t="shared" si="11"/>
        <v>janeiro 2026</v>
      </c>
      <c r="J291">
        <f t="shared" si="10"/>
        <v>2026</v>
      </c>
      <c r="K291" t="str">
        <f>VLOOKUP(G291,METRICS!C:D,2,0)</f>
        <v>Manutenção e Conservação</v>
      </c>
      <c r="L291" t="str">
        <f>VLOOKUP(K291,METRICS!D:E,2,0)</f>
        <v>OPERAÇÃO</v>
      </c>
    </row>
    <row r="292" spans="1:12" ht="15" hidden="1">
      <c r="A292" t="s">
        <v>903</v>
      </c>
      <c r="B292" t="s">
        <v>689</v>
      </c>
      <c r="C292" t="s">
        <v>690</v>
      </c>
      <c r="D292" t="s">
        <v>733</v>
      </c>
      <c r="E292" t="s">
        <v>734</v>
      </c>
      <c r="F292" t="s">
        <v>1272</v>
      </c>
      <c r="G292" t="s">
        <v>665</v>
      </c>
      <c r="H292" s="595">
        <v>-2.81</v>
      </c>
      <c r="I292" t="str">
        <f t="shared" si="11"/>
        <v>janeiro 2026</v>
      </c>
      <c r="J292">
        <f t="shared" si="10"/>
        <v>2026</v>
      </c>
      <c r="K292" t="str">
        <f>VLOOKUP(G292,METRICS!C:D,2,0)</f>
        <v>Taxas Financeiras Diversas</v>
      </c>
      <c r="L292" t="str">
        <f>VLOOKUP(K292,METRICS!D:E,2,0)</f>
        <v>TAXAS CARTÃO DE CRÉDITO</v>
      </c>
    </row>
    <row r="293" spans="1:12" ht="15" hidden="1">
      <c r="A293" t="s">
        <v>903</v>
      </c>
      <c r="B293" t="s">
        <v>689</v>
      </c>
      <c r="C293" t="s">
        <v>690</v>
      </c>
      <c r="D293" t="s">
        <v>918</v>
      </c>
      <c r="E293" t="s">
        <v>919</v>
      </c>
      <c r="F293" t="s">
        <v>1272</v>
      </c>
      <c r="G293" t="s">
        <v>657</v>
      </c>
      <c r="H293" s="595">
        <v>-1995</v>
      </c>
      <c r="I293" t="str">
        <f t="shared" si="11"/>
        <v>janeiro 2026</v>
      </c>
      <c r="J293">
        <f t="shared" si="10"/>
        <v>2026</v>
      </c>
      <c r="K293" t="str">
        <f>VLOOKUP(G293,METRICS!C:D,2,0)</f>
        <v>Aluguel de Maquinas</v>
      </c>
      <c r="L293" t="str">
        <f>VLOOKUP(K293,METRICS!D:E,2,0)</f>
        <v>OPERAÇÃO</v>
      </c>
    </row>
    <row r="294" spans="1:12" ht="15" hidden="1">
      <c r="A294" t="s">
        <v>903</v>
      </c>
      <c r="B294" t="s">
        <v>689</v>
      </c>
      <c r="C294" t="s">
        <v>690</v>
      </c>
      <c r="D294" t="s">
        <v>733</v>
      </c>
      <c r="E294" t="s">
        <v>734</v>
      </c>
      <c r="F294" t="s">
        <v>1272</v>
      </c>
      <c r="G294" t="s">
        <v>665</v>
      </c>
      <c r="H294" s="595">
        <v>-3.13</v>
      </c>
      <c r="I294" t="str">
        <f t="shared" si="11"/>
        <v>janeiro 2026</v>
      </c>
      <c r="J294">
        <f t="shared" si="10"/>
        <v>2026</v>
      </c>
      <c r="K294" t="str">
        <f>VLOOKUP(G294,METRICS!C:D,2,0)</f>
        <v>Taxas Financeiras Diversas</v>
      </c>
      <c r="L294" t="str">
        <f>VLOOKUP(K294,METRICS!D:E,2,0)</f>
        <v>TAXAS CARTÃO DE CRÉDITO</v>
      </c>
    </row>
    <row r="295" spans="1:12" ht="15" hidden="1">
      <c r="A295" t="s">
        <v>903</v>
      </c>
      <c r="B295" t="s">
        <v>689</v>
      </c>
      <c r="C295" t="s">
        <v>690</v>
      </c>
      <c r="D295" t="s">
        <v>743</v>
      </c>
      <c r="E295" t="s">
        <v>734</v>
      </c>
      <c r="F295" t="s">
        <v>1272</v>
      </c>
      <c r="G295" t="s">
        <v>665</v>
      </c>
      <c r="H295" s="595">
        <v>-10.44</v>
      </c>
      <c r="I295" t="str">
        <f t="shared" si="11"/>
        <v>janeiro 2026</v>
      </c>
      <c r="J295">
        <f t="shared" si="10"/>
        <v>2026</v>
      </c>
      <c r="K295" t="str">
        <f>VLOOKUP(G295,METRICS!C:D,2,0)</f>
        <v>Taxas Financeiras Diversas</v>
      </c>
      <c r="L295" t="str">
        <f>VLOOKUP(K295,METRICS!D:E,2,0)</f>
        <v>TAXAS CARTÃO DE CRÉDITO</v>
      </c>
    </row>
    <row r="296" spans="1:12" ht="15" hidden="1">
      <c r="A296" t="s">
        <v>903</v>
      </c>
      <c r="B296" t="s">
        <v>612</v>
      </c>
      <c r="C296" t="s">
        <v>690</v>
      </c>
      <c r="D296" t="s">
        <v>920</v>
      </c>
      <c r="E296" t="s">
        <v>921</v>
      </c>
      <c r="F296" t="s">
        <v>1272</v>
      </c>
      <c r="G296" t="s">
        <v>636</v>
      </c>
      <c r="H296" s="595">
        <v>-384.9</v>
      </c>
      <c r="I296" t="str">
        <f t="shared" si="11"/>
        <v>janeiro 2026</v>
      </c>
      <c r="J296">
        <f t="shared" si="10"/>
        <v>2026</v>
      </c>
      <c r="K296" t="str">
        <f>VLOOKUP(G296,METRICS!C:D,2,0)</f>
        <v>Secos - Mercearia</v>
      </c>
      <c r="L296" t="str">
        <f>VLOOKUP(K296,METRICS!D:E,2,0)</f>
        <v>CUSTOS DOS PRODUTOS VENDIDOS</v>
      </c>
    </row>
    <row r="297" spans="1:12" ht="15" hidden="1">
      <c r="A297" t="s">
        <v>903</v>
      </c>
      <c r="B297" t="s">
        <v>612</v>
      </c>
      <c r="C297" t="s">
        <v>690</v>
      </c>
      <c r="D297" t="s">
        <v>922</v>
      </c>
      <c r="E297" t="s">
        <v>804</v>
      </c>
      <c r="F297" t="s">
        <v>1272</v>
      </c>
      <c r="G297" t="s">
        <v>607</v>
      </c>
      <c r="H297" s="595">
        <v>-6267.36</v>
      </c>
      <c r="I297" t="str">
        <f t="shared" si="11"/>
        <v>janeiro 2026</v>
      </c>
      <c r="J297">
        <f t="shared" si="10"/>
        <v>2026</v>
      </c>
      <c r="K297" t="str">
        <f>VLOOKUP(G297,METRICS!C:D,2,0)</f>
        <v>Bebidas Alcoólicas</v>
      </c>
      <c r="L297" t="str">
        <f>VLOOKUP(K297,METRICS!D:E,2,0)</f>
        <v>CUSTOS DOS PRODUTOS VENDIDOS</v>
      </c>
    </row>
    <row r="298" spans="1:12" ht="15" hidden="1">
      <c r="A298" t="s">
        <v>903</v>
      </c>
      <c r="B298" t="s">
        <v>689</v>
      </c>
      <c r="C298" t="s">
        <v>690</v>
      </c>
      <c r="D298" t="s">
        <v>733</v>
      </c>
      <c r="E298" t="s">
        <v>734</v>
      </c>
      <c r="F298" t="s">
        <v>1272</v>
      </c>
      <c r="G298" t="s">
        <v>665</v>
      </c>
      <c r="H298" s="595">
        <v>-4.78</v>
      </c>
      <c r="I298" t="str">
        <f t="shared" si="11"/>
        <v>janeiro 2026</v>
      </c>
      <c r="J298">
        <f t="shared" si="10"/>
        <v>2026</v>
      </c>
      <c r="K298" t="str">
        <f>VLOOKUP(G298,METRICS!C:D,2,0)</f>
        <v>Taxas Financeiras Diversas</v>
      </c>
      <c r="L298" t="str">
        <f>VLOOKUP(K298,METRICS!D:E,2,0)</f>
        <v>TAXAS CARTÃO DE CRÉDITO</v>
      </c>
    </row>
    <row r="299" spans="1:12" ht="15" hidden="1">
      <c r="A299" t="s">
        <v>903</v>
      </c>
      <c r="B299" t="s">
        <v>689</v>
      </c>
      <c r="C299" t="s">
        <v>690</v>
      </c>
      <c r="D299" t="s">
        <v>733</v>
      </c>
      <c r="E299" t="s">
        <v>734</v>
      </c>
      <c r="F299" t="s">
        <v>1272</v>
      </c>
      <c r="G299" t="s">
        <v>665</v>
      </c>
      <c r="H299" s="595">
        <v>-22.37</v>
      </c>
      <c r="I299" t="str">
        <f t="shared" si="11"/>
        <v>janeiro 2026</v>
      </c>
      <c r="J299">
        <f t="shared" si="10"/>
        <v>2026</v>
      </c>
      <c r="K299" t="str">
        <f>VLOOKUP(G299,METRICS!C:D,2,0)</f>
        <v>Taxas Financeiras Diversas</v>
      </c>
      <c r="L299" t="str">
        <f>VLOOKUP(K299,METRICS!D:E,2,0)</f>
        <v>TAXAS CARTÃO DE CRÉDITO</v>
      </c>
    </row>
    <row r="300" spans="1:12" ht="15" hidden="1">
      <c r="A300" t="s">
        <v>903</v>
      </c>
      <c r="B300" t="s">
        <v>689</v>
      </c>
      <c r="C300" t="s">
        <v>690</v>
      </c>
      <c r="D300" t="s">
        <v>743</v>
      </c>
      <c r="E300" t="s">
        <v>734</v>
      </c>
      <c r="F300" t="s">
        <v>1272</v>
      </c>
      <c r="G300" t="s">
        <v>665</v>
      </c>
      <c r="H300" s="595">
        <v>-3.13</v>
      </c>
      <c r="I300" t="str">
        <f t="shared" si="11"/>
        <v>janeiro 2026</v>
      </c>
      <c r="J300">
        <f t="shared" si="10"/>
        <v>2026</v>
      </c>
      <c r="K300" t="str">
        <f>VLOOKUP(G300,METRICS!C:D,2,0)</f>
        <v>Taxas Financeiras Diversas</v>
      </c>
      <c r="L300" t="str">
        <f>VLOOKUP(K300,METRICS!D:E,2,0)</f>
        <v>TAXAS CARTÃO DE CRÉDITO</v>
      </c>
    </row>
    <row r="301" spans="1:12" ht="15" hidden="1">
      <c r="A301" t="s">
        <v>903</v>
      </c>
      <c r="B301" t="s">
        <v>612</v>
      </c>
      <c r="C301" t="s">
        <v>690</v>
      </c>
      <c r="D301" t="s">
        <v>923</v>
      </c>
      <c r="E301" t="s">
        <v>846</v>
      </c>
      <c r="F301" t="s">
        <v>1272</v>
      </c>
      <c r="G301" t="s">
        <v>631</v>
      </c>
      <c r="H301" s="595">
        <v>-5000</v>
      </c>
      <c r="I301" t="str">
        <f t="shared" si="11"/>
        <v>janeiro 2026</v>
      </c>
      <c r="J301">
        <f t="shared" si="10"/>
        <v>2026</v>
      </c>
      <c r="K301" t="str">
        <f>VLOOKUP(G301,METRICS!C:D,2,0)</f>
        <v>Midias Sociais</v>
      </c>
      <c r="L301" t="str">
        <f>VLOOKUP(K301,METRICS!D:E,2,0)</f>
        <v>MARKETING</v>
      </c>
    </row>
    <row r="302" spans="1:12" ht="15" hidden="1">
      <c r="A302" t="s">
        <v>903</v>
      </c>
      <c r="B302" t="s">
        <v>689</v>
      </c>
      <c r="C302" t="s">
        <v>690</v>
      </c>
      <c r="D302" t="s">
        <v>743</v>
      </c>
      <c r="E302" t="s">
        <v>734</v>
      </c>
      <c r="F302" t="s">
        <v>1272</v>
      </c>
      <c r="G302" t="s">
        <v>665</v>
      </c>
      <c r="H302" s="595">
        <v>-8.6300000000000008</v>
      </c>
      <c r="I302" t="str">
        <f t="shared" si="11"/>
        <v>janeiro 2026</v>
      </c>
      <c r="J302">
        <f t="shared" si="10"/>
        <v>2026</v>
      </c>
      <c r="K302" t="str">
        <f>VLOOKUP(G302,METRICS!C:D,2,0)</f>
        <v>Taxas Financeiras Diversas</v>
      </c>
      <c r="L302" t="str">
        <f>VLOOKUP(K302,METRICS!D:E,2,0)</f>
        <v>TAXAS CARTÃO DE CRÉDITO</v>
      </c>
    </row>
    <row r="303" spans="1:12" ht="15" hidden="1">
      <c r="A303" t="s">
        <v>903</v>
      </c>
      <c r="B303" t="s">
        <v>612</v>
      </c>
      <c r="C303" t="s">
        <v>690</v>
      </c>
      <c r="D303" t="s">
        <v>924</v>
      </c>
      <c r="E303" t="s">
        <v>925</v>
      </c>
      <c r="F303" t="s">
        <v>1272</v>
      </c>
      <c r="G303" t="s">
        <v>413</v>
      </c>
      <c r="H303" s="595">
        <v>-2397</v>
      </c>
      <c r="I303" t="str">
        <f t="shared" si="11"/>
        <v>janeiro 2026</v>
      </c>
      <c r="J303">
        <f t="shared" si="10"/>
        <v>2026</v>
      </c>
      <c r="K303" t="str">
        <f>VLOOKUP(G303,METRICS!C:D,2,0)</f>
        <v>Pescados</v>
      </c>
      <c r="L303" t="str">
        <f>VLOOKUP(K303,METRICS!D:E,2,0)</f>
        <v>CUSTOS DOS PRODUTOS VENDIDOS</v>
      </c>
    </row>
    <row r="304" spans="1:12" ht="15" hidden="1">
      <c r="A304" t="s">
        <v>903</v>
      </c>
      <c r="B304" t="s">
        <v>689</v>
      </c>
      <c r="C304" t="s">
        <v>690</v>
      </c>
      <c r="D304" t="s">
        <v>733</v>
      </c>
      <c r="E304" t="s">
        <v>734</v>
      </c>
      <c r="F304" t="s">
        <v>1272</v>
      </c>
      <c r="G304" t="s">
        <v>665</v>
      </c>
      <c r="H304" s="595">
        <v>-3.81</v>
      </c>
      <c r="I304" t="str">
        <f t="shared" si="11"/>
        <v>janeiro 2026</v>
      </c>
      <c r="J304">
        <f t="shared" si="10"/>
        <v>2026</v>
      </c>
      <c r="K304" t="str">
        <f>VLOOKUP(G304,METRICS!C:D,2,0)</f>
        <v>Taxas Financeiras Diversas</v>
      </c>
      <c r="L304" t="str">
        <f>VLOOKUP(K304,METRICS!D:E,2,0)</f>
        <v>TAXAS CARTÃO DE CRÉDITO</v>
      </c>
    </row>
    <row r="305" spans="1:12" ht="15" hidden="1">
      <c r="A305" t="s">
        <v>903</v>
      </c>
      <c r="B305" t="s">
        <v>689</v>
      </c>
      <c r="C305" t="s">
        <v>690</v>
      </c>
      <c r="D305" t="s">
        <v>733</v>
      </c>
      <c r="E305" t="s">
        <v>734</v>
      </c>
      <c r="F305" t="s">
        <v>1272</v>
      </c>
      <c r="G305" t="s">
        <v>665</v>
      </c>
      <c r="H305" s="595">
        <v>-0.86</v>
      </c>
      <c r="I305" t="str">
        <f t="shared" si="11"/>
        <v>janeiro 2026</v>
      </c>
      <c r="J305">
        <f t="shared" si="10"/>
        <v>2026</v>
      </c>
      <c r="K305" t="str">
        <f>VLOOKUP(G305,METRICS!C:D,2,0)</f>
        <v>Taxas Financeiras Diversas</v>
      </c>
      <c r="L305" t="str">
        <f>VLOOKUP(K305,METRICS!D:E,2,0)</f>
        <v>TAXAS CARTÃO DE CRÉDITO</v>
      </c>
    </row>
    <row r="306" spans="1:12" ht="15" hidden="1">
      <c r="A306" t="s">
        <v>903</v>
      </c>
      <c r="B306" t="s">
        <v>689</v>
      </c>
      <c r="C306" t="s">
        <v>690</v>
      </c>
      <c r="D306" t="s">
        <v>743</v>
      </c>
      <c r="E306" t="s">
        <v>734</v>
      </c>
      <c r="F306" t="s">
        <v>1272</v>
      </c>
      <c r="G306" t="s">
        <v>665</v>
      </c>
      <c r="H306" s="595">
        <v>-0.2</v>
      </c>
      <c r="I306" t="str">
        <f t="shared" si="11"/>
        <v>janeiro 2026</v>
      </c>
      <c r="J306">
        <f t="shared" si="10"/>
        <v>2026</v>
      </c>
      <c r="K306" t="str">
        <f>VLOOKUP(G306,METRICS!C:D,2,0)</f>
        <v>Taxas Financeiras Diversas</v>
      </c>
      <c r="L306" t="str">
        <f>VLOOKUP(K306,METRICS!D:E,2,0)</f>
        <v>TAXAS CARTÃO DE CRÉDITO</v>
      </c>
    </row>
    <row r="307" spans="1:12" ht="15" hidden="1">
      <c r="A307" t="s">
        <v>903</v>
      </c>
      <c r="B307" t="s">
        <v>689</v>
      </c>
      <c r="C307" t="s">
        <v>690</v>
      </c>
      <c r="D307" t="s">
        <v>743</v>
      </c>
      <c r="E307" t="s">
        <v>734</v>
      </c>
      <c r="F307" t="s">
        <v>1272</v>
      </c>
      <c r="G307" t="s">
        <v>665</v>
      </c>
      <c r="H307" s="595">
        <v>-4.6500000000000004</v>
      </c>
      <c r="I307" t="str">
        <f t="shared" si="11"/>
        <v>janeiro 2026</v>
      </c>
      <c r="J307">
        <f t="shared" si="10"/>
        <v>2026</v>
      </c>
      <c r="K307" t="str">
        <f>VLOOKUP(G307,METRICS!C:D,2,0)</f>
        <v>Taxas Financeiras Diversas</v>
      </c>
      <c r="L307" t="str">
        <f>VLOOKUP(K307,METRICS!D:E,2,0)</f>
        <v>TAXAS CARTÃO DE CRÉDITO</v>
      </c>
    </row>
    <row r="308" spans="1:12" ht="15" hidden="1">
      <c r="A308" t="s">
        <v>903</v>
      </c>
      <c r="B308" t="s">
        <v>689</v>
      </c>
      <c r="C308" t="s">
        <v>690</v>
      </c>
      <c r="D308" t="s">
        <v>733</v>
      </c>
      <c r="E308" t="s">
        <v>734</v>
      </c>
      <c r="F308" t="s">
        <v>1272</v>
      </c>
      <c r="G308" t="s">
        <v>665</v>
      </c>
      <c r="H308" s="595">
        <v>-6.11</v>
      </c>
      <c r="I308" t="str">
        <f t="shared" si="11"/>
        <v>janeiro 2026</v>
      </c>
      <c r="J308">
        <f t="shared" si="10"/>
        <v>2026</v>
      </c>
      <c r="K308" t="str">
        <f>VLOOKUP(G308,METRICS!C:D,2,0)</f>
        <v>Taxas Financeiras Diversas</v>
      </c>
      <c r="L308" t="str">
        <f>VLOOKUP(K308,METRICS!D:E,2,0)</f>
        <v>TAXAS CARTÃO DE CRÉDITO</v>
      </c>
    </row>
    <row r="309" spans="1:12" ht="15" hidden="1">
      <c r="A309" t="s">
        <v>903</v>
      </c>
      <c r="B309" t="s">
        <v>689</v>
      </c>
      <c r="C309" t="s">
        <v>690</v>
      </c>
      <c r="D309" t="s">
        <v>733</v>
      </c>
      <c r="E309" t="s">
        <v>734</v>
      </c>
      <c r="F309" t="s">
        <v>1272</v>
      </c>
      <c r="G309" t="s">
        <v>665</v>
      </c>
      <c r="H309" s="595">
        <v>-2.2200000000000002</v>
      </c>
      <c r="I309" t="str">
        <f t="shared" si="11"/>
        <v>janeiro 2026</v>
      </c>
      <c r="J309">
        <f t="shared" si="10"/>
        <v>2026</v>
      </c>
      <c r="K309" t="str">
        <f>VLOOKUP(G309,METRICS!C:D,2,0)</f>
        <v>Taxas Financeiras Diversas</v>
      </c>
      <c r="L309" t="str">
        <f>VLOOKUP(K309,METRICS!D:E,2,0)</f>
        <v>TAXAS CARTÃO DE CRÉDITO</v>
      </c>
    </row>
    <row r="310" spans="1:12" ht="15" hidden="1">
      <c r="A310" t="s">
        <v>903</v>
      </c>
      <c r="B310" t="s">
        <v>689</v>
      </c>
      <c r="C310" t="s">
        <v>690</v>
      </c>
      <c r="D310" t="s">
        <v>733</v>
      </c>
      <c r="E310" t="s">
        <v>734</v>
      </c>
      <c r="F310" t="s">
        <v>1272</v>
      </c>
      <c r="G310" t="s">
        <v>665</v>
      </c>
      <c r="H310" s="595">
        <v>-5.01</v>
      </c>
      <c r="I310" t="str">
        <f t="shared" si="11"/>
        <v>janeiro 2026</v>
      </c>
      <c r="J310">
        <f t="shared" si="10"/>
        <v>2026</v>
      </c>
      <c r="K310" t="str">
        <f>VLOOKUP(G310,METRICS!C:D,2,0)</f>
        <v>Taxas Financeiras Diversas</v>
      </c>
      <c r="L310" t="str">
        <f>VLOOKUP(K310,METRICS!D:E,2,0)</f>
        <v>TAXAS CARTÃO DE CRÉDITO</v>
      </c>
    </row>
    <row r="311" spans="1:12" ht="15" hidden="1">
      <c r="A311" t="s">
        <v>903</v>
      </c>
      <c r="B311" t="s">
        <v>689</v>
      </c>
      <c r="C311" t="s">
        <v>690</v>
      </c>
      <c r="D311" t="s">
        <v>733</v>
      </c>
      <c r="E311" t="s">
        <v>734</v>
      </c>
      <c r="F311" t="s">
        <v>1272</v>
      </c>
      <c r="G311" t="s">
        <v>665</v>
      </c>
      <c r="H311" s="595">
        <v>-1.92</v>
      </c>
      <c r="I311" t="str">
        <f t="shared" ref="I311:I353" si="12">TEXT(A311, "mmmm aaaa")</f>
        <v>janeiro 2026</v>
      </c>
      <c r="J311">
        <f t="shared" si="10"/>
        <v>2026</v>
      </c>
      <c r="K311" t="str">
        <f>VLOOKUP(G311,METRICS!C:D,2,0)</f>
        <v>Taxas Financeiras Diversas</v>
      </c>
      <c r="L311" t="str">
        <f>VLOOKUP(K311,METRICS!D:E,2,0)</f>
        <v>TAXAS CARTÃO DE CRÉDITO</v>
      </c>
    </row>
    <row r="312" spans="1:12" ht="15" hidden="1">
      <c r="A312" t="s">
        <v>903</v>
      </c>
      <c r="B312" t="s">
        <v>689</v>
      </c>
      <c r="C312" t="s">
        <v>690</v>
      </c>
      <c r="D312" t="s">
        <v>743</v>
      </c>
      <c r="E312" t="s">
        <v>734</v>
      </c>
      <c r="F312" t="s">
        <v>1272</v>
      </c>
      <c r="G312" t="s">
        <v>665</v>
      </c>
      <c r="H312" s="595">
        <v>-1.54</v>
      </c>
      <c r="I312" t="str">
        <f t="shared" si="12"/>
        <v>janeiro 2026</v>
      </c>
      <c r="J312">
        <f t="shared" si="10"/>
        <v>2026</v>
      </c>
      <c r="K312" t="str">
        <f>VLOOKUP(G312,METRICS!C:D,2,0)</f>
        <v>Taxas Financeiras Diversas</v>
      </c>
      <c r="L312" t="str">
        <f>VLOOKUP(K312,METRICS!D:E,2,0)</f>
        <v>TAXAS CARTÃO DE CRÉDITO</v>
      </c>
    </row>
    <row r="313" spans="1:12" ht="15" hidden="1">
      <c r="A313" t="s">
        <v>903</v>
      </c>
      <c r="B313" t="s">
        <v>689</v>
      </c>
      <c r="C313" t="s">
        <v>690</v>
      </c>
      <c r="D313" t="s">
        <v>733</v>
      </c>
      <c r="E313" t="s">
        <v>734</v>
      </c>
      <c r="F313" t="s">
        <v>1272</v>
      </c>
      <c r="G313" t="s">
        <v>665</v>
      </c>
      <c r="H313" s="595">
        <v>-7.87</v>
      </c>
      <c r="I313" t="str">
        <f t="shared" si="12"/>
        <v>janeiro 2026</v>
      </c>
      <c r="J313">
        <f t="shared" si="10"/>
        <v>2026</v>
      </c>
      <c r="K313" t="str">
        <f>VLOOKUP(G313,METRICS!C:D,2,0)</f>
        <v>Taxas Financeiras Diversas</v>
      </c>
      <c r="L313" t="str">
        <f>VLOOKUP(K313,METRICS!D:E,2,0)</f>
        <v>TAXAS CARTÃO DE CRÉDITO</v>
      </c>
    </row>
    <row r="314" spans="1:12" ht="15" hidden="1">
      <c r="A314" t="s">
        <v>903</v>
      </c>
      <c r="B314" t="s">
        <v>689</v>
      </c>
      <c r="C314" t="s">
        <v>690</v>
      </c>
      <c r="D314" t="s">
        <v>733</v>
      </c>
      <c r="E314" t="s">
        <v>734</v>
      </c>
      <c r="F314" t="s">
        <v>1272</v>
      </c>
      <c r="G314" t="s">
        <v>665</v>
      </c>
      <c r="H314" s="595">
        <v>-1.58</v>
      </c>
      <c r="I314" t="str">
        <f t="shared" si="12"/>
        <v>janeiro 2026</v>
      </c>
      <c r="J314">
        <f t="shared" si="10"/>
        <v>2026</v>
      </c>
      <c r="K314" t="str">
        <f>VLOOKUP(G314,METRICS!C:D,2,0)</f>
        <v>Taxas Financeiras Diversas</v>
      </c>
      <c r="L314" t="str">
        <f>VLOOKUP(K314,METRICS!D:E,2,0)</f>
        <v>TAXAS CARTÃO DE CRÉDITO</v>
      </c>
    </row>
    <row r="315" spans="1:12" ht="15" hidden="1">
      <c r="A315" t="s">
        <v>903</v>
      </c>
      <c r="B315" t="s">
        <v>689</v>
      </c>
      <c r="C315" t="s">
        <v>690</v>
      </c>
      <c r="D315" t="s">
        <v>743</v>
      </c>
      <c r="E315" t="s">
        <v>734</v>
      </c>
      <c r="F315" t="s">
        <v>1272</v>
      </c>
      <c r="G315" t="s">
        <v>665</v>
      </c>
      <c r="H315" s="595">
        <v>-2.83</v>
      </c>
      <c r="I315" t="str">
        <f t="shared" si="12"/>
        <v>janeiro 2026</v>
      </c>
      <c r="J315">
        <f t="shared" si="10"/>
        <v>2026</v>
      </c>
      <c r="K315" t="str">
        <f>VLOOKUP(G315,METRICS!C:D,2,0)</f>
        <v>Taxas Financeiras Diversas</v>
      </c>
      <c r="L315" t="str">
        <f>VLOOKUP(K315,METRICS!D:E,2,0)</f>
        <v>TAXAS CARTÃO DE CRÉDITO</v>
      </c>
    </row>
    <row r="316" spans="1:12" ht="15" hidden="1">
      <c r="A316" t="s">
        <v>903</v>
      </c>
      <c r="B316" t="s">
        <v>689</v>
      </c>
      <c r="C316" t="s">
        <v>690</v>
      </c>
      <c r="D316" t="s">
        <v>733</v>
      </c>
      <c r="E316" t="s">
        <v>734</v>
      </c>
      <c r="F316" t="s">
        <v>1272</v>
      </c>
      <c r="G316" t="s">
        <v>665</v>
      </c>
      <c r="H316" s="595">
        <v>-6.04</v>
      </c>
      <c r="I316" t="str">
        <f t="shared" si="12"/>
        <v>janeiro 2026</v>
      </c>
      <c r="J316">
        <f t="shared" ref="J316:J379" si="13">YEAR(A316)</f>
        <v>2026</v>
      </c>
      <c r="K316" t="str">
        <f>VLOOKUP(G316,METRICS!C:D,2,0)</f>
        <v>Taxas Financeiras Diversas</v>
      </c>
      <c r="L316" t="str">
        <f>VLOOKUP(K316,METRICS!D:E,2,0)</f>
        <v>TAXAS CARTÃO DE CRÉDITO</v>
      </c>
    </row>
    <row r="317" spans="1:12" ht="15" hidden="1">
      <c r="A317" t="s">
        <v>903</v>
      </c>
      <c r="B317" t="s">
        <v>689</v>
      </c>
      <c r="C317" t="s">
        <v>690</v>
      </c>
      <c r="D317" t="s">
        <v>743</v>
      </c>
      <c r="E317" t="s">
        <v>734</v>
      </c>
      <c r="F317" t="s">
        <v>1272</v>
      </c>
      <c r="G317" t="s">
        <v>665</v>
      </c>
      <c r="H317" s="595">
        <v>-12.07</v>
      </c>
      <c r="I317" t="str">
        <f t="shared" si="12"/>
        <v>janeiro 2026</v>
      </c>
      <c r="J317">
        <f t="shared" si="13"/>
        <v>2026</v>
      </c>
      <c r="K317" t="str">
        <f>VLOOKUP(G317,METRICS!C:D,2,0)</f>
        <v>Taxas Financeiras Diversas</v>
      </c>
      <c r="L317" t="str">
        <f>VLOOKUP(K317,METRICS!D:E,2,0)</f>
        <v>TAXAS CARTÃO DE CRÉDITO</v>
      </c>
    </row>
    <row r="318" spans="1:12" ht="15" hidden="1">
      <c r="A318" t="s">
        <v>926</v>
      </c>
      <c r="B318" t="s">
        <v>689</v>
      </c>
      <c r="C318" t="s">
        <v>690</v>
      </c>
      <c r="D318" t="s">
        <v>733</v>
      </c>
      <c r="E318" t="s">
        <v>734</v>
      </c>
      <c r="F318" t="s">
        <v>1272</v>
      </c>
      <c r="G318" t="s">
        <v>665</v>
      </c>
      <c r="H318" s="595">
        <v>-3.39</v>
      </c>
      <c r="I318" t="str">
        <f t="shared" si="12"/>
        <v>janeiro 2026</v>
      </c>
      <c r="J318">
        <f t="shared" si="13"/>
        <v>2026</v>
      </c>
      <c r="K318" t="str">
        <f>VLOOKUP(G318,METRICS!C:D,2,0)</f>
        <v>Taxas Financeiras Diversas</v>
      </c>
      <c r="L318" t="str">
        <f>VLOOKUP(K318,METRICS!D:E,2,0)</f>
        <v>TAXAS CARTÃO DE CRÉDITO</v>
      </c>
    </row>
    <row r="319" spans="1:12" ht="15" hidden="1">
      <c r="A319" t="s">
        <v>926</v>
      </c>
      <c r="B319" t="s">
        <v>689</v>
      </c>
      <c r="C319" t="s">
        <v>690</v>
      </c>
      <c r="D319" t="s">
        <v>743</v>
      </c>
      <c r="E319" t="s">
        <v>734</v>
      </c>
      <c r="F319" t="s">
        <v>1272</v>
      </c>
      <c r="G319" t="s">
        <v>665</v>
      </c>
      <c r="H319" s="595">
        <v>-1.84</v>
      </c>
      <c r="I319" t="str">
        <f t="shared" si="12"/>
        <v>janeiro 2026</v>
      </c>
      <c r="J319">
        <f t="shared" si="13"/>
        <v>2026</v>
      </c>
      <c r="K319" t="str">
        <f>VLOOKUP(G319,METRICS!C:D,2,0)</f>
        <v>Taxas Financeiras Diversas</v>
      </c>
      <c r="L319" t="str">
        <f>VLOOKUP(K319,METRICS!D:E,2,0)</f>
        <v>TAXAS CARTÃO DE CRÉDITO</v>
      </c>
    </row>
    <row r="320" spans="1:12" ht="15" hidden="1">
      <c r="A320" t="s">
        <v>926</v>
      </c>
      <c r="B320" t="s">
        <v>689</v>
      </c>
      <c r="C320" t="s">
        <v>690</v>
      </c>
      <c r="D320" t="s">
        <v>743</v>
      </c>
      <c r="E320" t="s">
        <v>734</v>
      </c>
      <c r="F320" t="s">
        <v>1272</v>
      </c>
      <c r="G320" t="s">
        <v>665</v>
      </c>
      <c r="H320" s="595">
        <v>-14.8</v>
      </c>
      <c r="I320" t="str">
        <f t="shared" si="12"/>
        <v>janeiro 2026</v>
      </c>
      <c r="J320">
        <f t="shared" si="13"/>
        <v>2026</v>
      </c>
      <c r="K320" t="str">
        <f>VLOOKUP(G320,METRICS!C:D,2,0)</f>
        <v>Taxas Financeiras Diversas</v>
      </c>
      <c r="L320" t="str">
        <f>VLOOKUP(K320,METRICS!D:E,2,0)</f>
        <v>TAXAS CARTÃO DE CRÉDITO</v>
      </c>
    </row>
    <row r="321" spans="1:12" ht="15" hidden="1">
      <c r="A321" t="s">
        <v>926</v>
      </c>
      <c r="B321" t="s">
        <v>689</v>
      </c>
      <c r="C321" t="s">
        <v>690</v>
      </c>
      <c r="D321" t="s">
        <v>733</v>
      </c>
      <c r="E321" t="s">
        <v>734</v>
      </c>
      <c r="F321" t="s">
        <v>1272</v>
      </c>
      <c r="G321" t="s">
        <v>665</v>
      </c>
      <c r="H321" s="595">
        <v>-6.09</v>
      </c>
      <c r="I321" t="str">
        <f t="shared" si="12"/>
        <v>janeiro 2026</v>
      </c>
      <c r="J321">
        <f t="shared" si="13"/>
        <v>2026</v>
      </c>
      <c r="K321" t="str">
        <f>VLOOKUP(G321,METRICS!C:D,2,0)</f>
        <v>Taxas Financeiras Diversas</v>
      </c>
      <c r="L321" t="str">
        <f>VLOOKUP(K321,METRICS!D:E,2,0)</f>
        <v>TAXAS CARTÃO DE CRÉDITO</v>
      </c>
    </row>
    <row r="322" spans="1:12" ht="15" hidden="1">
      <c r="A322" t="s">
        <v>926</v>
      </c>
      <c r="B322" t="s">
        <v>689</v>
      </c>
      <c r="C322" t="s">
        <v>690</v>
      </c>
      <c r="D322" t="s">
        <v>743</v>
      </c>
      <c r="E322" t="s">
        <v>734</v>
      </c>
      <c r="F322" t="s">
        <v>1272</v>
      </c>
      <c r="G322" t="s">
        <v>665</v>
      </c>
      <c r="H322" s="595">
        <v>-7.27</v>
      </c>
      <c r="I322" t="str">
        <f t="shared" si="12"/>
        <v>janeiro 2026</v>
      </c>
      <c r="J322">
        <f t="shared" si="13"/>
        <v>2026</v>
      </c>
      <c r="K322" t="str">
        <f>VLOOKUP(G322,METRICS!C:D,2,0)</f>
        <v>Taxas Financeiras Diversas</v>
      </c>
      <c r="L322" t="str">
        <f>VLOOKUP(K322,METRICS!D:E,2,0)</f>
        <v>TAXAS CARTÃO DE CRÉDITO</v>
      </c>
    </row>
    <row r="323" spans="1:12" ht="15" hidden="1">
      <c r="A323" t="s">
        <v>926</v>
      </c>
      <c r="B323" t="s">
        <v>689</v>
      </c>
      <c r="C323" t="s">
        <v>690</v>
      </c>
      <c r="D323" t="s">
        <v>743</v>
      </c>
      <c r="E323" t="s">
        <v>734</v>
      </c>
      <c r="F323" t="s">
        <v>1272</v>
      </c>
      <c r="G323" t="s">
        <v>665</v>
      </c>
      <c r="H323" s="595">
        <v>-3.45</v>
      </c>
      <c r="I323" t="str">
        <f t="shared" si="12"/>
        <v>janeiro 2026</v>
      </c>
      <c r="J323">
        <f t="shared" si="13"/>
        <v>2026</v>
      </c>
      <c r="K323" t="str">
        <f>VLOOKUP(G323,METRICS!C:D,2,0)</f>
        <v>Taxas Financeiras Diversas</v>
      </c>
      <c r="L323" t="str">
        <f>VLOOKUP(K323,METRICS!D:E,2,0)</f>
        <v>TAXAS CARTÃO DE CRÉDITO</v>
      </c>
    </row>
    <row r="324" spans="1:12" ht="15" hidden="1">
      <c r="A324" t="s">
        <v>926</v>
      </c>
      <c r="B324" t="s">
        <v>689</v>
      </c>
      <c r="C324" t="s">
        <v>690</v>
      </c>
      <c r="D324" t="s">
        <v>733</v>
      </c>
      <c r="E324" t="s">
        <v>734</v>
      </c>
      <c r="F324" t="s">
        <v>1272</v>
      </c>
      <c r="G324" t="s">
        <v>665</v>
      </c>
      <c r="H324" s="595">
        <v>-5.2</v>
      </c>
      <c r="I324" t="str">
        <f t="shared" si="12"/>
        <v>janeiro 2026</v>
      </c>
      <c r="J324">
        <f t="shared" si="13"/>
        <v>2026</v>
      </c>
      <c r="K324" t="str">
        <f>VLOOKUP(G324,METRICS!C:D,2,0)</f>
        <v>Taxas Financeiras Diversas</v>
      </c>
      <c r="L324" t="str">
        <f>VLOOKUP(K324,METRICS!D:E,2,0)</f>
        <v>TAXAS CARTÃO DE CRÉDITO</v>
      </c>
    </row>
    <row r="325" spans="1:12" ht="15" hidden="1">
      <c r="A325" t="s">
        <v>926</v>
      </c>
      <c r="B325" t="s">
        <v>689</v>
      </c>
      <c r="C325" t="s">
        <v>690</v>
      </c>
      <c r="D325" t="s">
        <v>743</v>
      </c>
      <c r="E325" t="s">
        <v>734</v>
      </c>
      <c r="F325" t="s">
        <v>1272</v>
      </c>
      <c r="G325" t="s">
        <v>665</v>
      </c>
      <c r="H325" s="595">
        <v>-2.76</v>
      </c>
      <c r="I325" t="str">
        <f t="shared" si="12"/>
        <v>janeiro 2026</v>
      </c>
      <c r="J325">
        <f t="shared" si="13"/>
        <v>2026</v>
      </c>
      <c r="K325" t="str">
        <f>VLOOKUP(G325,METRICS!C:D,2,0)</f>
        <v>Taxas Financeiras Diversas</v>
      </c>
      <c r="L325" t="str">
        <f>VLOOKUP(K325,METRICS!D:E,2,0)</f>
        <v>TAXAS CARTÃO DE CRÉDITO</v>
      </c>
    </row>
    <row r="326" spans="1:12" ht="15" hidden="1">
      <c r="A326" t="s">
        <v>926</v>
      </c>
      <c r="B326" t="s">
        <v>689</v>
      </c>
      <c r="C326" t="s">
        <v>690</v>
      </c>
      <c r="D326" t="s">
        <v>733</v>
      </c>
      <c r="E326" t="s">
        <v>734</v>
      </c>
      <c r="F326" t="s">
        <v>1272</v>
      </c>
      <c r="G326" t="s">
        <v>665</v>
      </c>
      <c r="H326" s="595">
        <v>-1.1299999999999999</v>
      </c>
      <c r="I326" t="str">
        <f t="shared" si="12"/>
        <v>janeiro 2026</v>
      </c>
      <c r="J326">
        <f t="shared" si="13"/>
        <v>2026</v>
      </c>
      <c r="K326" t="str">
        <f>VLOOKUP(G326,METRICS!C:D,2,0)</f>
        <v>Taxas Financeiras Diversas</v>
      </c>
      <c r="L326" t="str">
        <f>VLOOKUP(K326,METRICS!D:E,2,0)</f>
        <v>TAXAS CARTÃO DE CRÉDITO</v>
      </c>
    </row>
    <row r="327" spans="1:12" ht="15" hidden="1">
      <c r="A327" t="s">
        <v>926</v>
      </c>
      <c r="B327" t="s">
        <v>689</v>
      </c>
      <c r="C327" t="s">
        <v>690</v>
      </c>
      <c r="D327" t="s">
        <v>860</v>
      </c>
      <c r="E327" t="s">
        <v>734</v>
      </c>
      <c r="F327" t="s">
        <v>1272</v>
      </c>
      <c r="G327" t="s">
        <v>665</v>
      </c>
      <c r="H327" s="595">
        <v>-11.01</v>
      </c>
      <c r="I327" t="str">
        <f t="shared" si="12"/>
        <v>janeiro 2026</v>
      </c>
      <c r="J327">
        <f t="shared" si="13"/>
        <v>2026</v>
      </c>
      <c r="K327" t="str">
        <f>VLOOKUP(G327,METRICS!C:D,2,0)</f>
        <v>Taxas Financeiras Diversas</v>
      </c>
      <c r="L327" t="str">
        <f>VLOOKUP(K327,METRICS!D:E,2,0)</f>
        <v>TAXAS CARTÃO DE CRÉDITO</v>
      </c>
    </row>
    <row r="328" spans="1:12" ht="15" hidden="1">
      <c r="A328" t="s">
        <v>926</v>
      </c>
      <c r="B328" t="s">
        <v>689</v>
      </c>
      <c r="C328" t="s">
        <v>690</v>
      </c>
      <c r="D328" t="s">
        <v>733</v>
      </c>
      <c r="E328" t="s">
        <v>734</v>
      </c>
      <c r="F328" t="s">
        <v>1272</v>
      </c>
      <c r="G328" t="s">
        <v>665</v>
      </c>
      <c r="H328" s="595">
        <v>-1.84</v>
      </c>
      <c r="I328" t="str">
        <f t="shared" si="12"/>
        <v>janeiro 2026</v>
      </c>
      <c r="J328">
        <f t="shared" si="13"/>
        <v>2026</v>
      </c>
      <c r="K328" t="str">
        <f>VLOOKUP(G328,METRICS!C:D,2,0)</f>
        <v>Taxas Financeiras Diversas</v>
      </c>
      <c r="L328" t="str">
        <f>VLOOKUP(K328,METRICS!D:E,2,0)</f>
        <v>TAXAS CARTÃO DE CRÉDITO</v>
      </c>
    </row>
    <row r="329" spans="1:12" ht="15" hidden="1">
      <c r="A329" t="s">
        <v>926</v>
      </c>
      <c r="B329" t="s">
        <v>689</v>
      </c>
      <c r="C329" t="s">
        <v>690</v>
      </c>
      <c r="D329" t="s">
        <v>733</v>
      </c>
      <c r="E329" t="s">
        <v>734</v>
      </c>
      <c r="F329" t="s">
        <v>1272</v>
      </c>
      <c r="G329" t="s">
        <v>665</v>
      </c>
      <c r="H329" s="595">
        <v>-1.82</v>
      </c>
      <c r="I329" t="str">
        <f t="shared" si="12"/>
        <v>janeiro 2026</v>
      </c>
      <c r="J329">
        <f t="shared" si="13"/>
        <v>2026</v>
      </c>
      <c r="K329" t="str">
        <f>VLOOKUP(G329,METRICS!C:D,2,0)</f>
        <v>Taxas Financeiras Diversas</v>
      </c>
      <c r="L329" t="str">
        <f>VLOOKUP(K329,METRICS!D:E,2,0)</f>
        <v>TAXAS CARTÃO DE CRÉDITO</v>
      </c>
    </row>
    <row r="330" spans="1:12" ht="15" hidden="1">
      <c r="A330" t="s">
        <v>926</v>
      </c>
      <c r="B330" t="s">
        <v>689</v>
      </c>
      <c r="C330" t="s">
        <v>690</v>
      </c>
      <c r="D330" t="s">
        <v>743</v>
      </c>
      <c r="E330" t="s">
        <v>734</v>
      </c>
      <c r="F330" t="s">
        <v>1272</v>
      </c>
      <c r="G330" t="s">
        <v>665</v>
      </c>
      <c r="H330" s="595">
        <v>-3.65</v>
      </c>
      <c r="I330" t="str">
        <f t="shared" si="12"/>
        <v>janeiro 2026</v>
      </c>
      <c r="J330">
        <f t="shared" si="13"/>
        <v>2026</v>
      </c>
      <c r="K330" t="str">
        <f>VLOOKUP(G330,METRICS!C:D,2,0)</f>
        <v>Taxas Financeiras Diversas</v>
      </c>
      <c r="L330" t="str">
        <f>VLOOKUP(K330,METRICS!D:E,2,0)</f>
        <v>TAXAS CARTÃO DE CRÉDITO</v>
      </c>
    </row>
    <row r="331" spans="1:12" ht="15" hidden="1">
      <c r="A331" t="s">
        <v>926</v>
      </c>
      <c r="B331" t="s">
        <v>689</v>
      </c>
      <c r="C331" t="s">
        <v>690</v>
      </c>
      <c r="D331" t="s">
        <v>733</v>
      </c>
      <c r="E331" t="s">
        <v>734</v>
      </c>
      <c r="F331" t="s">
        <v>1272</v>
      </c>
      <c r="G331" t="s">
        <v>665</v>
      </c>
      <c r="H331" s="595">
        <v>-2.33</v>
      </c>
      <c r="I331" t="str">
        <f t="shared" si="12"/>
        <v>janeiro 2026</v>
      </c>
      <c r="J331">
        <f t="shared" si="13"/>
        <v>2026</v>
      </c>
      <c r="K331" t="str">
        <f>VLOOKUP(G331,METRICS!C:D,2,0)</f>
        <v>Taxas Financeiras Diversas</v>
      </c>
      <c r="L331" t="str">
        <f>VLOOKUP(K331,METRICS!D:E,2,0)</f>
        <v>TAXAS CARTÃO DE CRÉDITO</v>
      </c>
    </row>
    <row r="332" spans="1:12" ht="15" hidden="1">
      <c r="A332" t="s">
        <v>926</v>
      </c>
      <c r="B332" t="s">
        <v>689</v>
      </c>
      <c r="C332" t="s">
        <v>690</v>
      </c>
      <c r="D332" t="s">
        <v>753</v>
      </c>
      <c r="E332" t="s">
        <v>734</v>
      </c>
      <c r="F332" t="s">
        <v>1272</v>
      </c>
      <c r="G332" t="s">
        <v>665</v>
      </c>
      <c r="H332" s="595">
        <v>-13.19</v>
      </c>
      <c r="I332" t="str">
        <f t="shared" si="12"/>
        <v>janeiro 2026</v>
      </c>
      <c r="J332">
        <f t="shared" si="13"/>
        <v>2026</v>
      </c>
      <c r="K332" t="str">
        <f>VLOOKUP(G332,METRICS!C:D,2,0)</f>
        <v>Taxas Financeiras Diversas</v>
      </c>
      <c r="L332" t="str">
        <f>VLOOKUP(K332,METRICS!D:E,2,0)</f>
        <v>TAXAS CARTÃO DE CRÉDITO</v>
      </c>
    </row>
    <row r="333" spans="1:12" ht="15" hidden="1">
      <c r="A333" t="s">
        <v>926</v>
      </c>
      <c r="B333" t="s">
        <v>689</v>
      </c>
      <c r="C333" t="s">
        <v>690</v>
      </c>
      <c r="D333" t="s">
        <v>743</v>
      </c>
      <c r="E333" t="s">
        <v>734</v>
      </c>
      <c r="F333" t="s">
        <v>1272</v>
      </c>
      <c r="G333" t="s">
        <v>665</v>
      </c>
      <c r="H333" s="595">
        <v>-3.13</v>
      </c>
      <c r="I333" t="str">
        <f t="shared" si="12"/>
        <v>janeiro 2026</v>
      </c>
      <c r="J333">
        <f t="shared" si="13"/>
        <v>2026</v>
      </c>
      <c r="K333" t="str">
        <f>VLOOKUP(G333,METRICS!C:D,2,0)</f>
        <v>Taxas Financeiras Diversas</v>
      </c>
      <c r="L333" t="str">
        <f>VLOOKUP(K333,METRICS!D:E,2,0)</f>
        <v>TAXAS CARTÃO DE CRÉDITO</v>
      </c>
    </row>
    <row r="334" spans="1:12" ht="15" hidden="1">
      <c r="A334" t="s">
        <v>926</v>
      </c>
      <c r="B334" t="s">
        <v>689</v>
      </c>
      <c r="C334" t="s">
        <v>690</v>
      </c>
      <c r="D334" t="s">
        <v>733</v>
      </c>
      <c r="E334" t="s">
        <v>734</v>
      </c>
      <c r="F334" t="s">
        <v>1272</v>
      </c>
      <c r="G334" t="s">
        <v>665</v>
      </c>
      <c r="H334" s="595">
        <v>-2.54</v>
      </c>
      <c r="I334" t="str">
        <f t="shared" si="12"/>
        <v>janeiro 2026</v>
      </c>
      <c r="J334">
        <f t="shared" si="13"/>
        <v>2026</v>
      </c>
      <c r="K334" t="str">
        <f>VLOOKUP(G334,METRICS!C:D,2,0)</f>
        <v>Taxas Financeiras Diversas</v>
      </c>
      <c r="L334" t="str">
        <f>VLOOKUP(K334,METRICS!D:E,2,0)</f>
        <v>TAXAS CARTÃO DE CRÉDITO</v>
      </c>
    </row>
    <row r="335" spans="1:12" ht="15" hidden="1">
      <c r="A335" t="s">
        <v>926</v>
      </c>
      <c r="B335" t="s">
        <v>689</v>
      </c>
      <c r="C335" t="s">
        <v>690</v>
      </c>
      <c r="D335" t="s">
        <v>743</v>
      </c>
      <c r="E335" t="s">
        <v>734</v>
      </c>
      <c r="F335" t="s">
        <v>1272</v>
      </c>
      <c r="G335" t="s">
        <v>665</v>
      </c>
      <c r="H335" s="595">
        <v>-3.45</v>
      </c>
      <c r="I335" t="str">
        <f t="shared" si="12"/>
        <v>janeiro 2026</v>
      </c>
      <c r="J335">
        <f t="shared" si="13"/>
        <v>2026</v>
      </c>
      <c r="K335" t="str">
        <f>VLOOKUP(G335,METRICS!C:D,2,0)</f>
        <v>Taxas Financeiras Diversas</v>
      </c>
      <c r="L335" t="str">
        <f>VLOOKUP(K335,METRICS!D:E,2,0)</f>
        <v>TAXAS CARTÃO DE CRÉDITO</v>
      </c>
    </row>
    <row r="336" spans="1:12" ht="15" hidden="1">
      <c r="A336" t="s">
        <v>926</v>
      </c>
      <c r="B336" t="s">
        <v>689</v>
      </c>
      <c r="C336" t="s">
        <v>690</v>
      </c>
      <c r="D336" t="s">
        <v>733</v>
      </c>
      <c r="E336" t="s">
        <v>734</v>
      </c>
      <c r="F336" t="s">
        <v>1272</v>
      </c>
      <c r="G336" t="s">
        <v>665</v>
      </c>
      <c r="H336" s="595">
        <v>-3.6</v>
      </c>
      <c r="I336" t="str">
        <f t="shared" si="12"/>
        <v>janeiro 2026</v>
      </c>
      <c r="J336">
        <f t="shared" si="13"/>
        <v>2026</v>
      </c>
      <c r="K336" t="str">
        <f>VLOOKUP(G336,METRICS!C:D,2,0)</f>
        <v>Taxas Financeiras Diversas</v>
      </c>
      <c r="L336" t="str">
        <f>VLOOKUP(K336,METRICS!D:E,2,0)</f>
        <v>TAXAS CARTÃO DE CRÉDITO</v>
      </c>
    </row>
    <row r="337" spans="1:12" ht="15" hidden="1">
      <c r="A337" t="s">
        <v>926</v>
      </c>
      <c r="B337" t="s">
        <v>689</v>
      </c>
      <c r="C337" t="s">
        <v>690</v>
      </c>
      <c r="D337" t="s">
        <v>743</v>
      </c>
      <c r="E337" t="s">
        <v>734</v>
      </c>
      <c r="F337" t="s">
        <v>1272</v>
      </c>
      <c r="G337" t="s">
        <v>665</v>
      </c>
      <c r="H337" s="595">
        <v>-32.479999999999997</v>
      </c>
      <c r="I337" t="str">
        <f t="shared" si="12"/>
        <v>janeiro 2026</v>
      </c>
      <c r="J337">
        <f t="shared" si="13"/>
        <v>2026</v>
      </c>
      <c r="K337" t="str">
        <f>VLOOKUP(G337,METRICS!C:D,2,0)</f>
        <v>Taxas Financeiras Diversas</v>
      </c>
      <c r="L337" t="str">
        <f>VLOOKUP(K337,METRICS!D:E,2,0)</f>
        <v>TAXAS CARTÃO DE CRÉDITO</v>
      </c>
    </row>
    <row r="338" spans="1:12" ht="15" hidden="1">
      <c r="A338" t="s">
        <v>926</v>
      </c>
      <c r="B338" t="s">
        <v>689</v>
      </c>
      <c r="C338" t="s">
        <v>690</v>
      </c>
      <c r="D338" t="s">
        <v>733</v>
      </c>
      <c r="E338" t="s">
        <v>734</v>
      </c>
      <c r="F338" t="s">
        <v>1272</v>
      </c>
      <c r="G338" t="s">
        <v>665</v>
      </c>
      <c r="H338" s="595">
        <v>-4.84</v>
      </c>
      <c r="I338" t="str">
        <f t="shared" si="12"/>
        <v>janeiro 2026</v>
      </c>
      <c r="J338">
        <f t="shared" si="13"/>
        <v>2026</v>
      </c>
      <c r="K338" t="str">
        <f>VLOOKUP(G338,METRICS!C:D,2,0)</f>
        <v>Taxas Financeiras Diversas</v>
      </c>
      <c r="L338" t="str">
        <f>VLOOKUP(K338,METRICS!D:E,2,0)</f>
        <v>TAXAS CARTÃO DE CRÉDITO</v>
      </c>
    </row>
    <row r="339" spans="1:12" ht="15" hidden="1">
      <c r="A339" t="s">
        <v>926</v>
      </c>
      <c r="B339" t="s">
        <v>689</v>
      </c>
      <c r="C339" t="s">
        <v>690</v>
      </c>
      <c r="D339" t="s">
        <v>733</v>
      </c>
      <c r="E339" t="s">
        <v>734</v>
      </c>
      <c r="F339" t="s">
        <v>1272</v>
      </c>
      <c r="G339" t="s">
        <v>665</v>
      </c>
      <c r="H339" s="595">
        <v>-0.87</v>
      </c>
      <c r="I339" t="str">
        <f t="shared" si="12"/>
        <v>janeiro 2026</v>
      </c>
      <c r="J339">
        <f t="shared" si="13"/>
        <v>2026</v>
      </c>
      <c r="K339" t="str">
        <f>VLOOKUP(G339,METRICS!C:D,2,0)</f>
        <v>Taxas Financeiras Diversas</v>
      </c>
      <c r="L339" t="str">
        <f>VLOOKUP(K339,METRICS!D:E,2,0)</f>
        <v>TAXAS CARTÃO DE CRÉDITO</v>
      </c>
    </row>
    <row r="340" spans="1:12" ht="15" hidden="1">
      <c r="A340" t="s">
        <v>926</v>
      </c>
      <c r="B340" t="s">
        <v>689</v>
      </c>
      <c r="C340" t="s">
        <v>690</v>
      </c>
      <c r="D340" t="s">
        <v>733</v>
      </c>
      <c r="E340" t="s">
        <v>734</v>
      </c>
      <c r="F340" t="s">
        <v>1272</v>
      </c>
      <c r="G340" t="s">
        <v>665</v>
      </c>
      <c r="H340" s="595">
        <v>-4.45</v>
      </c>
      <c r="I340" t="str">
        <f t="shared" si="12"/>
        <v>janeiro 2026</v>
      </c>
      <c r="J340">
        <f t="shared" si="13"/>
        <v>2026</v>
      </c>
      <c r="K340" t="str">
        <f>VLOOKUP(G340,METRICS!C:D,2,0)</f>
        <v>Taxas Financeiras Diversas</v>
      </c>
      <c r="L340" t="str">
        <f>VLOOKUP(K340,METRICS!D:E,2,0)</f>
        <v>TAXAS CARTÃO DE CRÉDITO</v>
      </c>
    </row>
    <row r="341" spans="1:12" ht="15" hidden="1">
      <c r="A341" t="s">
        <v>926</v>
      </c>
      <c r="B341" t="s">
        <v>689</v>
      </c>
      <c r="C341" t="s">
        <v>690</v>
      </c>
      <c r="D341" t="s">
        <v>733</v>
      </c>
      <c r="E341" t="s">
        <v>734</v>
      </c>
      <c r="F341" t="s">
        <v>1272</v>
      </c>
      <c r="G341" t="s">
        <v>665</v>
      </c>
      <c r="H341" s="595">
        <v>-0.84</v>
      </c>
      <c r="I341" t="str">
        <f t="shared" si="12"/>
        <v>janeiro 2026</v>
      </c>
      <c r="J341">
        <f t="shared" si="13"/>
        <v>2026</v>
      </c>
      <c r="K341" t="str">
        <f>VLOOKUP(G341,METRICS!C:D,2,0)</f>
        <v>Taxas Financeiras Diversas</v>
      </c>
      <c r="L341" t="str">
        <f>VLOOKUP(K341,METRICS!D:E,2,0)</f>
        <v>TAXAS CARTÃO DE CRÉDITO</v>
      </c>
    </row>
    <row r="342" spans="1:12" ht="15" hidden="1">
      <c r="A342" t="s">
        <v>926</v>
      </c>
      <c r="B342" t="s">
        <v>689</v>
      </c>
      <c r="C342" t="s">
        <v>690</v>
      </c>
      <c r="D342" t="s">
        <v>733</v>
      </c>
      <c r="E342" t="s">
        <v>734</v>
      </c>
      <c r="F342" t="s">
        <v>1272</v>
      </c>
      <c r="G342" t="s">
        <v>665</v>
      </c>
      <c r="H342" s="595">
        <v>-37.520000000000003</v>
      </c>
      <c r="I342" t="str">
        <f t="shared" si="12"/>
        <v>janeiro 2026</v>
      </c>
      <c r="J342">
        <f t="shared" si="13"/>
        <v>2026</v>
      </c>
      <c r="K342" t="str">
        <f>VLOOKUP(G342,METRICS!C:D,2,0)</f>
        <v>Taxas Financeiras Diversas</v>
      </c>
      <c r="L342" t="str">
        <f>VLOOKUP(K342,METRICS!D:E,2,0)</f>
        <v>TAXAS CARTÃO DE CRÉDITO</v>
      </c>
    </row>
    <row r="343" spans="1:12" ht="15" hidden="1">
      <c r="A343" t="s">
        <v>926</v>
      </c>
      <c r="B343" t="s">
        <v>689</v>
      </c>
      <c r="C343" t="s">
        <v>690</v>
      </c>
      <c r="D343" t="s">
        <v>733</v>
      </c>
      <c r="E343" t="s">
        <v>734</v>
      </c>
      <c r="F343" t="s">
        <v>1272</v>
      </c>
      <c r="G343" t="s">
        <v>665</v>
      </c>
      <c r="H343" s="595">
        <v>-3.18</v>
      </c>
      <c r="I343" t="str">
        <f t="shared" si="12"/>
        <v>janeiro 2026</v>
      </c>
      <c r="J343">
        <f t="shared" si="13"/>
        <v>2026</v>
      </c>
      <c r="K343" t="str">
        <f>VLOOKUP(G343,METRICS!C:D,2,0)</f>
        <v>Taxas Financeiras Diversas</v>
      </c>
      <c r="L343" t="str">
        <f>VLOOKUP(K343,METRICS!D:E,2,0)</f>
        <v>TAXAS CARTÃO DE CRÉDITO</v>
      </c>
    </row>
    <row r="344" spans="1:12" ht="15" hidden="1">
      <c r="A344" t="s">
        <v>926</v>
      </c>
      <c r="B344" t="s">
        <v>689</v>
      </c>
      <c r="C344" t="s">
        <v>690</v>
      </c>
      <c r="D344" t="s">
        <v>753</v>
      </c>
      <c r="E344" t="s">
        <v>734</v>
      </c>
      <c r="F344" t="s">
        <v>1272</v>
      </c>
      <c r="G344" t="s">
        <v>665</v>
      </c>
      <c r="H344" s="595">
        <v>-17.38</v>
      </c>
      <c r="I344" t="str">
        <f t="shared" si="12"/>
        <v>janeiro 2026</v>
      </c>
      <c r="J344">
        <f t="shared" si="13"/>
        <v>2026</v>
      </c>
      <c r="K344" t="str">
        <f>VLOOKUP(G344,METRICS!C:D,2,0)</f>
        <v>Taxas Financeiras Diversas</v>
      </c>
      <c r="L344" t="str">
        <f>VLOOKUP(K344,METRICS!D:E,2,0)</f>
        <v>TAXAS CARTÃO DE CRÉDITO</v>
      </c>
    </row>
    <row r="345" spans="1:12" ht="15" hidden="1">
      <c r="A345" t="s">
        <v>926</v>
      </c>
      <c r="B345" t="s">
        <v>689</v>
      </c>
      <c r="C345" t="s">
        <v>690</v>
      </c>
      <c r="D345" t="s">
        <v>733</v>
      </c>
      <c r="E345" t="s">
        <v>734</v>
      </c>
      <c r="F345" t="s">
        <v>1272</v>
      </c>
      <c r="G345" t="s">
        <v>665</v>
      </c>
      <c r="H345" s="595">
        <v>-4.45</v>
      </c>
      <c r="I345" t="str">
        <f t="shared" si="12"/>
        <v>janeiro 2026</v>
      </c>
      <c r="J345">
        <f t="shared" si="13"/>
        <v>2026</v>
      </c>
      <c r="K345" t="str">
        <f>VLOOKUP(G345,METRICS!C:D,2,0)</f>
        <v>Taxas Financeiras Diversas</v>
      </c>
      <c r="L345" t="str">
        <f>VLOOKUP(K345,METRICS!D:E,2,0)</f>
        <v>TAXAS CARTÃO DE CRÉDITO</v>
      </c>
    </row>
    <row r="346" spans="1:12" ht="15" hidden="1">
      <c r="A346" t="s">
        <v>926</v>
      </c>
      <c r="B346" t="s">
        <v>689</v>
      </c>
      <c r="C346" t="s">
        <v>690</v>
      </c>
      <c r="D346" t="s">
        <v>733</v>
      </c>
      <c r="E346" t="s">
        <v>734</v>
      </c>
      <c r="F346" t="s">
        <v>1272</v>
      </c>
      <c r="G346" t="s">
        <v>665</v>
      </c>
      <c r="H346" s="595">
        <v>-3.75</v>
      </c>
      <c r="I346" t="str">
        <f t="shared" si="12"/>
        <v>janeiro 2026</v>
      </c>
      <c r="J346">
        <f t="shared" si="13"/>
        <v>2026</v>
      </c>
      <c r="K346" t="str">
        <f>VLOOKUP(G346,METRICS!C:D,2,0)</f>
        <v>Taxas Financeiras Diversas</v>
      </c>
      <c r="L346" t="str">
        <f>VLOOKUP(K346,METRICS!D:E,2,0)</f>
        <v>TAXAS CARTÃO DE CRÉDITO</v>
      </c>
    </row>
    <row r="347" spans="1:12" ht="15" hidden="1">
      <c r="A347" t="s">
        <v>926</v>
      </c>
      <c r="B347" t="s">
        <v>689</v>
      </c>
      <c r="C347" t="s">
        <v>690</v>
      </c>
      <c r="D347" t="s">
        <v>743</v>
      </c>
      <c r="E347" t="s">
        <v>734</v>
      </c>
      <c r="F347" t="s">
        <v>1272</v>
      </c>
      <c r="G347" t="s">
        <v>665</v>
      </c>
      <c r="H347" s="595">
        <v>-1.55</v>
      </c>
      <c r="I347" t="str">
        <f t="shared" si="12"/>
        <v>janeiro 2026</v>
      </c>
      <c r="J347">
        <f t="shared" si="13"/>
        <v>2026</v>
      </c>
      <c r="K347" t="str">
        <f>VLOOKUP(G347,METRICS!C:D,2,0)</f>
        <v>Taxas Financeiras Diversas</v>
      </c>
      <c r="L347" t="str">
        <f>VLOOKUP(K347,METRICS!D:E,2,0)</f>
        <v>TAXAS CARTÃO DE CRÉDITO</v>
      </c>
    </row>
    <row r="348" spans="1:12" ht="15" hidden="1">
      <c r="A348" t="s">
        <v>926</v>
      </c>
      <c r="B348" t="s">
        <v>689</v>
      </c>
      <c r="C348" t="s">
        <v>690</v>
      </c>
      <c r="D348" t="s">
        <v>733</v>
      </c>
      <c r="E348" t="s">
        <v>734</v>
      </c>
      <c r="F348" t="s">
        <v>1272</v>
      </c>
      <c r="G348" t="s">
        <v>665</v>
      </c>
      <c r="H348" s="595">
        <v>-4.3600000000000003</v>
      </c>
      <c r="I348" t="str">
        <f t="shared" si="12"/>
        <v>janeiro 2026</v>
      </c>
      <c r="J348">
        <f t="shared" si="13"/>
        <v>2026</v>
      </c>
      <c r="K348" t="str">
        <f>VLOOKUP(G348,METRICS!C:D,2,0)</f>
        <v>Taxas Financeiras Diversas</v>
      </c>
      <c r="L348" t="str">
        <f>VLOOKUP(K348,METRICS!D:E,2,0)</f>
        <v>TAXAS CARTÃO DE CRÉDITO</v>
      </c>
    </row>
    <row r="349" spans="1:12" ht="15" hidden="1">
      <c r="A349" t="s">
        <v>926</v>
      </c>
      <c r="B349" t="s">
        <v>689</v>
      </c>
      <c r="C349" t="s">
        <v>690</v>
      </c>
      <c r="D349" t="s">
        <v>733</v>
      </c>
      <c r="E349" t="s">
        <v>734</v>
      </c>
      <c r="F349" t="s">
        <v>1272</v>
      </c>
      <c r="G349" t="s">
        <v>665</v>
      </c>
      <c r="H349" s="595">
        <v>-8.8699999999999992</v>
      </c>
      <c r="I349" t="str">
        <f t="shared" si="12"/>
        <v>janeiro 2026</v>
      </c>
      <c r="J349">
        <f t="shared" si="13"/>
        <v>2026</v>
      </c>
      <c r="K349" t="str">
        <f>VLOOKUP(G349,METRICS!C:D,2,0)</f>
        <v>Taxas Financeiras Diversas</v>
      </c>
      <c r="L349" t="str">
        <f>VLOOKUP(K349,METRICS!D:E,2,0)</f>
        <v>TAXAS CARTÃO DE CRÉDITO</v>
      </c>
    </row>
    <row r="350" spans="1:12" ht="15" hidden="1">
      <c r="A350" t="s">
        <v>926</v>
      </c>
      <c r="B350" t="s">
        <v>689</v>
      </c>
      <c r="C350" t="s">
        <v>690</v>
      </c>
      <c r="D350" t="s">
        <v>743</v>
      </c>
      <c r="E350" t="s">
        <v>734</v>
      </c>
      <c r="F350" t="s">
        <v>1272</v>
      </c>
      <c r="G350" t="s">
        <v>665</v>
      </c>
      <c r="H350" s="595">
        <v>-3.74</v>
      </c>
      <c r="I350" t="str">
        <f t="shared" si="12"/>
        <v>janeiro 2026</v>
      </c>
      <c r="J350">
        <f t="shared" si="13"/>
        <v>2026</v>
      </c>
      <c r="K350" t="str">
        <f>VLOOKUP(G350,METRICS!C:D,2,0)</f>
        <v>Taxas Financeiras Diversas</v>
      </c>
      <c r="L350" t="str">
        <f>VLOOKUP(K350,METRICS!D:E,2,0)</f>
        <v>TAXAS CARTÃO DE CRÉDITO</v>
      </c>
    </row>
    <row r="351" spans="1:12" ht="15" hidden="1">
      <c r="A351" t="s">
        <v>926</v>
      </c>
      <c r="B351" t="s">
        <v>689</v>
      </c>
      <c r="C351" t="s">
        <v>690</v>
      </c>
      <c r="D351" t="s">
        <v>733</v>
      </c>
      <c r="E351" t="s">
        <v>734</v>
      </c>
      <c r="F351" t="s">
        <v>1272</v>
      </c>
      <c r="G351" t="s">
        <v>665</v>
      </c>
      <c r="H351" s="595">
        <v>-10.01</v>
      </c>
      <c r="I351" t="str">
        <f t="shared" si="12"/>
        <v>janeiro 2026</v>
      </c>
      <c r="J351">
        <f t="shared" si="13"/>
        <v>2026</v>
      </c>
      <c r="K351" t="str">
        <f>VLOOKUP(G351,METRICS!C:D,2,0)</f>
        <v>Taxas Financeiras Diversas</v>
      </c>
      <c r="L351" t="str">
        <f>VLOOKUP(K351,METRICS!D:E,2,0)</f>
        <v>TAXAS CARTÃO DE CRÉDITO</v>
      </c>
    </row>
    <row r="352" spans="1:12" ht="15" hidden="1">
      <c r="A352" t="s">
        <v>926</v>
      </c>
      <c r="B352" t="s">
        <v>689</v>
      </c>
      <c r="C352" t="s">
        <v>690</v>
      </c>
      <c r="D352" t="s">
        <v>733</v>
      </c>
      <c r="E352" t="s">
        <v>734</v>
      </c>
      <c r="F352" t="s">
        <v>1272</v>
      </c>
      <c r="G352" t="s">
        <v>665</v>
      </c>
      <c r="H352" s="595">
        <v>-1.42</v>
      </c>
      <c r="I352" t="str">
        <f t="shared" si="12"/>
        <v>janeiro 2026</v>
      </c>
      <c r="J352">
        <f t="shared" si="13"/>
        <v>2026</v>
      </c>
      <c r="K352" t="str">
        <f>VLOOKUP(G352,METRICS!C:D,2,0)</f>
        <v>Taxas Financeiras Diversas</v>
      </c>
      <c r="L352" t="str">
        <f>VLOOKUP(K352,METRICS!D:E,2,0)</f>
        <v>TAXAS CARTÃO DE CRÉDITO</v>
      </c>
    </row>
    <row r="353" spans="1:12" ht="15" hidden="1">
      <c r="A353" t="s">
        <v>926</v>
      </c>
      <c r="B353" t="s">
        <v>689</v>
      </c>
      <c r="C353" t="s">
        <v>690</v>
      </c>
      <c r="D353" t="s">
        <v>733</v>
      </c>
      <c r="E353" t="s">
        <v>734</v>
      </c>
      <c r="F353" t="s">
        <v>1272</v>
      </c>
      <c r="G353" t="s">
        <v>665</v>
      </c>
      <c r="H353" s="595">
        <v>-0.53</v>
      </c>
      <c r="I353" t="str">
        <f t="shared" si="12"/>
        <v>janeiro 2026</v>
      </c>
      <c r="J353">
        <f t="shared" si="13"/>
        <v>2026</v>
      </c>
      <c r="K353" t="str">
        <f>VLOOKUP(G353,METRICS!C:D,2,0)</f>
        <v>Taxas Financeiras Diversas</v>
      </c>
      <c r="L353" t="str">
        <f>VLOOKUP(K353,METRICS!D:E,2,0)</f>
        <v>TAXAS CARTÃO DE CRÉDITO</v>
      </c>
    </row>
    <row r="354" spans="1:12" ht="15" hidden="1">
      <c r="A354" t="s">
        <v>926</v>
      </c>
      <c r="B354" t="s">
        <v>689</v>
      </c>
      <c r="C354" t="s">
        <v>690</v>
      </c>
      <c r="D354" t="s">
        <v>733</v>
      </c>
      <c r="E354" t="s">
        <v>734</v>
      </c>
      <c r="F354" t="s">
        <v>1272</v>
      </c>
      <c r="G354" t="s">
        <v>665</v>
      </c>
      <c r="H354" s="595">
        <v>-9.34</v>
      </c>
      <c r="I354" t="str">
        <f t="shared" ref="I354:I398" si="14">TEXT(A354, "mmmm aaaa")</f>
        <v>janeiro 2026</v>
      </c>
      <c r="J354">
        <f t="shared" si="13"/>
        <v>2026</v>
      </c>
      <c r="K354" t="str">
        <f>VLOOKUP(G354,METRICS!C:D,2,0)</f>
        <v>Taxas Financeiras Diversas</v>
      </c>
      <c r="L354" t="str">
        <f>VLOOKUP(K354,METRICS!D:E,2,0)</f>
        <v>TAXAS CARTÃO DE CRÉDITO</v>
      </c>
    </row>
    <row r="355" spans="1:12" ht="15" hidden="1">
      <c r="A355" t="s">
        <v>926</v>
      </c>
      <c r="B355" t="s">
        <v>689</v>
      </c>
      <c r="C355" t="s">
        <v>690</v>
      </c>
      <c r="D355" t="s">
        <v>733</v>
      </c>
      <c r="E355" t="s">
        <v>734</v>
      </c>
      <c r="F355" t="s">
        <v>1272</v>
      </c>
      <c r="G355" t="s">
        <v>665</v>
      </c>
      <c r="H355" s="595">
        <v>-2.27</v>
      </c>
      <c r="I355" t="str">
        <f t="shared" si="14"/>
        <v>janeiro 2026</v>
      </c>
      <c r="J355">
        <f t="shared" si="13"/>
        <v>2026</v>
      </c>
      <c r="K355" t="str">
        <f>VLOOKUP(G355,METRICS!C:D,2,0)</f>
        <v>Taxas Financeiras Diversas</v>
      </c>
      <c r="L355" t="str">
        <f>VLOOKUP(K355,METRICS!D:E,2,0)</f>
        <v>TAXAS CARTÃO DE CRÉDITO</v>
      </c>
    </row>
    <row r="356" spans="1:12" ht="15" hidden="1">
      <c r="A356" t="s">
        <v>926</v>
      </c>
      <c r="B356" t="s">
        <v>689</v>
      </c>
      <c r="C356" t="s">
        <v>690</v>
      </c>
      <c r="D356" t="s">
        <v>743</v>
      </c>
      <c r="E356" t="s">
        <v>734</v>
      </c>
      <c r="F356" t="s">
        <v>1272</v>
      </c>
      <c r="G356" t="s">
        <v>665</v>
      </c>
      <c r="H356" s="595">
        <v>-0.15</v>
      </c>
      <c r="I356" t="str">
        <f t="shared" si="14"/>
        <v>janeiro 2026</v>
      </c>
      <c r="J356">
        <f t="shared" si="13"/>
        <v>2026</v>
      </c>
      <c r="K356" t="str">
        <f>VLOOKUP(G356,METRICS!C:D,2,0)</f>
        <v>Taxas Financeiras Diversas</v>
      </c>
      <c r="L356" t="str">
        <f>VLOOKUP(K356,METRICS!D:E,2,0)</f>
        <v>TAXAS CARTÃO DE CRÉDITO</v>
      </c>
    </row>
    <row r="357" spans="1:12" ht="15" hidden="1">
      <c r="A357" t="s">
        <v>926</v>
      </c>
      <c r="B357" t="s">
        <v>689</v>
      </c>
      <c r="C357" t="s">
        <v>690</v>
      </c>
      <c r="D357" t="s">
        <v>733</v>
      </c>
      <c r="E357" t="s">
        <v>734</v>
      </c>
      <c r="F357" t="s">
        <v>1272</v>
      </c>
      <c r="G357" t="s">
        <v>665</v>
      </c>
      <c r="H357" s="595">
        <v>-0.84</v>
      </c>
      <c r="I357" t="str">
        <f t="shared" si="14"/>
        <v>janeiro 2026</v>
      </c>
      <c r="J357">
        <f t="shared" si="13"/>
        <v>2026</v>
      </c>
      <c r="K357" t="str">
        <f>VLOOKUP(G357,METRICS!C:D,2,0)</f>
        <v>Taxas Financeiras Diversas</v>
      </c>
      <c r="L357" t="str">
        <f>VLOOKUP(K357,METRICS!D:E,2,0)</f>
        <v>TAXAS CARTÃO DE CRÉDITO</v>
      </c>
    </row>
    <row r="358" spans="1:12" ht="15" hidden="1">
      <c r="A358" t="s">
        <v>926</v>
      </c>
      <c r="B358" t="s">
        <v>689</v>
      </c>
      <c r="C358" t="s">
        <v>690</v>
      </c>
      <c r="D358" t="s">
        <v>743</v>
      </c>
      <c r="E358" t="s">
        <v>734</v>
      </c>
      <c r="F358" t="s">
        <v>1272</v>
      </c>
      <c r="G358" t="s">
        <v>665</v>
      </c>
      <c r="H358" s="595">
        <v>-6.14</v>
      </c>
      <c r="I358" t="str">
        <f t="shared" si="14"/>
        <v>janeiro 2026</v>
      </c>
      <c r="J358">
        <f t="shared" si="13"/>
        <v>2026</v>
      </c>
      <c r="K358" t="str">
        <f>VLOOKUP(G358,METRICS!C:D,2,0)</f>
        <v>Taxas Financeiras Diversas</v>
      </c>
      <c r="L358" t="str">
        <f>VLOOKUP(K358,METRICS!D:E,2,0)</f>
        <v>TAXAS CARTÃO DE CRÉDITO</v>
      </c>
    </row>
    <row r="359" spans="1:12" ht="15" hidden="1">
      <c r="A359" t="s">
        <v>926</v>
      </c>
      <c r="B359" t="s">
        <v>689</v>
      </c>
      <c r="C359" t="s">
        <v>690</v>
      </c>
      <c r="D359" t="s">
        <v>733</v>
      </c>
      <c r="E359" t="s">
        <v>734</v>
      </c>
      <c r="F359" t="s">
        <v>1272</v>
      </c>
      <c r="G359" t="s">
        <v>665</v>
      </c>
      <c r="H359" s="595">
        <v>-10.47</v>
      </c>
      <c r="I359" t="str">
        <f t="shared" si="14"/>
        <v>janeiro 2026</v>
      </c>
      <c r="J359">
        <f t="shared" si="13"/>
        <v>2026</v>
      </c>
      <c r="K359" t="str">
        <f>VLOOKUP(G359,METRICS!C:D,2,0)</f>
        <v>Taxas Financeiras Diversas</v>
      </c>
      <c r="L359" t="str">
        <f>VLOOKUP(K359,METRICS!D:E,2,0)</f>
        <v>TAXAS CARTÃO DE CRÉDITO</v>
      </c>
    </row>
    <row r="360" spans="1:12" ht="15" hidden="1">
      <c r="A360" t="s">
        <v>926</v>
      </c>
      <c r="B360" t="s">
        <v>689</v>
      </c>
      <c r="C360" t="s">
        <v>690</v>
      </c>
      <c r="D360" t="s">
        <v>733</v>
      </c>
      <c r="E360" t="s">
        <v>734</v>
      </c>
      <c r="F360" t="s">
        <v>1272</v>
      </c>
      <c r="G360" t="s">
        <v>665</v>
      </c>
      <c r="H360" s="595">
        <v>-2.86</v>
      </c>
      <c r="I360" t="str">
        <f t="shared" si="14"/>
        <v>janeiro 2026</v>
      </c>
      <c r="J360">
        <f t="shared" si="13"/>
        <v>2026</v>
      </c>
      <c r="K360" t="str">
        <f>VLOOKUP(G360,METRICS!C:D,2,0)</f>
        <v>Taxas Financeiras Diversas</v>
      </c>
      <c r="L360" t="str">
        <f>VLOOKUP(K360,METRICS!D:E,2,0)</f>
        <v>TAXAS CARTÃO DE CRÉDITO</v>
      </c>
    </row>
    <row r="361" spans="1:12" ht="15" hidden="1">
      <c r="A361" t="s">
        <v>926</v>
      </c>
      <c r="B361" t="s">
        <v>689</v>
      </c>
      <c r="C361" t="s">
        <v>690</v>
      </c>
      <c r="D361" t="s">
        <v>733</v>
      </c>
      <c r="E361" t="s">
        <v>734</v>
      </c>
      <c r="F361" t="s">
        <v>1272</v>
      </c>
      <c r="G361" t="s">
        <v>665</v>
      </c>
      <c r="H361" s="595">
        <v>-1.32</v>
      </c>
      <c r="I361" t="str">
        <f t="shared" si="14"/>
        <v>janeiro 2026</v>
      </c>
      <c r="J361">
        <f t="shared" si="13"/>
        <v>2026</v>
      </c>
      <c r="K361" t="str">
        <f>VLOOKUP(G361,METRICS!C:D,2,0)</f>
        <v>Taxas Financeiras Diversas</v>
      </c>
      <c r="L361" t="str">
        <f>VLOOKUP(K361,METRICS!D:E,2,0)</f>
        <v>TAXAS CARTÃO DE CRÉDITO</v>
      </c>
    </row>
    <row r="362" spans="1:12" ht="15" hidden="1">
      <c r="A362" t="s">
        <v>926</v>
      </c>
      <c r="B362" t="s">
        <v>689</v>
      </c>
      <c r="C362" t="s">
        <v>690</v>
      </c>
      <c r="D362" t="s">
        <v>743</v>
      </c>
      <c r="E362" t="s">
        <v>734</v>
      </c>
      <c r="F362" t="s">
        <v>1272</v>
      </c>
      <c r="G362" t="s">
        <v>665</v>
      </c>
      <c r="H362" s="595">
        <v>-7.46</v>
      </c>
      <c r="I362" t="str">
        <f t="shared" si="14"/>
        <v>janeiro 2026</v>
      </c>
      <c r="J362">
        <f t="shared" si="13"/>
        <v>2026</v>
      </c>
      <c r="K362" t="str">
        <f>VLOOKUP(G362,METRICS!C:D,2,0)</f>
        <v>Taxas Financeiras Diversas</v>
      </c>
      <c r="L362" t="str">
        <f>VLOOKUP(K362,METRICS!D:E,2,0)</f>
        <v>TAXAS CARTÃO DE CRÉDITO</v>
      </c>
    </row>
    <row r="363" spans="1:12" ht="15" hidden="1">
      <c r="A363" t="s">
        <v>926</v>
      </c>
      <c r="B363" t="s">
        <v>689</v>
      </c>
      <c r="C363" t="s">
        <v>690</v>
      </c>
      <c r="D363" t="s">
        <v>733</v>
      </c>
      <c r="E363" t="s">
        <v>734</v>
      </c>
      <c r="F363" t="s">
        <v>1272</v>
      </c>
      <c r="G363" t="s">
        <v>665</v>
      </c>
      <c r="H363" s="595">
        <v>-92.95</v>
      </c>
      <c r="I363" t="str">
        <f t="shared" si="14"/>
        <v>janeiro 2026</v>
      </c>
      <c r="J363">
        <f t="shared" si="13"/>
        <v>2026</v>
      </c>
      <c r="K363" t="str">
        <f>VLOOKUP(G363,METRICS!C:D,2,0)</f>
        <v>Taxas Financeiras Diversas</v>
      </c>
      <c r="L363" t="str">
        <f>VLOOKUP(K363,METRICS!D:E,2,0)</f>
        <v>TAXAS CARTÃO DE CRÉDITO</v>
      </c>
    </row>
    <row r="364" spans="1:12" ht="15" hidden="1">
      <c r="A364" t="s">
        <v>926</v>
      </c>
      <c r="B364" t="s">
        <v>689</v>
      </c>
      <c r="C364" t="s">
        <v>690</v>
      </c>
      <c r="D364" t="s">
        <v>743</v>
      </c>
      <c r="E364" t="s">
        <v>734</v>
      </c>
      <c r="F364" t="s">
        <v>1272</v>
      </c>
      <c r="G364" t="s">
        <v>665</v>
      </c>
      <c r="H364" s="595">
        <v>-2.86</v>
      </c>
      <c r="I364" t="str">
        <f t="shared" si="14"/>
        <v>janeiro 2026</v>
      </c>
      <c r="J364">
        <f t="shared" si="13"/>
        <v>2026</v>
      </c>
      <c r="K364" t="str">
        <f>VLOOKUP(G364,METRICS!C:D,2,0)</f>
        <v>Taxas Financeiras Diversas</v>
      </c>
      <c r="L364" t="str">
        <f>VLOOKUP(K364,METRICS!D:E,2,0)</f>
        <v>TAXAS CARTÃO DE CRÉDITO</v>
      </c>
    </row>
    <row r="365" spans="1:12" ht="15" hidden="1">
      <c r="A365" t="s">
        <v>926</v>
      </c>
      <c r="B365" t="s">
        <v>689</v>
      </c>
      <c r="C365" t="s">
        <v>690</v>
      </c>
      <c r="D365" t="s">
        <v>733</v>
      </c>
      <c r="E365" t="s">
        <v>734</v>
      </c>
      <c r="F365" t="s">
        <v>1272</v>
      </c>
      <c r="G365" t="s">
        <v>665</v>
      </c>
      <c r="H365" s="595">
        <v>-9.34</v>
      </c>
      <c r="I365" t="str">
        <f t="shared" si="14"/>
        <v>janeiro 2026</v>
      </c>
      <c r="J365">
        <f t="shared" si="13"/>
        <v>2026</v>
      </c>
      <c r="K365" t="str">
        <f>VLOOKUP(G365,METRICS!C:D,2,0)</f>
        <v>Taxas Financeiras Diversas</v>
      </c>
      <c r="L365" t="str">
        <f>VLOOKUP(K365,METRICS!D:E,2,0)</f>
        <v>TAXAS CARTÃO DE CRÉDITO</v>
      </c>
    </row>
    <row r="366" spans="1:12" ht="15" hidden="1">
      <c r="A366" t="s">
        <v>926</v>
      </c>
      <c r="B366" t="s">
        <v>689</v>
      </c>
      <c r="C366" t="s">
        <v>690</v>
      </c>
      <c r="D366" t="s">
        <v>743</v>
      </c>
      <c r="E366" t="s">
        <v>734</v>
      </c>
      <c r="F366" t="s">
        <v>1272</v>
      </c>
      <c r="G366" t="s">
        <v>665</v>
      </c>
      <c r="H366" s="595">
        <v>-14.77</v>
      </c>
      <c r="I366" t="str">
        <f t="shared" si="14"/>
        <v>janeiro 2026</v>
      </c>
      <c r="J366">
        <f t="shared" si="13"/>
        <v>2026</v>
      </c>
      <c r="K366" t="str">
        <f>VLOOKUP(G366,METRICS!C:D,2,0)</f>
        <v>Taxas Financeiras Diversas</v>
      </c>
      <c r="L366" t="str">
        <f>VLOOKUP(K366,METRICS!D:E,2,0)</f>
        <v>TAXAS CARTÃO DE CRÉDITO</v>
      </c>
    </row>
    <row r="367" spans="1:12" ht="15" hidden="1">
      <c r="A367" t="s">
        <v>926</v>
      </c>
      <c r="B367" t="s">
        <v>689</v>
      </c>
      <c r="C367" t="s">
        <v>690</v>
      </c>
      <c r="D367" t="s">
        <v>743</v>
      </c>
      <c r="E367" t="s">
        <v>734</v>
      </c>
      <c r="F367" t="s">
        <v>1272</v>
      </c>
      <c r="G367" t="s">
        <v>665</v>
      </c>
      <c r="H367" s="595">
        <v>-0.57999999999999996</v>
      </c>
      <c r="I367" t="str">
        <f t="shared" si="14"/>
        <v>janeiro 2026</v>
      </c>
      <c r="J367">
        <f t="shared" si="13"/>
        <v>2026</v>
      </c>
      <c r="K367" t="str">
        <f>VLOOKUP(G367,METRICS!C:D,2,0)</f>
        <v>Taxas Financeiras Diversas</v>
      </c>
      <c r="L367" t="str">
        <f>VLOOKUP(K367,METRICS!D:E,2,0)</f>
        <v>TAXAS CARTÃO DE CRÉDITO</v>
      </c>
    </row>
    <row r="368" spans="1:12" ht="15" hidden="1">
      <c r="A368" t="s">
        <v>926</v>
      </c>
      <c r="B368" t="s">
        <v>689</v>
      </c>
      <c r="C368" t="s">
        <v>690</v>
      </c>
      <c r="D368" t="s">
        <v>733</v>
      </c>
      <c r="E368" t="s">
        <v>734</v>
      </c>
      <c r="F368" t="s">
        <v>1272</v>
      </c>
      <c r="G368" t="s">
        <v>665</v>
      </c>
      <c r="H368" s="595">
        <v>-3.29</v>
      </c>
      <c r="I368" t="str">
        <f t="shared" si="14"/>
        <v>janeiro 2026</v>
      </c>
      <c r="J368">
        <f t="shared" si="13"/>
        <v>2026</v>
      </c>
      <c r="K368" t="str">
        <f>VLOOKUP(G368,METRICS!C:D,2,0)</f>
        <v>Taxas Financeiras Diversas</v>
      </c>
      <c r="L368" t="str">
        <f>VLOOKUP(K368,METRICS!D:E,2,0)</f>
        <v>TAXAS CARTÃO DE CRÉDITO</v>
      </c>
    </row>
    <row r="369" spans="1:12" ht="15" hidden="1">
      <c r="A369" t="s">
        <v>926</v>
      </c>
      <c r="B369" t="s">
        <v>689</v>
      </c>
      <c r="C369" t="s">
        <v>690</v>
      </c>
      <c r="D369" t="s">
        <v>733</v>
      </c>
      <c r="E369" t="s">
        <v>734</v>
      </c>
      <c r="F369" t="s">
        <v>1272</v>
      </c>
      <c r="G369" t="s">
        <v>665</v>
      </c>
      <c r="H369" s="595">
        <v>-2.29</v>
      </c>
      <c r="I369" t="str">
        <f t="shared" si="14"/>
        <v>janeiro 2026</v>
      </c>
      <c r="J369">
        <f t="shared" si="13"/>
        <v>2026</v>
      </c>
      <c r="K369" t="str">
        <f>VLOOKUP(G369,METRICS!C:D,2,0)</f>
        <v>Taxas Financeiras Diversas</v>
      </c>
      <c r="L369" t="str">
        <f>VLOOKUP(K369,METRICS!D:E,2,0)</f>
        <v>TAXAS CARTÃO DE CRÉDITO</v>
      </c>
    </row>
    <row r="370" spans="1:12" ht="15" hidden="1">
      <c r="A370" t="s">
        <v>926</v>
      </c>
      <c r="B370" t="s">
        <v>689</v>
      </c>
      <c r="C370" t="s">
        <v>690</v>
      </c>
      <c r="D370" t="s">
        <v>733</v>
      </c>
      <c r="E370" t="s">
        <v>734</v>
      </c>
      <c r="F370" t="s">
        <v>1272</v>
      </c>
      <c r="G370" t="s">
        <v>665</v>
      </c>
      <c r="H370" s="595">
        <v>-0.97</v>
      </c>
      <c r="I370" t="str">
        <f t="shared" si="14"/>
        <v>janeiro 2026</v>
      </c>
      <c r="J370">
        <f t="shared" si="13"/>
        <v>2026</v>
      </c>
      <c r="K370" t="str">
        <f>VLOOKUP(G370,METRICS!C:D,2,0)</f>
        <v>Taxas Financeiras Diversas</v>
      </c>
      <c r="L370" t="str">
        <f>VLOOKUP(K370,METRICS!D:E,2,0)</f>
        <v>TAXAS CARTÃO DE CRÉDITO</v>
      </c>
    </row>
    <row r="371" spans="1:12" ht="15" hidden="1">
      <c r="A371" t="s">
        <v>926</v>
      </c>
      <c r="B371" t="s">
        <v>689</v>
      </c>
      <c r="C371" t="s">
        <v>690</v>
      </c>
      <c r="D371" t="s">
        <v>733</v>
      </c>
      <c r="E371" t="s">
        <v>734</v>
      </c>
      <c r="F371" t="s">
        <v>1272</v>
      </c>
      <c r="G371" t="s">
        <v>665</v>
      </c>
      <c r="H371" s="595">
        <v>-0.94</v>
      </c>
      <c r="I371" t="str">
        <f t="shared" si="14"/>
        <v>janeiro 2026</v>
      </c>
      <c r="J371">
        <f t="shared" si="13"/>
        <v>2026</v>
      </c>
      <c r="K371" t="str">
        <f>VLOOKUP(G371,METRICS!C:D,2,0)</f>
        <v>Taxas Financeiras Diversas</v>
      </c>
      <c r="L371" t="str">
        <f>VLOOKUP(K371,METRICS!D:E,2,0)</f>
        <v>TAXAS CARTÃO DE CRÉDITO</v>
      </c>
    </row>
    <row r="372" spans="1:12" ht="15" hidden="1">
      <c r="A372" t="s">
        <v>926</v>
      </c>
      <c r="B372" t="s">
        <v>689</v>
      </c>
      <c r="C372" t="s">
        <v>690</v>
      </c>
      <c r="D372" t="s">
        <v>733</v>
      </c>
      <c r="E372" t="s">
        <v>734</v>
      </c>
      <c r="F372" t="s">
        <v>1272</v>
      </c>
      <c r="G372" t="s">
        <v>665</v>
      </c>
      <c r="H372" s="595">
        <v>-0.74</v>
      </c>
      <c r="I372" t="str">
        <f t="shared" si="14"/>
        <v>janeiro 2026</v>
      </c>
      <c r="J372">
        <f t="shared" si="13"/>
        <v>2026</v>
      </c>
      <c r="K372" t="str">
        <f>VLOOKUP(G372,METRICS!C:D,2,0)</f>
        <v>Taxas Financeiras Diversas</v>
      </c>
      <c r="L372" t="str">
        <f>VLOOKUP(K372,METRICS!D:E,2,0)</f>
        <v>TAXAS CARTÃO DE CRÉDITO</v>
      </c>
    </row>
    <row r="373" spans="1:12" ht="15" hidden="1">
      <c r="A373" t="s">
        <v>926</v>
      </c>
      <c r="B373" t="s">
        <v>689</v>
      </c>
      <c r="C373" t="s">
        <v>690</v>
      </c>
      <c r="D373" t="s">
        <v>743</v>
      </c>
      <c r="E373" t="s">
        <v>734</v>
      </c>
      <c r="F373" t="s">
        <v>1272</v>
      </c>
      <c r="G373" t="s">
        <v>665</v>
      </c>
      <c r="H373" s="595">
        <v>-14.06</v>
      </c>
      <c r="I373" t="str">
        <f t="shared" si="14"/>
        <v>janeiro 2026</v>
      </c>
      <c r="J373">
        <f t="shared" si="13"/>
        <v>2026</v>
      </c>
      <c r="K373" t="str">
        <f>VLOOKUP(G373,METRICS!C:D,2,0)</f>
        <v>Taxas Financeiras Diversas</v>
      </c>
      <c r="L373" t="str">
        <f>VLOOKUP(K373,METRICS!D:E,2,0)</f>
        <v>TAXAS CARTÃO DE CRÉDITO</v>
      </c>
    </row>
    <row r="374" spans="1:12" ht="15" hidden="1">
      <c r="A374" t="s">
        <v>926</v>
      </c>
      <c r="B374" t="s">
        <v>689</v>
      </c>
      <c r="C374" t="s">
        <v>690</v>
      </c>
      <c r="D374" t="s">
        <v>733</v>
      </c>
      <c r="E374" t="s">
        <v>734</v>
      </c>
      <c r="F374" t="s">
        <v>1272</v>
      </c>
      <c r="G374" t="s">
        <v>665</v>
      </c>
      <c r="H374" s="595">
        <v>-2.1</v>
      </c>
      <c r="I374" t="str">
        <f t="shared" si="14"/>
        <v>janeiro 2026</v>
      </c>
      <c r="J374">
        <f t="shared" si="13"/>
        <v>2026</v>
      </c>
      <c r="K374" t="str">
        <f>VLOOKUP(G374,METRICS!C:D,2,0)</f>
        <v>Taxas Financeiras Diversas</v>
      </c>
      <c r="L374" t="str">
        <f>VLOOKUP(K374,METRICS!D:E,2,0)</f>
        <v>TAXAS CARTÃO DE CRÉDITO</v>
      </c>
    </row>
    <row r="375" spans="1:12" ht="15" hidden="1">
      <c r="A375" t="s">
        <v>926</v>
      </c>
      <c r="B375" t="s">
        <v>689</v>
      </c>
      <c r="C375" t="s">
        <v>690</v>
      </c>
      <c r="D375" t="s">
        <v>743</v>
      </c>
      <c r="E375" t="s">
        <v>734</v>
      </c>
      <c r="F375" t="s">
        <v>1272</v>
      </c>
      <c r="G375" t="s">
        <v>665</v>
      </c>
      <c r="H375" s="595">
        <v>-21.65</v>
      </c>
      <c r="I375" t="str">
        <f t="shared" si="14"/>
        <v>janeiro 2026</v>
      </c>
      <c r="J375">
        <f t="shared" si="13"/>
        <v>2026</v>
      </c>
      <c r="K375" t="str">
        <f>VLOOKUP(G375,METRICS!C:D,2,0)</f>
        <v>Taxas Financeiras Diversas</v>
      </c>
      <c r="L375" t="str">
        <f>VLOOKUP(K375,METRICS!D:E,2,0)</f>
        <v>TAXAS CARTÃO DE CRÉDITO</v>
      </c>
    </row>
    <row r="376" spans="1:12" ht="15" hidden="1">
      <c r="A376" t="s">
        <v>926</v>
      </c>
      <c r="B376" t="s">
        <v>689</v>
      </c>
      <c r="C376" t="s">
        <v>690</v>
      </c>
      <c r="D376" t="s">
        <v>733</v>
      </c>
      <c r="E376" t="s">
        <v>734</v>
      </c>
      <c r="F376" t="s">
        <v>1272</v>
      </c>
      <c r="G376" t="s">
        <v>665</v>
      </c>
      <c r="H376" s="595">
        <v>-2.4700000000000002</v>
      </c>
      <c r="I376" t="str">
        <f t="shared" si="14"/>
        <v>janeiro 2026</v>
      </c>
      <c r="J376">
        <f t="shared" si="13"/>
        <v>2026</v>
      </c>
      <c r="K376" t="str">
        <f>VLOOKUP(G376,METRICS!C:D,2,0)</f>
        <v>Taxas Financeiras Diversas</v>
      </c>
      <c r="L376" t="str">
        <f>VLOOKUP(K376,METRICS!D:E,2,0)</f>
        <v>TAXAS CARTÃO DE CRÉDITO</v>
      </c>
    </row>
    <row r="377" spans="1:12" ht="15" hidden="1">
      <c r="A377" t="s">
        <v>926</v>
      </c>
      <c r="B377" t="s">
        <v>689</v>
      </c>
      <c r="C377" t="s">
        <v>690</v>
      </c>
      <c r="D377" t="s">
        <v>743</v>
      </c>
      <c r="E377" t="s">
        <v>734</v>
      </c>
      <c r="F377" t="s">
        <v>1272</v>
      </c>
      <c r="G377" t="s">
        <v>665</v>
      </c>
      <c r="H377" s="595">
        <v>-5.75</v>
      </c>
      <c r="I377" t="str">
        <f t="shared" si="14"/>
        <v>janeiro 2026</v>
      </c>
      <c r="J377">
        <f t="shared" si="13"/>
        <v>2026</v>
      </c>
      <c r="K377" t="str">
        <f>VLOOKUP(G377,METRICS!C:D,2,0)</f>
        <v>Taxas Financeiras Diversas</v>
      </c>
      <c r="L377" t="str">
        <f>VLOOKUP(K377,METRICS!D:E,2,0)</f>
        <v>TAXAS CARTÃO DE CRÉDITO</v>
      </c>
    </row>
    <row r="378" spans="1:12" ht="15" hidden="1">
      <c r="A378" t="s">
        <v>926</v>
      </c>
      <c r="B378" t="s">
        <v>689</v>
      </c>
      <c r="C378" t="s">
        <v>690</v>
      </c>
      <c r="D378" t="s">
        <v>743</v>
      </c>
      <c r="E378" t="s">
        <v>734</v>
      </c>
      <c r="F378" t="s">
        <v>1272</v>
      </c>
      <c r="G378" t="s">
        <v>665</v>
      </c>
      <c r="H378" s="595">
        <v>-0.96</v>
      </c>
      <c r="I378" t="str">
        <f t="shared" si="14"/>
        <v>janeiro 2026</v>
      </c>
      <c r="J378">
        <f t="shared" si="13"/>
        <v>2026</v>
      </c>
      <c r="K378" t="str">
        <f>VLOOKUP(G378,METRICS!C:D,2,0)</f>
        <v>Taxas Financeiras Diversas</v>
      </c>
      <c r="L378" t="str">
        <f>VLOOKUP(K378,METRICS!D:E,2,0)</f>
        <v>TAXAS CARTÃO DE CRÉDITO</v>
      </c>
    </row>
    <row r="379" spans="1:12" ht="15" hidden="1">
      <c r="A379" t="s">
        <v>926</v>
      </c>
      <c r="B379" t="s">
        <v>689</v>
      </c>
      <c r="C379" t="s">
        <v>690</v>
      </c>
      <c r="D379" t="s">
        <v>733</v>
      </c>
      <c r="E379" t="s">
        <v>734</v>
      </c>
      <c r="F379" t="s">
        <v>1272</v>
      </c>
      <c r="G379" t="s">
        <v>665</v>
      </c>
      <c r="H379" s="595">
        <v>-1.47</v>
      </c>
      <c r="I379" t="str">
        <f t="shared" si="14"/>
        <v>janeiro 2026</v>
      </c>
      <c r="J379">
        <f t="shared" si="13"/>
        <v>2026</v>
      </c>
      <c r="K379" t="str">
        <f>VLOOKUP(G379,METRICS!C:D,2,0)</f>
        <v>Taxas Financeiras Diversas</v>
      </c>
      <c r="L379" t="str">
        <f>VLOOKUP(K379,METRICS!D:E,2,0)</f>
        <v>TAXAS CARTÃO DE CRÉDITO</v>
      </c>
    </row>
    <row r="380" spans="1:12" ht="15" hidden="1">
      <c r="A380" t="s">
        <v>926</v>
      </c>
      <c r="B380" t="s">
        <v>689</v>
      </c>
      <c r="C380" t="s">
        <v>690</v>
      </c>
      <c r="D380" t="s">
        <v>743</v>
      </c>
      <c r="E380" t="s">
        <v>734</v>
      </c>
      <c r="F380" t="s">
        <v>1272</v>
      </c>
      <c r="G380" t="s">
        <v>665</v>
      </c>
      <c r="H380" s="595">
        <v>-11.58</v>
      </c>
      <c r="I380" t="str">
        <f t="shared" si="14"/>
        <v>janeiro 2026</v>
      </c>
      <c r="J380">
        <f t="shared" ref="J380:J443" si="15">YEAR(A380)</f>
        <v>2026</v>
      </c>
      <c r="K380" t="str">
        <f>VLOOKUP(G380,METRICS!C:D,2,0)</f>
        <v>Taxas Financeiras Diversas</v>
      </c>
      <c r="L380" t="str">
        <f>VLOOKUP(K380,METRICS!D:E,2,0)</f>
        <v>TAXAS CARTÃO DE CRÉDITO</v>
      </c>
    </row>
    <row r="381" spans="1:12" ht="15" hidden="1">
      <c r="A381" t="s">
        <v>926</v>
      </c>
      <c r="B381" t="s">
        <v>689</v>
      </c>
      <c r="C381" t="s">
        <v>690</v>
      </c>
      <c r="D381" t="s">
        <v>733</v>
      </c>
      <c r="E381" t="s">
        <v>734</v>
      </c>
      <c r="F381" t="s">
        <v>1272</v>
      </c>
      <c r="G381" t="s">
        <v>665</v>
      </c>
      <c r="H381" s="595">
        <v>-7.21</v>
      </c>
      <c r="I381" t="str">
        <f t="shared" si="14"/>
        <v>janeiro 2026</v>
      </c>
      <c r="J381">
        <f t="shared" si="15"/>
        <v>2026</v>
      </c>
      <c r="K381" t="str">
        <f>VLOOKUP(G381,METRICS!C:D,2,0)</f>
        <v>Taxas Financeiras Diversas</v>
      </c>
      <c r="L381" t="str">
        <f>VLOOKUP(K381,METRICS!D:E,2,0)</f>
        <v>TAXAS CARTÃO DE CRÉDITO</v>
      </c>
    </row>
    <row r="382" spans="1:12" ht="15" hidden="1">
      <c r="A382" t="s">
        <v>926</v>
      </c>
      <c r="B382" t="s">
        <v>689</v>
      </c>
      <c r="C382" t="s">
        <v>690</v>
      </c>
      <c r="D382" t="s">
        <v>743</v>
      </c>
      <c r="E382" t="s">
        <v>734</v>
      </c>
      <c r="F382" t="s">
        <v>1272</v>
      </c>
      <c r="G382" t="s">
        <v>665</v>
      </c>
      <c r="H382" s="595">
        <v>-2.75</v>
      </c>
      <c r="I382" t="str">
        <f t="shared" si="14"/>
        <v>janeiro 2026</v>
      </c>
      <c r="J382">
        <f t="shared" si="15"/>
        <v>2026</v>
      </c>
      <c r="K382" t="str">
        <f>VLOOKUP(G382,METRICS!C:D,2,0)</f>
        <v>Taxas Financeiras Diversas</v>
      </c>
      <c r="L382" t="str">
        <f>VLOOKUP(K382,METRICS!D:E,2,0)</f>
        <v>TAXAS CARTÃO DE CRÉDITO</v>
      </c>
    </row>
    <row r="383" spans="1:12" ht="15" hidden="1">
      <c r="A383" t="s">
        <v>926</v>
      </c>
      <c r="B383" t="s">
        <v>689</v>
      </c>
      <c r="C383" t="s">
        <v>690</v>
      </c>
      <c r="D383" t="s">
        <v>743</v>
      </c>
      <c r="E383" t="s">
        <v>734</v>
      </c>
      <c r="F383" t="s">
        <v>1272</v>
      </c>
      <c r="G383" t="s">
        <v>665</v>
      </c>
      <c r="H383" s="595">
        <v>-6.44</v>
      </c>
      <c r="I383" t="str">
        <f t="shared" si="14"/>
        <v>janeiro 2026</v>
      </c>
      <c r="J383">
        <f t="shared" si="15"/>
        <v>2026</v>
      </c>
      <c r="K383" t="str">
        <f>VLOOKUP(G383,METRICS!C:D,2,0)</f>
        <v>Taxas Financeiras Diversas</v>
      </c>
      <c r="L383" t="str">
        <f>VLOOKUP(K383,METRICS!D:E,2,0)</f>
        <v>TAXAS CARTÃO DE CRÉDITO</v>
      </c>
    </row>
    <row r="384" spans="1:12" ht="15" hidden="1">
      <c r="A384" t="s">
        <v>926</v>
      </c>
      <c r="B384" t="s">
        <v>689</v>
      </c>
      <c r="C384" t="s">
        <v>690</v>
      </c>
      <c r="D384" t="s">
        <v>733</v>
      </c>
      <c r="E384" t="s">
        <v>734</v>
      </c>
      <c r="F384" t="s">
        <v>1272</v>
      </c>
      <c r="G384" t="s">
        <v>665</v>
      </c>
      <c r="H384" s="595">
        <v>-5.32</v>
      </c>
      <c r="I384" t="str">
        <f t="shared" si="14"/>
        <v>janeiro 2026</v>
      </c>
      <c r="J384">
        <f t="shared" si="15"/>
        <v>2026</v>
      </c>
      <c r="K384" t="str">
        <f>VLOOKUP(G384,METRICS!C:D,2,0)</f>
        <v>Taxas Financeiras Diversas</v>
      </c>
      <c r="L384" t="str">
        <f>VLOOKUP(K384,METRICS!D:E,2,0)</f>
        <v>TAXAS CARTÃO DE CRÉDITO</v>
      </c>
    </row>
    <row r="385" spans="1:12" ht="15" hidden="1">
      <c r="A385" t="s">
        <v>926</v>
      </c>
      <c r="B385" t="s">
        <v>689</v>
      </c>
      <c r="C385" t="s">
        <v>690</v>
      </c>
      <c r="D385" t="s">
        <v>733</v>
      </c>
      <c r="E385" t="s">
        <v>734</v>
      </c>
      <c r="F385" t="s">
        <v>1272</v>
      </c>
      <c r="G385" t="s">
        <v>665</v>
      </c>
      <c r="H385" s="595">
        <v>-9.61</v>
      </c>
      <c r="I385" t="str">
        <f t="shared" si="14"/>
        <v>janeiro 2026</v>
      </c>
      <c r="J385">
        <f t="shared" si="15"/>
        <v>2026</v>
      </c>
      <c r="K385" t="str">
        <f>VLOOKUP(G385,METRICS!C:D,2,0)</f>
        <v>Taxas Financeiras Diversas</v>
      </c>
      <c r="L385" t="str">
        <f>VLOOKUP(K385,METRICS!D:E,2,0)</f>
        <v>TAXAS CARTÃO DE CRÉDITO</v>
      </c>
    </row>
    <row r="386" spans="1:12" ht="15" hidden="1">
      <c r="A386" t="s">
        <v>926</v>
      </c>
      <c r="B386" t="s">
        <v>689</v>
      </c>
      <c r="C386" t="s">
        <v>690</v>
      </c>
      <c r="D386" t="s">
        <v>733</v>
      </c>
      <c r="E386" t="s">
        <v>734</v>
      </c>
      <c r="F386" t="s">
        <v>1272</v>
      </c>
      <c r="G386" t="s">
        <v>665</v>
      </c>
      <c r="H386" s="595">
        <v>-4</v>
      </c>
      <c r="I386" t="str">
        <f t="shared" si="14"/>
        <v>janeiro 2026</v>
      </c>
      <c r="J386">
        <f t="shared" si="15"/>
        <v>2026</v>
      </c>
      <c r="K386" t="str">
        <f>VLOOKUP(G386,METRICS!C:D,2,0)</f>
        <v>Taxas Financeiras Diversas</v>
      </c>
      <c r="L386" t="str">
        <f>VLOOKUP(K386,METRICS!D:E,2,0)</f>
        <v>TAXAS CARTÃO DE CRÉDITO</v>
      </c>
    </row>
    <row r="387" spans="1:12" ht="15" hidden="1">
      <c r="A387" t="s">
        <v>926</v>
      </c>
      <c r="B387" t="s">
        <v>689</v>
      </c>
      <c r="C387" t="s">
        <v>690</v>
      </c>
      <c r="D387" t="s">
        <v>743</v>
      </c>
      <c r="E387" t="s">
        <v>734</v>
      </c>
      <c r="F387" t="s">
        <v>1272</v>
      </c>
      <c r="G387" t="s">
        <v>665</v>
      </c>
      <c r="H387" s="595">
        <v>-8.1</v>
      </c>
      <c r="I387" t="str">
        <f t="shared" si="14"/>
        <v>janeiro 2026</v>
      </c>
      <c r="J387">
        <f t="shared" si="15"/>
        <v>2026</v>
      </c>
      <c r="K387" t="str">
        <f>VLOOKUP(G387,METRICS!C:D,2,0)</f>
        <v>Taxas Financeiras Diversas</v>
      </c>
      <c r="L387" t="str">
        <f>VLOOKUP(K387,METRICS!D:E,2,0)</f>
        <v>TAXAS CARTÃO DE CRÉDITO</v>
      </c>
    </row>
    <row r="388" spans="1:12" ht="15" hidden="1">
      <c r="A388" t="s">
        <v>926</v>
      </c>
      <c r="B388" t="s">
        <v>689</v>
      </c>
      <c r="C388" t="s">
        <v>690</v>
      </c>
      <c r="D388" t="s">
        <v>743</v>
      </c>
      <c r="E388" t="s">
        <v>734</v>
      </c>
      <c r="F388" t="s">
        <v>1272</v>
      </c>
      <c r="G388" t="s">
        <v>665</v>
      </c>
      <c r="H388" s="595">
        <v>-5.35</v>
      </c>
      <c r="I388" t="str">
        <f t="shared" si="14"/>
        <v>janeiro 2026</v>
      </c>
      <c r="J388">
        <f t="shared" si="15"/>
        <v>2026</v>
      </c>
      <c r="K388" t="str">
        <f>VLOOKUP(G388,METRICS!C:D,2,0)</f>
        <v>Taxas Financeiras Diversas</v>
      </c>
      <c r="L388" t="str">
        <f>VLOOKUP(K388,METRICS!D:E,2,0)</f>
        <v>TAXAS CARTÃO DE CRÉDITO</v>
      </c>
    </row>
    <row r="389" spans="1:12" ht="15" hidden="1">
      <c r="A389" t="s">
        <v>926</v>
      </c>
      <c r="B389" t="s">
        <v>689</v>
      </c>
      <c r="C389" t="s">
        <v>690</v>
      </c>
      <c r="D389" t="s">
        <v>733</v>
      </c>
      <c r="E389" t="s">
        <v>734</v>
      </c>
      <c r="F389" t="s">
        <v>1272</v>
      </c>
      <c r="G389" t="s">
        <v>665</v>
      </c>
      <c r="H389" s="595">
        <v>-11.23</v>
      </c>
      <c r="I389" t="str">
        <f t="shared" si="14"/>
        <v>janeiro 2026</v>
      </c>
      <c r="J389">
        <f t="shared" si="15"/>
        <v>2026</v>
      </c>
      <c r="K389" t="str">
        <f>VLOOKUP(G389,METRICS!C:D,2,0)</f>
        <v>Taxas Financeiras Diversas</v>
      </c>
      <c r="L389" t="str">
        <f>VLOOKUP(K389,METRICS!D:E,2,0)</f>
        <v>TAXAS CARTÃO DE CRÉDITO</v>
      </c>
    </row>
    <row r="390" spans="1:12" ht="15" hidden="1">
      <c r="A390" t="s">
        <v>926</v>
      </c>
      <c r="B390" t="s">
        <v>689</v>
      </c>
      <c r="C390" t="s">
        <v>690</v>
      </c>
      <c r="D390" t="s">
        <v>743</v>
      </c>
      <c r="E390" t="s">
        <v>734</v>
      </c>
      <c r="F390" t="s">
        <v>1272</v>
      </c>
      <c r="G390" t="s">
        <v>665</v>
      </c>
      <c r="H390" s="595">
        <v>-4.9800000000000004</v>
      </c>
      <c r="I390" t="str">
        <f t="shared" si="14"/>
        <v>janeiro 2026</v>
      </c>
      <c r="J390">
        <f t="shared" si="15"/>
        <v>2026</v>
      </c>
      <c r="K390" t="str">
        <f>VLOOKUP(G390,METRICS!C:D,2,0)</f>
        <v>Taxas Financeiras Diversas</v>
      </c>
      <c r="L390" t="str">
        <f>VLOOKUP(K390,METRICS!D:E,2,0)</f>
        <v>TAXAS CARTÃO DE CRÉDITO</v>
      </c>
    </row>
    <row r="391" spans="1:12" ht="15" hidden="1">
      <c r="A391" t="s">
        <v>926</v>
      </c>
      <c r="B391" t="s">
        <v>689</v>
      </c>
      <c r="C391" t="s">
        <v>690</v>
      </c>
      <c r="D391" t="s">
        <v>743</v>
      </c>
      <c r="E391" t="s">
        <v>734</v>
      </c>
      <c r="F391" t="s">
        <v>1272</v>
      </c>
      <c r="G391" t="s">
        <v>665</v>
      </c>
      <c r="H391" s="595">
        <v>-13.69</v>
      </c>
      <c r="I391" t="str">
        <f t="shared" si="14"/>
        <v>janeiro 2026</v>
      </c>
      <c r="J391">
        <f t="shared" si="15"/>
        <v>2026</v>
      </c>
      <c r="K391" t="str">
        <f>VLOOKUP(G391,METRICS!C:D,2,0)</f>
        <v>Taxas Financeiras Diversas</v>
      </c>
      <c r="L391" t="str">
        <f>VLOOKUP(K391,METRICS!D:E,2,0)</f>
        <v>TAXAS CARTÃO DE CRÉDITO</v>
      </c>
    </row>
    <row r="392" spans="1:12" ht="15" hidden="1">
      <c r="A392" t="s">
        <v>926</v>
      </c>
      <c r="B392" t="s">
        <v>689</v>
      </c>
      <c r="C392" t="s">
        <v>690</v>
      </c>
      <c r="D392" t="s">
        <v>743</v>
      </c>
      <c r="E392" t="s">
        <v>734</v>
      </c>
      <c r="F392" t="s">
        <v>1272</v>
      </c>
      <c r="G392" t="s">
        <v>665</v>
      </c>
      <c r="H392" s="595">
        <v>-4.9800000000000004</v>
      </c>
      <c r="I392" t="str">
        <f t="shared" si="14"/>
        <v>janeiro 2026</v>
      </c>
      <c r="J392">
        <f t="shared" si="15"/>
        <v>2026</v>
      </c>
      <c r="K392" t="str">
        <f>VLOOKUP(G392,METRICS!C:D,2,0)</f>
        <v>Taxas Financeiras Diversas</v>
      </c>
      <c r="L392" t="str">
        <f>VLOOKUP(K392,METRICS!D:E,2,0)</f>
        <v>TAXAS CARTÃO DE CRÉDITO</v>
      </c>
    </row>
    <row r="393" spans="1:12" ht="15" hidden="1">
      <c r="A393" t="s">
        <v>926</v>
      </c>
      <c r="B393" t="s">
        <v>689</v>
      </c>
      <c r="C393" t="s">
        <v>690</v>
      </c>
      <c r="D393" t="s">
        <v>743</v>
      </c>
      <c r="E393" t="s">
        <v>734</v>
      </c>
      <c r="F393" t="s">
        <v>1272</v>
      </c>
      <c r="G393" t="s">
        <v>665</v>
      </c>
      <c r="H393" s="595">
        <v>-4.3600000000000003</v>
      </c>
      <c r="I393" t="str">
        <f t="shared" si="14"/>
        <v>janeiro 2026</v>
      </c>
      <c r="J393">
        <f t="shared" si="15"/>
        <v>2026</v>
      </c>
      <c r="K393" t="str">
        <f>VLOOKUP(G393,METRICS!C:D,2,0)</f>
        <v>Taxas Financeiras Diversas</v>
      </c>
      <c r="L393" t="str">
        <f>VLOOKUP(K393,METRICS!D:E,2,0)</f>
        <v>TAXAS CARTÃO DE CRÉDITO</v>
      </c>
    </row>
    <row r="394" spans="1:12" ht="15" hidden="1">
      <c r="A394" t="s">
        <v>926</v>
      </c>
      <c r="B394" t="s">
        <v>689</v>
      </c>
      <c r="C394" t="s">
        <v>690</v>
      </c>
      <c r="D394" t="s">
        <v>743</v>
      </c>
      <c r="E394" t="s">
        <v>734</v>
      </c>
      <c r="F394" t="s">
        <v>1272</v>
      </c>
      <c r="G394" t="s">
        <v>665</v>
      </c>
      <c r="H394" s="595">
        <v>-7.42</v>
      </c>
      <c r="I394" t="str">
        <f t="shared" si="14"/>
        <v>janeiro 2026</v>
      </c>
      <c r="J394">
        <f t="shared" si="15"/>
        <v>2026</v>
      </c>
      <c r="K394" t="str">
        <f>VLOOKUP(G394,METRICS!C:D,2,0)</f>
        <v>Taxas Financeiras Diversas</v>
      </c>
      <c r="L394" t="str">
        <f>VLOOKUP(K394,METRICS!D:E,2,0)</f>
        <v>TAXAS CARTÃO DE CRÉDITO</v>
      </c>
    </row>
    <row r="395" spans="1:12" ht="15" hidden="1">
      <c r="A395" t="s">
        <v>926</v>
      </c>
      <c r="B395" t="s">
        <v>689</v>
      </c>
      <c r="C395" t="s">
        <v>690</v>
      </c>
      <c r="D395" t="s">
        <v>733</v>
      </c>
      <c r="E395" t="s">
        <v>734</v>
      </c>
      <c r="F395" t="s">
        <v>1272</v>
      </c>
      <c r="G395" t="s">
        <v>665</v>
      </c>
      <c r="H395" s="595">
        <v>-7.15</v>
      </c>
      <c r="I395" t="str">
        <f t="shared" si="14"/>
        <v>janeiro 2026</v>
      </c>
      <c r="J395">
        <f t="shared" si="15"/>
        <v>2026</v>
      </c>
      <c r="K395" t="str">
        <f>VLOOKUP(G395,METRICS!C:D,2,0)</f>
        <v>Taxas Financeiras Diversas</v>
      </c>
      <c r="L395" t="str">
        <f>VLOOKUP(K395,METRICS!D:E,2,0)</f>
        <v>TAXAS CARTÃO DE CRÉDITO</v>
      </c>
    </row>
    <row r="396" spans="1:12" ht="15" hidden="1">
      <c r="A396" t="s">
        <v>926</v>
      </c>
      <c r="B396" t="s">
        <v>689</v>
      </c>
      <c r="C396" t="s">
        <v>690</v>
      </c>
      <c r="D396" t="s">
        <v>733</v>
      </c>
      <c r="E396" t="s">
        <v>734</v>
      </c>
      <c r="F396" t="s">
        <v>1272</v>
      </c>
      <c r="G396" t="s">
        <v>665</v>
      </c>
      <c r="H396" s="595">
        <v>-3.6</v>
      </c>
      <c r="I396" t="str">
        <f t="shared" si="14"/>
        <v>janeiro 2026</v>
      </c>
      <c r="J396">
        <f t="shared" si="15"/>
        <v>2026</v>
      </c>
      <c r="K396" t="str">
        <f>VLOOKUP(G396,METRICS!C:D,2,0)</f>
        <v>Taxas Financeiras Diversas</v>
      </c>
      <c r="L396" t="str">
        <f>VLOOKUP(K396,METRICS!D:E,2,0)</f>
        <v>TAXAS CARTÃO DE CRÉDITO</v>
      </c>
    </row>
    <row r="397" spans="1:12" ht="15" hidden="1">
      <c r="A397" t="s">
        <v>926</v>
      </c>
      <c r="B397" t="s">
        <v>689</v>
      </c>
      <c r="C397" t="s">
        <v>690</v>
      </c>
      <c r="D397" t="s">
        <v>733</v>
      </c>
      <c r="E397" t="s">
        <v>734</v>
      </c>
      <c r="F397" t="s">
        <v>1272</v>
      </c>
      <c r="G397" t="s">
        <v>665</v>
      </c>
      <c r="H397" s="595">
        <v>-1.03</v>
      </c>
      <c r="I397" t="str">
        <f t="shared" si="14"/>
        <v>janeiro 2026</v>
      </c>
      <c r="J397">
        <f t="shared" si="15"/>
        <v>2026</v>
      </c>
      <c r="K397" t="str">
        <f>VLOOKUP(G397,METRICS!C:D,2,0)</f>
        <v>Taxas Financeiras Diversas</v>
      </c>
      <c r="L397" t="str">
        <f>VLOOKUP(K397,METRICS!D:E,2,0)</f>
        <v>TAXAS CARTÃO DE CRÉDITO</v>
      </c>
    </row>
    <row r="398" spans="1:12" ht="15" hidden="1">
      <c r="A398" t="s">
        <v>926</v>
      </c>
      <c r="B398" t="s">
        <v>689</v>
      </c>
      <c r="C398" t="s">
        <v>690</v>
      </c>
      <c r="D398" t="s">
        <v>733</v>
      </c>
      <c r="E398" t="s">
        <v>734</v>
      </c>
      <c r="F398" t="s">
        <v>1272</v>
      </c>
      <c r="G398" t="s">
        <v>665</v>
      </c>
      <c r="H398" s="595">
        <v>-1.2</v>
      </c>
      <c r="I398" t="str">
        <f t="shared" si="14"/>
        <v>janeiro 2026</v>
      </c>
      <c r="J398">
        <f t="shared" si="15"/>
        <v>2026</v>
      </c>
      <c r="K398" t="str">
        <f>VLOOKUP(G398,METRICS!C:D,2,0)</f>
        <v>Taxas Financeiras Diversas</v>
      </c>
      <c r="L398" t="str">
        <f>VLOOKUP(K398,METRICS!D:E,2,0)</f>
        <v>TAXAS CARTÃO DE CRÉDITO</v>
      </c>
    </row>
    <row r="399" spans="1:12" ht="15" hidden="1">
      <c r="A399" t="s">
        <v>926</v>
      </c>
      <c r="B399" t="s">
        <v>689</v>
      </c>
      <c r="C399" t="s">
        <v>690</v>
      </c>
      <c r="D399" t="s">
        <v>733</v>
      </c>
      <c r="E399" t="s">
        <v>734</v>
      </c>
      <c r="F399" t="s">
        <v>1272</v>
      </c>
      <c r="G399" t="s">
        <v>665</v>
      </c>
      <c r="H399" s="595">
        <v>-9.89</v>
      </c>
      <c r="I399" t="str">
        <f t="shared" ref="I399:I435" si="16">TEXT(A399, "mmmm aaaa")</f>
        <v>janeiro 2026</v>
      </c>
      <c r="J399">
        <f t="shared" si="15"/>
        <v>2026</v>
      </c>
      <c r="K399" t="str">
        <f>VLOOKUP(G399,METRICS!C:D,2,0)</f>
        <v>Taxas Financeiras Diversas</v>
      </c>
      <c r="L399" t="str">
        <f>VLOOKUP(K399,METRICS!D:E,2,0)</f>
        <v>TAXAS CARTÃO DE CRÉDITO</v>
      </c>
    </row>
    <row r="400" spans="1:12" ht="15" hidden="1">
      <c r="A400" t="s">
        <v>926</v>
      </c>
      <c r="B400" t="s">
        <v>689</v>
      </c>
      <c r="C400" t="s">
        <v>690</v>
      </c>
      <c r="D400" t="s">
        <v>743</v>
      </c>
      <c r="E400" t="s">
        <v>734</v>
      </c>
      <c r="F400" t="s">
        <v>1272</v>
      </c>
      <c r="G400" t="s">
        <v>665</v>
      </c>
      <c r="H400" s="595">
        <v>-5.78</v>
      </c>
      <c r="I400" t="str">
        <f t="shared" si="16"/>
        <v>janeiro 2026</v>
      </c>
      <c r="J400">
        <f t="shared" si="15"/>
        <v>2026</v>
      </c>
      <c r="K400" t="str">
        <f>VLOOKUP(G400,METRICS!C:D,2,0)</f>
        <v>Taxas Financeiras Diversas</v>
      </c>
      <c r="L400" t="str">
        <f>VLOOKUP(K400,METRICS!D:E,2,0)</f>
        <v>TAXAS CARTÃO DE CRÉDITO</v>
      </c>
    </row>
    <row r="401" spans="1:12" ht="15" hidden="1">
      <c r="A401" t="s">
        <v>926</v>
      </c>
      <c r="B401" t="s">
        <v>689</v>
      </c>
      <c r="C401" t="s">
        <v>690</v>
      </c>
      <c r="D401" t="s">
        <v>743</v>
      </c>
      <c r="E401" t="s">
        <v>734</v>
      </c>
      <c r="F401" t="s">
        <v>1272</v>
      </c>
      <c r="G401" t="s">
        <v>665</v>
      </c>
      <c r="H401" s="595">
        <v>-1.84</v>
      </c>
      <c r="I401" t="str">
        <f t="shared" si="16"/>
        <v>janeiro 2026</v>
      </c>
      <c r="J401">
        <f t="shared" si="15"/>
        <v>2026</v>
      </c>
      <c r="K401" t="str">
        <f>VLOOKUP(G401,METRICS!C:D,2,0)</f>
        <v>Taxas Financeiras Diversas</v>
      </c>
      <c r="L401" t="str">
        <f>VLOOKUP(K401,METRICS!D:E,2,0)</f>
        <v>TAXAS CARTÃO DE CRÉDITO</v>
      </c>
    </row>
    <row r="402" spans="1:12" ht="15" hidden="1">
      <c r="A402" t="s">
        <v>926</v>
      </c>
      <c r="B402" t="s">
        <v>689</v>
      </c>
      <c r="C402" t="s">
        <v>690</v>
      </c>
      <c r="D402" t="s">
        <v>733</v>
      </c>
      <c r="E402" t="s">
        <v>734</v>
      </c>
      <c r="F402" t="s">
        <v>1272</v>
      </c>
      <c r="G402" t="s">
        <v>665</v>
      </c>
      <c r="H402" s="595">
        <v>-5.09</v>
      </c>
      <c r="I402" t="str">
        <f t="shared" si="16"/>
        <v>janeiro 2026</v>
      </c>
      <c r="J402">
        <f t="shared" si="15"/>
        <v>2026</v>
      </c>
      <c r="K402" t="str">
        <f>VLOOKUP(G402,METRICS!C:D,2,0)</f>
        <v>Taxas Financeiras Diversas</v>
      </c>
      <c r="L402" t="str">
        <f>VLOOKUP(K402,METRICS!D:E,2,0)</f>
        <v>TAXAS CARTÃO DE CRÉDITO</v>
      </c>
    </row>
    <row r="403" spans="1:12" ht="15" hidden="1">
      <c r="A403" t="s">
        <v>926</v>
      </c>
      <c r="B403" t="s">
        <v>689</v>
      </c>
      <c r="C403" t="s">
        <v>690</v>
      </c>
      <c r="D403" t="s">
        <v>733</v>
      </c>
      <c r="E403" t="s">
        <v>734</v>
      </c>
      <c r="F403" t="s">
        <v>1272</v>
      </c>
      <c r="G403" t="s">
        <v>665</v>
      </c>
      <c r="H403" s="595">
        <v>-18.829999999999998</v>
      </c>
      <c r="I403" t="str">
        <f t="shared" si="16"/>
        <v>janeiro 2026</v>
      </c>
      <c r="J403">
        <f t="shared" si="15"/>
        <v>2026</v>
      </c>
      <c r="K403" t="str">
        <f>VLOOKUP(G403,METRICS!C:D,2,0)</f>
        <v>Taxas Financeiras Diversas</v>
      </c>
      <c r="L403" t="str">
        <f>VLOOKUP(K403,METRICS!D:E,2,0)</f>
        <v>TAXAS CARTÃO DE CRÉDITO</v>
      </c>
    </row>
    <row r="404" spans="1:12" ht="15" hidden="1">
      <c r="A404" t="s">
        <v>926</v>
      </c>
      <c r="B404" t="s">
        <v>689</v>
      </c>
      <c r="C404" t="s">
        <v>690</v>
      </c>
      <c r="D404" t="s">
        <v>743</v>
      </c>
      <c r="E404" t="s">
        <v>734</v>
      </c>
      <c r="F404" t="s">
        <v>1272</v>
      </c>
      <c r="G404" t="s">
        <v>665</v>
      </c>
      <c r="H404" s="595">
        <v>-6.25</v>
      </c>
      <c r="I404" t="str">
        <f t="shared" si="16"/>
        <v>janeiro 2026</v>
      </c>
      <c r="J404">
        <f t="shared" si="15"/>
        <v>2026</v>
      </c>
      <c r="K404" t="str">
        <f>VLOOKUP(G404,METRICS!C:D,2,0)</f>
        <v>Taxas Financeiras Diversas</v>
      </c>
      <c r="L404" t="str">
        <f>VLOOKUP(K404,METRICS!D:E,2,0)</f>
        <v>TAXAS CARTÃO DE CRÉDITO</v>
      </c>
    </row>
    <row r="405" spans="1:12" ht="15" hidden="1">
      <c r="A405" t="s">
        <v>926</v>
      </c>
      <c r="B405" t="s">
        <v>689</v>
      </c>
      <c r="C405" t="s">
        <v>690</v>
      </c>
      <c r="D405" t="s">
        <v>743</v>
      </c>
      <c r="E405" t="s">
        <v>734</v>
      </c>
      <c r="F405" t="s">
        <v>1272</v>
      </c>
      <c r="G405" t="s">
        <v>665</v>
      </c>
      <c r="H405" s="595">
        <v>-11.31</v>
      </c>
      <c r="I405" t="str">
        <f t="shared" si="16"/>
        <v>janeiro 2026</v>
      </c>
      <c r="J405">
        <f t="shared" si="15"/>
        <v>2026</v>
      </c>
      <c r="K405" t="str">
        <f>VLOOKUP(G405,METRICS!C:D,2,0)</f>
        <v>Taxas Financeiras Diversas</v>
      </c>
      <c r="L405" t="str">
        <f>VLOOKUP(K405,METRICS!D:E,2,0)</f>
        <v>TAXAS CARTÃO DE CRÉDITO</v>
      </c>
    </row>
    <row r="406" spans="1:12" ht="15" hidden="1">
      <c r="A406" t="s">
        <v>926</v>
      </c>
      <c r="B406" t="s">
        <v>689</v>
      </c>
      <c r="C406" t="s">
        <v>690</v>
      </c>
      <c r="D406" t="s">
        <v>743</v>
      </c>
      <c r="E406" t="s">
        <v>734</v>
      </c>
      <c r="F406" t="s">
        <v>1272</v>
      </c>
      <c r="G406" t="s">
        <v>665</v>
      </c>
      <c r="H406" s="595">
        <v>-2.23</v>
      </c>
      <c r="I406" t="str">
        <f t="shared" si="16"/>
        <v>janeiro 2026</v>
      </c>
      <c r="J406">
        <f t="shared" si="15"/>
        <v>2026</v>
      </c>
      <c r="K406" t="str">
        <f>VLOOKUP(G406,METRICS!C:D,2,0)</f>
        <v>Taxas Financeiras Diversas</v>
      </c>
      <c r="L406" t="str">
        <f>VLOOKUP(K406,METRICS!D:E,2,0)</f>
        <v>TAXAS CARTÃO DE CRÉDITO</v>
      </c>
    </row>
    <row r="407" spans="1:12" ht="15" hidden="1">
      <c r="A407" t="s">
        <v>926</v>
      </c>
      <c r="B407" t="s">
        <v>689</v>
      </c>
      <c r="C407" t="s">
        <v>690</v>
      </c>
      <c r="D407" t="s">
        <v>743</v>
      </c>
      <c r="E407" t="s">
        <v>734</v>
      </c>
      <c r="F407" t="s">
        <v>1272</v>
      </c>
      <c r="G407" t="s">
        <v>665</v>
      </c>
      <c r="H407" s="595">
        <v>-4.88</v>
      </c>
      <c r="I407" t="str">
        <f t="shared" si="16"/>
        <v>janeiro 2026</v>
      </c>
      <c r="J407">
        <f t="shared" si="15"/>
        <v>2026</v>
      </c>
      <c r="K407" t="str">
        <f>VLOOKUP(G407,METRICS!C:D,2,0)</f>
        <v>Taxas Financeiras Diversas</v>
      </c>
      <c r="L407" t="str">
        <f>VLOOKUP(K407,METRICS!D:E,2,0)</f>
        <v>TAXAS CARTÃO DE CRÉDITO</v>
      </c>
    </row>
    <row r="408" spans="1:12" ht="15" hidden="1">
      <c r="A408" t="s">
        <v>926</v>
      </c>
      <c r="B408" t="s">
        <v>689</v>
      </c>
      <c r="C408" t="s">
        <v>690</v>
      </c>
      <c r="D408" t="s">
        <v>733</v>
      </c>
      <c r="E408" t="s">
        <v>734</v>
      </c>
      <c r="F408" t="s">
        <v>1272</v>
      </c>
      <c r="G408" t="s">
        <v>665</v>
      </c>
      <c r="H408" s="595">
        <v>-7.47</v>
      </c>
      <c r="I408" t="str">
        <f t="shared" si="16"/>
        <v>janeiro 2026</v>
      </c>
      <c r="J408">
        <f t="shared" si="15"/>
        <v>2026</v>
      </c>
      <c r="K408" t="str">
        <f>VLOOKUP(G408,METRICS!C:D,2,0)</f>
        <v>Taxas Financeiras Diversas</v>
      </c>
      <c r="L408" t="str">
        <f>VLOOKUP(K408,METRICS!D:E,2,0)</f>
        <v>TAXAS CARTÃO DE CRÉDITO</v>
      </c>
    </row>
    <row r="409" spans="1:12" ht="15" hidden="1">
      <c r="A409" t="s">
        <v>926</v>
      </c>
      <c r="B409" t="s">
        <v>689</v>
      </c>
      <c r="C409" t="s">
        <v>690</v>
      </c>
      <c r="D409" t="s">
        <v>743</v>
      </c>
      <c r="E409" t="s">
        <v>734</v>
      </c>
      <c r="F409" t="s">
        <v>1272</v>
      </c>
      <c r="G409" t="s">
        <v>665</v>
      </c>
      <c r="H409" s="595">
        <v>-2.86</v>
      </c>
      <c r="I409" t="str">
        <f t="shared" si="16"/>
        <v>janeiro 2026</v>
      </c>
      <c r="J409">
        <f t="shared" si="15"/>
        <v>2026</v>
      </c>
      <c r="K409" t="str">
        <f>VLOOKUP(G409,METRICS!C:D,2,0)</f>
        <v>Taxas Financeiras Diversas</v>
      </c>
      <c r="L409" t="str">
        <f>VLOOKUP(K409,METRICS!D:E,2,0)</f>
        <v>TAXAS CARTÃO DE CRÉDITO</v>
      </c>
    </row>
    <row r="410" spans="1:12" ht="15" hidden="1">
      <c r="A410" t="s">
        <v>926</v>
      </c>
      <c r="B410" t="s">
        <v>689</v>
      </c>
      <c r="C410" t="s">
        <v>690</v>
      </c>
      <c r="D410" t="s">
        <v>743</v>
      </c>
      <c r="E410" t="s">
        <v>734</v>
      </c>
      <c r="F410" t="s">
        <v>1272</v>
      </c>
      <c r="G410" t="s">
        <v>665</v>
      </c>
      <c r="H410" s="595">
        <v>-6.72</v>
      </c>
      <c r="I410" t="str">
        <f t="shared" si="16"/>
        <v>janeiro 2026</v>
      </c>
      <c r="J410">
        <f t="shared" si="15"/>
        <v>2026</v>
      </c>
      <c r="K410" t="str">
        <f>VLOOKUP(G410,METRICS!C:D,2,0)</f>
        <v>Taxas Financeiras Diversas</v>
      </c>
      <c r="L410" t="str">
        <f>VLOOKUP(K410,METRICS!D:E,2,0)</f>
        <v>TAXAS CARTÃO DE CRÉDITO</v>
      </c>
    </row>
    <row r="411" spans="1:12" ht="15" hidden="1">
      <c r="A411" t="s">
        <v>926</v>
      </c>
      <c r="B411" t="s">
        <v>689</v>
      </c>
      <c r="C411" t="s">
        <v>690</v>
      </c>
      <c r="D411" t="s">
        <v>733</v>
      </c>
      <c r="E411" t="s">
        <v>734</v>
      </c>
      <c r="F411" t="s">
        <v>1272</v>
      </c>
      <c r="G411" t="s">
        <v>665</v>
      </c>
      <c r="H411" s="595">
        <v>-9.34</v>
      </c>
      <c r="I411" t="str">
        <f t="shared" si="16"/>
        <v>janeiro 2026</v>
      </c>
      <c r="J411">
        <f t="shared" si="15"/>
        <v>2026</v>
      </c>
      <c r="K411" t="str">
        <f>VLOOKUP(G411,METRICS!C:D,2,0)</f>
        <v>Taxas Financeiras Diversas</v>
      </c>
      <c r="L411" t="str">
        <f>VLOOKUP(K411,METRICS!D:E,2,0)</f>
        <v>TAXAS CARTÃO DE CRÉDITO</v>
      </c>
    </row>
    <row r="412" spans="1:12" ht="15" hidden="1">
      <c r="A412" t="s">
        <v>926</v>
      </c>
      <c r="B412" t="s">
        <v>689</v>
      </c>
      <c r="C412" t="s">
        <v>690</v>
      </c>
      <c r="D412" t="s">
        <v>743</v>
      </c>
      <c r="E412" t="s">
        <v>734</v>
      </c>
      <c r="F412" t="s">
        <v>1272</v>
      </c>
      <c r="G412" t="s">
        <v>665</v>
      </c>
      <c r="H412" s="595">
        <v>-4.5199999999999996</v>
      </c>
      <c r="I412" t="str">
        <f t="shared" si="16"/>
        <v>janeiro 2026</v>
      </c>
      <c r="J412">
        <f t="shared" si="15"/>
        <v>2026</v>
      </c>
      <c r="K412" t="str">
        <f>VLOOKUP(G412,METRICS!C:D,2,0)</f>
        <v>Taxas Financeiras Diversas</v>
      </c>
      <c r="L412" t="str">
        <f>VLOOKUP(K412,METRICS!D:E,2,0)</f>
        <v>TAXAS CARTÃO DE CRÉDITO</v>
      </c>
    </row>
    <row r="413" spans="1:12" ht="15" hidden="1">
      <c r="A413" t="s">
        <v>926</v>
      </c>
      <c r="B413" t="s">
        <v>689</v>
      </c>
      <c r="C413" t="s">
        <v>690</v>
      </c>
      <c r="D413" t="s">
        <v>733</v>
      </c>
      <c r="E413" t="s">
        <v>734</v>
      </c>
      <c r="F413" t="s">
        <v>1272</v>
      </c>
      <c r="G413" t="s">
        <v>665</v>
      </c>
      <c r="H413" s="595">
        <v>-5.24</v>
      </c>
      <c r="I413" t="str">
        <f t="shared" si="16"/>
        <v>janeiro 2026</v>
      </c>
      <c r="J413">
        <f t="shared" si="15"/>
        <v>2026</v>
      </c>
      <c r="K413" t="str">
        <f>VLOOKUP(G413,METRICS!C:D,2,0)</f>
        <v>Taxas Financeiras Diversas</v>
      </c>
      <c r="L413" t="str">
        <f>VLOOKUP(K413,METRICS!D:E,2,0)</f>
        <v>TAXAS CARTÃO DE CRÉDITO</v>
      </c>
    </row>
    <row r="414" spans="1:12" ht="15" hidden="1">
      <c r="A414" t="s">
        <v>926</v>
      </c>
      <c r="B414" t="s">
        <v>689</v>
      </c>
      <c r="C414" t="s">
        <v>690</v>
      </c>
      <c r="D414" t="s">
        <v>733</v>
      </c>
      <c r="E414" t="s">
        <v>734</v>
      </c>
      <c r="F414" t="s">
        <v>1272</v>
      </c>
      <c r="G414" t="s">
        <v>665</v>
      </c>
      <c r="H414" s="595">
        <v>-14.3</v>
      </c>
      <c r="I414" t="str">
        <f t="shared" si="16"/>
        <v>janeiro 2026</v>
      </c>
      <c r="J414">
        <f t="shared" si="15"/>
        <v>2026</v>
      </c>
      <c r="K414" t="str">
        <f>VLOOKUP(G414,METRICS!C:D,2,0)</f>
        <v>Taxas Financeiras Diversas</v>
      </c>
      <c r="L414" t="str">
        <f>VLOOKUP(K414,METRICS!D:E,2,0)</f>
        <v>TAXAS CARTÃO DE CRÉDITO</v>
      </c>
    </row>
    <row r="415" spans="1:12" ht="15" hidden="1">
      <c r="A415" t="s">
        <v>926</v>
      </c>
      <c r="B415" t="s">
        <v>689</v>
      </c>
      <c r="C415" t="s">
        <v>690</v>
      </c>
      <c r="D415" t="s">
        <v>733</v>
      </c>
      <c r="E415" t="s">
        <v>734</v>
      </c>
      <c r="F415" t="s">
        <v>1272</v>
      </c>
      <c r="G415" t="s">
        <v>665</v>
      </c>
      <c r="H415" s="595">
        <v>-8.68</v>
      </c>
      <c r="I415" t="str">
        <f t="shared" si="16"/>
        <v>janeiro 2026</v>
      </c>
      <c r="J415">
        <f t="shared" si="15"/>
        <v>2026</v>
      </c>
      <c r="K415" t="str">
        <f>VLOOKUP(G415,METRICS!C:D,2,0)</f>
        <v>Taxas Financeiras Diversas</v>
      </c>
      <c r="L415" t="str">
        <f>VLOOKUP(K415,METRICS!D:E,2,0)</f>
        <v>TAXAS CARTÃO DE CRÉDITO</v>
      </c>
    </row>
    <row r="416" spans="1:12" ht="15" hidden="1">
      <c r="A416" t="s">
        <v>926</v>
      </c>
      <c r="B416" t="s">
        <v>689</v>
      </c>
      <c r="C416" t="s">
        <v>690</v>
      </c>
      <c r="D416" t="s">
        <v>733</v>
      </c>
      <c r="E416" t="s">
        <v>734</v>
      </c>
      <c r="F416" t="s">
        <v>1272</v>
      </c>
      <c r="G416" t="s">
        <v>665</v>
      </c>
      <c r="H416" s="595">
        <v>-1.72</v>
      </c>
      <c r="I416" t="str">
        <f t="shared" si="16"/>
        <v>janeiro 2026</v>
      </c>
      <c r="J416">
        <f t="shared" si="15"/>
        <v>2026</v>
      </c>
      <c r="K416" t="str">
        <f>VLOOKUP(G416,METRICS!C:D,2,0)</f>
        <v>Taxas Financeiras Diversas</v>
      </c>
      <c r="L416" t="str">
        <f>VLOOKUP(K416,METRICS!D:E,2,0)</f>
        <v>TAXAS CARTÃO DE CRÉDITO</v>
      </c>
    </row>
    <row r="417" spans="1:12" ht="15" hidden="1">
      <c r="A417" t="s">
        <v>926</v>
      </c>
      <c r="B417" t="s">
        <v>689</v>
      </c>
      <c r="C417" t="s">
        <v>690</v>
      </c>
      <c r="D417" t="s">
        <v>753</v>
      </c>
      <c r="E417" t="s">
        <v>734</v>
      </c>
      <c r="F417" t="s">
        <v>1272</v>
      </c>
      <c r="G417" t="s">
        <v>665</v>
      </c>
      <c r="H417" s="595">
        <v>-7.12</v>
      </c>
      <c r="I417" t="str">
        <f t="shared" si="16"/>
        <v>janeiro 2026</v>
      </c>
      <c r="J417">
        <f t="shared" si="15"/>
        <v>2026</v>
      </c>
      <c r="K417" t="str">
        <f>VLOOKUP(G417,METRICS!C:D,2,0)</f>
        <v>Taxas Financeiras Diversas</v>
      </c>
      <c r="L417" t="str">
        <f>VLOOKUP(K417,METRICS!D:E,2,0)</f>
        <v>TAXAS CARTÃO DE CRÉDITO</v>
      </c>
    </row>
    <row r="418" spans="1:12" ht="15" hidden="1">
      <c r="A418" t="s">
        <v>926</v>
      </c>
      <c r="B418" t="s">
        <v>689</v>
      </c>
      <c r="C418" t="s">
        <v>690</v>
      </c>
      <c r="D418" t="s">
        <v>733</v>
      </c>
      <c r="E418" t="s">
        <v>734</v>
      </c>
      <c r="F418" t="s">
        <v>1272</v>
      </c>
      <c r="G418" t="s">
        <v>665</v>
      </c>
      <c r="H418" s="595">
        <v>-1.97</v>
      </c>
      <c r="I418" t="str">
        <f t="shared" si="16"/>
        <v>janeiro 2026</v>
      </c>
      <c r="J418">
        <f t="shared" si="15"/>
        <v>2026</v>
      </c>
      <c r="K418" t="str">
        <f>VLOOKUP(G418,METRICS!C:D,2,0)</f>
        <v>Taxas Financeiras Diversas</v>
      </c>
      <c r="L418" t="str">
        <f>VLOOKUP(K418,METRICS!D:E,2,0)</f>
        <v>TAXAS CARTÃO DE CRÉDITO</v>
      </c>
    </row>
    <row r="419" spans="1:12" ht="15" hidden="1">
      <c r="A419" t="s">
        <v>926</v>
      </c>
      <c r="B419" t="s">
        <v>689</v>
      </c>
      <c r="C419" t="s">
        <v>690</v>
      </c>
      <c r="D419" t="s">
        <v>743</v>
      </c>
      <c r="E419" t="s">
        <v>734</v>
      </c>
      <c r="F419" t="s">
        <v>1272</v>
      </c>
      <c r="G419" t="s">
        <v>665</v>
      </c>
      <c r="H419" s="595">
        <v>-10.23</v>
      </c>
      <c r="I419" t="str">
        <f t="shared" si="16"/>
        <v>janeiro 2026</v>
      </c>
      <c r="J419">
        <f t="shared" si="15"/>
        <v>2026</v>
      </c>
      <c r="K419" t="str">
        <f>VLOOKUP(G419,METRICS!C:D,2,0)</f>
        <v>Taxas Financeiras Diversas</v>
      </c>
      <c r="L419" t="str">
        <f>VLOOKUP(K419,METRICS!D:E,2,0)</f>
        <v>TAXAS CARTÃO DE CRÉDITO</v>
      </c>
    </row>
    <row r="420" spans="1:12" ht="15" hidden="1">
      <c r="A420" t="s">
        <v>926</v>
      </c>
      <c r="B420" t="s">
        <v>689</v>
      </c>
      <c r="C420" t="s">
        <v>690</v>
      </c>
      <c r="D420" t="s">
        <v>733</v>
      </c>
      <c r="E420" t="s">
        <v>734</v>
      </c>
      <c r="F420" t="s">
        <v>1272</v>
      </c>
      <c r="G420" t="s">
        <v>665</v>
      </c>
      <c r="H420" s="595">
        <v>-2.95</v>
      </c>
      <c r="I420" t="str">
        <f t="shared" si="16"/>
        <v>janeiro 2026</v>
      </c>
      <c r="J420">
        <f t="shared" si="15"/>
        <v>2026</v>
      </c>
      <c r="K420" t="str">
        <f>VLOOKUP(G420,METRICS!C:D,2,0)</f>
        <v>Taxas Financeiras Diversas</v>
      </c>
      <c r="L420" t="str">
        <f>VLOOKUP(K420,METRICS!D:E,2,0)</f>
        <v>TAXAS CARTÃO DE CRÉDITO</v>
      </c>
    </row>
    <row r="421" spans="1:12" ht="15" hidden="1">
      <c r="A421" t="s">
        <v>926</v>
      </c>
      <c r="B421" t="s">
        <v>689</v>
      </c>
      <c r="C421" t="s">
        <v>690</v>
      </c>
      <c r="D421" t="s">
        <v>733</v>
      </c>
      <c r="E421" t="s">
        <v>734</v>
      </c>
      <c r="F421" t="s">
        <v>1272</v>
      </c>
      <c r="G421" t="s">
        <v>665</v>
      </c>
      <c r="H421" s="595">
        <v>-0.34</v>
      </c>
      <c r="I421" t="str">
        <f t="shared" si="16"/>
        <v>janeiro 2026</v>
      </c>
      <c r="J421">
        <f t="shared" si="15"/>
        <v>2026</v>
      </c>
      <c r="K421" t="str">
        <f>VLOOKUP(G421,METRICS!C:D,2,0)</f>
        <v>Taxas Financeiras Diversas</v>
      </c>
      <c r="L421" t="str">
        <f>VLOOKUP(K421,METRICS!D:E,2,0)</f>
        <v>TAXAS CARTÃO DE CRÉDITO</v>
      </c>
    </row>
    <row r="422" spans="1:12" ht="15" hidden="1">
      <c r="A422" t="s">
        <v>926</v>
      </c>
      <c r="B422" t="s">
        <v>689</v>
      </c>
      <c r="C422" t="s">
        <v>690</v>
      </c>
      <c r="D422" t="s">
        <v>733</v>
      </c>
      <c r="E422" t="s">
        <v>734</v>
      </c>
      <c r="F422" t="s">
        <v>1272</v>
      </c>
      <c r="G422" t="s">
        <v>665</v>
      </c>
      <c r="H422" s="595">
        <v>-2.34</v>
      </c>
      <c r="I422" t="str">
        <f t="shared" si="16"/>
        <v>janeiro 2026</v>
      </c>
      <c r="J422">
        <f t="shared" si="15"/>
        <v>2026</v>
      </c>
      <c r="K422" t="str">
        <f>VLOOKUP(G422,METRICS!C:D,2,0)</f>
        <v>Taxas Financeiras Diversas</v>
      </c>
      <c r="L422" t="str">
        <f>VLOOKUP(K422,METRICS!D:E,2,0)</f>
        <v>TAXAS CARTÃO DE CRÉDITO</v>
      </c>
    </row>
    <row r="423" spans="1:12" ht="15" hidden="1">
      <c r="A423" t="s">
        <v>926</v>
      </c>
      <c r="B423" t="s">
        <v>689</v>
      </c>
      <c r="C423" t="s">
        <v>690</v>
      </c>
      <c r="D423" t="s">
        <v>733</v>
      </c>
      <c r="E423" t="s">
        <v>734</v>
      </c>
      <c r="F423" t="s">
        <v>1272</v>
      </c>
      <c r="G423" t="s">
        <v>665</v>
      </c>
      <c r="H423" s="595">
        <v>-12.36</v>
      </c>
      <c r="I423" t="str">
        <f t="shared" si="16"/>
        <v>janeiro 2026</v>
      </c>
      <c r="J423">
        <f t="shared" si="15"/>
        <v>2026</v>
      </c>
      <c r="K423" t="str">
        <f>VLOOKUP(G423,METRICS!C:D,2,0)</f>
        <v>Taxas Financeiras Diversas</v>
      </c>
      <c r="L423" t="str">
        <f>VLOOKUP(K423,METRICS!D:E,2,0)</f>
        <v>TAXAS CARTÃO DE CRÉDITO</v>
      </c>
    </row>
    <row r="424" spans="1:12" ht="15" hidden="1">
      <c r="A424" t="s">
        <v>926</v>
      </c>
      <c r="B424" t="s">
        <v>689</v>
      </c>
      <c r="C424" t="s">
        <v>690</v>
      </c>
      <c r="D424" t="s">
        <v>733</v>
      </c>
      <c r="E424" t="s">
        <v>734</v>
      </c>
      <c r="F424" t="s">
        <v>1272</v>
      </c>
      <c r="G424" t="s">
        <v>665</v>
      </c>
      <c r="H424" s="595">
        <v>-16.09</v>
      </c>
      <c r="I424" t="str">
        <f t="shared" si="16"/>
        <v>janeiro 2026</v>
      </c>
      <c r="J424">
        <f t="shared" si="15"/>
        <v>2026</v>
      </c>
      <c r="K424" t="str">
        <f>VLOOKUP(G424,METRICS!C:D,2,0)</f>
        <v>Taxas Financeiras Diversas</v>
      </c>
      <c r="L424" t="str">
        <f>VLOOKUP(K424,METRICS!D:E,2,0)</f>
        <v>TAXAS CARTÃO DE CRÉDITO</v>
      </c>
    </row>
    <row r="425" spans="1:12" ht="15" hidden="1">
      <c r="A425" t="s">
        <v>926</v>
      </c>
      <c r="B425" t="s">
        <v>689</v>
      </c>
      <c r="C425" t="s">
        <v>690</v>
      </c>
      <c r="D425" t="s">
        <v>733</v>
      </c>
      <c r="E425" t="s">
        <v>734</v>
      </c>
      <c r="F425" t="s">
        <v>1272</v>
      </c>
      <c r="G425" t="s">
        <v>665</v>
      </c>
      <c r="H425" s="595">
        <v>-9.34</v>
      </c>
      <c r="I425" t="str">
        <f t="shared" si="16"/>
        <v>janeiro 2026</v>
      </c>
      <c r="J425">
        <f t="shared" si="15"/>
        <v>2026</v>
      </c>
      <c r="K425" t="str">
        <f>VLOOKUP(G425,METRICS!C:D,2,0)</f>
        <v>Taxas Financeiras Diversas</v>
      </c>
      <c r="L425" t="str">
        <f>VLOOKUP(K425,METRICS!D:E,2,0)</f>
        <v>TAXAS CARTÃO DE CRÉDITO</v>
      </c>
    </row>
    <row r="426" spans="1:12" ht="15" hidden="1">
      <c r="A426" t="s">
        <v>926</v>
      </c>
      <c r="B426" t="s">
        <v>689</v>
      </c>
      <c r="C426" t="s">
        <v>690</v>
      </c>
      <c r="D426" t="s">
        <v>733</v>
      </c>
      <c r="E426" t="s">
        <v>734</v>
      </c>
      <c r="F426" t="s">
        <v>1272</v>
      </c>
      <c r="G426" t="s">
        <v>665</v>
      </c>
      <c r="H426" s="595">
        <v>-3.6</v>
      </c>
      <c r="I426" t="str">
        <f t="shared" si="16"/>
        <v>janeiro 2026</v>
      </c>
      <c r="J426">
        <f t="shared" si="15"/>
        <v>2026</v>
      </c>
      <c r="K426" t="str">
        <f>VLOOKUP(G426,METRICS!C:D,2,0)</f>
        <v>Taxas Financeiras Diversas</v>
      </c>
      <c r="L426" t="str">
        <f>VLOOKUP(K426,METRICS!D:E,2,0)</f>
        <v>TAXAS CARTÃO DE CRÉDITO</v>
      </c>
    </row>
    <row r="427" spans="1:12" ht="15" hidden="1">
      <c r="A427" t="s">
        <v>926</v>
      </c>
      <c r="B427" t="s">
        <v>689</v>
      </c>
      <c r="C427" t="s">
        <v>690</v>
      </c>
      <c r="D427" t="s">
        <v>743</v>
      </c>
      <c r="E427" t="s">
        <v>734</v>
      </c>
      <c r="F427" t="s">
        <v>1272</v>
      </c>
      <c r="G427" t="s">
        <v>665</v>
      </c>
      <c r="H427" s="595">
        <v>-5.45</v>
      </c>
      <c r="I427" t="str">
        <f t="shared" si="16"/>
        <v>janeiro 2026</v>
      </c>
      <c r="J427">
        <f t="shared" si="15"/>
        <v>2026</v>
      </c>
      <c r="K427" t="str">
        <f>VLOOKUP(G427,METRICS!C:D,2,0)</f>
        <v>Taxas Financeiras Diversas</v>
      </c>
      <c r="L427" t="str">
        <f>VLOOKUP(K427,METRICS!D:E,2,0)</f>
        <v>TAXAS CARTÃO DE CRÉDITO</v>
      </c>
    </row>
    <row r="428" spans="1:12" ht="15" hidden="1">
      <c r="A428" t="s">
        <v>926</v>
      </c>
      <c r="B428" t="s">
        <v>689</v>
      </c>
      <c r="C428" t="s">
        <v>690</v>
      </c>
      <c r="D428" t="s">
        <v>743</v>
      </c>
      <c r="E428" t="s">
        <v>734</v>
      </c>
      <c r="F428" t="s">
        <v>1272</v>
      </c>
      <c r="G428" t="s">
        <v>665</v>
      </c>
      <c r="H428" s="595">
        <v>-1.69</v>
      </c>
      <c r="I428" t="str">
        <f t="shared" si="16"/>
        <v>janeiro 2026</v>
      </c>
      <c r="J428">
        <f t="shared" si="15"/>
        <v>2026</v>
      </c>
      <c r="K428" t="str">
        <f>VLOOKUP(G428,METRICS!C:D,2,0)</f>
        <v>Taxas Financeiras Diversas</v>
      </c>
      <c r="L428" t="str">
        <f>VLOOKUP(K428,METRICS!D:E,2,0)</f>
        <v>TAXAS CARTÃO DE CRÉDITO</v>
      </c>
    </row>
    <row r="429" spans="1:12" ht="15" hidden="1">
      <c r="A429" t="s">
        <v>926</v>
      </c>
      <c r="B429" t="s">
        <v>689</v>
      </c>
      <c r="C429" t="s">
        <v>690</v>
      </c>
      <c r="D429" t="s">
        <v>733</v>
      </c>
      <c r="E429" t="s">
        <v>734</v>
      </c>
      <c r="F429" t="s">
        <v>1272</v>
      </c>
      <c r="G429" t="s">
        <v>665</v>
      </c>
      <c r="H429" s="595">
        <v>-0.95</v>
      </c>
      <c r="I429" t="str">
        <f t="shared" si="16"/>
        <v>janeiro 2026</v>
      </c>
      <c r="J429">
        <f t="shared" si="15"/>
        <v>2026</v>
      </c>
      <c r="K429" t="str">
        <f>VLOOKUP(G429,METRICS!C:D,2,0)</f>
        <v>Taxas Financeiras Diversas</v>
      </c>
      <c r="L429" t="str">
        <f>VLOOKUP(K429,METRICS!D:E,2,0)</f>
        <v>TAXAS CARTÃO DE CRÉDITO</v>
      </c>
    </row>
    <row r="430" spans="1:12" ht="15" hidden="1">
      <c r="A430" t="s">
        <v>926</v>
      </c>
      <c r="B430" t="s">
        <v>689</v>
      </c>
      <c r="C430" t="s">
        <v>690</v>
      </c>
      <c r="D430" t="s">
        <v>733</v>
      </c>
      <c r="E430" t="s">
        <v>734</v>
      </c>
      <c r="F430" t="s">
        <v>1272</v>
      </c>
      <c r="G430" t="s">
        <v>665</v>
      </c>
      <c r="H430" s="595">
        <v>-1.18</v>
      </c>
      <c r="I430" t="str">
        <f t="shared" si="16"/>
        <v>janeiro 2026</v>
      </c>
      <c r="J430">
        <f t="shared" si="15"/>
        <v>2026</v>
      </c>
      <c r="K430" t="str">
        <f>VLOOKUP(G430,METRICS!C:D,2,0)</f>
        <v>Taxas Financeiras Diversas</v>
      </c>
      <c r="L430" t="str">
        <f>VLOOKUP(K430,METRICS!D:E,2,0)</f>
        <v>TAXAS CARTÃO DE CRÉDITO</v>
      </c>
    </row>
    <row r="431" spans="1:12" ht="15" hidden="1">
      <c r="A431" t="s">
        <v>926</v>
      </c>
      <c r="B431" t="s">
        <v>689</v>
      </c>
      <c r="C431" t="s">
        <v>690</v>
      </c>
      <c r="D431" t="s">
        <v>733</v>
      </c>
      <c r="E431" t="s">
        <v>734</v>
      </c>
      <c r="F431" t="s">
        <v>1272</v>
      </c>
      <c r="G431" t="s">
        <v>665</v>
      </c>
      <c r="H431" s="595">
        <v>-7.95</v>
      </c>
      <c r="I431" t="str">
        <f t="shared" si="16"/>
        <v>janeiro 2026</v>
      </c>
      <c r="J431">
        <f t="shared" si="15"/>
        <v>2026</v>
      </c>
      <c r="K431" t="str">
        <f>VLOOKUP(G431,METRICS!C:D,2,0)</f>
        <v>Taxas Financeiras Diversas</v>
      </c>
      <c r="L431" t="str">
        <f>VLOOKUP(K431,METRICS!D:E,2,0)</f>
        <v>TAXAS CARTÃO DE CRÉDITO</v>
      </c>
    </row>
    <row r="432" spans="1:12" ht="15" hidden="1">
      <c r="A432" t="s">
        <v>926</v>
      </c>
      <c r="B432" t="s">
        <v>689</v>
      </c>
      <c r="C432" t="s">
        <v>690</v>
      </c>
      <c r="D432" t="s">
        <v>733</v>
      </c>
      <c r="E432" t="s">
        <v>734</v>
      </c>
      <c r="F432" t="s">
        <v>1272</v>
      </c>
      <c r="G432" t="s">
        <v>665</v>
      </c>
      <c r="H432" s="595">
        <v>-1.91</v>
      </c>
      <c r="I432" t="str">
        <f t="shared" si="16"/>
        <v>janeiro 2026</v>
      </c>
      <c r="J432">
        <f t="shared" si="15"/>
        <v>2026</v>
      </c>
      <c r="K432" t="str">
        <f>VLOOKUP(G432,METRICS!C:D,2,0)</f>
        <v>Taxas Financeiras Diversas</v>
      </c>
      <c r="L432" t="str">
        <f>VLOOKUP(K432,METRICS!D:E,2,0)</f>
        <v>TAXAS CARTÃO DE CRÉDITO</v>
      </c>
    </row>
    <row r="433" spans="1:12" ht="15" hidden="1">
      <c r="A433" t="s">
        <v>926</v>
      </c>
      <c r="B433" t="s">
        <v>689</v>
      </c>
      <c r="C433" t="s">
        <v>690</v>
      </c>
      <c r="D433" t="s">
        <v>743</v>
      </c>
      <c r="E433" t="s">
        <v>734</v>
      </c>
      <c r="F433" t="s">
        <v>1272</v>
      </c>
      <c r="G433" t="s">
        <v>665</v>
      </c>
      <c r="H433" s="595">
        <v>-1.9</v>
      </c>
      <c r="I433" t="str">
        <f t="shared" si="16"/>
        <v>janeiro 2026</v>
      </c>
      <c r="J433">
        <f t="shared" si="15"/>
        <v>2026</v>
      </c>
      <c r="K433" t="str">
        <f>VLOOKUP(G433,METRICS!C:D,2,0)</f>
        <v>Taxas Financeiras Diversas</v>
      </c>
      <c r="L433" t="str">
        <f>VLOOKUP(K433,METRICS!D:E,2,0)</f>
        <v>TAXAS CARTÃO DE CRÉDITO</v>
      </c>
    </row>
    <row r="434" spans="1:12" ht="15" hidden="1">
      <c r="A434" t="s">
        <v>927</v>
      </c>
      <c r="B434" t="s">
        <v>689</v>
      </c>
      <c r="C434" t="s">
        <v>690</v>
      </c>
      <c r="D434" t="s">
        <v>733</v>
      </c>
      <c r="E434" t="s">
        <v>734</v>
      </c>
      <c r="F434" t="s">
        <v>1272</v>
      </c>
      <c r="G434" t="s">
        <v>665</v>
      </c>
      <c r="H434" s="595">
        <v>-4.04</v>
      </c>
      <c r="I434" t="str">
        <f t="shared" si="16"/>
        <v>janeiro 2026</v>
      </c>
      <c r="J434">
        <f t="shared" si="15"/>
        <v>2026</v>
      </c>
      <c r="K434" t="str">
        <f>VLOOKUP(G434,METRICS!C:D,2,0)</f>
        <v>Taxas Financeiras Diversas</v>
      </c>
      <c r="L434" t="str">
        <f>VLOOKUP(K434,METRICS!D:E,2,0)</f>
        <v>TAXAS CARTÃO DE CRÉDITO</v>
      </c>
    </row>
    <row r="435" spans="1:12" ht="15" hidden="1">
      <c r="A435" t="s">
        <v>927</v>
      </c>
      <c r="B435" t="s">
        <v>689</v>
      </c>
      <c r="C435" t="s">
        <v>690</v>
      </c>
      <c r="D435" t="s">
        <v>733</v>
      </c>
      <c r="E435" t="s">
        <v>734</v>
      </c>
      <c r="F435" t="s">
        <v>1272</v>
      </c>
      <c r="G435" t="s">
        <v>665</v>
      </c>
      <c r="H435" s="595">
        <v>-4.17</v>
      </c>
      <c r="I435" t="str">
        <f t="shared" si="16"/>
        <v>janeiro 2026</v>
      </c>
      <c r="J435">
        <f t="shared" si="15"/>
        <v>2026</v>
      </c>
      <c r="K435" t="str">
        <f>VLOOKUP(G435,METRICS!C:D,2,0)</f>
        <v>Taxas Financeiras Diversas</v>
      </c>
      <c r="L435" t="str">
        <f>VLOOKUP(K435,METRICS!D:E,2,0)</f>
        <v>TAXAS CARTÃO DE CRÉDITO</v>
      </c>
    </row>
    <row r="436" spans="1:12" ht="15" hidden="1">
      <c r="A436" t="s">
        <v>927</v>
      </c>
      <c r="B436" t="s">
        <v>689</v>
      </c>
      <c r="C436" t="s">
        <v>690</v>
      </c>
      <c r="D436" t="s">
        <v>733</v>
      </c>
      <c r="E436" t="s">
        <v>734</v>
      </c>
      <c r="F436" t="s">
        <v>1272</v>
      </c>
      <c r="G436" t="s">
        <v>665</v>
      </c>
      <c r="H436" s="595">
        <v>-2.58</v>
      </c>
      <c r="I436" t="str">
        <f t="shared" ref="I436:I473" si="17">TEXT(A436, "mmmm aaaa")</f>
        <v>janeiro 2026</v>
      </c>
      <c r="J436">
        <f t="shared" si="15"/>
        <v>2026</v>
      </c>
      <c r="K436" t="str">
        <f>VLOOKUP(G436,METRICS!C:D,2,0)</f>
        <v>Taxas Financeiras Diversas</v>
      </c>
      <c r="L436" t="str">
        <f>VLOOKUP(K436,METRICS!D:E,2,0)</f>
        <v>TAXAS CARTÃO DE CRÉDITO</v>
      </c>
    </row>
    <row r="437" spans="1:12" ht="15" hidden="1">
      <c r="A437" t="s">
        <v>927</v>
      </c>
      <c r="B437" t="s">
        <v>689</v>
      </c>
      <c r="C437" t="s">
        <v>690</v>
      </c>
      <c r="D437" t="s">
        <v>733</v>
      </c>
      <c r="E437" t="s">
        <v>734</v>
      </c>
      <c r="F437" t="s">
        <v>1272</v>
      </c>
      <c r="G437" t="s">
        <v>665</v>
      </c>
      <c r="H437" s="595">
        <v>-1.48</v>
      </c>
      <c r="I437" t="str">
        <f t="shared" si="17"/>
        <v>janeiro 2026</v>
      </c>
      <c r="J437">
        <f t="shared" si="15"/>
        <v>2026</v>
      </c>
      <c r="K437" t="str">
        <f>VLOOKUP(G437,METRICS!C:D,2,0)</f>
        <v>Taxas Financeiras Diversas</v>
      </c>
      <c r="L437" t="str">
        <f>VLOOKUP(K437,METRICS!D:E,2,0)</f>
        <v>TAXAS CARTÃO DE CRÉDITO</v>
      </c>
    </row>
    <row r="438" spans="1:12" ht="15" hidden="1">
      <c r="A438" t="s">
        <v>927</v>
      </c>
      <c r="B438" t="s">
        <v>689</v>
      </c>
      <c r="C438" t="s">
        <v>690</v>
      </c>
      <c r="D438" t="s">
        <v>743</v>
      </c>
      <c r="E438" t="s">
        <v>734</v>
      </c>
      <c r="F438" t="s">
        <v>1272</v>
      </c>
      <c r="G438" t="s">
        <v>665</v>
      </c>
      <c r="H438" s="595">
        <v>-20.54</v>
      </c>
      <c r="I438" t="str">
        <f t="shared" si="17"/>
        <v>janeiro 2026</v>
      </c>
      <c r="J438">
        <f t="shared" si="15"/>
        <v>2026</v>
      </c>
      <c r="K438" t="str">
        <f>VLOOKUP(G438,METRICS!C:D,2,0)</f>
        <v>Taxas Financeiras Diversas</v>
      </c>
      <c r="L438" t="str">
        <f>VLOOKUP(K438,METRICS!D:E,2,0)</f>
        <v>TAXAS CARTÃO DE CRÉDITO</v>
      </c>
    </row>
    <row r="439" spans="1:12" ht="15" hidden="1">
      <c r="A439" t="s">
        <v>927</v>
      </c>
      <c r="B439" t="s">
        <v>689</v>
      </c>
      <c r="C439" t="s">
        <v>690</v>
      </c>
      <c r="D439" t="s">
        <v>733</v>
      </c>
      <c r="E439" t="s">
        <v>734</v>
      </c>
      <c r="F439" t="s">
        <v>1272</v>
      </c>
      <c r="G439" t="s">
        <v>665</v>
      </c>
      <c r="H439" s="595">
        <v>-5.41</v>
      </c>
      <c r="I439" t="str">
        <f t="shared" si="17"/>
        <v>janeiro 2026</v>
      </c>
      <c r="J439">
        <f t="shared" si="15"/>
        <v>2026</v>
      </c>
      <c r="K439" t="str">
        <f>VLOOKUP(G439,METRICS!C:D,2,0)</f>
        <v>Taxas Financeiras Diversas</v>
      </c>
      <c r="L439" t="str">
        <f>VLOOKUP(K439,METRICS!D:E,2,0)</f>
        <v>TAXAS CARTÃO DE CRÉDITO</v>
      </c>
    </row>
    <row r="440" spans="1:12" ht="15" hidden="1">
      <c r="A440" t="s">
        <v>927</v>
      </c>
      <c r="B440" t="s">
        <v>689</v>
      </c>
      <c r="C440" t="s">
        <v>690</v>
      </c>
      <c r="D440" t="s">
        <v>733</v>
      </c>
      <c r="E440" t="s">
        <v>734</v>
      </c>
      <c r="F440" t="s">
        <v>1272</v>
      </c>
      <c r="G440" t="s">
        <v>665</v>
      </c>
      <c r="H440" s="595">
        <v>-3.83</v>
      </c>
      <c r="I440" t="str">
        <f t="shared" si="17"/>
        <v>janeiro 2026</v>
      </c>
      <c r="J440">
        <f t="shared" si="15"/>
        <v>2026</v>
      </c>
      <c r="K440" t="str">
        <f>VLOOKUP(G440,METRICS!C:D,2,0)</f>
        <v>Taxas Financeiras Diversas</v>
      </c>
      <c r="L440" t="str">
        <f>VLOOKUP(K440,METRICS!D:E,2,0)</f>
        <v>TAXAS CARTÃO DE CRÉDITO</v>
      </c>
    </row>
    <row r="441" spans="1:12" ht="15" hidden="1">
      <c r="A441" t="s">
        <v>927</v>
      </c>
      <c r="B441" t="s">
        <v>689</v>
      </c>
      <c r="C441" t="s">
        <v>690</v>
      </c>
      <c r="D441" t="s">
        <v>743</v>
      </c>
      <c r="E441" t="s">
        <v>734</v>
      </c>
      <c r="F441" t="s">
        <v>1272</v>
      </c>
      <c r="G441" t="s">
        <v>665</v>
      </c>
      <c r="H441" s="595">
        <v>-3.5</v>
      </c>
      <c r="I441" t="str">
        <f t="shared" si="17"/>
        <v>janeiro 2026</v>
      </c>
      <c r="J441">
        <f t="shared" si="15"/>
        <v>2026</v>
      </c>
      <c r="K441" t="str">
        <f>VLOOKUP(G441,METRICS!C:D,2,0)</f>
        <v>Taxas Financeiras Diversas</v>
      </c>
      <c r="L441" t="str">
        <f>VLOOKUP(K441,METRICS!D:E,2,0)</f>
        <v>TAXAS CARTÃO DE CRÉDITO</v>
      </c>
    </row>
    <row r="442" spans="1:12" ht="15" hidden="1">
      <c r="A442" t="s">
        <v>927</v>
      </c>
      <c r="B442" t="s">
        <v>689</v>
      </c>
      <c r="C442" t="s">
        <v>690</v>
      </c>
      <c r="D442" t="s">
        <v>733</v>
      </c>
      <c r="E442" t="s">
        <v>734</v>
      </c>
      <c r="F442" t="s">
        <v>1272</v>
      </c>
      <c r="G442" t="s">
        <v>665</v>
      </c>
      <c r="H442" s="595">
        <v>-2</v>
      </c>
      <c r="I442" t="str">
        <f t="shared" si="17"/>
        <v>janeiro 2026</v>
      </c>
      <c r="J442">
        <f t="shared" si="15"/>
        <v>2026</v>
      </c>
      <c r="K442" t="str">
        <f>VLOOKUP(G442,METRICS!C:D,2,0)</f>
        <v>Taxas Financeiras Diversas</v>
      </c>
      <c r="L442" t="str">
        <f>VLOOKUP(K442,METRICS!D:E,2,0)</f>
        <v>TAXAS CARTÃO DE CRÉDITO</v>
      </c>
    </row>
    <row r="443" spans="1:12" ht="15" hidden="1">
      <c r="A443" t="s">
        <v>927</v>
      </c>
      <c r="B443" t="s">
        <v>689</v>
      </c>
      <c r="C443" t="s">
        <v>690</v>
      </c>
      <c r="D443" t="s">
        <v>733</v>
      </c>
      <c r="E443" t="s">
        <v>734</v>
      </c>
      <c r="F443" t="s">
        <v>1272</v>
      </c>
      <c r="G443" t="s">
        <v>665</v>
      </c>
      <c r="H443" s="595">
        <v>-2.3199999999999998</v>
      </c>
      <c r="I443" t="str">
        <f t="shared" si="17"/>
        <v>janeiro 2026</v>
      </c>
      <c r="J443">
        <f t="shared" si="15"/>
        <v>2026</v>
      </c>
      <c r="K443" t="str">
        <f>VLOOKUP(G443,METRICS!C:D,2,0)</f>
        <v>Taxas Financeiras Diversas</v>
      </c>
      <c r="L443" t="str">
        <f>VLOOKUP(K443,METRICS!D:E,2,0)</f>
        <v>TAXAS CARTÃO DE CRÉDITO</v>
      </c>
    </row>
    <row r="444" spans="1:12" ht="15" hidden="1">
      <c r="A444" t="s">
        <v>927</v>
      </c>
      <c r="B444" t="s">
        <v>689</v>
      </c>
      <c r="C444" t="s">
        <v>690</v>
      </c>
      <c r="D444" t="s">
        <v>743</v>
      </c>
      <c r="E444" t="s">
        <v>734</v>
      </c>
      <c r="F444" t="s">
        <v>1272</v>
      </c>
      <c r="G444" t="s">
        <v>665</v>
      </c>
      <c r="H444" s="595">
        <v>-17.16</v>
      </c>
      <c r="I444" t="str">
        <f t="shared" si="17"/>
        <v>janeiro 2026</v>
      </c>
      <c r="J444">
        <f t="shared" ref="J444:J507" si="18">YEAR(A444)</f>
        <v>2026</v>
      </c>
      <c r="K444" t="str">
        <f>VLOOKUP(G444,METRICS!C:D,2,0)</f>
        <v>Taxas Financeiras Diversas</v>
      </c>
      <c r="L444" t="str">
        <f>VLOOKUP(K444,METRICS!D:E,2,0)</f>
        <v>TAXAS CARTÃO DE CRÉDITO</v>
      </c>
    </row>
    <row r="445" spans="1:12" ht="15" hidden="1">
      <c r="A445" t="s">
        <v>927</v>
      </c>
      <c r="B445" t="s">
        <v>689</v>
      </c>
      <c r="C445" t="s">
        <v>690</v>
      </c>
      <c r="D445" t="s">
        <v>733</v>
      </c>
      <c r="E445" t="s">
        <v>734</v>
      </c>
      <c r="F445" t="s">
        <v>1272</v>
      </c>
      <c r="G445" t="s">
        <v>665</v>
      </c>
      <c r="H445" s="595">
        <v>-1.83</v>
      </c>
      <c r="I445" t="str">
        <f t="shared" si="17"/>
        <v>janeiro 2026</v>
      </c>
      <c r="J445">
        <f t="shared" si="18"/>
        <v>2026</v>
      </c>
      <c r="K445" t="str">
        <f>VLOOKUP(G445,METRICS!C:D,2,0)</f>
        <v>Taxas Financeiras Diversas</v>
      </c>
      <c r="L445" t="str">
        <f>VLOOKUP(K445,METRICS!D:E,2,0)</f>
        <v>TAXAS CARTÃO DE CRÉDITO</v>
      </c>
    </row>
    <row r="446" spans="1:12" ht="15" hidden="1">
      <c r="A446" t="s">
        <v>927</v>
      </c>
      <c r="B446" t="s">
        <v>689</v>
      </c>
      <c r="C446" t="s">
        <v>690</v>
      </c>
      <c r="D446" t="s">
        <v>733</v>
      </c>
      <c r="E446" t="s">
        <v>734</v>
      </c>
      <c r="F446" t="s">
        <v>1272</v>
      </c>
      <c r="G446" t="s">
        <v>665</v>
      </c>
      <c r="H446" s="595">
        <v>-1.63</v>
      </c>
      <c r="I446" t="str">
        <f t="shared" si="17"/>
        <v>janeiro 2026</v>
      </c>
      <c r="J446">
        <f t="shared" si="18"/>
        <v>2026</v>
      </c>
      <c r="K446" t="str">
        <f>VLOOKUP(G446,METRICS!C:D,2,0)</f>
        <v>Taxas Financeiras Diversas</v>
      </c>
      <c r="L446" t="str">
        <f>VLOOKUP(K446,METRICS!D:E,2,0)</f>
        <v>TAXAS CARTÃO DE CRÉDITO</v>
      </c>
    </row>
    <row r="447" spans="1:12" ht="15" hidden="1">
      <c r="A447" t="s">
        <v>927</v>
      </c>
      <c r="B447" t="s">
        <v>689</v>
      </c>
      <c r="C447" t="s">
        <v>690</v>
      </c>
      <c r="D447" t="s">
        <v>743</v>
      </c>
      <c r="E447" t="s">
        <v>734</v>
      </c>
      <c r="F447" t="s">
        <v>1272</v>
      </c>
      <c r="G447" t="s">
        <v>665</v>
      </c>
      <c r="H447" s="595">
        <v>-8.77</v>
      </c>
      <c r="I447" t="str">
        <f t="shared" si="17"/>
        <v>janeiro 2026</v>
      </c>
      <c r="J447">
        <f t="shared" si="18"/>
        <v>2026</v>
      </c>
      <c r="K447" t="str">
        <f>VLOOKUP(G447,METRICS!C:D,2,0)</f>
        <v>Taxas Financeiras Diversas</v>
      </c>
      <c r="L447" t="str">
        <f>VLOOKUP(K447,METRICS!D:E,2,0)</f>
        <v>TAXAS CARTÃO DE CRÉDITO</v>
      </c>
    </row>
    <row r="448" spans="1:12" ht="15" hidden="1">
      <c r="A448" t="s">
        <v>927</v>
      </c>
      <c r="B448" t="s">
        <v>689</v>
      </c>
      <c r="C448" t="s">
        <v>690</v>
      </c>
      <c r="D448" t="s">
        <v>743</v>
      </c>
      <c r="E448" t="s">
        <v>734</v>
      </c>
      <c r="F448" t="s">
        <v>1272</v>
      </c>
      <c r="G448" t="s">
        <v>665</v>
      </c>
      <c r="H448" s="595">
        <v>-8.9499999999999993</v>
      </c>
      <c r="I448" t="str">
        <f t="shared" si="17"/>
        <v>janeiro 2026</v>
      </c>
      <c r="J448">
        <f t="shared" si="18"/>
        <v>2026</v>
      </c>
      <c r="K448" t="str">
        <f>VLOOKUP(G448,METRICS!C:D,2,0)</f>
        <v>Taxas Financeiras Diversas</v>
      </c>
      <c r="L448" t="str">
        <f>VLOOKUP(K448,METRICS!D:E,2,0)</f>
        <v>TAXAS CARTÃO DE CRÉDITO</v>
      </c>
    </row>
    <row r="449" spans="1:12" ht="15" hidden="1">
      <c r="A449" t="s">
        <v>927</v>
      </c>
      <c r="B449" t="s">
        <v>689</v>
      </c>
      <c r="C449" t="s">
        <v>690</v>
      </c>
      <c r="D449" t="s">
        <v>733</v>
      </c>
      <c r="E449" t="s">
        <v>734</v>
      </c>
      <c r="F449" t="s">
        <v>1272</v>
      </c>
      <c r="G449" t="s">
        <v>665</v>
      </c>
      <c r="H449" s="595">
        <v>-7.27</v>
      </c>
      <c r="I449" t="str">
        <f t="shared" si="17"/>
        <v>janeiro 2026</v>
      </c>
      <c r="J449">
        <f t="shared" si="18"/>
        <v>2026</v>
      </c>
      <c r="K449" t="str">
        <f>VLOOKUP(G449,METRICS!C:D,2,0)</f>
        <v>Taxas Financeiras Diversas</v>
      </c>
      <c r="L449" t="str">
        <f>VLOOKUP(K449,METRICS!D:E,2,0)</f>
        <v>TAXAS CARTÃO DE CRÉDITO</v>
      </c>
    </row>
    <row r="450" spans="1:12" ht="15" hidden="1">
      <c r="A450" t="s">
        <v>927</v>
      </c>
      <c r="B450" t="s">
        <v>689</v>
      </c>
      <c r="C450" t="s">
        <v>690</v>
      </c>
      <c r="D450" t="s">
        <v>733</v>
      </c>
      <c r="E450" t="s">
        <v>734</v>
      </c>
      <c r="F450" t="s">
        <v>1272</v>
      </c>
      <c r="G450" t="s">
        <v>665</v>
      </c>
      <c r="H450" s="595">
        <v>-2.58</v>
      </c>
      <c r="I450" t="str">
        <f t="shared" si="17"/>
        <v>janeiro 2026</v>
      </c>
      <c r="J450">
        <f t="shared" si="18"/>
        <v>2026</v>
      </c>
      <c r="K450" t="str">
        <f>VLOOKUP(G450,METRICS!C:D,2,0)</f>
        <v>Taxas Financeiras Diversas</v>
      </c>
      <c r="L450" t="str">
        <f>VLOOKUP(K450,METRICS!D:E,2,0)</f>
        <v>TAXAS CARTÃO DE CRÉDITO</v>
      </c>
    </row>
    <row r="451" spans="1:12" ht="15" hidden="1">
      <c r="A451" t="s">
        <v>927</v>
      </c>
      <c r="B451" t="s">
        <v>689</v>
      </c>
      <c r="C451" t="s">
        <v>690</v>
      </c>
      <c r="D451" t="s">
        <v>733</v>
      </c>
      <c r="E451" t="s">
        <v>734</v>
      </c>
      <c r="F451" t="s">
        <v>1272</v>
      </c>
      <c r="G451" t="s">
        <v>665</v>
      </c>
      <c r="H451" s="595">
        <v>-2.16</v>
      </c>
      <c r="I451" t="str">
        <f t="shared" si="17"/>
        <v>janeiro 2026</v>
      </c>
      <c r="J451">
        <f t="shared" si="18"/>
        <v>2026</v>
      </c>
      <c r="K451" t="str">
        <f>VLOOKUP(G451,METRICS!C:D,2,0)</f>
        <v>Taxas Financeiras Diversas</v>
      </c>
      <c r="L451" t="str">
        <f>VLOOKUP(K451,METRICS!D:E,2,0)</f>
        <v>TAXAS CARTÃO DE CRÉDITO</v>
      </c>
    </row>
    <row r="452" spans="1:12" ht="15" hidden="1">
      <c r="A452" t="s">
        <v>927</v>
      </c>
      <c r="B452" t="s">
        <v>689</v>
      </c>
      <c r="C452" t="s">
        <v>690</v>
      </c>
      <c r="D452" t="s">
        <v>733</v>
      </c>
      <c r="E452" t="s">
        <v>734</v>
      </c>
      <c r="F452" t="s">
        <v>1272</v>
      </c>
      <c r="G452" t="s">
        <v>665</v>
      </c>
      <c r="H452" s="595">
        <v>-7.15</v>
      </c>
      <c r="I452" t="str">
        <f t="shared" si="17"/>
        <v>janeiro 2026</v>
      </c>
      <c r="J452">
        <f t="shared" si="18"/>
        <v>2026</v>
      </c>
      <c r="K452" t="str">
        <f>VLOOKUP(G452,METRICS!C:D,2,0)</f>
        <v>Taxas Financeiras Diversas</v>
      </c>
      <c r="L452" t="str">
        <f>VLOOKUP(K452,METRICS!D:E,2,0)</f>
        <v>TAXAS CARTÃO DE CRÉDITO</v>
      </c>
    </row>
    <row r="453" spans="1:12" ht="15" hidden="1">
      <c r="A453" t="s">
        <v>927</v>
      </c>
      <c r="B453" t="s">
        <v>689</v>
      </c>
      <c r="C453" t="s">
        <v>690</v>
      </c>
      <c r="D453" t="s">
        <v>733</v>
      </c>
      <c r="E453" t="s">
        <v>734</v>
      </c>
      <c r="F453" t="s">
        <v>1272</v>
      </c>
      <c r="G453" t="s">
        <v>665</v>
      </c>
      <c r="H453" s="595">
        <v>-2.4700000000000002</v>
      </c>
      <c r="I453" t="str">
        <f t="shared" si="17"/>
        <v>janeiro 2026</v>
      </c>
      <c r="J453">
        <f t="shared" si="18"/>
        <v>2026</v>
      </c>
      <c r="K453" t="str">
        <f>VLOOKUP(G453,METRICS!C:D,2,0)</f>
        <v>Taxas Financeiras Diversas</v>
      </c>
      <c r="L453" t="str">
        <f>VLOOKUP(K453,METRICS!D:E,2,0)</f>
        <v>TAXAS CARTÃO DE CRÉDITO</v>
      </c>
    </row>
    <row r="454" spans="1:12" ht="15" hidden="1">
      <c r="A454" t="s">
        <v>927</v>
      </c>
      <c r="B454" t="s">
        <v>689</v>
      </c>
      <c r="C454" t="s">
        <v>690</v>
      </c>
      <c r="D454" t="s">
        <v>743</v>
      </c>
      <c r="E454" t="s">
        <v>734</v>
      </c>
      <c r="F454" t="s">
        <v>1272</v>
      </c>
      <c r="G454" t="s">
        <v>665</v>
      </c>
      <c r="H454" s="595">
        <v>-0.31</v>
      </c>
      <c r="I454" t="str">
        <f t="shared" si="17"/>
        <v>janeiro 2026</v>
      </c>
      <c r="J454">
        <f t="shared" si="18"/>
        <v>2026</v>
      </c>
      <c r="K454" t="str">
        <f>VLOOKUP(G454,METRICS!C:D,2,0)</f>
        <v>Taxas Financeiras Diversas</v>
      </c>
      <c r="L454" t="str">
        <f>VLOOKUP(K454,METRICS!D:E,2,0)</f>
        <v>TAXAS CARTÃO DE CRÉDITO</v>
      </c>
    </row>
    <row r="455" spans="1:12" ht="15" hidden="1">
      <c r="A455" t="s">
        <v>927</v>
      </c>
      <c r="B455" t="s">
        <v>689</v>
      </c>
      <c r="C455" t="s">
        <v>690</v>
      </c>
      <c r="D455" t="s">
        <v>733</v>
      </c>
      <c r="E455" t="s">
        <v>734</v>
      </c>
      <c r="F455" t="s">
        <v>1272</v>
      </c>
      <c r="G455" t="s">
        <v>665</v>
      </c>
      <c r="H455" s="595">
        <v>-3.89</v>
      </c>
      <c r="I455" t="str">
        <f t="shared" si="17"/>
        <v>janeiro 2026</v>
      </c>
      <c r="J455">
        <f t="shared" si="18"/>
        <v>2026</v>
      </c>
      <c r="K455" t="str">
        <f>VLOOKUP(G455,METRICS!C:D,2,0)</f>
        <v>Taxas Financeiras Diversas</v>
      </c>
      <c r="L455" t="str">
        <f>VLOOKUP(K455,METRICS!D:E,2,0)</f>
        <v>TAXAS CARTÃO DE CRÉDITO</v>
      </c>
    </row>
    <row r="456" spans="1:12" ht="15" hidden="1">
      <c r="A456" t="s">
        <v>927</v>
      </c>
      <c r="B456" t="s">
        <v>689</v>
      </c>
      <c r="C456" t="s">
        <v>690</v>
      </c>
      <c r="D456" t="s">
        <v>733</v>
      </c>
      <c r="E456" t="s">
        <v>734</v>
      </c>
      <c r="F456" t="s">
        <v>1272</v>
      </c>
      <c r="G456" t="s">
        <v>665</v>
      </c>
      <c r="H456" s="595">
        <v>-8.4600000000000009</v>
      </c>
      <c r="I456" t="str">
        <f t="shared" si="17"/>
        <v>janeiro 2026</v>
      </c>
      <c r="J456">
        <f t="shared" si="18"/>
        <v>2026</v>
      </c>
      <c r="K456" t="str">
        <f>VLOOKUP(G456,METRICS!C:D,2,0)</f>
        <v>Taxas Financeiras Diversas</v>
      </c>
      <c r="L456" t="str">
        <f>VLOOKUP(K456,METRICS!D:E,2,0)</f>
        <v>TAXAS CARTÃO DE CRÉDITO</v>
      </c>
    </row>
    <row r="457" spans="1:12" ht="15" hidden="1">
      <c r="A457" t="s">
        <v>927</v>
      </c>
      <c r="B457" t="s">
        <v>689</v>
      </c>
      <c r="C457" t="s">
        <v>690</v>
      </c>
      <c r="D457" t="s">
        <v>743</v>
      </c>
      <c r="E457" t="s">
        <v>734</v>
      </c>
      <c r="F457" t="s">
        <v>1272</v>
      </c>
      <c r="G457" t="s">
        <v>665</v>
      </c>
      <c r="H457" s="595">
        <v>-25.27</v>
      </c>
      <c r="I457" t="str">
        <f t="shared" si="17"/>
        <v>janeiro 2026</v>
      </c>
      <c r="J457">
        <f t="shared" si="18"/>
        <v>2026</v>
      </c>
      <c r="K457" t="str">
        <f>VLOOKUP(G457,METRICS!C:D,2,0)</f>
        <v>Taxas Financeiras Diversas</v>
      </c>
      <c r="L457" t="str">
        <f>VLOOKUP(K457,METRICS!D:E,2,0)</f>
        <v>TAXAS CARTÃO DE CRÉDITO</v>
      </c>
    </row>
    <row r="458" spans="1:12" ht="15" hidden="1">
      <c r="A458" t="s">
        <v>927</v>
      </c>
      <c r="B458" t="s">
        <v>689</v>
      </c>
      <c r="C458" t="s">
        <v>690</v>
      </c>
      <c r="D458" t="s">
        <v>753</v>
      </c>
      <c r="E458" t="s">
        <v>734</v>
      </c>
      <c r="F458" t="s">
        <v>1272</v>
      </c>
      <c r="G458" t="s">
        <v>665</v>
      </c>
      <c r="H458" s="595">
        <v>-1.92</v>
      </c>
      <c r="I458" t="str">
        <f t="shared" si="17"/>
        <v>janeiro 2026</v>
      </c>
      <c r="J458">
        <f t="shared" si="18"/>
        <v>2026</v>
      </c>
      <c r="K458" t="str">
        <f>VLOOKUP(G458,METRICS!C:D,2,0)</f>
        <v>Taxas Financeiras Diversas</v>
      </c>
      <c r="L458" t="str">
        <f>VLOOKUP(K458,METRICS!D:E,2,0)</f>
        <v>TAXAS CARTÃO DE CRÉDITO</v>
      </c>
    </row>
    <row r="459" spans="1:12" ht="15" hidden="1">
      <c r="A459" t="s">
        <v>927</v>
      </c>
      <c r="B459" t="s">
        <v>689</v>
      </c>
      <c r="C459" t="s">
        <v>690</v>
      </c>
      <c r="D459" t="s">
        <v>743</v>
      </c>
      <c r="E459" t="s">
        <v>734</v>
      </c>
      <c r="F459" t="s">
        <v>1272</v>
      </c>
      <c r="G459" t="s">
        <v>665</v>
      </c>
      <c r="H459" s="595">
        <v>-1.99</v>
      </c>
      <c r="I459" t="str">
        <f t="shared" si="17"/>
        <v>janeiro 2026</v>
      </c>
      <c r="J459">
        <f t="shared" si="18"/>
        <v>2026</v>
      </c>
      <c r="K459" t="str">
        <f>VLOOKUP(G459,METRICS!C:D,2,0)</f>
        <v>Taxas Financeiras Diversas</v>
      </c>
      <c r="L459" t="str">
        <f>VLOOKUP(K459,METRICS!D:E,2,0)</f>
        <v>TAXAS CARTÃO DE CRÉDITO</v>
      </c>
    </row>
    <row r="460" spans="1:12" ht="15" hidden="1">
      <c r="A460" t="s">
        <v>927</v>
      </c>
      <c r="B460" t="s">
        <v>689</v>
      </c>
      <c r="C460" t="s">
        <v>690</v>
      </c>
      <c r="D460" t="s">
        <v>733</v>
      </c>
      <c r="E460" t="s">
        <v>734</v>
      </c>
      <c r="F460" t="s">
        <v>1272</v>
      </c>
      <c r="G460" t="s">
        <v>665</v>
      </c>
      <c r="H460" s="595">
        <v>-6.13</v>
      </c>
      <c r="I460" t="str">
        <f t="shared" si="17"/>
        <v>janeiro 2026</v>
      </c>
      <c r="J460">
        <f t="shared" si="18"/>
        <v>2026</v>
      </c>
      <c r="K460" t="str">
        <f>VLOOKUP(G460,METRICS!C:D,2,0)</f>
        <v>Taxas Financeiras Diversas</v>
      </c>
      <c r="L460" t="str">
        <f>VLOOKUP(K460,METRICS!D:E,2,0)</f>
        <v>TAXAS CARTÃO DE CRÉDITO</v>
      </c>
    </row>
    <row r="461" spans="1:12" ht="15" hidden="1">
      <c r="A461" t="s">
        <v>927</v>
      </c>
      <c r="B461" t="s">
        <v>689</v>
      </c>
      <c r="C461" t="s">
        <v>690</v>
      </c>
      <c r="D461" t="s">
        <v>733</v>
      </c>
      <c r="E461" t="s">
        <v>734</v>
      </c>
      <c r="F461" t="s">
        <v>1272</v>
      </c>
      <c r="G461" t="s">
        <v>665</v>
      </c>
      <c r="H461" s="595">
        <v>-2.75</v>
      </c>
      <c r="I461" t="str">
        <f t="shared" si="17"/>
        <v>janeiro 2026</v>
      </c>
      <c r="J461">
        <f t="shared" si="18"/>
        <v>2026</v>
      </c>
      <c r="K461" t="str">
        <f>VLOOKUP(G461,METRICS!C:D,2,0)</f>
        <v>Taxas Financeiras Diversas</v>
      </c>
      <c r="L461" t="str">
        <f>VLOOKUP(K461,METRICS!D:E,2,0)</f>
        <v>TAXAS CARTÃO DE CRÉDITO</v>
      </c>
    </row>
    <row r="462" spans="1:12" ht="15" hidden="1">
      <c r="A462" t="s">
        <v>927</v>
      </c>
      <c r="B462" t="s">
        <v>689</v>
      </c>
      <c r="C462" t="s">
        <v>690</v>
      </c>
      <c r="D462" t="s">
        <v>733</v>
      </c>
      <c r="E462" t="s">
        <v>734</v>
      </c>
      <c r="F462" t="s">
        <v>1272</v>
      </c>
      <c r="G462" t="s">
        <v>665</v>
      </c>
      <c r="H462" s="595">
        <v>-0.7</v>
      </c>
      <c r="I462" t="str">
        <f t="shared" si="17"/>
        <v>janeiro 2026</v>
      </c>
      <c r="J462">
        <f t="shared" si="18"/>
        <v>2026</v>
      </c>
      <c r="K462" t="str">
        <f>VLOOKUP(G462,METRICS!C:D,2,0)</f>
        <v>Taxas Financeiras Diversas</v>
      </c>
      <c r="L462" t="str">
        <f>VLOOKUP(K462,METRICS!D:E,2,0)</f>
        <v>TAXAS CARTÃO DE CRÉDITO</v>
      </c>
    </row>
    <row r="463" spans="1:12" ht="15" hidden="1">
      <c r="A463" t="s">
        <v>927</v>
      </c>
      <c r="B463" t="s">
        <v>689</v>
      </c>
      <c r="C463" t="s">
        <v>690</v>
      </c>
      <c r="D463" t="s">
        <v>733</v>
      </c>
      <c r="E463" t="s">
        <v>734</v>
      </c>
      <c r="F463" t="s">
        <v>1272</v>
      </c>
      <c r="G463" t="s">
        <v>665</v>
      </c>
      <c r="H463" s="595">
        <v>-13.95</v>
      </c>
      <c r="I463" t="str">
        <f t="shared" si="17"/>
        <v>janeiro 2026</v>
      </c>
      <c r="J463">
        <f t="shared" si="18"/>
        <v>2026</v>
      </c>
      <c r="K463" t="str">
        <f>VLOOKUP(G463,METRICS!C:D,2,0)</f>
        <v>Taxas Financeiras Diversas</v>
      </c>
      <c r="L463" t="str">
        <f>VLOOKUP(K463,METRICS!D:E,2,0)</f>
        <v>TAXAS CARTÃO DE CRÉDITO</v>
      </c>
    </row>
    <row r="464" spans="1:12" ht="15" hidden="1">
      <c r="A464" t="s">
        <v>927</v>
      </c>
      <c r="B464" t="s">
        <v>689</v>
      </c>
      <c r="C464" t="s">
        <v>690</v>
      </c>
      <c r="D464" t="s">
        <v>733</v>
      </c>
      <c r="E464" t="s">
        <v>734</v>
      </c>
      <c r="F464" t="s">
        <v>1272</v>
      </c>
      <c r="G464" t="s">
        <v>665</v>
      </c>
      <c r="H464" s="595">
        <v>-5.93</v>
      </c>
      <c r="I464" t="str">
        <f t="shared" si="17"/>
        <v>janeiro 2026</v>
      </c>
      <c r="J464">
        <f t="shared" si="18"/>
        <v>2026</v>
      </c>
      <c r="K464" t="str">
        <f>VLOOKUP(G464,METRICS!C:D,2,0)</f>
        <v>Taxas Financeiras Diversas</v>
      </c>
      <c r="L464" t="str">
        <f>VLOOKUP(K464,METRICS!D:E,2,0)</f>
        <v>TAXAS CARTÃO DE CRÉDITO</v>
      </c>
    </row>
    <row r="465" spans="1:12" ht="15" hidden="1">
      <c r="A465" t="s">
        <v>927</v>
      </c>
      <c r="B465" t="s">
        <v>689</v>
      </c>
      <c r="C465" t="s">
        <v>690</v>
      </c>
      <c r="D465" t="s">
        <v>733</v>
      </c>
      <c r="E465" t="s">
        <v>734</v>
      </c>
      <c r="F465" t="s">
        <v>1272</v>
      </c>
      <c r="G465" t="s">
        <v>665</v>
      </c>
      <c r="H465" s="595">
        <v>-0.22</v>
      </c>
      <c r="I465" t="str">
        <f t="shared" si="17"/>
        <v>janeiro 2026</v>
      </c>
      <c r="J465">
        <f t="shared" si="18"/>
        <v>2026</v>
      </c>
      <c r="K465" t="str">
        <f>VLOOKUP(G465,METRICS!C:D,2,0)</f>
        <v>Taxas Financeiras Diversas</v>
      </c>
      <c r="L465" t="str">
        <f>VLOOKUP(K465,METRICS!D:E,2,0)</f>
        <v>TAXAS CARTÃO DE CRÉDITO</v>
      </c>
    </row>
    <row r="466" spans="1:12" ht="15" hidden="1">
      <c r="A466" t="s">
        <v>927</v>
      </c>
      <c r="B466" t="s">
        <v>689</v>
      </c>
      <c r="C466" t="s">
        <v>690</v>
      </c>
      <c r="D466" t="s">
        <v>733</v>
      </c>
      <c r="E466" t="s">
        <v>734</v>
      </c>
      <c r="F466" t="s">
        <v>1272</v>
      </c>
      <c r="G466" t="s">
        <v>665</v>
      </c>
      <c r="H466" s="595">
        <v>-5.91</v>
      </c>
      <c r="I466" t="str">
        <f t="shared" si="17"/>
        <v>janeiro 2026</v>
      </c>
      <c r="J466">
        <f t="shared" si="18"/>
        <v>2026</v>
      </c>
      <c r="K466" t="str">
        <f>VLOOKUP(G466,METRICS!C:D,2,0)</f>
        <v>Taxas Financeiras Diversas</v>
      </c>
      <c r="L466" t="str">
        <f>VLOOKUP(K466,METRICS!D:E,2,0)</f>
        <v>TAXAS CARTÃO DE CRÉDITO</v>
      </c>
    </row>
    <row r="467" spans="1:12" ht="15" hidden="1">
      <c r="A467" t="s">
        <v>927</v>
      </c>
      <c r="B467" t="s">
        <v>689</v>
      </c>
      <c r="C467" t="s">
        <v>690</v>
      </c>
      <c r="D467" t="s">
        <v>733</v>
      </c>
      <c r="E467" t="s">
        <v>734</v>
      </c>
      <c r="F467" t="s">
        <v>1272</v>
      </c>
      <c r="G467" t="s">
        <v>665</v>
      </c>
      <c r="H467" s="595">
        <v>-7.0000000000000007E-2</v>
      </c>
      <c r="I467" t="str">
        <f t="shared" si="17"/>
        <v>janeiro 2026</v>
      </c>
      <c r="J467">
        <f t="shared" si="18"/>
        <v>2026</v>
      </c>
      <c r="K467" t="str">
        <f>VLOOKUP(G467,METRICS!C:D,2,0)</f>
        <v>Taxas Financeiras Diversas</v>
      </c>
      <c r="L467" t="str">
        <f>VLOOKUP(K467,METRICS!D:E,2,0)</f>
        <v>TAXAS CARTÃO DE CRÉDITO</v>
      </c>
    </row>
    <row r="468" spans="1:12" ht="15" hidden="1">
      <c r="A468" t="s">
        <v>927</v>
      </c>
      <c r="B468" t="s">
        <v>689</v>
      </c>
      <c r="C468" t="s">
        <v>690</v>
      </c>
      <c r="D468" t="s">
        <v>733</v>
      </c>
      <c r="E468" t="s">
        <v>734</v>
      </c>
      <c r="F468" t="s">
        <v>1272</v>
      </c>
      <c r="G468" t="s">
        <v>665</v>
      </c>
      <c r="H468" s="595">
        <v>-15.61</v>
      </c>
      <c r="I468" t="str">
        <f t="shared" si="17"/>
        <v>janeiro 2026</v>
      </c>
      <c r="J468">
        <f t="shared" si="18"/>
        <v>2026</v>
      </c>
      <c r="K468" t="str">
        <f>VLOOKUP(G468,METRICS!C:D,2,0)</f>
        <v>Taxas Financeiras Diversas</v>
      </c>
      <c r="L468" t="str">
        <f>VLOOKUP(K468,METRICS!D:E,2,0)</f>
        <v>TAXAS CARTÃO DE CRÉDITO</v>
      </c>
    </row>
    <row r="469" spans="1:12" ht="15" hidden="1">
      <c r="A469" t="s">
        <v>927</v>
      </c>
      <c r="B469" t="s">
        <v>689</v>
      </c>
      <c r="C469" t="s">
        <v>690</v>
      </c>
      <c r="D469" t="s">
        <v>743</v>
      </c>
      <c r="E469" t="s">
        <v>734</v>
      </c>
      <c r="F469" t="s">
        <v>1272</v>
      </c>
      <c r="G469" t="s">
        <v>665</v>
      </c>
      <c r="H469" s="595">
        <v>-9.66</v>
      </c>
      <c r="I469" t="str">
        <f t="shared" si="17"/>
        <v>janeiro 2026</v>
      </c>
      <c r="J469">
        <f t="shared" si="18"/>
        <v>2026</v>
      </c>
      <c r="K469" t="str">
        <f>VLOOKUP(G469,METRICS!C:D,2,0)</f>
        <v>Taxas Financeiras Diversas</v>
      </c>
      <c r="L469" t="str">
        <f>VLOOKUP(K469,METRICS!D:E,2,0)</f>
        <v>TAXAS CARTÃO DE CRÉDITO</v>
      </c>
    </row>
    <row r="470" spans="1:12" ht="15" hidden="1">
      <c r="A470" t="s">
        <v>927</v>
      </c>
      <c r="B470" t="s">
        <v>689</v>
      </c>
      <c r="C470" t="s">
        <v>690</v>
      </c>
      <c r="D470" t="s">
        <v>743</v>
      </c>
      <c r="E470" t="s">
        <v>734</v>
      </c>
      <c r="F470" t="s">
        <v>1272</v>
      </c>
      <c r="G470" t="s">
        <v>665</v>
      </c>
      <c r="H470" s="595">
        <v>-2.08</v>
      </c>
      <c r="I470" t="str">
        <f t="shared" si="17"/>
        <v>janeiro 2026</v>
      </c>
      <c r="J470">
        <f t="shared" si="18"/>
        <v>2026</v>
      </c>
      <c r="K470" t="str">
        <f>VLOOKUP(G470,METRICS!C:D,2,0)</f>
        <v>Taxas Financeiras Diversas</v>
      </c>
      <c r="L470" t="str">
        <f>VLOOKUP(K470,METRICS!D:E,2,0)</f>
        <v>TAXAS CARTÃO DE CRÉDITO</v>
      </c>
    </row>
    <row r="471" spans="1:12" ht="15" hidden="1">
      <c r="A471" t="s">
        <v>927</v>
      </c>
      <c r="B471" t="s">
        <v>689</v>
      </c>
      <c r="C471" t="s">
        <v>690</v>
      </c>
      <c r="D471" t="s">
        <v>733</v>
      </c>
      <c r="E471" t="s">
        <v>734</v>
      </c>
      <c r="F471" t="s">
        <v>1272</v>
      </c>
      <c r="G471" t="s">
        <v>665</v>
      </c>
      <c r="H471" s="595">
        <v>-1.02</v>
      </c>
      <c r="I471" t="str">
        <f t="shared" si="17"/>
        <v>janeiro 2026</v>
      </c>
      <c r="J471">
        <f t="shared" si="18"/>
        <v>2026</v>
      </c>
      <c r="K471" t="str">
        <f>VLOOKUP(G471,METRICS!C:D,2,0)</f>
        <v>Taxas Financeiras Diversas</v>
      </c>
      <c r="L471" t="str">
        <f>VLOOKUP(K471,METRICS!D:E,2,0)</f>
        <v>TAXAS CARTÃO DE CRÉDITO</v>
      </c>
    </row>
    <row r="472" spans="1:12" ht="15" hidden="1">
      <c r="A472" t="s">
        <v>927</v>
      </c>
      <c r="B472" t="s">
        <v>689</v>
      </c>
      <c r="C472" t="s">
        <v>690</v>
      </c>
      <c r="D472" t="s">
        <v>753</v>
      </c>
      <c r="E472" t="s">
        <v>734</v>
      </c>
      <c r="F472" t="s">
        <v>1272</v>
      </c>
      <c r="G472" t="s">
        <v>665</v>
      </c>
      <c r="H472" s="595">
        <v>-15.93</v>
      </c>
      <c r="I472" t="str">
        <f t="shared" si="17"/>
        <v>janeiro 2026</v>
      </c>
      <c r="J472">
        <f t="shared" si="18"/>
        <v>2026</v>
      </c>
      <c r="K472" t="str">
        <f>VLOOKUP(G472,METRICS!C:D,2,0)</f>
        <v>Taxas Financeiras Diversas</v>
      </c>
      <c r="L472" t="str">
        <f>VLOOKUP(K472,METRICS!D:E,2,0)</f>
        <v>TAXAS CARTÃO DE CRÉDITO</v>
      </c>
    </row>
    <row r="473" spans="1:12" ht="15" hidden="1">
      <c r="A473" t="s">
        <v>927</v>
      </c>
      <c r="B473" t="s">
        <v>689</v>
      </c>
      <c r="C473" t="s">
        <v>690</v>
      </c>
      <c r="D473" t="s">
        <v>733</v>
      </c>
      <c r="E473" t="s">
        <v>734</v>
      </c>
      <c r="F473" t="s">
        <v>1272</v>
      </c>
      <c r="G473" t="s">
        <v>665</v>
      </c>
      <c r="H473" s="595">
        <v>-2.3199999999999998</v>
      </c>
      <c r="I473" t="str">
        <f t="shared" si="17"/>
        <v>janeiro 2026</v>
      </c>
      <c r="J473">
        <f t="shared" si="18"/>
        <v>2026</v>
      </c>
      <c r="K473" t="str">
        <f>VLOOKUP(G473,METRICS!C:D,2,0)</f>
        <v>Taxas Financeiras Diversas</v>
      </c>
      <c r="L473" t="str">
        <f>VLOOKUP(K473,METRICS!D:E,2,0)</f>
        <v>TAXAS CARTÃO DE CRÉDITO</v>
      </c>
    </row>
    <row r="474" spans="1:12" ht="15" hidden="1">
      <c r="A474" t="s">
        <v>927</v>
      </c>
      <c r="B474" t="s">
        <v>689</v>
      </c>
      <c r="C474" t="s">
        <v>690</v>
      </c>
      <c r="D474" t="s">
        <v>852</v>
      </c>
      <c r="E474" s="155" t="s">
        <v>544</v>
      </c>
      <c r="F474" t="s">
        <v>1272</v>
      </c>
      <c r="G474" t="s">
        <v>664</v>
      </c>
      <c r="H474" s="595">
        <v>-120</v>
      </c>
      <c r="I474" t="str">
        <f t="shared" ref="I474:I507" si="19">TEXT(A474, "mmmm aaaa")</f>
        <v>janeiro 2026</v>
      </c>
      <c r="J474">
        <f t="shared" si="18"/>
        <v>2026</v>
      </c>
      <c r="K474" t="str">
        <f>VLOOKUP(G474,METRICS!C:D,2,0)</f>
        <v>Colaborador Extra</v>
      </c>
      <c r="L474" t="str">
        <f>VLOOKUP(K474,METRICS!D:E,2,0)</f>
        <v>PESSOAL</v>
      </c>
    </row>
    <row r="475" spans="1:12" ht="15" hidden="1">
      <c r="A475" t="s">
        <v>927</v>
      </c>
      <c r="B475" t="s">
        <v>689</v>
      </c>
      <c r="C475" t="s">
        <v>690</v>
      </c>
      <c r="D475" t="s">
        <v>733</v>
      </c>
      <c r="E475" t="s">
        <v>734</v>
      </c>
      <c r="F475" t="s">
        <v>1272</v>
      </c>
      <c r="G475" t="s">
        <v>665</v>
      </c>
      <c r="H475" s="595">
        <v>-1.86</v>
      </c>
      <c r="I475" t="str">
        <f t="shared" si="19"/>
        <v>janeiro 2026</v>
      </c>
      <c r="J475">
        <f t="shared" si="18"/>
        <v>2026</v>
      </c>
      <c r="K475" t="str">
        <f>VLOOKUP(G475,METRICS!C:D,2,0)</f>
        <v>Taxas Financeiras Diversas</v>
      </c>
      <c r="L475" t="str">
        <f>VLOOKUP(K475,METRICS!D:E,2,0)</f>
        <v>TAXAS CARTÃO DE CRÉDITO</v>
      </c>
    </row>
    <row r="476" spans="1:12" ht="15" hidden="1">
      <c r="A476" t="s">
        <v>927</v>
      </c>
      <c r="B476" t="s">
        <v>689</v>
      </c>
      <c r="C476" t="s">
        <v>690</v>
      </c>
      <c r="D476" t="s">
        <v>743</v>
      </c>
      <c r="E476" t="s">
        <v>734</v>
      </c>
      <c r="F476" t="s">
        <v>1272</v>
      </c>
      <c r="G476" t="s">
        <v>665</v>
      </c>
      <c r="H476" s="595">
        <v>-2.2599999999999998</v>
      </c>
      <c r="I476" t="str">
        <f t="shared" si="19"/>
        <v>janeiro 2026</v>
      </c>
      <c r="J476">
        <f t="shared" si="18"/>
        <v>2026</v>
      </c>
      <c r="K476" t="str">
        <f>VLOOKUP(G476,METRICS!C:D,2,0)</f>
        <v>Taxas Financeiras Diversas</v>
      </c>
      <c r="L476" t="str">
        <f>VLOOKUP(K476,METRICS!D:E,2,0)</f>
        <v>TAXAS CARTÃO DE CRÉDITO</v>
      </c>
    </row>
    <row r="477" spans="1:12" ht="15" hidden="1">
      <c r="A477" t="s">
        <v>927</v>
      </c>
      <c r="B477" t="s">
        <v>689</v>
      </c>
      <c r="C477" t="s">
        <v>690</v>
      </c>
      <c r="D477" t="s">
        <v>733</v>
      </c>
      <c r="E477" t="s">
        <v>734</v>
      </c>
      <c r="F477" t="s">
        <v>1272</v>
      </c>
      <c r="G477" t="s">
        <v>665</v>
      </c>
      <c r="H477" s="595">
        <v>-25.63</v>
      </c>
      <c r="I477" t="str">
        <f t="shared" si="19"/>
        <v>janeiro 2026</v>
      </c>
      <c r="J477">
        <f t="shared" si="18"/>
        <v>2026</v>
      </c>
      <c r="K477" t="str">
        <f>VLOOKUP(G477,METRICS!C:D,2,0)</f>
        <v>Taxas Financeiras Diversas</v>
      </c>
      <c r="L477" t="str">
        <f>VLOOKUP(K477,METRICS!D:E,2,0)</f>
        <v>TAXAS CARTÃO DE CRÉDITO</v>
      </c>
    </row>
    <row r="478" spans="1:12" ht="15" hidden="1">
      <c r="A478" t="s">
        <v>927</v>
      </c>
      <c r="B478" t="s">
        <v>689</v>
      </c>
      <c r="C478" t="s">
        <v>690</v>
      </c>
      <c r="D478" t="s">
        <v>733</v>
      </c>
      <c r="E478" t="s">
        <v>734</v>
      </c>
      <c r="F478" t="s">
        <v>1272</v>
      </c>
      <c r="G478" t="s">
        <v>665</v>
      </c>
      <c r="H478" s="595">
        <v>-0.9</v>
      </c>
      <c r="I478" t="str">
        <f t="shared" si="19"/>
        <v>janeiro 2026</v>
      </c>
      <c r="J478">
        <f t="shared" si="18"/>
        <v>2026</v>
      </c>
      <c r="K478" t="str">
        <f>VLOOKUP(G478,METRICS!C:D,2,0)</f>
        <v>Taxas Financeiras Diversas</v>
      </c>
      <c r="L478" t="str">
        <f>VLOOKUP(K478,METRICS!D:E,2,0)</f>
        <v>TAXAS CARTÃO DE CRÉDITO</v>
      </c>
    </row>
    <row r="479" spans="1:12" ht="15" hidden="1">
      <c r="A479" t="s">
        <v>927</v>
      </c>
      <c r="B479" t="s">
        <v>689</v>
      </c>
      <c r="C479" t="s">
        <v>690</v>
      </c>
      <c r="D479" t="s">
        <v>733</v>
      </c>
      <c r="E479" t="s">
        <v>734</v>
      </c>
      <c r="F479" t="s">
        <v>1272</v>
      </c>
      <c r="G479" t="s">
        <v>665</v>
      </c>
      <c r="H479" s="595">
        <v>-9.5500000000000007</v>
      </c>
      <c r="I479" t="str">
        <f t="shared" si="19"/>
        <v>janeiro 2026</v>
      </c>
      <c r="J479">
        <f t="shared" si="18"/>
        <v>2026</v>
      </c>
      <c r="K479" t="str">
        <f>VLOOKUP(G479,METRICS!C:D,2,0)</f>
        <v>Taxas Financeiras Diversas</v>
      </c>
      <c r="L479" t="str">
        <f>VLOOKUP(K479,METRICS!D:E,2,0)</f>
        <v>TAXAS CARTÃO DE CRÉDITO</v>
      </c>
    </row>
    <row r="480" spans="1:12" ht="15" hidden="1">
      <c r="A480" t="s">
        <v>927</v>
      </c>
      <c r="B480" t="s">
        <v>689</v>
      </c>
      <c r="C480" t="s">
        <v>690</v>
      </c>
      <c r="D480" t="s">
        <v>733</v>
      </c>
      <c r="E480" t="s">
        <v>734</v>
      </c>
      <c r="F480" t="s">
        <v>1272</v>
      </c>
      <c r="G480" t="s">
        <v>665</v>
      </c>
      <c r="H480" s="595">
        <v>-8.42</v>
      </c>
      <c r="I480" t="str">
        <f t="shared" si="19"/>
        <v>janeiro 2026</v>
      </c>
      <c r="J480">
        <f t="shared" si="18"/>
        <v>2026</v>
      </c>
      <c r="K480" t="str">
        <f>VLOOKUP(G480,METRICS!C:D,2,0)</f>
        <v>Taxas Financeiras Diversas</v>
      </c>
      <c r="L480" t="str">
        <f>VLOOKUP(K480,METRICS!D:E,2,0)</f>
        <v>TAXAS CARTÃO DE CRÉDITO</v>
      </c>
    </row>
    <row r="481" spans="1:12" ht="15" hidden="1">
      <c r="A481" t="s">
        <v>927</v>
      </c>
      <c r="B481" t="s">
        <v>689</v>
      </c>
      <c r="C481" t="s">
        <v>690</v>
      </c>
      <c r="D481" t="s">
        <v>733</v>
      </c>
      <c r="E481" t="s">
        <v>734</v>
      </c>
      <c r="F481" t="s">
        <v>1272</v>
      </c>
      <c r="G481" t="s">
        <v>665</v>
      </c>
      <c r="H481" s="595">
        <v>-1.91</v>
      </c>
      <c r="I481" t="str">
        <f t="shared" si="19"/>
        <v>janeiro 2026</v>
      </c>
      <c r="J481">
        <f t="shared" si="18"/>
        <v>2026</v>
      </c>
      <c r="K481" t="str">
        <f>VLOOKUP(G481,METRICS!C:D,2,0)</f>
        <v>Taxas Financeiras Diversas</v>
      </c>
      <c r="L481" t="str">
        <f>VLOOKUP(K481,METRICS!D:E,2,0)</f>
        <v>TAXAS CARTÃO DE CRÉDITO</v>
      </c>
    </row>
    <row r="482" spans="1:12" ht="15" hidden="1">
      <c r="A482" t="s">
        <v>927</v>
      </c>
      <c r="B482" t="s">
        <v>689</v>
      </c>
      <c r="C482" t="s">
        <v>690</v>
      </c>
      <c r="D482" t="s">
        <v>860</v>
      </c>
      <c r="E482" t="s">
        <v>734</v>
      </c>
      <c r="F482" t="s">
        <v>1272</v>
      </c>
      <c r="G482" t="s">
        <v>665</v>
      </c>
      <c r="H482" s="595">
        <v>-6.68</v>
      </c>
      <c r="I482" t="str">
        <f t="shared" si="19"/>
        <v>janeiro 2026</v>
      </c>
      <c r="J482">
        <f t="shared" si="18"/>
        <v>2026</v>
      </c>
      <c r="K482" t="str">
        <f>VLOOKUP(G482,METRICS!C:D,2,0)</f>
        <v>Taxas Financeiras Diversas</v>
      </c>
      <c r="L482" t="str">
        <f>VLOOKUP(K482,METRICS!D:E,2,0)</f>
        <v>TAXAS CARTÃO DE CRÉDITO</v>
      </c>
    </row>
    <row r="483" spans="1:12" ht="15" hidden="1">
      <c r="A483" t="s">
        <v>927</v>
      </c>
      <c r="B483" t="s">
        <v>689</v>
      </c>
      <c r="C483" t="s">
        <v>690</v>
      </c>
      <c r="D483" t="s">
        <v>733</v>
      </c>
      <c r="E483" t="s">
        <v>734</v>
      </c>
      <c r="F483" t="s">
        <v>1272</v>
      </c>
      <c r="G483" t="s">
        <v>665</v>
      </c>
      <c r="H483" s="595">
        <v>-5.82</v>
      </c>
      <c r="I483" t="str">
        <f t="shared" si="19"/>
        <v>janeiro 2026</v>
      </c>
      <c r="J483">
        <f t="shared" si="18"/>
        <v>2026</v>
      </c>
      <c r="K483" t="str">
        <f>VLOOKUP(G483,METRICS!C:D,2,0)</f>
        <v>Taxas Financeiras Diversas</v>
      </c>
      <c r="L483" t="str">
        <f>VLOOKUP(K483,METRICS!D:E,2,0)</f>
        <v>TAXAS CARTÃO DE CRÉDITO</v>
      </c>
    </row>
    <row r="484" spans="1:12" ht="15" hidden="1">
      <c r="A484" t="s">
        <v>927</v>
      </c>
      <c r="B484" t="s">
        <v>689</v>
      </c>
      <c r="C484" t="s">
        <v>690</v>
      </c>
      <c r="D484" t="s">
        <v>733</v>
      </c>
      <c r="E484" t="s">
        <v>734</v>
      </c>
      <c r="F484" t="s">
        <v>1272</v>
      </c>
      <c r="G484" t="s">
        <v>665</v>
      </c>
      <c r="H484" s="595">
        <v>-1.91</v>
      </c>
      <c r="I484" t="str">
        <f t="shared" si="19"/>
        <v>janeiro 2026</v>
      </c>
      <c r="J484">
        <f t="shared" si="18"/>
        <v>2026</v>
      </c>
      <c r="K484" t="str">
        <f>VLOOKUP(G484,METRICS!C:D,2,0)</f>
        <v>Taxas Financeiras Diversas</v>
      </c>
      <c r="L484" t="str">
        <f>VLOOKUP(K484,METRICS!D:E,2,0)</f>
        <v>TAXAS CARTÃO DE CRÉDITO</v>
      </c>
    </row>
    <row r="485" spans="1:12" ht="15" hidden="1">
      <c r="A485" t="s">
        <v>927</v>
      </c>
      <c r="B485" t="s">
        <v>689</v>
      </c>
      <c r="C485" t="s">
        <v>690</v>
      </c>
      <c r="D485" t="s">
        <v>753</v>
      </c>
      <c r="E485" t="s">
        <v>734</v>
      </c>
      <c r="F485" t="s">
        <v>1272</v>
      </c>
      <c r="G485" t="s">
        <v>665</v>
      </c>
      <c r="H485" s="595">
        <v>-206.3</v>
      </c>
      <c r="I485" t="str">
        <f t="shared" si="19"/>
        <v>janeiro 2026</v>
      </c>
      <c r="J485">
        <f t="shared" si="18"/>
        <v>2026</v>
      </c>
      <c r="K485" t="str">
        <f>VLOOKUP(G485,METRICS!C:D,2,0)</f>
        <v>Taxas Financeiras Diversas</v>
      </c>
      <c r="L485" t="str">
        <f>VLOOKUP(K485,METRICS!D:E,2,0)</f>
        <v>TAXAS CARTÃO DE CRÉDITO</v>
      </c>
    </row>
    <row r="486" spans="1:12" ht="15" hidden="1">
      <c r="A486" t="s">
        <v>927</v>
      </c>
      <c r="B486" t="s">
        <v>689</v>
      </c>
      <c r="C486" t="s">
        <v>690</v>
      </c>
      <c r="D486" t="s">
        <v>743</v>
      </c>
      <c r="E486" t="s">
        <v>734</v>
      </c>
      <c r="F486" t="s">
        <v>1272</v>
      </c>
      <c r="G486" t="s">
        <v>665</v>
      </c>
      <c r="H486" s="595">
        <v>-20.93</v>
      </c>
      <c r="I486" t="str">
        <f t="shared" si="19"/>
        <v>janeiro 2026</v>
      </c>
      <c r="J486">
        <f t="shared" si="18"/>
        <v>2026</v>
      </c>
      <c r="K486" t="str">
        <f>VLOOKUP(G486,METRICS!C:D,2,0)</f>
        <v>Taxas Financeiras Diversas</v>
      </c>
      <c r="L486" t="str">
        <f>VLOOKUP(K486,METRICS!D:E,2,0)</f>
        <v>TAXAS CARTÃO DE CRÉDITO</v>
      </c>
    </row>
    <row r="487" spans="1:12" ht="15" hidden="1">
      <c r="A487" t="s">
        <v>927</v>
      </c>
      <c r="B487" t="s">
        <v>689</v>
      </c>
      <c r="C487" t="s">
        <v>690</v>
      </c>
      <c r="D487" t="s">
        <v>733</v>
      </c>
      <c r="E487" t="s">
        <v>734</v>
      </c>
      <c r="F487" t="s">
        <v>1272</v>
      </c>
      <c r="G487" t="s">
        <v>665</v>
      </c>
      <c r="H487" s="595">
        <v>-3.89</v>
      </c>
      <c r="I487" t="str">
        <f t="shared" si="19"/>
        <v>janeiro 2026</v>
      </c>
      <c r="J487">
        <f t="shared" si="18"/>
        <v>2026</v>
      </c>
      <c r="K487" t="str">
        <f>VLOOKUP(G487,METRICS!C:D,2,0)</f>
        <v>Taxas Financeiras Diversas</v>
      </c>
      <c r="L487" t="str">
        <f>VLOOKUP(K487,METRICS!D:E,2,0)</f>
        <v>TAXAS CARTÃO DE CRÉDITO</v>
      </c>
    </row>
    <row r="488" spans="1:12" ht="15" hidden="1">
      <c r="A488" t="s">
        <v>927</v>
      </c>
      <c r="B488" t="s">
        <v>689</v>
      </c>
      <c r="C488" t="s">
        <v>690</v>
      </c>
      <c r="D488" t="s">
        <v>733</v>
      </c>
      <c r="E488" t="s">
        <v>734</v>
      </c>
      <c r="F488" t="s">
        <v>1272</v>
      </c>
      <c r="G488" t="s">
        <v>665</v>
      </c>
      <c r="H488" s="595">
        <v>-13.1</v>
      </c>
      <c r="I488" t="str">
        <f t="shared" si="19"/>
        <v>janeiro 2026</v>
      </c>
      <c r="J488">
        <f t="shared" si="18"/>
        <v>2026</v>
      </c>
      <c r="K488" t="str">
        <f>VLOOKUP(G488,METRICS!C:D,2,0)</f>
        <v>Taxas Financeiras Diversas</v>
      </c>
      <c r="L488" t="str">
        <f>VLOOKUP(K488,METRICS!D:E,2,0)</f>
        <v>TAXAS CARTÃO DE CRÉDITO</v>
      </c>
    </row>
    <row r="489" spans="1:12" ht="15" hidden="1">
      <c r="A489" t="s">
        <v>927</v>
      </c>
      <c r="B489" t="s">
        <v>689</v>
      </c>
      <c r="C489" t="s">
        <v>690</v>
      </c>
      <c r="D489" t="s">
        <v>733</v>
      </c>
      <c r="E489" t="s">
        <v>734</v>
      </c>
      <c r="F489" t="s">
        <v>1272</v>
      </c>
      <c r="G489" t="s">
        <v>665</v>
      </c>
      <c r="H489" s="595">
        <v>-4.0199999999999996</v>
      </c>
      <c r="I489" t="str">
        <f t="shared" si="19"/>
        <v>janeiro 2026</v>
      </c>
      <c r="J489">
        <f t="shared" si="18"/>
        <v>2026</v>
      </c>
      <c r="K489" t="str">
        <f>VLOOKUP(G489,METRICS!C:D,2,0)</f>
        <v>Taxas Financeiras Diversas</v>
      </c>
      <c r="L489" t="str">
        <f>VLOOKUP(K489,METRICS!D:E,2,0)</f>
        <v>TAXAS CARTÃO DE CRÉDITO</v>
      </c>
    </row>
    <row r="490" spans="1:12" ht="15" hidden="1">
      <c r="A490" t="s">
        <v>927</v>
      </c>
      <c r="B490" t="s">
        <v>689</v>
      </c>
      <c r="C490" t="s">
        <v>690</v>
      </c>
      <c r="D490" t="s">
        <v>733</v>
      </c>
      <c r="E490" t="s">
        <v>734</v>
      </c>
      <c r="F490" t="s">
        <v>1272</v>
      </c>
      <c r="G490" t="s">
        <v>665</v>
      </c>
      <c r="H490" s="595">
        <v>-0.23</v>
      </c>
      <c r="I490" t="str">
        <f t="shared" si="19"/>
        <v>janeiro 2026</v>
      </c>
      <c r="J490">
        <f t="shared" si="18"/>
        <v>2026</v>
      </c>
      <c r="K490" t="str">
        <f>VLOOKUP(G490,METRICS!C:D,2,0)</f>
        <v>Taxas Financeiras Diversas</v>
      </c>
      <c r="L490" t="str">
        <f>VLOOKUP(K490,METRICS!D:E,2,0)</f>
        <v>TAXAS CARTÃO DE CRÉDITO</v>
      </c>
    </row>
    <row r="491" spans="1:12" ht="15" hidden="1">
      <c r="A491" t="s">
        <v>927</v>
      </c>
      <c r="B491" t="s">
        <v>689</v>
      </c>
      <c r="C491" t="s">
        <v>690</v>
      </c>
      <c r="D491" t="s">
        <v>733</v>
      </c>
      <c r="E491" t="s">
        <v>734</v>
      </c>
      <c r="F491" t="s">
        <v>1272</v>
      </c>
      <c r="G491" t="s">
        <v>665</v>
      </c>
      <c r="H491" s="595">
        <v>-1.7</v>
      </c>
      <c r="I491" t="str">
        <f t="shared" si="19"/>
        <v>janeiro 2026</v>
      </c>
      <c r="J491">
        <f t="shared" si="18"/>
        <v>2026</v>
      </c>
      <c r="K491" t="str">
        <f>VLOOKUP(G491,METRICS!C:D,2,0)</f>
        <v>Taxas Financeiras Diversas</v>
      </c>
      <c r="L491" t="str">
        <f>VLOOKUP(K491,METRICS!D:E,2,0)</f>
        <v>TAXAS CARTÃO DE CRÉDITO</v>
      </c>
    </row>
    <row r="492" spans="1:12" ht="15" hidden="1">
      <c r="A492" t="s">
        <v>927</v>
      </c>
      <c r="B492" t="s">
        <v>689</v>
      </c>
      <c r="C492" t="s">
        <v>690</v>
      </c>
      <c r="D492" t="s">
        <v>743</v>
      </c>
      <c r="E492" t="s">
        <v>734</v>
      </c>
      <c r="F492" t="s">
        <v>1272</v>
      </c>
      <c r="G492" t="s">
        <v>665</v>
      </c>
      <c r="H492" s="595">
        <v>-8.4600000000000009</v>
      </c>
      <c r="I492" t="str">
        <f t="shared" si="19"/>
        <v>janeiro 2026</v>
      </c>
      <c r="J492">
        <f t="shared" si="18"/>
        <v>2026</v>
      </c>
      <c r="K492" t="str">
        <f>VLOOKUP(G492,METRICS!C:D,2,0)</f>
        <v>Taxas Financeiras Diversas</v>
      </c>
      <c r="L492" t="str">
        <f>VLOOKUP(K492,METRICS!D:E,2,0)</f>
        <v>TAXAS CARTÃO DE CRÉDITO</v>
      </c>
    </row>
    <row r="493" spans="1:12" ht="15" hidden="1">
      <c r="A493" t="s">
        <v>927</v>
      </c>
      <c r="B493" t="s">
        <v>689</v>
      </c>
      <c r="C493" t="s">
        <v>690</v>
      </c>
      <c r="D493" t="s">
        <v>733</v>
      </c>
      <c r="E493" t="s">
        <v>734</v>
      </c>
      <c r="F493" t="s">
        <v>1272</v>
      </c>
      <c r="G493" t="s">
        <v>665</v>
      </c>
      <c r="H493" s="595">
        <v>-3.8</v>
      </c>
      <c r="I493" t="str">
        <f t="shared" si="19"/>
        <v>janeiro 2026</v>
      </c>
      <c r="J493">
        <f t="shared" si="18"/>
        <v>2026</v>
      </c>
      <c r="K493" t="str">
        <f>VLOOKUP(G493,METRICS!C:D,2,0)</f>
        <v>Taxas Financeiras Diversas</v>
      </c>
      <c r="L493" t="str">
        <f>VLOOKUP(K493,METRICS!D:E,2,0)</f>
        <v>TAXAS CARTÃO DE CRÉDITO</v>
      </c>
    </row>
    <row r="494" spans="1:12" ht="15" hidden="1">
      <c r="A494" t="s">
        <v>927</v>
      </c>
      <c r="B494" t="s">
        <v>689</v>
      </c>
      <c r="C494" t="s">
        <v>690</v>
      </c>
      <c r="D494" t="s">
        <v>733</v>
      </c>
      <c r="E494" t="s">
        <v>734</v>
      </c>
      <c r="F494" t="s">
        <v>1272</v>
      </c>
      <c r="G494" t="s">
        <v>665</v>
      </c>
      <c r="H494" s="595">
        <v>-6.79</v>
      </c>
      <c r="I494" t="str">
        <f t="shared" si="19"/>
        <v>janeiro 2026</v>
      </c>
      <c r="J494">
        <f t="shared" si="18"/>
        <v>2026</v>
      </c>
      <c r="K494" t="str">
        <f>VLOOKUP(G494,METRICS!C:D,2,0)</f>
        <v>Taxas Financeiras Diversas</v>
      </c>
      <c r="L494" t="str">
        <f>VLOOKUP(K494,METRICS!D:E,2,0)</f>
        <v>TAXAS CARTÃO DE CRÉDITO</v>
      </c>
    </row>
    <row r="495" spans="1:12" ht="15" hidden="1">
      <c r="A495" t="s">
        <v>927</v>
      </c>
      <c r="B495" t="s">
        <v>689</v>
      </c>
      <c r="C495" t="s">
        <v>690</v>
      </c>
      <c r="D495" t="s">
        <v>733</v>
      </c>
      <c r="E495" t="s">
        <v>734</v>
      </c>
      <c r="F495" t="s">
        <v>1272</v>
      </c>
      <c r="G495" t="s">
        <v>665</v>
      </c>
      <c r="H495" s="595">
        <v>-12.33</v>
      </c>
      <c r="I495" t="str">
        <f t="shared" si="19"/>
        <v>janeiro 2026</v>
      </c>
      <c r="J495">
        <f t="shared" si="18"/>
        <v>2026</v>
      </c>
      <c r="K495" t="str">
        <f>VLOOKUP(G495,METRICS!C:D,2,0)</f>
        <v>Taxas Financeiras Diversas</v>
      </c>
      <c r="L495" t="str">
        <f>VLOOKUP(K495,METRICS!D:E,2,0)</f>
        <v>TAXAS CARTÃO DE CRÉDITO</v>
      </c>
    </row>
    <row r="496" spans="1:12" ht="15" hidden="1">
      <c r="A496" t="s">
        <v>927</v>
      </c>
      <c r="B496" t="s">
        <v>689</v>
      </c>
      <c r="C496" t="s">
        <v>690</v>
      </c>
      <c r="D496" t="s">
        <v>743</v>
      </c>
      <c r="E496" t="s">
        <v>734</v>
      </c>
      <c r="F496" t="s">
        <v>1272</v>
      </c>
      <c r="G496" t="s">
        <v>665</v>
      </c>
      <c r="H496" s="595">
        <v>-15.61</v>
      </c>
      <c r="I496" t="str">
        <f t="shared" si="19"/>
        <v>janeiro 2026</v>
      </c>
      <c r="J496">
        <f t="shared" si="18"/>
        <v>2026</v>
      </c>
      <c r="K496" t="str">
        <f>VLOOKUP(G496,METRICS!C:D,2,0)</f>
        <v>Taxas Financeiras Diversas</v>
      </c>
      <c r="L496" t="str">
        <f>VLOOKUP(K496,METRICS!D:E,2,0)</f>
        <v>TAXAS CARTÃO DE CRÉDITO</v>
      </c>
    </row>
    <row r="497" spans="1:12" ht="15" hidden="1">
      <c r="A497" t="s">
        <v>927</v>
      </c>
      <c r="B497" t="s">
        <v>689</v>
      </c>
      <c r="C497" t="s">
        <v>690</v>
      </c>
      <c r="D497" t="s">
        <v>733</v>
      </c>
      <c r="E497" t="s">
        <v>734</v>
      </c>
      <c r="F497" t="s">
        <v>1272</v>
      </c>
      <c r="G497" t="s">
        <v>665</v>
      </c>
      <c r="H497" s="595">
        <v>-1.68</v>
      </c>
      <c r="I497" t="str">
        <f t="shared" si="19"/>
        <v>janeiro 2026</v>
      </c>
      <c r="J497">
        <f t="shared" si="18"/>
        <v>2026</v>
      </c>
      <c r="K497" t="str">
        <f>VLOOKUP(G497,METRICS!C:D,2,0)</f>
        <v>Taxas Financeiras Diversas</v>
      </c>
      <c r="L497" t="str">
        <f>VLOOKUP(K497,METRICS!D:E,2,0)</f>
        <v>TAXAS CARTÃO DE CRÉDITO</v>
      </c>
    </row>
    <row r="498" spans="1:12" ht="15" hidden="1">
      <c r="A498" t="s">
        <v>927</v>
      </c>
      <c r="B498" t="s">
        <v>689</v>
      </c>
      <c r="C498" t="s">
        <v>690</v>
      </c>
      <c r="D498" t="s">
        <v>733</v>
      </c>
      <c r="E498" t="s">
        <v>734</v>
      </c>
      <c r="F498" t="s">
        <v>1272</v>
      </c>
      <c r="G498" t="s">
        <v>665</v>
      </c>
      <c r="H498" s="595">
        <v>-2.15</v>
      </c>
      <c r="I498" t="str">
        <f t="shared" si="19"/>
        <v>janeiro 2026</v>
      </c>
      <c r="J498">
        <f t="shared" si="18"/>
        <v>2026</v>
      </c>
      <c r="K498" t="str">
        <f>VLOOKUP(G498,METRICS!C:D,2,0)</f>
        <v>Taxas Financeiras Diversas</v>
      </c>
      <c r="L498" t="str">
        <f>VLOOKUP(K498,METRICS!D:E,2,0)</f>
        <v>TAXAS CARTÃO DE CRÉDITO</v>
      </c>
    </row>
    <row r="499" spans="1:12" ht="15" hidden="1">
      <c r="A499" t="s">
        <v>927</v>
      </c>
      <c r="B499" t="s">
        <v>689</v>
      </c>
      <c r="C499" t="s">
        <v>690</v>
      </c>
      <c r="D499" t="s">
        <v>733</v>
      </c>
      <c r="E499" t="s">
        <v>734</v>
      </c>
      <c r="F499" t="s">
        <v>1272</v>
      </c>
      <c r="G499" t="s">
        <v>665</v>
      </c>
      <c r="H499" s="595">
        <v>-0.83</v>
      </c>
      <c r="I499" t="str">
        <f t="shared" si="19"/>
        <v>janeiro 2026</v>
      </c>
      <c r="J499">
        <f t="shared" si="18"/>
        <v>2026</v>
      </c>
      <c r="K499" t="str">
        <f>VLOOKUP(G499,METRICS!C:D,2,0)</f>
        <v>Taxas Financeiras Diversas</v>
      </c>
      <c r="L499" t="str">
        <f>VLOOKUP(K499,METRICS!D:E,2,0)</f>
        <v>TAXAS CARTÃO DE CRÉDITO</v>
      </c>
    </row>
    <row r="500" spans="1:12" ht="15" hidden="1">
      <c r="A500" t="s">
        <v>927</v>
      </c>
      <c r="B500" t="s">
        <v>689</v>
      </c>
      <c r="C500" t="s">
        <v>690</v>
      </c>
      <c r="D500" t="s">
        <v>733</v>
      </c>
      <c r="E500" t="s">
        <v>734</v>
      </c>
      <c r="F500" t="s">
        <v>1272</v>
      </c>
      <c r="G500" t="s">
        <v>665</v>
      </c>
      <c r="H500" s="595">
        <v>-7.74</v>
      </c>
      <c r="I500" t="str">
        <f t="shared" si="19"/>
        <v>janeiro 2026</v>
      </c>
      <c r="J500">
        <f t="shared" si="18"/>
        <v>2026</v>
      </c>
      <c r="K500" t="str">
        <f>VLOOKUP(G500,METRICS!C:D,2,0)</f>
        <v>Taxas Financeiras Diversas</v>
      </c>
      <c r="L500" t="str">
        <f>VLOOKUP(K500,METRICS!D:E,2,0)</f>
        <v>TAXAS CARTÃO DE CRÉDITO</v>
      </c>
    </row>
    <row r="501" spans="1:12" ht="15" hidden="1">
      <c r="A501" t="s">
        <v>927</v>
      </c>
      <c r="B501" t="s">
        <v>689</v>
      </c>
      <c r="C501" t="s">
        <v>690</v>
      </c>
      <c r="D501" t="s">
        <v>743</v>
      </c>
      <c r="E501" t="s">
        <v>734</v>
      </c>
      <c r="F501" t="s">
        <v>1272</v>
      </c>
      <c r="G501" t="s">
        <v>665</v>
      </c>
      <c r="H501" s="595">
        <v>-0.82</v>
      </c>
      <c r="I501" t="str">
        <f t="shared" si="19"/>
        <v>janeiro 2026</v>
      </c>
      <c r="J501">
        <f t="shared" si="18"/>
        <v>2026</v>
      </c>
      <c r="K501" t="str">
        <f>VLOOKUP(G501,METRICS!C:D,2,0)</f>
        <v>Taxas Financeiras Diversas</v>
      </c>
      <c r="L501" t="str">
        <f>VLOOKUP(K501,METRICS!D:E,2,0)</f>
        <v>TAXAS CARTÃO DE CRÉDITO</v>
      </c>
    </row>
    <row r="502" spans="1:12" ht="15" hidden="1">
      <c r="A502" t="s">
        <v>927</v>
      </c>
      <c r="B502" t="s">
        <v>689</v>
      </c>
      <c r="C502" t="s">
        <v>690</v>
      </c>
      <c r="D502" t="s">
        <v>733</v>
      </c>
      <c r="E502" t="s">
        <v>734</v>
      </c>
      <c r="F502" t="s">
        <v>1272</v>
      </c>
      <c r="G502" t="s">
        <v>665</v>
      </c>
      <c r="H502" s="595">
        <v>-1.7</v>
      </c>
      <c r="I502" t="str">
        <f t="shared" si="19"/>
        <v>janeiro 2026</v>
      </c>
      <c r="J502">
        <f t="shared" si="18"/>
        <v>2026</v>
      </c>
      <c r="K502" t="str">
        <f>VLOOKUP(G502,METRICS!C:D,2,0)</f>
        <v>Taxas Financeiras Diversas</v>
      </c>
      <c r="L502" t="str">
        <f>VLOOKUP(K502,METRICS!D:E,2,0)</f>
        <v>TAXAS CARTÃO DE CRÉDITO</v>
      </c>
    </row>
    <row r="503" spans="1:12" ht="15" hidden="1">
      <c r="A503" t="s">
        <v>927</v>
      </c>
      <c r="B503" t="s">
        <v>689</v>
      </c>
      <c r="C503" t="s">
        <v>690</v>
      </c>
      <c r="D503" t="s">
        <v>733</v>
      </c>
      <c r="E503" t="s">
        <v>734</v>
      </c>
      <c r="F503" t="s">
        <v>1272</v>
      </c>
      <c r="G503" t="s">
        <v>665</v>
      </c>
      <c r="H503" s="595">
        <v>-6.49</v>
      </c>
      <c r="I503" t="str">
        <f t="shared" si="19"/>
        <v>janeiro 2026</v>
      </c>
      <c r="J503">
        <f t="shared" si="18"/>
        <v>2026</v>
      </c>
      <c r="K503" t="str">
        <f>VLOOKUP(G503,METRICS!C:D,2,0)</f>
        <v>Taxas Financeiras Diversas</v>
      </c>
      <c r="L503" t="str">
        <f>VLOOKUP(K503,METRICS!D:E,2,0)</f>
        <v>TAXAS CARTÃO DE CRÉDITO</v>
      </c>
    </row>
    <row r="504" spans="1:12" ht="15" hidden="1">
      <c r="A504" t="s">
        <v>927</v>
      </c>
      <c r="B504" t="s">
        <v>689</v>
      </c>
      <c r="C504" t="s">
        <v>690</v>
      </c>
      <c r="D504" t="s">
        <v>743</v>
      </c>
      <c r="E504" t="s">
        <v>734</v>
      </c>
      <c r="F504" t="s">
        <v>1272</v>
      </c>
      <c r="G504" t="s">
        <v>665</v>
      </c>
      <c r="H504" s="595">
        <v>-2</v>
      </c>
      <c r="I504" t="str">
        <f t="shared" si="19"/>
        <v>janeiro 2026</v>
      </c>
      <c r="J504">
        <f t="shared" si="18"/>
        <v>2026</v>
      </c>
      <c r="K504" t="str">
        <f>VLOOKUP(G504,METRICS!C:D,2,0)</f>
        <v>Taxas Financeiras Diversas</v>
      </c>
      <c r="L504" t="str">
        <f>VLOOKUP(K504,METRICS!D:E,2,0)</f>
        <v>TAXAS CARTÃO DE CRÉDITO</v>
      </c>
    </row>
    <row r="505" spans="1:12" ht="15" hidden="1">
      <c r="A505" t="s">
        <v>927</v>
      </c>
      <c r="B505" t="s">
        <v>689</v>
      </c>
      <c r="C505" t="s">
        <v>690</v>
      </c>
      <c r="D505" t="s">
        <v>733</v>
      </c>
      <c r="E505" t="s">
        <v>734</v>
      </c>
      <c r="F505" t="s">
        <v>1272</v>
      </c>
      <c r="G505" t="s">
        <v>665</v>
      </c>
      <c r="H505" s="595">
        <v>-5.82</v>
      </c>
      <c r="I505" t="str">
        <f t="shared" si="19"/>
        <v>janeiro 2026</v>
      </c>
      <c r="J505">
        <f t="shared" si="18"/>
        <v>2026</v>
      </c>
      <c r="K505" t="str">
        <f>VLOOKUP(G505,METRICS!C:D,2,0)</f>
        <v>Taxas Financeiras Diversas</v>
      </c>
      <c r="L505" t="str">
        <f>VLOOKUP(K505,METRICS!D:E,2,0)</f>
        <v>TAXAS CARTÃO DE CRÉDITO</v>
      </c>
    </row>
    <row r="506" spans="1:12" ht="15" hidden="1">
      <c r="A506" t="s">
        <v>927</v>
      </c>
      <c r="B506" t="s">
        <v>689</v>
      </c>
      <c r="C506" t="s">
        <v>690</v>
      </c>
      <c r="D506" t="s">
        <v>743</v>
      </c>
      <c r="E506" t="s">
        <v>734</v>
      </c>
      <c r="F506" t="s">
        <v>1272</v>
      </c>
      <c r="G506" t="s">
        <v>665</v>
      </c>
      <c r="H506" s="595">
        <v>-3.36</v>
      </c>
      <c r="I506" t="str">
        <f t="shared" si="19"/>
        <v>janeiro 2026</v>
      </c>
      <c r="J506">
        <f t="shared" si="18"/>
        <v>2026</v>
      </c>
      <c r="K506" t="str">
        <f>VLOOKUP(G506,METRICS!C:D,2,0)</f>
        <v>Taxas Financeiras Diversas</v>
      </c>
      <c r="L506" t="str">
        <f>VLOOKUP(K506,METRICS!D:E,2,0)</f>
        <v>TAXAS CARTÃO DE CRÉDITO</v>
      </c>
    </row>
    <row r="507" spans="1:12" ht="15" hidden="1">
      <c r="A507" t="s">
        <v>927</v>
      </c>
      <c r="B507" t="s">
        <v>689</v>
      </c>
      <c r="C507" t="s">
        <v>690</v>
      </c>
      <c r="D507" t="s">
        <v>733</v>
      </c>
      <c r="E507" t="s">
        <v>734</v>
      </c>
      <c r="F507" t="s">
        <v>1272</v>
      </c>
      <c r="G507" t="s">
        <v>665</v>
      </c>
      <c r="H507" s="595">
        <v>-1.66</v>
      </c>
      <c r="I507" t="str">
        <f t="shared" si="19"/>
        <v>janeiro 2026</v>
      </c>
      <c r="J507">
        <f t="shared" si="18"/>
        <v>2026</v>
      </c>
      <c r="K507" t="str">
        <f>VLOOKUP(G507,METRICS!C:D,2,0)</f>
        <v>Taxas Financeiras Diversas</v>
      </c>
      <c r="L507" t="str">
        <f>VLOOKUP(K507,METRICS!D:E,2,0)</f>
        <v>TAXAS CARTÃO DE CRÉDITO</v>
      </c>
    </row>
    <row r="508" spans="1:12" ht="15" hidden="1">
      <c r="A508" t="s">
        <v>927</v>
      </c>
      <c r="B508" t="s">
        <v>689</v>
      </c>
      <c r="C508" t="s">
        <v>690</v>
      </c>
      <c r="D508" t="s">
        <v>743</v>
      </c>
      <c r="E508" t="s">
        <v>734</v>
      </c>
      <c r="F508" t="s">
        <v>1272</v>
      </c>
      <c r="G508" t="s">
        <v>665</v>
      </c>
      <c r="H508" s="595">
        <v>-3.17</v>
      </c>
      <c r="I508" t="str">
        <f t="shared" ref="I508:I546" si="20">TEXT(A508, "mmmm aaaa")</f>
        <v>janeiro 2026</v>
      </c>
      <c r="J508">
        <f t="shared" ref="J508:J570" si="21">YEAR(A508)</f>
        <v>2026</v>
      </c>
      <c r="K508" t="str">
        <f>VLOOKUP(G508,METRICS!C:D,2,0)</f>
        <v>Taxas Financeiras Diversas</v>
      </c>
      <c r="L508" t="str">
        <f>VLOOKUP(K508,METRICS!D:E,2,0)</f>
        <v>TAXAS CARTÃO DE CRÉDITO</v>
      </c>
    </row>
    <row r="509" spans="1:12" ht="15" hidden="1">
      <c r="A509" t="s">
        <v>927</v>
      </c>
      <c r="B509" t="s">
        <v>689</v>
      </c>
      <c r="C509" t="s">
        <v>690</v>
      </c>
      <c r="D509" t="s">
        <v>743</v>
      </c>
      <c r="E509" t="s">
        <v>734</v>
      </c>
      <c r="F509" t="s">
        <v>1272</v>
      </c>
      <c r="G509" t="s">
        <v>665</v>
      </c>
      <c r="H509" s="595">
        <v>-6.51</v>
      </c>
      <c r="I509" t="str">
        <f t="shared" si="20"/>
        <v>janeiro 2026</v>
      </c>
      <c r="J509">
        <f t="shared" si="21"/>
        <v>2026</v>
      </c>
      <c r="K509" t="str">
        <f>VLOOKUP(G509,METRICS!C:D,2,0)</f>
        <v>Taxas Financeiras Diversas</v>
      </c>
      <c r="L509" t="str">
        <f>VLOOKUP(K509,METRICS!D:E,2,0)</f>
        <v>TAXAS CARTÃO DE CRÉDITO</v>
      </c>
    </row>
    <row r="510" spans="1:12" ht="15" hidden="1">
      <c r="A510" t="s">
        <v>927</v>
      </c>
      <c r="B510" t="s">
        <v>689</v>
      </c>
      <c r="C510" t="s">
        <v>690</v>
      </c>
      <c r="D510" t="s">
        <v>733</v>
      </c>
      <c r="E510" t="s">
        <v>734</v>
      </c>
      <c r="F510" t="s">
        <v>1272</v>
      </c>
      <c r="G510" t="s">
        <v>665</v>
      </c>
      <c r="H510" s="595">
        <v>-11.34</v>
      </c>
      <c r="I510" t="str">
        <f t="shared" si="20"/>
        <v>janeiro 2026</v>
      </c>
      <c r="J510">
        <f t="shared" si="21"/>
        <v>2026</v>
      </c>
      <c r="K510" t="str">
        <f>VLOOKUP(G510,METRICS!C:D,2,0)</f>
        <v>Taxas Financeiras Diversas</v>
      </c>
      <c r="L510" t="str">
        <f>VLOOKUP(K510,METRICS!D:E,2,0)</f>
        <v>TAXAS CARTÃO DE CRÉDITO</v>
      </c>
    </row>
    <row r="511" spans="1:12" ht="15" hidden="1">
      <c r="A511" t="s">
        <v>927</v>
      </c>
      <c r="B511" t="s">
        <v>689</v>
      </c>
      <c r="C511" t="s">
        <v>690</v>
      </c>
      <c r="D511" t="s">
        <v>753</v>
      </c>
      <c r="E511" t="s">
        <v>734</v>
      </c>
      <c r="F511" t="s">
        <v>1272</v>
      </c>
      <c r="G511" t="s">
        <v>665</v>
      </c>
      <c r="H511" s="595">
        <v>-8.0500000000000007</v>
      </c>
      <c r="I511" t="str">
        <f t="shared" si="20"/>
        <v>janeiro 2026</v>
      </c>
      <c r="J511">
        <f t="shared" si="21"/>
        <v>2026</v>
      </c>
      <c r="K511" t="str">
        <f>VLOOKUP(G511,METRICS!C:D,2,0)</f>
        <v>Taxas Financeiras Diversas</v>
      </c>
      <c r="L511" t="str">
        <f>VLOOKUP(K511,METRICS!D:E,2,0)</f>
        <v>TAXAS CARTÃO DE CRÉDITO</v>
      </c>
    </row>
    <row r="512" spans="1:12" ht="15" hidden="1">
      <c r="A512" t="s">
        <v>927</v>
      </c>
      <c r="B512" t="s">
        <v>689</v>
      </c>
      <c r="C512" t="s">
        <v>690</v>
      </c>
      <c r="D512" t="s">
        <v>753</v>
      </c>
      <c r="E512" t="s">
        <v>734</v>
      </c>
      <c r="F512" t="s">
        <v>1272</v>
      </c>
      <c r="G512" t="s">
        <v>665</v>
      </c>
      <c r="H512" s="595">
        <v>-19.829999999999998</v>
      </c>
      <c r="I512" t="str">
        <f t="shared" si="20"/>
        <v>janeiro 2026</v>
      </c>
      <c r="J512">
        <f t="shared" si="21"/>
        <v>2026</v>
      </c>
      <c r="K512" t="str">
        <f>VLOOKUP(G512,METRICS!C:D,2,0)</f>
        <v>Taxas Financeiras Diversas</v>
      </c>
      <c r="L512" t="str">
        <f>VLOOKUP(K512,METRICS!D:E,2,0)</f>
        <v>TAXAS CARTÃO DE CRÉDITO</v>
      </c>
    </row>
    <row r="513" spans="1:12" ht="15" hidden="1">
      <c r="A513" t="s">
        <v>927</v>
      </c>
      <c r="B513" t="s">
        <v>689</v>
      </c>
      <c r="C513" t="s">
        <v>690</v>
      </c>
      <c r="D513" t="s">
        <v>743</v>
      </c>
      <c r="E513" t="s">
        <v>734</v>
      </c>
      <c r="F513" t="s">
        <v>1272</v>
      </c>
      <c r="G513" t="s">
        <v>665</v>
      </c>
      <c r="H513" s="595">
        <v>-2.59</v>
      </c>
      <c r="I513" t="str">
        <f t="shared" si="20"/>
        <v>janeiro 2026</v>
      </c>
      <c r="J513">
        <f t="shared" si="21"/>
        <v>2026</v>
      </c>
      <c r="K513" t="str">
        <f>VLOOKUP(G513,METRICS!C:D,2,0)</f>
        <v>Taxas Financeiras Diversas</v>
      </c>
      <c r="L513" t="str">
        <f>VLOOKUP(K513,METRICS!D:E,2,0)</f>
        <v>TAXAS CARTÃO DE CRÉDITO</v>
      </c>
    </row>
    <row r="514" spans="1:12" ht="15" hidden="1">
      <c r="A514" t="s">
        <v>927</v>
      </c>
      <c r="B514" t="s">
        <v>689</v>
      </c>
      <c r="C514" t="s">
        <v>690</v>
      </c>
      <c r="D514" t="s">
        <v>743</v>
      </c>
      <c r="E514" t="s">
        <v>734</v>
      </c>
      <c r="F514" t="s">
        <v>1272</v>
      </c>
      <c r="G514" t="s">
        <v>665</v>
      </c>
      <c r="H514" s="595">
        <v>-10.36</v>
      </c>
      <c r="I514" t="str">
        <f t="shared" si="20"/>
        <v>janeiro 2026</v>
      </c>
      <c r="J514">
        <f t="shared" si="21"/>
        <v>2026</v>
      </c>
      <c r="K514" t="str">
        <f>VLOOKUP(G514,METRICS!C:D,2,0)</f>
        <v>Taxas Financeiras Diversas</v>
      </c>
      <c r="L514" t="str">
        <f>VLOOKUP(K514,METRICS!D:E,2,0)</f>
        <v>TAXAS CARTÃO DE CRÉDITO</v>
      </c>
    </row>
    <row r="515" spans="1:12" ht="15" hidden="1">
      <c r="A515" t="s">
        <v>927</v>
      </c>
      <c r="B515" t="s">
        <v>689</v>
      </c>
      <c r="C515" t="s">
        <v>690</v>
      </c>
      <c r="D515" t="s">
        <v>753</v>
      </c>
      <c r="E515" t="s">
        <v>734</v>
      </c>
      <c r="F515" t="s">
        <v>1272</v>
      </c>
      <c r="G515" t="s">
        <v>665</v>
      </c>
      <c r="H515" s="595">
        <v>-3.97</v>
      </c>
      <c r="I515" t="str">
        <f t="shared" si="20"/>
        <v>janeiro 2026</v>
      </c>
      <c r="J515">
        <f t="shared" si="21"/>
        <v>2026</v>
      </c>
      <c r="K515" t="str">
        <f>VLOOKUP(G515,METRICS!C:D,2,0)</f>
        <v>Taxas Financeiras Diversas</v>
      </c>
      <c r="L515" t="str">
        <f>VLOOKUP(K515,METRICS!D:E,2,0)</f>
        <v>TAXAS CARTÃO DE CRÉDITO</v>
      </c>
    </row>
    <row r="516" spans="1:12" ht="15" hidden="1">
      <c r="A516" t="s">
        <v>927</v>
      </c>
      <c r="B516" t="s">
        <v>689</v>
      </c>
      <c r="C516" t="s">
        <v>690</v>
      </c>
      <c r="D516" t="s">
        <v>743</v>
      </c>
      <c r="E516" t="s">
        <v>734</v>
      </c>
      <c r="F516" t="s">
        <v>1272</v>
      </c>
      <c r="G516" t="s">
        <v>665</v>
      </c>
      <c r="H516" s="595">
        <v>-6.56</v>
      </c>
      <c r="I516" t="str">
        <f t="shared" si="20"/>
        <v>janeiro 2026</v>
      </c>
      <c r="J516">
        <f t="shared" si="21"/>
        <v>2026</v>
      </c>
      <c r="K516" t="str">
        <f>VLOOKUP(G516,METRICS!C:D,2,0)</f>
        <v>Taxas Financeiras Diversas</v>
      </c>
      <c r="L516" t="str">
        <f>VLOOKUP(K516,METRICS!D:E,2,0)</f>
        <v>TAXAS CARTÃO DE CRÉDITO</v>
      </c>
    </row>
    <row r="517" spans="1:12" ht="15" hidden="1">
      <c r="A517" t="s">
        <v>927</v>
      </c>
      <c r="B517" t="s">
        <v>689</v>
      </c>
      <c r="C517" t="s">
        <v>690</v>
      </c>
      <c r="D517" t="s">
        <v>733</v>
      </c>
      <c r="E517" t="s">
        <v>734</v>
      </c>
      <c r="F517" t="s">
        <v>1272</v>
      </c>
      <c r="G517" t="s">
        <v>665</v>
      </c>
      <c r="H517" s="595">
        <v>-12.12</v>
      </c>
      <c r="I517" t="str">
        <f t="shared" si="20"/>
        <v>janeiro 2026</v>
      </c>
      <c r="J517">
        <f t="shared" si="21"/>
        <v>2026</v>
      </c>
      <c r="K517" t="str">
        <f>VLOOKUP(G517,METRICS!C:D,2,0)</f>
        <v>Taxas Financeiras Diversas</v>
      </c>
      <c r="L517" t="str">
        <f>VLOOKUP(K517,METRICS!D:E,2,0)</f>
        <v>TAXAS CARTÃO DE CRÉDITO</v>
      </c>
    </row>
    <row r="518" spans="1:12" ht="15" hidden="1">
      <c r="A518" t="s">
        <v>927</v>
      </c>
      <c r="B518" t="s">
        <v>689</v>
      </c>
      <c r="C518" t="s">
        <v>690</v>
      </c>
      <c r="D518" t="s">
        <v>743</v>
      </c>
      <c r="E518" t="s">
        <v>734</v>
      </c>
      <c r="F518" t="s">
        <v>1272</v>
      </c>
      <c r="G518" t="s">
        <v>665</v>
      </c>
      <c r="H518" s="595">
        <v>-0.84</v>
      </c>
      <c r="I518" t="str">
        <f t="shared" si="20"/>
        <v>janeiro 2026</v>
      </c>
      <c r="J518">
        <f t="shared" si="21"/>
        <v>2026</v>
      </c>
      <c r="K518" t="str">
        <f>VLOOKUP(G518,METRICS!C:D,2,0)</f>
        <v>Taxas Financeiras Diversas</v>
      </c>
      <c r="L518" t="str">
        <f>VLOOKUP(K518,METRICS!D:E,2,0)</f>
        <v>TAXAS CARTÃO DE CRÉDITO</v>
      </c>
    </row>
    <row r="519" spans="1:12" ht="15" hidden="1">
      <c r="A519" t="s">
        <v>927</v>
      </c>
      <c r="B519" t="s">
        <v>689</v>
      </c>
      <c r="C519" t="s">
        <v>690</v>
      </c>
      <c r="D519" t="s">
        <v>733</v>
      </c>
      <c r="E519" t="s">
        <v>734</v>
      </c>
      <c r="F519" t="s">
        <v>1272</v>
      </c>
      <c r="G519" t="s">
        <v>665</v>
      </c>
      <c r="H519" s="595">
        <v>-1.48</v>
      </c>
      <c r="I519" t="str">
        <f t="shared" si="20"/>
        <v>janeiro 2026</v>
      </c>
      <c r="J519">
        <f t="shared" si="21"/>
        <v>2026</v>
      </c>
      <c r="K519" t="str">
        <f>VLOOKUP(G519,METRICS!C:D,2,0)</f>
        <v>Taxas Financeiras Diversas</v>
      </c>
      <c r="L519" t="str">
        <f>VLOOKUP(K519,METRICS!D:E,2,0)</f>
        <v>TAXAS CARTÃO DE CRÉDITO</v>
      </c>
    </row>
    <row r="520" spans="1:12" ht="15" hidden="1">
      <c r="A520" t="s">
        <v>927</v>
      </c>
      <c r="B520" t="s">
        <v>689</v>
      </c>
      <c r="C520" t="s">
        <v>690</v>
      </c>
      <c r="D520" t="s">
        <v>743</v>
      </c>
      <c r="E520" t="s">
        <v>734</v>
      </c>
      <c r="F520" t="s">
        <v>1272</v>
      </c>
      <c r="G520" t="s">
        <v>665</v>
      </c>
      <c r="H520" s="595">
        <v>-7.14</v>
      </c>
      <c r="I520" t="str">
        <f t="shared" si="20"/>
        <v>janeiro 2026</v>
      </c>
      <c r="J520">
        <f t="shared" si="21"/>
        <v>2026</v>
      </c>
      <c r="K520" t="str">
        <f>VLOOKUP(G520,METRICS!C:D,2,0)</f>
        <v>Taxas Financeiras Diversas</v>
      </c>
      <c r="L520" t="str">
        <f>VLOOKUP(K520,METRICS!D:E,2,0)</f>
        <v>TAXAS CARTÃO DE CRÉDITO</v>
      </c>
    </row>
    <row r="521" spans="1:12" ht="15" hidden="1">
      <c r="A521" t="s">
        <v>927</v>
      </c>
      <c r="B521" t="s">
        <v>689</v>
      </c>
      <c r="C521" t="s">
        <v>690</v>
      </c>
      <c r="D521" t="s">
        <v>733</v>
      </c>
      <c r="E521" t="s">
        <v>734</v>
      </c>
      <c r="F521" t="s">
        <v>1272</v>
      </c>
      <c r="G521" t="s">
        <v>665</v>
      </c>
      <c r="H521" s="595">
        <v>-6.51</v>
      </c>
      <c r="I521" t="str">
        <f t="shared" si="20"/>
        <v>janeiro 2026</v>
      </c>
      <c r="J521">
        <f t="shared" si="21"/>
        <v>2026</v>
      </c>
      <c r="K521" t="str">
        <f>VLOOKUP(G521,METRICS!C:D,2,0)</f>
        <v>Taxas Financeiras Diversas</v>
      </c>
      <c r="L521" t="str">
        <f>VLOOKUP(K521,METRICS!D:E,2,0)</f>
        <v>TAXAS CARTÃO DE CRÉDITO</v>
      </c>
    </row>
    <row r="522" spans="1:12" ht="15" hidden="1">
      <c r="A522" t="s">
        <v>927</v>
      </c>
      <c r="B522" t="s">
        <v>689</v>
      </c>
      <c r="C522" t="s">
        <v>690</v>
      </c>
      <c r="D522" t="s">
        <v>928</v>
      </c>
      <c r="E522" t="s">
        <v>746</v>
      </c>
      <c r="F522" t="s">
        <v>1272</v>
      </c>
      <c r="G522" t="s">
        <v>669</v>
      </c>
      <c r="H522" s="595">
        <v>-966.15</v>
      </c>
      <c r="I522" t="str">
        <f t="shared" si="20"/>
        <v>janeiro 2026</v>
      </c>
      <c r="J522">
        <f t="shared" si="21"/>
        <v>2026</v>
      </c>
      <c r="K522" t="str">
        <f>VLOOKUP(G522,METRICS!C:D,2,0)</f>
        <v>Taxas Financeiras Diversas</v>
      </c>
      <c r="L522" t="str">
        <f>VLOOKUP(K522,METRICS!D:E,2,0)</f>
        <v>TAXAS CARTÃO DE CRÉDITO</v>
      </c>
    </row>
    <row r="523" spans="1:12" ht="15" hidden="1">
      <c r="A523" t="s">
        <v>927</v>
      </c>
      <c r="B523" t="s">
        <v>689</v>
      </c>
      <c r="C523" t="s">
        <v>690</v>
      </c>
      <c r="D523" t="s">
        <v>733</v>
      </c>
      <c r="E523" t="s">
        <v>734</v>
      </c>
      <c r="F523" t="s">
        <v>1272</v>
      </c>
      <c r="G523" t="s">
        <v>665</v>
      </c>
      <c r="H523" s="595">
        <v>-0.71</v>
      </c>
      <c r="I523" t="str">
        <f t="shared" si="20"/>
        <v>janeiro 2026</v>
      </c>
      <c r="J523">
        <f t="shared" si="21"/>
        <v>2026</v>
      </c>
      <c r="K523" t="str">
        <f>VLOOKUP(G523,METRICS!C:D,2,0)</f>
        <v>Taxas Financeiras Diversas</v>
      </c>
      <c r="L523" t="str">
        <f>VLOOKUP(K523,METRICS!D:E,2,0)</f>
        <v>TAXAS CARTÃO DE CRÉDITO</v>
      </c>
    </row>
    <row r="524" spans="1:12" ht="15" hidden="1">
      <c r="A524" t="s">
        <v>927</v>
      </c>
      <c r="B524" t="s">
        <v>689</v>
      </c>
      <c r="C524" t="s">
        <v>690</v>
      </c>
      <c r="D524" t="s">
        <v>733</v>
      </c>
      <c r="E524" t="s">
        <v>734</v>
      </c>
      <c r="F524" t="s">
        <v>1272</v>
      </c>
      <c r="G524" t="s">
        <v>665</v>
      </c>
      <c r="H524" s="595">
        <v>-3.37</v>
      </c>
      <c r="I524" t="str">
        <f t="shared" si="20"/>
        <v>janeiro 2026</v>
      </c>
      <c r="J524">
        <f t="shared" si="21"/>
        <v>2026</v>
      </c>
      <c r="K524" t="str">
        <f>VLOOKUP(G524,METRICS!C:D,2,0)</f>
        <v>Taxas Financeiras Diversas</v>
      </c>
      <c r="L524" t="str">
        <f>VLOOKUP(K524,METRICS!D:E,2,0)</f>
        <v>TAXAS CARTÃO DE CRÉDITO</v>
      </c>
    </row>
    <row r="525" spans="1:12" ht="15" hidden="1">
      <c r="A525" t="s">
        <v>927</v>
      </c>
      <c r="B525" t="s">
        <v>689</v>
      </c>
      <c r="C525" t="s">
        <v>690</v>
      </c>
      <c r="D525" t="s">
        <v>733</v>
      </c>
      <c r="E525" t="s">
        <v>734</v>
      </c>
      <c r="F525" t="s">
        <v>1272</v>
      </c>
      <c r="G525" t="s">
        <v>665</v>
      </c>
      <c r="H525" s="595">
        <v>-2.82</v>
      </c>
      <c r="I525" t="str">
        <f t="shared" si="20"/>
        <v>janeiro 2026</v>
      </c>
      <c r="J525">
        <f t="shared" si="21"/>
        <v>2026</v>
      </c>
      <c r="K525" t="str">
        <f>VLOOKUP(G525,METRICS!C:D,2,0)</f>
        <v>Taxas Financeiras Diversas</v>
      </c>
      <c r="L525" t="str">
        <f>VLOOKUP(K525,METRICS!D:E,2,0)</f>
        <v>TAXAS CARTÃO DE CRÉDITO</v>
      </c>
    </row>
    <row r="526" spans="1:12" ht="15" hidden="1">
      <c r="A526" t="s">
        <v>927</v>
      </c>
      <c r="B526" t="s">
        <v>689</v>
      </c>
      <c r="C526" t="s">
        <v>690</v>
      </c>
      <c r="D526" t="s">
        <v>743</v>
      </c>
      <c r="E526" t="s">
        <v>734</v>
      </c>
      <c r="F526" t="s">
        <v>1272</v>
      </c>
      <c r="G526" t="s">
        <v>665</v>
      </c>
      <c r="H526" s="595">
        <v>-1.8</v>
      </c>
      <c r="I526" t="str">
        <f t="shared" si="20"/>
        <v>janeiro 2026</v>
      </c>
      <c r="J526">
        <f t="shared" si="21"/>
        <v>2026</v>
      </c>
      <c r="K526" t="str">
        <f>VLOOKUP(G526,METRICS!C:D,2,0)</f>
        <v>Taxas Financeiras Diversas</v>
      </c>
      <c r="L526" t="str">
        <f>VLOOKUP(K526,METRICS!D:E,2,0)</f>
        <v>TAXAS CARTÃO DE CRÉDITO</v>
      </c>
    </row>
    <row r="527" spans="1:12" ht="15" hidden="1">
      <c r="A527" t="s">
        <v>927</v>
      </c>
      <c r="B527" t="s">
        <v>689</v>
      </c>
      <c r="C527" t="s">
        <v>690</v>
      </c>
      <c r="D527" t="s">
        <v>733</v>
      </c>
      <c r="E527" t="s">
        <v>734</v>
      </c>
      <c r="F527" t="s">
        <v>1272</v>
      </c>
      <c r="G527" t="s">
        <v>665</v>
      </c>
      <c r="H527" s="595">
        <v>-7.15</v>
      </c>
      <c r="I527" t="str">
        <f t="shared" si="20"/>
        <v>janeiro 2026</v>
      </c>
      <c r="J527">
        <f t="shared" si="21"/>
        <v>2026</v>
      </c>
      <c r="K527" t="str">
        <f>VLOOKUP(G527,METRICS!C:D,2,0)</f>
        <v>Taxas Financeiras Diversas</v>
      </c>
      <c r="L527" t="str">
        <f>VLOOKUP(K527,METRICS!D:E,2,0)</f>
        <v>TAXAS CARTÃO DE CRÉDITO</v>
      </c>
    </row>
    <row r="528" spans="1:12" ht="15" hidden="1">
      <c r="A528" t="s">
        <v>927</v>
      </c>
      <c r="B528" t="s">
        <v>689</v>
      </c>
      <c r="C528" t="s">
        <v>690</v>
      </c>
      <c r="D528" t="s">
        <v>733</v>
      </c>
      <c r="E528" t="s">
        <v>734</v>
      </c>
      <c r="F528" t="s">
        <v>1272</v>
      </c>
      <c r="G528" t="s">
        <v>665</v>
      </c>
      <c r="H528" s="595">
        <v>-1.62</v>
      </c>
      <c r="I528" t="str">
        <f t="shared" si="20"/>
        <v>janeiro 2026</v>
      </c>
      <c r="J528">
        <f t="shared" si="21"/>
        <v>2026</v>
      </c>
      <c r="K528" t="str">
        <f>VLOOKUP(G528,METRICS!C:D,2,0)</f>
        <v>Taxas Financeiras Diversas</v>
      </c>
      <c r="L528" t="str">
        <f>VLOOKUP(K528,METRICS!D:E,2,0)</f>
        <v>TAXAS CARTÃO DE CRÉDITO</v>
      </c>
    </row>
    <row r="529" spans="1:12" ht="15" hidden="1">
      <c r="A529" t="s">
        <v>927</v>
      </c>
      <c r="B529" t="s">
        <v>689</v>
      </c>
      <c r="C529" t="s">
        <v>690</v>
      </c>
      <c r="D529" t="s">
        <v>733</v>
      </c>
      <c r="E529" t="s">
        <v>734</v>
      </c>
      <c r="F529" t="s">
        <v>1272</v>
      </c>
      <c r="G529" t="s">
        <v>665</v>
      </c>
      <c r="H529" s="595">
        <v>-15.29</v>
      </c>
      <c r="I529" t="str">
        <f t="shared" si="20"/>
        <v>janeiro 2026</v>
      </c>
      <c r="J529">
        <f t="shared" si="21"/>
        <v>2026</v>
      </c>
      <c r="K529" t="str">
        <f>VLOOKUP(G529,METRICS!C:D,2,0)</f>
        <v>Taxas Financeiras Diversas</v>
      </c>
      <c r="L529" t="str">
        <f>VLOOKUP(K529,METRICS!D:E,2,0)</f>
        <v>TAXAS CARTÃO DE CRÉDITO</v>
      </c>
    </row>
    <row r="530" spans="1:12" ht="15" hidden="1">
      <c r="A530" t="s">
        <v>927</v>
      </c>
      <c r="B530" t="s">
        <v>689</v>
      </c>
      <c r="C530" t="s">
        <v>690</v>
      </c>
      <c r="D530" t="s">
        <v>733</v>
      </c>
      <c r="E530" t="s">
        <v>734</v>
      </c>
      <c r="F530" t="s">
        <v>1272</v>
      </c>
      <c r="G530" t="s">
        <v>665</v>
      </c>
      <c r="H530" s="595">
        <v>-2.77</v>
      </c>
      <c r="I530" t="str">
        <f t="shared" si="20"/>
        <v>janeiro 2026</v>
      </c>
      <c r="J530">
        <f t="shared" si="21"/>
        <v>2026</v>
      </c>
      <c r="K530" t="str">
        <f>VLOOKUP(G530,METRICS!C:D,2,0)</f>
        <v>Taxas Financeiras Diversas</v>
      </c>
      <c r="L530" t="str">
        <f>VLOOKUP(K530,METRICS!D:E,2,0)</f>
        <v>TAXAS CARTÃO DE CRÉDITO</v>
      </c>
    </row>
    <row r="531" spans="1:12" ht="15" hidden="1">
      <c r="A531" t="s">
        <v>927</v>
      </c>
      <c r="B531" t="s">
        <v>689</v>
      </c>
      <c r="C531" t="s">
        <v>690</v>
      </c>
      <c r="D531" t="s">
        <v>733</v>
      </c>
      <c r="E531" t="s">
        <v>734</v>
      </c>
      <c r="F531" t="s">
        <v>1272</v>
      </c>
      <c r="G531" t="s">
        <v>665</v>
      </c>
      <c r="H531" s="595">
        <v>-7.58</v>
      </c>
      <c r="I531" t="str">
        <f t="shared" si="20"/>
        <v>janeiro 2026</v>
      </c>
      <c r="J531">
        <f t="shared" si="21"/>
        <v>2026</v>
      </c>
      <c r="K531" t="str">
        <f>VLOOKUP(G531,METRICS!C:D,2,0)</f>
        <v>Taxas Financeiras Diversas</v>
      </c>
      <c r="L531" t="str">
        <f>VLOOKUP(K531,METRICS!D:E,2,0)</f>
        <v>TAXAS CARTÃO DE CRÉDITO</v>
      </c>
    </row>
    <row r="532" spans="1:12" ht="15" hidden="1">
      <c r="A532" t="s">
        <v>927</v>
      </c>
      <c r="B532" t="s">
        <v>689</v>
      </c>
      <c r="C532" t="s">
        <v>690</v>
      </c>
      <c r="D532" t="s">
        <v>733</v>
      </c>
      <c r="E532" t="s">
        <v>734</v>
      </c>
      <c r="F532" t="s">
        <v>1272</v>
      </c>
      <c r="G532" t="s">
        <v>665</v>
      </c>
      <c r="H532" s="595">
        <v>-10.199999999999999</v>
      </c>
      <c r="I532" t="str">
        <f t="shared" si="20"/>
        <v>janeiro 2026</v>
      </c>
      <c r="J532">
        <f t="shared" si="21"/>
        <v>2026</v>
      </c>
      <c r="K532" t="str">
        <f>VLOOKUP(G532,METRICS!C:D,2,0)</f>
        <v>Taxas Financeiras Diversas</v>
      </c>
      <c r="L532" t="str">
        <f>VLOOKUP(K532,METRICS!D:E,2,0)</f>
        <v>TAXAS CARTÃO DE CRÉDITO</v>
      </c>
    </row>
    <row r="533" spans="1:12" ht="15" hidden="1">
      <c r="A533" t="s">
        <v>927</v>
      </c>
      <c r="B533" t="s">
        <v>689</v>
      </c>
      <c r="C533" t="s">
        <v>690</v>
      </c>
      <c r="D533" t="s">
        <v>753</v>
      </c>
      <c r="E533" t="s">
        <v>734</v>
      </c>
      <c r="F533" t="s">
        <v>1272</v>
      </c>
      <c r="G533" t="s">
        <v>665</v>
      </c>
      <c r="H533" s="595">
        <v>-40.22</v>
      </c>
      <c r="I533" t="str">
        <f t="shared" si="20"/>
        <v>janeiro 2026</v>
      </c>
      <c r="J533">
        <f t="shared" si="21"/>
        <v>2026</v>
      </c>
      <c r="K533" t="str">
        <f>VLOOKUP(G533,METRICS!C:D,2,0)</f>
        <v>Taxas Financeiras Diversas</v>
      </c>
      <c r="L533" t="str">
        <f>VLOOKUP(K533,METRICS!D:E,2,0)</f>
        <v>TAXAS CARTÃO DE CRÉDITO</v>
      </c>
    </row>
    <row r="534" spans="1:12" ht="15" hidden="1">
      <c r="A534" t="s">
        <v>927</v>
      </c>
      <c r="B534" t="s">
        <v>689</v>
      </c>
      <c r="C534" t="s">
        <v>690</v>
      </c>
      <c r="D534" t="s">
        <v>733</v>
      </c>
      <c r="E534" t="s">
        <v>734</v>
      </c>
      <c r="F534" t="s">
        <v>1272</v>
      </c>
      <c r="G534" t="s">
        <v>665</v>
      </c>
      <c r="H534" s="595">
        <v>-2.42</v>
      </c>
      <c r="I534" t="str">
        <f t="shared" si="20"/>
        <v>janeiro 2026</v>
      </c>
      <c r="J534">
        <f t="shared" si="21"/>
        <v>2026</v>
      </c>
      <c r="K534" t="str">
        <f>VLOOKUP(G534,METRICS!C:D,2,0)</f>
        <v>Taxas Financeiras Diversas</v>
      </c>
      <c r="L534" t="str">
        <f>VLOOKUP(K534,METRICS!D:E,2,0)</f>
        <v>TAXAS CARTÃO DE CRÉDITO</v>
      </c>
    </row>
    <row r="535" spans="1:12" ht="15" hidden="1">
      <c r="A535" t="s">
        <v>927</v>
      </c>
      <c r="B535" t="s">
        <v>689</v>
      </c>
      <c r="C535" t="s">
        <v>690</v>
      </c>
      <c r="D535" t="s">
        <v>733</v>
      </c>
      <c r="E535" t="s">
        <v>734</v>
      </c>
      <c r="F535" t="s">
        <v>1272</v>
      </c>
      <c r="G535" t="s">
        <v>665</v>
      </c>
      <c r="H535" s="595">
        <v>-2.58</v>
      </c>
      <c r="I535" t="str">
        <f t="shared" si="20"/>
        <v>janeiro 2026</v>
      </c>
      <c r="J535">
        <f t="shared" si="21"/>
        <v>2026</v>
      </c>
      <c r="K535" t="str">
        <f>VLOOKUP(G535,METRICS!C:D,2,0)</f>
        <v>Taxas Financeiras Diversas</v>
      </c>
      <c r="L535" t="str">
        <f>VLOOKUP(K535,METRICS!D:E,2,0)</f>
        <v>TAXAS CARTÃO DE CRÉDITO</v>
      </c>
    </row>
    <row r="536" spans="1:12" ht="15" hidden="1">
      <c r="A536" t="s">
        <v>929</v>
      </c>
      <c r="B536" t="s">
        <v>689</v>
      </c>
      <c r="C536" t="s">
        <v>690</v>
      </c>
      <c r="D536" t="s">
        <v>743</v>
      </c>
      <c r="E536" t="s">
        <v>734</v>
      </c>
      <c r="F536" t="s">
        <v>1272</v>
      </c>
      <c r="G536" t="s">
        <v>665</v>
      </c>
      <c r="H536" s="595">
        <v>-0.45</v>
      </c>
      <c r="I536" t="str">
        <f t="shared" si="20"/>
        <v>janeiro 2026</v>
      </c>
      <c r="J536">
        <f t="shared" si="21"/>
        <v>2026</v>
      </c>
      <c r="K536" t="str">
        <f>VLOOKUP(G536,METRICS!C:D,2,0)</f>
        <v>Taxas Financeiras Diversas</v>
      </c>
      <c r="L536" t="str">
        <f>VLOOKUP(K536,METRICS!D:E,2,0)</f>
        <v>TAXAS CARTÃO DE CRÉDITO</v>
      </c>
    </row>
    <row r="537" spans="1:12" ht="15" hidden="1">
      <c r="A537" t="s">
        <v>929</v>
      </c>
      <c r="B537" t="s">
        <v>612</v>
      </c>
      <c r="C537" t="s">
        <v>690</v>
      </c>
      <c r="D537" t="s">
        <v>930</v>
      </c>
      <c r="E537" t="s">
        <v>752</v>
      </c>
      <c r="F537" t="s">
        <v>1272</v>
      </c>
      <c r="G537" t="s">
        <v>609</v>
      </c>
      <c r="H537" s="595">
        <v>-4330.95</v>
      </c>
      <c r="I537" t="str">
        <f t="shared" si="20"/>
        <v>janeiro 2026</v>
      </c>
      <c r="J537">
        <f t="shared" si="21"/>
        <v>2026</v>
      </c>
      <c r="K537" t="str">
        <f>VLOOKUP(G537,METRICS!C:D,2,0)</f>
        <v>Carnes e Aves</v>
      </c>
      <c r="L537" t="str">
        <f>VLOOKUP(K537,METRICS!D:E,2,0)</f>
        <v>CUSTOS DOS PRODUTOS VENDIDOS</v>
      </c>
    </row>
    <row r="538" spans="1:12" ht="15" hidden="1">
      <c r="A538" t="s">
        <v>929</v>
      </c>
      <c r="B538" t="s">
        <v>612</v>
      </c>
      <c r="C538" t="s">
        <v>690</v>
      </c>
      <c r="D538" t="s">
        <v>931</v>
      </c>
      <c r="E538" t="s">
        <v>832</v>
      </c>
      <c r="F538" t="s">
        <v>1272</v>
      </c>
      <c r="G538" t="s">
        <v>633</v>
      </c>
      <c r="H538" s="595">
        <v>-231.35</v>
      </c>
      <c r="I538" t="str">
        <f t="shared" si="20"/>
        <v>janeiro 2026</v>
      </c>
      <c r="J538">
        <f t="shared" si="21"/>
        <v>2026</v>
      </c>
      <c r="K538" t="str">
        <f>VLOOKUP(G538,METRICS!C:D,2,0)</f>
        <v>Paes, Massas e Salgados</v>
      </c>
      <c r="L538" t="str">
        <f>VLOOKUP(K538,METRICS!D:E,2,0)</f>
        <v>CUSTOS DOS PRODUTOS VENDIDOS</v>
      </c>
    </row>
    <row r="539" spans="1:12" ht="15" hidden="1">
      <c r="A539" t="s">
        <v>929</v>
      </c>
      <c r="B539" t="s">
        <v>612</v>
      </c>
      <c r="C539" t="s">
        <v>690</v>
      </c>
      <c r="D539" t="s">
        <v>932</v>
      </c>
      <c r="E539" t="s">
        <v>767</v>
      </c>
      <c r="F539" t="s">
        <v>1272</v>
      </c>
      <c r="G539" t="s">
        <v>623</v>
      </c>
      <c r="H539" s="595">
        <v>-740.88</v>
      </c>
      <c r="I539" t="str">
        <f t="shared" si="20"/>
        <v>janeiro 2026</v>
      </c>
      <c r="J539">
        <f t="shared" si="21"/>
        <v>2026</v>
      </c>
      <c r="K539" t="str">
        <f>VLOOKUP(G539,METRICS!C:D,2,0)</f>
        <v>Secos - Mercearia</v>
      </c>
      <c r="L539" t="str">
        <f>VLOOKUP(K539,METRICS!D:E,2,0)</f>
        <v>CUSTOS DOS PRODUTOS VENDIDOS</v>
      </c>
    </row>
    <row r="540" spans="1:12" ht="15" hidden="1">
      <c r="A540" t="s">
        <v>929</v>
      </c>
      <c r="B540" t="s">
        <v>689</v>
      </c>
      <c r="C540" t="s">
        <v>690</v>
      </c>
      <c r="D540" t="s">
        <v>733</v>
      </c>
      <c r="E540" t="s">
        <v>734</v>
      </c>
      <c r="F540" t="s">
        <v>1272</v>
      </c>
      <c r="G540" t="s">
        <v>665</v>
      </c>
      <c r="H540" s="595">
        <v>-14.79</v>
      </c>
      <c r="I540" t="str">
        <f t="shared" si="20"/>
        <v>janeiro 2026</v>
      </c>
      <c r="J540">
        <f t="shared" si="21"/>
        <v>2026</v>
      </c>
      <c r="K540" t="str">
        <f>VLOOKUP(G540,METRICS!C:D,2,0)</f>
        <v>Taxas Financeiras Diversas</v>
      </c>
      <c r="L540" t="str">
        <f>VLOOKUP(K540,METRICS!D:E,2,0)</f>
        <v>TAXAS CARTÃO DE CRÉDITO</v>
      </c>
    </row>
    <row r="541" spans="1:12" ht="15" hidden="1">
      <c r="A541" t="s">
        <v>929</v>
      </c>
      <c r="B541" t="s">
        <v>689</v>
      </c>
      <c r="C541" t="s">
        <v>690</v>
      </c>
      <c r="D541" t="s">
        <v>733</v>
      </c>
      <c r="E541" t="s">
        <v>734</v>
      </c>
      <c r="F541" t="s">
        <v>1272</v>
      </c>
      <c r="G541" t="s">
        <v>665</v>
      </c>
      <c r="H541" s="595">
        <v>-1.43</v>
      </c>
      <c r="I541" t="str">
        <f t="shared" si="20"/>
        <v>janeiro 2026</v>
      </c>
      <c r="J541">
        <f t="shared" si="21"/>
        <v>2026</v>
      </c>
      <c r="K541" t="str">
        <f>VLOOKUP(G541,METRICS!C:D,2,0)</f>
        <v>Taxas Financeiras Diversas</v>
      </c>
      <c r="L541" t="str">
        <f>VLOOKUP(K541,METRICS!D:E,2,0)</f>
        <v>TAXAS CARTÃO DE CRÉDITO</v>
      </c>
    </row>
    <row r="542" spans="1:12" ht="15" hidden="1">
      <c r="A542" t="s">
        <v>929</v>
      </c>
      <c r="B542" t="s">
        <v>689</v>
      </c>
      <c r="C542" t="s">
        <v>690</v>
      </c>
      <c r="D542" t="s">
        <v>743</v>
      </c>
      <c r="E542" t="s">
        <v>734</v>
      </c>
      <c r="F542" t="s">
        <v>1272</v>
      </c>
      <c r="G542" t="s">
        <v>665</v>
      </c>
      <c r="H542" s="595">
        <v>-8.6</v>
      </c>
      <c r="I542" t="str">
        <f t="shared" si="20"/>
        <v>janeiro 2026</v>
      </c>
      <c r="J542">
        <f t="shared" si="21"/>
        <v>2026</v>
      </c>
      <c r="K542" t="str">
        <f>VLOOKUP(G542,METRICS!C:D,2,0)</f>
        <v>Taxas Financeiras Diversas</v>
      </c>
      <c r="L542" t="str">
        <f>VLOOKUP(K542,METRICS!D:E,2,0)</f>
        <v>TAXAS CARTÃO DE CRÉDITO</v>
      </c>
    </row>
    <row r="543" spans="1:12" ht="15" hidden="1">
      <c r="A543" t="s">
        <v>929</v>
      </c>
      <c r="B543" t="s">
        <v>689</v>
      </c>
      <c r="C543" t="s">
        <v>690</v>
      </c>
      <c r="D543" t="s">
        <v>883</v>
      </c>
      <c r="E543" t="s">
        <v>746</v>
      </c>
      <c r="F543" t="s">
        <v>1272</v>
      </c>
      <c r="G543" t="s">
        <v>669</v>
      </c>
      <c r="H543" s="595">
        <v>-54.32</v>
      </c>
      <c r="I543" t="str">
        <f t="shared" si="20"/>
        <v>janeiro 2026</v>
      </c>
      <c r="J543">
        <f t="shared" si="21"/>
        <v>2026</v>
      </c>
      <c r="K543" t="str">
        <f>VLOOKUP(G543,METRICS!C:D,2,0)</f>
        <v>Taxas Financeiras Diversas</v>
      </c>
      <c r="L543" t="str">
        <f>VLOOKUP(K543,METRICS!D:E,2,0)</f>
        <v>TAXAS CARTÃO DE CRÉDITO</v>
      </c>
    </row>
    <row r="544" spans="1:12" ht="15" hidden="1">
      <c r="A544" t="s">
        <v>929</v>
      </c>
      <c r="B544" t="s">
        <v>612</v>
      </c>
      <c r="C544" t="s">
        <v>690</v>
      </c>
      <c r="D544" t="s">
        <v>933</v>
      </c>
      <c r="E544" t="s">
        <v>934</v>
      </c>
      <c r="F544" t="s">
        <v>1272</v>
      </c>
      <c r="G544" t="s">
        <v>626</v>
      </c>
      <c r="H544" s="595">
        <v>-3000</v>
      </c>
      <c r="I544" t="str">
        <f t="shared" si="20"/>
        <v>janeiro 2026</v>
      </c>
      <c r="J544">
        <f t="shared" si="21"/>
        <v>2026</v>
      </c>
      <c r="K544" t="str">
        <f>VLOOKUP(G544,METRICS!C:D,2,0)</f>
        <v>Manutenção e Conservação</v>
      </c>
      <c r="L544" t="str">
        <f>VLOOKUP(K544,METRICS!D:E,2,0)</f>
        <v>OPERAÇÃO</v>
      </c>
    </row>
    <row r="545" spans="1:12" ht="15" hidden="1">
      <c r="A545" t="s">
        <v>929</v>
      </c>
      <c r="B545" t="s">
        <v>612</v>
      </c>
      <c r="C545" t="s">
        <v>690</v>
      </c>
      <c r="D545" t="s">
        <v>935</v>
      </c>
      <c r="E545" t="s">
        <v>936</v>
      </c>
      <c r="F545" t="s">
        <v>1272</v>
      </c>
      <c r="G545" t="s">
        <v>283</v>
      </c>
      <c r="H545" s="595">
        <v>-2838</v>
      </c>
      <c r="I545" t="str">
        <f t="shared" si="20"/>
        <v>janeiro 2026</v>
      </c>
      <c r="J545">
        <f t="shared" si="21"/>
        <v>2026</v>
      </c>
      <c r="K545" t="str">
        <f>VLOOKUP(G545,METRICS!C:D,2,0)</f>
        <v>Hostess</v>
      </c>
      <c r="L545" t="str">
        <f>VLOOKUP(K545,METRICS!D:E,2,0)</f>
        <v>OPERAÇÃO</v>
      </c>
    </row>
    <row r="546" spans="1:12" ht="15" hidden="1">
      <c r="A546" t="s">
        <v>929</v>
      </c>
      <c r="B546" t="s">
        <v>689</v>
      </c>
      <c r="C546" t="s">
        <v>690</v>
      </c>
      <c r="D546" t="s">
        <v>733</v>
      </c>
      <c r="E546" t="s">
        <v>734</v>
      </c>
      <c r="F546" t="s">
        <v>1272</v>
      </c>
      <c r="G546" t="s">
        <v>665</v>
      </c>
      <c r="H546" s="595">
        <v>-3.36</v>
      </c>
      <c r="I546" t="str">
        <f t="shared" si="20"/>
        <v>janeiro 2026</v>
      </c>
      <c r="J546">
        <f t="shared" si="21"/>
        <v>2026</v>
      </c>
      <c r="K546" t="str">
        <f>VLOOKUP(G546,METRICS!C:D,2,0)</f>
        <v>Taxas Financeiras Diversas</v>
      </c>
      <c r="L546" t="str">
        <f>VLOOKUP(K546,METRICS!D:E,2,0)</f>
        <v>TAXAS CARTÃO DE CRÉDITO</v>
      </c>
    </row>
    <row r="547" spans="1:12" ht="15" hidden="1">
      <c r="A547" t="s">
        <v>929</v>
      </c>
      <c r="B547" t="s">
        <v>689</v>
      </c>
      <c r="C547" t="s">
        <v>690</v>
      </c>
      <c r="D547" t="s">
        <v>733</v>
      </c>
      <c r="E547" t="s">
        <v>734</v>
      </c>
      <c r="F547" t="s">
        <v>1272</v>
      </c>
      <c r="G547" t="s">
        <v>665</v>
      </c>
      <c r="H547" s="595">
        <v>-2.4700000000000002</v>
      </c>
      <c r="I547" t="str">
        <f t="shared" ref="I547:I571" si="22">TEXT(A547, "mmmm aaaa")</f>
        <v>janeiro 2026</v>
      </c>
      <c r="J547">
        <f t="shared" si="21"/>
        <v>2026</v>
      </c>
      <c r="K547" t="str">
        <f>VLOOKUP(G547,METRICS!C:D,2,0)</f>
        <v>Taxas Financeiras Diversas</v>
      </c>
      <c r="L547" t="str">
        <f>VLOOKUP(K547,METRICS!D:E,2,0)</f>
        <v>TAXAS CARTÃO DE CRÉDITO</v>
      </c>
    </row>
    <row r="548" spans="1:12" ht="15" hidden="1">
      <c r="A548" t="s">
        <v>929</v>
      </c>
      <c r="B548" t="s">
        <v>689</v>
      </c>
      <c r="C548" t="s">
        <v>690</v>
      </c>
      <c r="D548" t="s">
        <v>733</v>
      </c>
      <c r="E548" t="s">
        <v>734</v>
      </c>
      <c r="F548" t="s">
        <v>1272</v>
      </c>
      <c r="G548" t="s">
        <v>665</v>
      </c>
      <c r="H548" s="595">
        <v>-2.41</v>
      </c>
      <c r="I548" t="str">
        <f t="shared" si="22"/>
        <v>janeiro 2026</v>
      </c>
      <c r="J548">
        <f t="shared" si="21"/>
        <v>2026</v>
      </c>
      <c r="K548" t="str">
        <f>VLOOKUP(G548,METRICS!C:D,2,0)</f>
        <v>Taxas Financeiras Diversas</v>
      </c>
      <c r="L548" t="str">
        <f>VLOOKUP(K548,METRICS!D:E,2,0)</f>
        <v>TAXAS CARTÃO DE CRÉDITO</v>
      </c>
    </row>
    <row r="549" spans="1:12" ht="15" hidden="1">
      <c r="A549" t="s">
        <v>929</v>
      </c>
      <c r="B549" t="s">
        <v>689</v>
      </c>
      <c r="C549" t="s">
        <v>690</v>
      </c>
      <c r="D549" t="s">
        <v>753</v>
      </c>
      <c r="E549" t="s">
        <v>734</v>
      </c>
      <c r="F549" t="s">
        <v>1272</v>
      </c>
      <c r="G549" t="s">
        <v>665</v>
      </c>
      <c r="H549" s="595">
        <v>-16.29</v>
      </c>
      <c r="I549" t="str">
        <f t="shared" si="22"/>
        <v>janeiro 2026</v>
      </c>
      <c r="J549">
        <f t="shared" si="21"/>
        <v>2026</v>
      </c>
      <c r="K549" t="str">
        <f>VLOOKUP(G549,METRICS!C:D,2,0)</f>
        <v>Taxas Financeiras Diversas</v>
      </c>
      <c r="L549" t="str">
        <f>VLOOKUP(K549,METRICS!D:E,2,0)</f>
        <v>TAXAS CARTÃO DE CRÉDITO</v>
      </c>
    </row>
    <row r="550" spans="1:12" ht="15" hidden="1">
      <c r="A550" t="s">
        <v>929</v>
      </c>
      <c r="B550" t="s">
        <v>689</v>
      </c>
      <c r="C550" t="s">
        <v>690</v>
      </c>
      <c r="D550" t="s">
        <v>733</v>
      </c>
      <c r="E550" t="s">
        <v>734</v>
      </c>
      <c r="F550" t="s">
        <v>1272</v>
      </c>
      <c r="G550" t="s">
        <v>665</v>
      </c>
      <c r="H550" s="595">
        <v>-6.27</v>
      </c>
      <c r="I550" t="str">
        <f t="shared" si="22"/>
        <v>janeiro 2026</v>
      </c>
      <c r="J550">
        <f t="shared" si="21"/>
        <v>2026</v>
      </c>
      <c r="K550" t="str">
        <f>VLOOKUP(G550,METRICS!C:D,2,0)</f>
        <v>Taxas Financeiras Diversas</v>
      </c>
      <c r="L550" t="str">
        <f>VLOOKUP(K550,METRICS!D:E,2,0)</f>
        <v>TAXAS CARTÃO DE CRÉDITO</v>
      </c>
    </row>
    <row r="551" spans="1:12" ht="15" hidden="1">
      <c r="A551" t="s">
        <v>929</v>
      </c>
      <c r="B551" t="s">
        <v>689</v>
      </c>
      <c r="C551" t="s">
        <v>690</v>
      </c>
      <c r="D551" t="s">
        <v>733</v>
      </c>
      <c r="E551" t="s">
        <v>734</v>
      </c>
      <c r="F551" t="s">
        <v>1272</v>
      </c>
      <c r="G551" t="s">
        <v>665</v>
      </c>
      <c r="H551" s="595">
        <v>-18.53</v>
      </c>
      <c r="I551" t="str">
        <f t="shared" si="22"/>
        <v>janeiro 2026</v>
      </c>
      <c r="J551">
        <f t="shared" si="21"/>
        <v>2026</v>
      </c>
      <c r="K551" t="str">
        <f>VLOOKUP(G551,METRICS!C:D,2,0)</f>
        <v>Taxas Financeiras Diversas</v>
      </c>
      <c r="L551" t="str">
        <f>VLOOKUP(K551,METRICS!D:E,2,0)</f>
        <v>TAXAS CARTÃO DE CRÉDITO</v>
      </c>
    </row>
    <row r="552" spans="1:12" ht="15" hidden="1">
      <c r="A552" t="s">
        <v>929</v>
      </c>
      <c r="B552" t="s">
        <v>689</v>
      </c>
      <c r="C552" t="s">
        <v>690</v>
      </c>
      <c r="D552" t="s">
        <v>733</v>
      </c>
      <c r="E552" t="s">
        <v>734</v>
      </c>
      <c r="F552" t="s">
        <v>1272</v>
      </c>
      <c r="G552" t="s">
        <v>665</v>
      </c>
      <c r="H552" s="595">
        <v>-15.77</v>
      </c>
      <c r="I552" t="str">
        <f t="shared" si="22"/>
        <v>janeiro 2026</v>
      </c>
      <c r="J552">
        <f t="shared" si="21"/>
        <v>2026</v>
      </c>
      <c r="K552" t="str">
        <f>VLOOKUP(G552,METRICS!C:D,2,0)</f>
        <v>Taxas Financeiras Diversas</v>
      </c>
      <c r="L552" t="str">
        <f>VLOOKUP(K552,METRICS!D:E,2,0)</f>
        <v>TAXAS CARTÃO DE CRÉDITO</v>
      </c>
    </row>
    <row r="553" spans="1:12" ht="15" hidden="1">
      <c r="A553" t="s">
        <v>929</v>
      </c>
      <c r="B553" t="s">
        <v>689</v>
      </c>
      <c r="C553" t="s">
        <v>690</v>
      </c>
      <c r="D553" t="s">
        <v>733</v>
      </c>
      <c r="E553" t="s">
        <v>734</v>
      </c>
      <c r="F553" t="s">
        <v>1272</v>
      </c>
      <c r="G553" t="s">
        <v>665</v>
      </c>
      <c r="H553" s="595">
        <v>-0.26</v>
      </c>
      <c r="I553" t="str">
        <f t="shared" si="22"/>
        <v>janeiro 2026</v>
      </c>
      <c r="J553">
        <f t="shared" si="21"/>
        <v>2026</v>
      </c>
      <c r="K553" t="str">
        <f>VLOOKUP(G553,METRICS!C:D,2,0)</f>
        <v>Taxas Financeiras Diversas</v>
      </c>
      <c r="L553" t="str">
        <f>VLOOKUP(K553,METRICS!D:E,2,0)</f>
        <v>TAXAS CARTÃO DE CRÉDITO</v>
      </c>
    </row>
    <row r="554" spans="1:12" ht="15" hidden="1">
      <c r="A554" t="s">
        <v>929</v>
      </c>
      <c r="B554" t="s">
        <v>689</v>
      </c>
      <c r="C554" t="s">
        <v>690</v>
      </c>
      <c r="D554" t="s">
        <v>743</v>
      </c>
      <c r="E554" t="s">
        <v>734</v>
      </c>
      <c r="F554" t="s">
        <v>1272</v>
      </c>
      <c r="G554" t="s">
        <v>665</v>
      </c>
      <c r="H554" s="595">
        <v>-10.97</v>
      </c>
      <c r="I554" t="str">
        <f t="shared" si="22"/>
        <v>janeiro 2026</v>
      </c>
      <c r="J554">
        <f t="shared" si="21"/>
        <v>2026</v>
      </c>
      <c r="K554" t="str">
        <f>VLOOKUP(G554,METRICS!C:D,2,0)</f>
        <v>Taxas Financeiras Diversas</v>
      </c>
      <c r="L554" t="str">
        <f>VLOOKUP(K554,METRICS!D:E,2,0)</f>
        <v>TAXAS CARTÃO DE CRÉDITO</v>
      </c>
    </row>
    <row r="555" spans="1:12" ht="15" hidden="1">
      <c r="A555" t="s">
        <v>929</v>
      </c>
      <c r="B555" t="s">
        <v>689</v>
      </c>
      <c r="C555" t="s">
        <v>690</v>
      </c>
      <c r="D555" t="s">
        <v>743</v>
      </c>
      <c r="E555" t="s">
        <v>734</v>
      </c>
      <c r="F555" t="s">
        <v>1272</v>
      </c>
      <c r="G555" t="s">
        <v>665</v>
      </c>
      <c r="H555" s="595">
        <v>-8.01</v>
      </c>
      <c r="I555" t="str">
        <f t="shared" si="22"/>
        <v>janeiro 2026</v>
      </c>
      <c r="J555">
        <f t="shared" si="21"/>
        <v>2026</v>
      </c>
      <c r="K555" t="str">
        <f>VLOOKUP(G555,METRICS!C:D,2,0)</f>
        <v>Taxas Financeiras Diversas</v>
      </c>
      <c r="L555" t="str">
        <f>VLOOKUP(K555,METRICS!D:E,2,0)</f>
        <v>TAXAS CARTÃO DE CRÉDITO</v>
      </c>
    </row>
    <row r="556" spans="1:12" ht="15" hidden="1">
      <c r="A556" t="s">
        <v>929</v>
      </c>
      <c r="B556" t="s">
        <v>689</v>
      </c>
      <c r="C556" t="s">
        <v>690</v>
      </c>
      <c r="D556" t="s">
        <v>743</v>
      </c>
      <c r="E556" t="s">
        <v>734</v>
      </c>
      <c r="F556" t="s">
        <v>1272</v>
      </c>
      <c r="G556" t="s">
        <v>665</v>
      </c>
      <c r="H556" s="595">
        <v>-5.33</v>
      </c>
      <c r="I556" t="str">
        <f t="shared" si="22"/>
        <v>janeiro 2026</v>
      </c>
      <c r="J556">
        <f t="shared" si="21"/>
        <v>2026</v>
      </c>
      <c r="K556" t="str">
        <f>VLOOKUP(G556,METRICS!C:D,2,0)</f>
        <v>Taxas Financeiras Diversas</v>
      </c>
      <c r="L556" t="str">
        <f>VLOOKUP(K556,METRICS!D:E,2,0)</f>
        <v>TAXAS CARTÃO DE CRÉDITO</v>
      </c>
    </row>
    <row r="557" spans="1:12" ht="15" hidden="1">
      <c r="A557" t="s">
        <v>929</v>
      </c>
      <c r="B557" t="s">
        <v>689</v>
      </c>
      <c r="C557" t="s">
        <v>690</v>
      </c>
      <c r="D557" t="s">
        <v>937</v>
      </c>
      <c r="E557" t="s">
        <v>791</v>
      </c>
      <c r="F557" t="s">
        <v>1272</v>
      </c>
      <c r="G557" t="s">
        <v>664</v>
      </c>
      <c r="H557" s="595">
        <v>-240</v>
      </c>
      <c r="I557" t="str">
        <f t="shared" si="22"/>
        <v>janeiro 2026</v>
      </c>
      <c r="J557">
        <f t="shared" si="21"/>
        <v>2026</v>
      </c>
      <c r="K557" t="str">
        <f>VLOOKUP(G557,METRICS!C:D,2,0)</f>
        <v>Colaborador Extra</v>
      </c>
      <c r="L557" t="str">
        <f>VLOOKUP(K557,METRICS!D:E,2,0)</f>
        <v>PESSOAL</v>
      </c>
    </row>
    <row r="558" spans="1:12" ht="15" hidden="1">
      <c r="A558" t="s">
        <v>929</v>
      </c>
      <c r="B558" t="s">
        <v>612</v>
      </c>
      <c r="C558" t="s">
        <v>690</v>
      </c>
      <c r="D558" t="s">
        <v>938</v>
      </c>
      <c r="E558" t="s">
        <v>939</v>
      </c>
      <c r="F558" t="s">
        <v>1272</v>
      </c>
      <c r="G558" t="s">
        <v>636</v>
      </c>
      <c r="H558" s="595">
        <v>-505.41</v>
      </c>
      <c r="I558" t="str">
        <f t="shared" si="22"/>
        <v>janeiro 2026</v>
      </c>
      <c r="J558">
        <f t="shared" si="21"/>
        <v>2026</v>
      </c>
      <c r="K558" t="str">
        <f>VLOOKUP(G558,METRICS!C:D,2,0)</f>
        <v>Secos - Mercearia</v>
      </c>
      <c r="L558" t="str">
        <f>VLOOKUP(K558,METRICS!D:E,2,0)</f>
        <v>CUSTOS DOS PRODUTOS VENDIDOS</v>
      </c>
    </row>
    <row r="559" spans="1:12" ht="15" hidden="1">
      <c r="A559" t="s">
        <v>929</v>
      </c>
      <c r="B559" t="s">
        <v>689</v>
      </c>
      <c r="C559" t="s">
        <v>690</v>
      </c>
      <c r="D559" t="s">
        <v>733</v>
      </c>
      <c r="E559" t="s">
        <v>734</v>
      </c>
      <c r="F559" t="s">
        <v>1272</v>
      </c>
      <c r="G559" t="s">
        <v>665</v>
      </c>
      <c r="H559" s="595">
        <v>-35.630000000000003</v>
      </c>
      <c r="I559" t="str">
        <f t="shared" si="22"/>
        <v>janeiro 2026</v>
      </c>
      <c r="J559">
        <f t="shared" si="21"/>
        <v>2026</v>
      </c>
      <c r="K559" t="str">
        <f>VLOOKUP(G559,METRICS!C:D,2,0)</f>
        <v>Taxas Financeiras Diversas</v>
      </c>
      <c r="L559" t="str">
        <f>VLOOKUP(K559,METRICS!D:E,2,0)</f>
        <v>TAXAS CARTÃO DE CRÉDITO</v>
      </c>
    </row>
    <row r="560" spans="1:12" ht="15" hidden="1">
      <c r="A560" t="s">
        <v>929</v>
      </c>
      <c r="B560" t="s">
        <v>689</v>
      </c>
      <c r="C560" t="s">
        <v>690</v>
      </c>
      <c r="D560" t="s">
        <v>733</v>
      </c>
      <c r="E560" t="s">
        <v>734</v>
      </c>
      <c r="F560" t="s">
        <v>1272</v>
      </c>
      <c r="G560" t="s">
        <v>665</v>
      </c>
      <c r="H560" s="595">
        <v>-2.0499999999999998</v>
      </c>
      <c r="I560" t="str">
        <f t="shared" si="22"/>
        <v>janeiro 2026</v>
      </c>
      <c r="J560">
        <f t="shared" si="21"/>
        <v>2026</v>
      </c>
      <c r="K560" t="str">
        <f>VLOOKUP(G560,METRICS!C:D,2,0)</f>
        <v>Taxas Financeiras Diversas</v>
      </c>
      <c r="L560" t="str">
        <f>VLOOKUP(K560,METRICS!D:E,2,0)</f>
        <v>TAXAS CARTÃO DE CRÉDITO</v>
      </c>
    </row>
    <row r="561" spans="1:12" ht="15" hidden="1">
      <c r="A561" t="s">
        <v>929</v>
      </c>
      <c r="B561" t="s">
        <v>689</v>
      </c>
      <c r="C561" t="s">
        <v>690</v>
      </c>
      <c r="D561" t="s">
        <v>733</v>
      </c>
      <c r="E561" t="s">
        <v>734</v>
      </c>
      <c r="F561" t="s">
        <v>1272</v>
      </c>
      <c r="G561" t="s">
        <v>665</v>
      </c>
      <c r="H561" s="595">
        <v>-0.31</v>
      </c>
      <c r="I561" t="str">
        <f t="shared" si="22"/>
        <v>janeiro 2026</v>
      </c>
      <c r="J561">
        <f t="shared" si="21"/>
        <v>2026</v>
      </c>
      <c r="K561" t="str">
        <f>VLOOKUP(G561,METRICS!C:D,2,0)</f>
        <v>Taxas Financeiras Diversas</v>
      </c>
      <c r="L561" t="str">
        <f>VLOOKUP(K561,METRICS!D:E,2,0)</f>
        <v>TAXAS CARTÃO DE CRÉDITO</v>
      </c>
    </row>
    <row r="562" spans="1:12" ht="15" hidden="1">
      <c r="A562" t="s">
        <v>929</v>
      </c>
      <c r="B562" t="s">
        <v>689</v>
      </c>
      <c r="C562" t="s">
        <v>690</v>
      </c>
      <c r="D562" t="s">
        <v>733</v>
      </c>
      <c r="E562" t="s">
        <v>734</v>
      </c>
      <c r="F562" t="s">
        <v>1272</v>
      </c>
      <c r="G562" t="s">
        <v>665</v>
      </c>
      <c r="H562" s="595">
        <v>-0.74</v>
      </c>
      <c r="I562" t="str">
        <f t="shared" si="22"/>
        <v>janeiro 2026</v>
      </c>
      <c r="J562">
        <f t="shared" si="21"/>
        <v>2026</v>
      </c>
      <c r="K562" t="str">
        <f>VLOOKUP(G562,METRICS!C:D,2,0)</f>
        <v>Taxas Financeiras Diversas</v>
      </c>
      <c r="L562" t="str">
        <f>VLOOKUP(K562,METRICS!D:E,2,0)</f>
        <v>TAXAS CARTÃO DE CRÉDITO</v>
      </c>
    </row>
    <row r="563" spans="1:12" ht="15" hidden="1">
      <c r="A563" t="s">
        <v>929</v>
      </c>
      <c r="B563" t="s">
        <v>689</v>
      </c>
      <c r="C563" t="s">
        <v>690</v>
      </c>
      <c r="D563" t="s">
        <v>733</v>
      </c>
      <c r="E563" t="s">
        <v>734</v>
      </c>
      <c r="F563" t="s">
        <v>1272</v>
      </c>
      <c r="G563" t="s">
        <v>665</v>
      </c>
      <c r="H563" s="595">
        <v>-0.08</v>
      </c>
      <c r="I563" t="str">
        <f t="shared" si="22"/>
        <v>janeiro 2026</v>
      </c>
      <c r="J563">
        <f t="shared" si="21"/>
        <v>2026</v>
      </c>
      <c r="K563" t="str">
        <f>VLOOKUP(G563,METRICS!C:D,2,0)</f>
        <v>Taxas Financeiras Diversas</v>
      </c>
      <c r="L563" t="str">
        <f>VLOOKUP(K563,METRICS!D:E,2,0)</f>
        <v>TAXAS CARTÃO DE CRÉDITO</v>
      </c>
    </row>
    <row r="564" spans="1:12" ht="15" hidden="1">
      <c r="A564" t="s">
        <v>929</v>
      </c>
      <c r="B564" t="s">
        <v>612</v>
      </c>
      <c r="C564" t="s">
        <v>690</v>
      </c>
      <c r="D564" t="s">
        <v>940</v>
      </c>
      <c r="E564" t="s">
        <v>745</v>
      </c>
      <c r="F564" t="s">
        <v>1272</v>
      </c>
      <c r="G564" t="s">
        <v>620</v>
      </c>
      <c r="H564" s="595">
        <v>-364.6</v>
      </c>
      <c r="I564" t="str">
        <f t="shared" si="22"/>
        <v>janeiro 2026</v>
      </c>
      <c r="J564">
        <f t="shared" si="21"/>
        <v>2026</v>
      </c>
      <c r="K564" t="str">
        <f>VLOOKUP(G564,METRICS!C:D,2,0)</f>
        <v>Hortifruti</v>
      </c>
      <c r="L564" t="str">
        <f>VLOOKUP(K564,METRICS!D:E,2,0)</f>
        <v>CUSTOS DOS PRODUTOS VENDIDOS</v>
      </c>
    </row>
    <row r="565" spans="1:12" ht="15" hidden="1">
      <c r="A565" t="s">
        <v>929</v>
      </c>
      <c r="B565" t="s">
        <v>612</v>
      </c>
      <c r="C565" t="s">
        <v>690</v>
      </c>
      <c r="D565" t="s">
        <v>941</v>
      </c>
      <c r="E565" t="s">
        <v>942</v>
      </c>
      <c r="F565" t="s">
        <v>1272</v>
      </c>
      <c r="G565" t="s">
        <v>609</v>
      </c>
      <c r="H565" s="595">
        <v>-659.45</v>
      </c>
      <c r="I565" t="str">
        <f t="shared" si="22"/>
        <v>janeiro 2026</v>
      </c>
      <c r="J565">
        <f t="shared" si="21"/>
        <v>2026</v>
      </c>
      <c r="K565" t="str">
        <f>VLOOKUP(G565,METRICS!C:D,2,0)</f>
        <v>Carnes e Aves</v>
      </c>
      <c r="L565" t="str">
        <f>VLOOKUP(K565,METRICS!D:E,2,0)</f>
        <v>CUSTOS DOS PRODUTOS VENDIDOS</v>
      </c>
    </row>
    <row r="566" spans="1:12" ht="15" hidden="1">
      <c r="A566" t="s">
        <v>929</v>
      </c>
      <c r="B566" t="s">
        <v>689</v>
      </c>
      <c r="C566" t="s">
        <v>690</v>
      </c>
      <c r="D566" t="s">
        <v>743</v>
      </c>
      <c r="E566" t="s">
        <v>734</v>
      </c>
      <c r="F566" t="s">
        <v>1272</v>
      </c>
      <c r="G566" t="s">
        <v>665</v>
      </c>
      <c r="H566" s="595">
        <v>-10.16</v>
      </c>
      <c r="I566" t="str">
        <f t="shared" si="22"/>
        <v>janeiro 2026</v>
      </c>
      <c r="J566">
        <f t="shared" si="21"/>
        <v>2026</v>
      </c>
      <c r="K566" t="str">
        <f>VLOOKUP(G566,METRICS!C:D,2,0)</f>
        <v>Taxas Financeiras Diversas</v>
      </c>
      <c r="L566" t="str">
        <f>VLOOKUP(K566,METRICS!D:E,2,0)</f>
        <v>TAXAS CARTÃO DE CRÉDITO</v>
      </c>
    </row>
    <row r="567" spans="1:12" ht="15" hidden="1">
      <c r="A567" t="s">
        <v>929</v>
      </c>
      <c r="B567" t="s">
        <v>689</v>
      </c>
      <c r="C567" t="s">
        <v>690</v>
      </c>
      <c r="D567" t="s">
        <v>943</v>
      </c>
      <c r="E567" t="s">
        <v>789</v>
      </c>
      <c r="F567" t="s">
        <v>1272</v>
      </c>
      <c r="G567" t="s">
        <v>647</v>
      </c>
      <c r="H567" s="595">
        <v>-1368.83</v>
      </c>
      <c r="I567" t="str">
        <f t="shared" si="22"/>
        <v>janeiro 2026</v>
      </c>
      <c r="J567">
        <f t="shared" si="21"/>
        <v>2026</v>
      </c>
      <c r="K567" t="str">
        <f>VLOOKUP(G567,METRICS!C:D,2,0)</f>
        <v>FGTS</v>
      </c>
      <c r="L567" t="str">
        <f>VLOOKUP(K567,METRICS!D:E,2,0)</f>
        <v>PESSOAL</v>
      </c>
    </row>
    <row r="568" spans="1:12" ht="15" hidden="1">
      <c r="A568" t="s">
        <v>929</v>
      </c>
      <c r="B568" t="s">
        <v>689</v>
      </c>
      <c r="C568" t="s">
        <v>690</v>
      </c>
      <c r="D568" t="s">
        <v>743</v>
      </c>
      <c r="E568" t="s">
        <v>734</v>
      </c>
      <c r="F568" t="s">
        <v>1272</v>
      </c>
      <c r="G568" t="s">
        <v>665</v>
      </c>
      <c r="H568" s="595">
        <v>-1.37</v>
      </c>
      <c r="I568" t="str">
        <f t="shared" si="22"/>
        <v>janeiro 2026</v>
      </c>
      <c r="J568">
        <f t="shared" si="21"/>
        <v>2026</v>
      </c>
      <c r="K568" t="str">
        <f>VLOOKUP(G568,METRICS!C:D,2,0)</f>
        <v>Taxas Financeiras Diversas</v>
      </c>
      <c r="L568" t="str">
        <f>VLOOKUP(K568,METRICS!D:E,2,0)</f>
        <v>TAXAS CARTÃO DE CRÉDITO</v>
      </c>
    </row>
    <row r="569" spans="1:12" ht="15" hidden="1">
      <c r="A569" t="s">
        <v>929</v>
      </c>
      <c r="B569" t="s">
        <v>689</v>
      </c>
      <c r="C569" t="s">
        <v>690</v>
      </c>
      <c r="D569" t="s">
        <v>733</v>
      </c>
      <c r="E569" t="s">
        <v>734</v>
      </c>
      <c r="F569" t="s">
        <v>1272</v>
      </c>
      <c r="G569" t="s">
        <v>665</v>
      </c>
      <c r="H569" s="595">
        <v>-17.5</v>
      </c>
      <c r="I569" t="str">
        <f t="shared" si="22"/>
        <v>janeiro 2026</v>
      </c>
      <c r="J569">
        <f t="shared" si="21"/>
        <v>2026</v>
      </c>
      <c r="K569" t="str">
        <f>VLOOKUP(G569,METRICS!C:D,2,0)</f>
        <v>Taxas Financeiras Diversas</v>
      </c>
      <c r="L569" t="str">
        <f>VLOOKUP(K569,METRICS!D:E,2,0)</f>
        <v>TAXAS CARTÃO DE CRÉDITO</v>
      </c>
    </row>
    <row r="570" spans="1:12" ht="15" hidden="1">
      <c r="A570" t="s">
        <v>929</v>
      </c>
      <c r="B570" t="s">
        <v>689</v>
      </c>
      <c r="C570" t="s">
        <v>690</v>
      </c>
      <c r="D570" t="s">
        <v>860</v>
      </c>
      <c r="E570" t="s">
        <v>734</v>
      </c>
      <c r="F570" t="s">
        <v>1272</v>
      </c>
      <c r="G570" t="s">
        <v>665</v>
      </c>
      <c r="H570" s="595">
        <v>-10.79</v>
      </c>
      <c r="I570" t="str">
        <f t="shared" si="22"/>
        <v>janeiro 2026</v>
      </c>
      <c r="J570">
        <f t="shared" si="21"/>
        <v>2026</v>
      </c>
      <c r="K570" t="str">
        <f>VLOOKUP(G570,METRICS!C:D,2,0)</f>
        <v>Taxas Financeiras Diversas</v>
      </c>
      <c r="L570" t="str">
        <f>VLOOKUP(K570,METRICS!D:E,2,0)</f>
        <v>TAXAS CARTÃO DE CRÉDITO</v>
      </c>
    </row>
    <row r="571" spans="1:12" ht="15" hidden="1">
      <c r="A571" t="s">
        <v>929</v>
      </c>
      <c r="B571" t="s">
        <v>689</v>
      </c>
      <c r="C571" t="s">
        <v>690</v>
      </c>
      <c r="D571" t="s">
        <v>733</v>
      </c>
      <c r="E571" t="s">
        <v>734</v>
      </c>
      <c r="F571" t="s">
        <v>1272</v>
      </c>
      <c r="G571" t="s">
        <v>665</v>
      </c>
      <c r="H571" s="595">
        <v>-0.08</v>
      </c>
      <c r="I571" t="str">
        <f t="shared" si="22"/>
        <v>janeiro 2026</v>
      </c>
      <c r="J571">
        <f t="shared" ref="J571:J632" si="23">YEAR(A571)</f>
        <v>2026</v>
      </c>
      <c r="K571" t="str">
        <f>VLOOKUP(G571,METRICS!C:D,2,0)</f>
        <v>Taxas Financeiras Diversas</v>
      </c>
      <c r="L571" t="str">
        <f>VLOOKUP(K571,METRICS!D:E,2,0)</f>
        <v>TAXAS CARTÃO DE CRÉDITO</v>
      </c>
    </row>
    <row r="572" spans="1:12" ht="15" hidden="1">
      <c r="A572" t="s">
        <v>929</v>
      </c>
      <c r="B572" t="s">
        <v>689</v>
      </c>
      <c r="C572" t="s">
        <v>690</v>
      </c>
      <c r="D572" t="s">
        <v>733</v>
      </c>
      <c r="E572" t="s">
        <v>734</v>
      </c>
      <c r="F572" t="s">
        <v>1272</v>
      </c>
      <c r="G572" t="s">
        <v>665</v>
      </c>
      <c r="H572" s="595">
        <v>-4.62</v>
      </c>
      <c r="I572" t="str">
        <f t="shared" ref="I572:I605" si="24">TEXT(A572, "mmmm aaaa")</f>
        <v>janeiro 2026</v>
      </c>
      <c r="J572">
        <f t="shared" si="23"/>
        <v>2026</v>
      </c>
      <c r="K572" t="str">
        <f>VLOOKUP(G572,METRICS!C:D,2,0)</f>
        <v>Taxas Financeiras Diversas</v>
      </c>
      <c r="L572" t="str">
        <f>VLOOKUP(K572,METRICS!D:E,2,0)</f>
        <v>TAXAS CARTÃO DE CRÉDITO</v>
      </c>
    </row>
    <row r="573" spans="1:12" ht="15" hidden="1">
      <c r="A573" t="s">
        <v>929</v>
      </c>
      <c r="B573" t="s">
        <v>689</v>
      </c>
      <c r="C573" t="s">
        <v>690</v>
      </c>
      <c r="D573" t="s">
        <v>733</v>
      </c>
      <c r="E573" t="s">
        <v>734</v>
      </c>
      <c r="F573" t="s">
        <v>1272</v>
      </c>
      <c r="G573" t="s">
        <v>665</v>
      </c>
      <c r="H573" s="595">
        <v>-23.45</v>
      </c>
      <c r="I573" t="str">
        <f t="shared" si="24"/>
        <v>janeiro 2026</v>
      </c>
      <c r="J573">
        <f t="shared" si="23"/>
        <v>2026</v>
      </c>
      <c r="K573" t="str">
        <f>VLOOKUP(G573,METRICS!C:D,2,0)</f>
        <v>Taxas Financeiras Diversas</v>
      </c>
      <c r="L573" t="str">
        <f>VLOOKUP(K573,METRICS!D:E,2,0)</f>
        <v>TAXAS CARTÃO DE CRÉDITO</v>
      </c>
    </row>
    <row r="574" spans="1:12" ht="15" hidden="1">
      <c r="A574" t="s">
        <v>929</v>
      </c>
      <c r="B574" t="s">
        <v>689</v>
      </c>
      <c r="C574" t="s">
        <v>690</v>
      </c>
      <c r="D574" t="s">
        <v>733</v>
      </c>
      <c r="E574" t="s">
        <v>734</v>
      </c>
      <c r="F574" t="s">
        <v>1272</v>
      </c>
      <c r="G574" t="s">
        <v>665</v>
      </c>
      <c r="H574" s="595">
        <v>-0.39</v>
      </c>
      <c r="I574" t="str">
        <f t="shared" si="24"/>
        <v>janeiro 2026</v>
      </c>
      <c r="J574">
        <f t="shared" si="23"/>
        <v>2026</v>
      </c>
      <c r="K574" t="str">
        <f>VLOOKUP(G574,METRICS!C:D,2,0)</f>
        <v>Taxas Financeiras Diversas</v>
      </c>
      <c r="L574" t="str">
        <f>VLOOKUP(K574,METRICS!D:E,2,0)</f>
        <v>TAXAS CARTÃO DE CRÉDITO</v>
      </c>
    </row>
    <row r="575" spans="1:12" ht="15" hidden="1">
      <c r="A575" t="s">
        <v>929</v>
      </c>
      <c r="B575" t="s">
        <v>612</v>
      </c>
      <c r="C575" t="s">
        <v>690</v>
      </c>
      <c r="D575" t="s">
        <v>944</v>
      </c>
      <c r="E575" t="s">
        <v>774</v>
      </c>
      <c r="F575" t="s">
        <v>1272</v>
      </c>
      <c r="G575" t="s">
        <v>629</v>
      </c>
      <c r="H575" s="595">
        <v>-2007.32</v>
      </c>
      <c r="I575" t="str">
        <f t="shared" si="24"/>
        <v>janeiro 2026</v>
      </c>
      <c r="J575">
        <f t="shared" si="23"/>
        <v>2026</v>
      </c>
      <c r="K575" t="str">
        <f>VLOOKUP(G575,METRICS!C:D,2,0)</f>
        <v>Material de limpeza</v>
      </c>
      <c r="L575" t="str">
        <f>VLOOKUP(K575,METRICS!D:E,2,0)</f>
        <v>OPERAÇÃO</v>
      </c>
    </row>
    <row r="576" spans="1:12" ht="15" hidden="1">
      <c r="A576" t="s">
        <v>929</v>
      </c>
      <c r="B576" t="s">
        <v>689</v>
      </c>
      <c r="C576" t="s">
        <v>690</v>
      </c>
      <c r="D576" t="s">
        <v>733</v>
      </c>
      <c r="E576" t="s">
        <v>734</v>
      </c>
      <c r="F576" t="s">
        <v>1272</v>
      </c>
      <c r="G576" t="s">
        <v>665</v>
      </c>
      <c r="H576" s="595">
        <v>-0.08</v>
      </c>
      <c r="I576" t="str">
        <f t="shared" si="24"/>
        <v>janeiro 2026</v>
      </c>
      <c r="J576">
        <f t="shared" si="23"/>
        <v>2026</v>
      </c>
      <c r="K576" t="str">
        <f>VLOOKUP(G576,METRICS!C:D,2,0)</f>
        <v>Taxas Financeiras Diversas</v>
      </c>
      <c r="L576" t="str">
        <f>VLOOKUP(K576,METRICS!D:E,2,0)</f>
        <v>TAXAS CARTÃO DE CRÉDITO</v>
      </c>
    </row>
    <row r="577" spans="1:12" ht="15" hidden="1">
      <c r="A577" t="s">
        <v>929</v>
      </c>
      <c r="B577" t="s">
        <v>612</v>
      </c>
      <c r="C577" t="s">
        <v>690</v>
      </c>
      <c r="D577" t="s">
        <v>945</v>
      </c>
      <c r="E577" t="s">
        <v>727</v>
      </c>
      <c r="F577" t="s">
        <v>1272</v>
      </c>
      <c r="G577" t="s">
        <v>620</v>
      </c>
      <c r="H577" s="595">
        <v>-6072.47</v>
      </c>
      <c r="I577" t="str">
        <f t="shared" si="24"/>
        <v>janeiro 2026</v>
      </c>
      <c r="J577">
        <f t="shared" si="23"/>
        <v>2026</v>
      </c>
      <c r="K577" t="str">
        <f>VLOOKUP(G577,METRICS!C:D,2,0)</f>
        <v>Hortifruti</v>
      </c>
      <c r="L577" t="str">
        <f>VLOOKUP(K577,METRICS!D:E,2,0)</f>
        <v>CUSTOS DOS PRODUTOS VENDIDOS</v>
      </c>
    </row>
    <row r="578" spans="1:12" ht="15" hidden="1">
      <c r="A578" t="s">
        <v>929</v>
      </c>
      <c r="B578" t="s">
        <v>689</v>
      </c>
      <c r="C578" t="s">
        <v>690</v>
      </c>
      <c r="D578" t="s">
        <v>733</v>
      </c>
      <c r="E578" t="s">
        <v>734</v>
      </c>
      <c r="F578" t="s">
        <v>1272</v>
      </c>
      <c r="G578" t="s">
        <v>665</v>
      </c>
      <c r="H578" s="595">
        <v>-15.4</v>
      </c>
      <c r="I578" t="str">
        <f t="shared" si="24"/>
        <v>janeiro 2026</v>
      </c>
      <c r="J578">
        <f t="shared" si="23"/>
        <v>2026</v>
      </c>
      <c r="K578" t="str">
        <f>VLOOKUP(G578,METRICS!C:D,2,0)</f>
        <v>Taxas Financeiras Diversas</v>
      </c>
      <c r="L578" t="str">
        <f>VLOOKUP(K578,METRICS!D:E,2,0)</f>
        <v>TAXAS CARTÃO DE CRÉDITO</v>
      </c>
    </row>
    <row r="579" spans="1:12" ht="15" hidden="1">
      <c r="A579" t="s">
        <v>929</v>
      </c>
      <c r="B579" t="s">
        <v>689</v>
      </c>
      <c r="C579" t="s">
        <v>690</v>
      </c>
      <c r="D579" t="s">
        <v>756</v>
      </c>
      <c r="E579" t="s">
        <v>757</v>
      </c>
      <c r="F579" t="s">
        <v>1272</v>
      </c>
      <c r="G579" t="s">
        <v>666</v>
      </c>
      <c r="H579" s="595">
        <v>-59.4</v>
      </c>
      <c r="I579" t="str">
        <f t="shared" si="24"/>
        <v>janeiro 2026</v>
      </c>
      <c r="J579">
        <f t="shared" si="23"/>
        <v>2026</v>
      </c>
      <c r="K579" t="str">
        <f>VLOOKUP(G579,METRICS!C:D,2,0)</f>
        <v>Encargos Bancarios</v>
      </c>
      <c r="L579" t="str">
        <f>VLOOKUP(K579,METRICS!D:E,2,0)</f>
        <v>DESPESAS FINANCEIRAS</v>
      </c>
    </row>
    <row r="580" spans="1:12" ht="15" hidden="1">
      <c r="A580" t="s">
        <v>929</v>
      </c>
      <c r="B580" t="s">
        <v>612</v>
      </c>
      <c r="C580" t="s">
        <v>690</v>
      </c>
      <c r="D580" t="s">
        <v>946</v>
      </c>
      <c r="E580" t="s">
        <v>752</v>
      </c>
      <c r="F580" t="s">
        <v>1272</v>
      </c>
      <c r="G580" t="s">
        <v>605</v>
      </c>
      <c r="H580" s="595">
        <v>-3935.66</v>
      </c>
      <c r="I580" t="str">
        <f t="shared" si="24"/>
        <v>janeiro 2026</v>
      </c>
      <c r="J580">
        <f t="shared" si="23"/>
        <v>2026</v>
      </c>
      <c r="K580" t="str">
        <f>VLOOKUP(G580,METRICS!C:D,2,0)</f>
        <v>Beneficios</v>
      </c>
      <c r="L580" t="str">
        <f>VLOOKUP(K580,METRICS!D:E,2,0)</f>
        <v>PESSOAL</v>
      </c>
    </row>
    <row r="581" spans="1:12" ht="15" hidden="1">
      <c r="A581" t="s">
        <v>929</v>
      </c>
      <c r="B581" t="s">
        <v>689</v>
      </c>
      <c r="C581" t="s">
        <v>690</v>
      </c>
      <c r="D581" t="s">
        <v>733</v>
      </c>
      <c r="E581" t="s">
        <v>734</v>
      </c>
      <c r="F581" t="s">
        <v>1272</v>
      </c>
      <c r="G581" t="s">
        <v>665</v>
      </c>
      <c r="H581" s="595">
        <v>-0.74</v>
      </c>
      <c r="I581" t="str">
        <f t="shared" si="24"/>
        <v>janeiro 2026</v>
      </c>
      <c r="J581">
        <f t="shared" si="23"/>
        <v>2026</v>
      </c>
      <c r="K581" t="str">
        <f>VLOOKUP(G581,METRICS!C:D,2,0)</f>
        <v>Taxas Financeiras Diversas</v>
      </c>
      <c r="L581" t="str">
        <f>VLOOKUP(K581,METRICS!D:E,2,0)</f>
        <v>TAXAS CARTÃO DE CRÉDITO</v>
      </c>
    </row>
    <row r="582" spans="1:12" ht="15" hidden="1">
      <c r="A582" t="s">
        <v>929</v>
      </c>
      <c r="B582" t="s">
        <v>689</v>
      </c>
      <c r="C582" t="s">
        <v>690</v>
      </c>
      <c r="D582" t="s">
        <v>733</v>
      </c>
      <c r="E582" t="s">
        <v>734</v>
      </c>
      <c r="F582" t="s">
        <v>1272</v>
      </c>
      <c r="G582" t="s">
        <v>665</v>
      </c>
      <c r="H582" s="595">
        <v>-0.42</v>
      </c>
      <c r="I582" t="str">
        <f t="shared" si="24"/>
        <v>janeiro 2026</v>
      </c>
      <c r="J582">
        <f t="shared" si="23"/>
        <v>2026</v>
      </c>
      <c r="K582" t="str">
        <f>VLOOKUP(G582,METRICS!C:D,2,0)</f>
        <v>Taxas Financeiras Diversas</v>
      </c>
      <c r="L582" t="str">
        <f>VLOOKUP(K582,METRICS!D:E,2,0)</f>
        <v>TAXAS CARTÃO DE CRÉDITO</v>
      </c>
    </row>
    <row r="583" spans="1:12" ht="15" hidden="1">
      <c r="A583" t="s">
        <v>929</v>
      </c>
      <c r="B583" t="s">
        <v>612</v>
      </c>
      <c r="C583" t="s">
        <v>690</v>
      </c>
      <c r="D583" t="s">
        <v>947</v>
      </c>
      <c r="E583" t="s">
        <v>765</v>
      </c>
      <c r="F583" t="s">
        <v>1272</v>
      </c>
      <c r="G583" t="s">
        <v>619</v>
      </c>
      <c r="H583" s="595">
        <v>-509.6</v>
      </c>
      <c r="I583" t="str">
        <f t="shared" si="24"/>
        <v>janeiro 2026</v>
      </c>
      <c r="J583">
        <f t="shared" si="23"/>
        <v>2026</v>
      </c>
      <c r="K583" t="str">
        <f>VLOOKUP(G583,METRICS!C:D,2,0)</f>
        <v>Gelo</v>
      </c>
      <c r="L583" t="str">
        <f>VLOOKUP(K583,METRICS!D:E,2,0)</f>
        <v>CUSTOS DOS PRODUTOS VENDIDOS</v>
      </c>
    </row>
    <row r="584" spans="1:12" ht="15" hidden="1">
      <c r="A584" t="s">
        <v>929</v>
      </c>
      <c r="B584" t="s">
        <v>689</v>
      </c>
      <c r="C584" t="s">
        <v>690</v>
      </c>
      <c r="D584" t="s">
        <v>743</v>
      </c>
      <c r="E584" t="s">
        <v>734</v>
      </c>
      <c r="F584" t="s">
        <v>1272</v>
      </c>
      <c r="G584" t="s">
        <v>665</v>
      </c>
      <c r="H584" s="595">
        <v>-2.7</v>
      </c>
      <c r="I584" t="str">
        <f t="shared" si="24"/>
        <v>janeiro 2026</v>
      </c>
      <c r="J584">
        <f t="shared" si="23"/>
        <v>2026</v>
      </c>
      <c r="K584" t="str">
        <f>VLOOKUP(G584,METRICS!C:D,2,0)</f>
        <v>Taxas Financeiras Diversas</v>
      </c>
      <c r="L584" t="str">
        <f>VLOOKUP(K584,METRICS!D:E,2,0)</f>
        <v>TAXAS CARTÃO DE CRÉDITO</v>
      </c>
    </row>
    <row r="585" spans="1:12" ht="15" hidden="1">
      <c r="A585" t="s">
        <v>929</v>
      </c>
      <c r="B585" t="s">
        <v>689</v>
      </c>
      <c r="C585" t="s">
        <v>690</v>
      </c>
      <c r="D585" t="s">
        <v>733</v>
      </c>
      <c r="E585" t="s">
        <v>734</v>
      </c>
      <c r="F585" t="s">
        <v>1272</v>
      </c>
      <c r="G585" t="s">
        <v>665</v>
      </c>
      <c r="H585" s="595">
        <v>-2.41</v>
      </c>
      <c r="I585" t="str">
        <f t="shared" si="24"/>
        <v>janeiro 2026</v>
      </c>
      <c r="J585">
        <f t="shared" si="23"/>
        <v>2026</v>
      </c>
      <c r="K585" t="str">
        <f>VLOOKUP(G585,METRICS!C:D,2,0)</f>
        <v>Taxas Financeiras Diversas</v>
      </c>
      <c r="L585" t="str">
        <f>VLOOKUP(K585,METRICS!D:E,2,0)</f>
        <v>TAXAS CARTÃO DE CRÉDITO</v>
      </c>
    </row>
    <row r="586" spans="1:12" ht="15" hidden="1">
      <c r="A586" t="s">
        <v>929</v>
      </c>
      <c r="B586" t="s">
        <v>689</v>
      </c>
      <c r="C586" t="s">
        <v>690</v>
      </c>
      <c r="D586" t="s">
        <v>733</v>
      </c>
      <c r="E586" t="s">
        <v>734</v>
      </c>
      <c r="F586" t="s">
        <v>1272</v>
      </c>
      <c r="G586" t="s">
        <v>665</v>
      </c>
      <c r="H586" s="595">
        <v>-14.4</v>
      </c>
      <c r="I586" t="str">
        <f t="shared" si="24"/>
        <v>janeiro 2026</v>
      </c>
      <c r="J586">
        <f t="shared" si="23"/>
        <v>2026</v>
      </c>
      <c r="K586" t="str">
        <f>VLOOKUP(G586,METRICS!C:D,2,0)</f>
        <v>Taxas Financeiras Diversas</v>
      </c>
      <c r="L586" t="str">
        <f>VLOOKUP(K586,METRICS!D:E,2,0)</f>
        <v>TAXAS CARTÃO DE CRÉDITO</v>
      </c>
    </row>
    <row r="587" spans="1:12" ht="15" hidden="1">
      <c r="A587" t="s">
        <v>929</v>
      </c>
      <c r="B587" t="s">
        <v>612</v>
      </c>
      <c r="C587" t="s">
        <v>690</v>
      </c>
      <c r="D587" t="s">
        <v>948</v>
      </c>
      <c r="E587" t="s">
        <v>752</v>
      </c>
      <c r="F587" t="s">
        <v>1272</v>
      </c>
      <c r="G587" t="s">
        <v>605</v>
      </c>
      <c r="H587" s="595">
        <v>-1342.25</v>
      </c>
      <c r="I587" t="str">
        <f t="shared" si="24"/>
        <v>janeiro 2026</v>
      </c>
      <c r="J587">
        <f t="shared" si="23"/>
        <v>2026</v>
      </c>
      <c r="K587" t="str">
        <f>VLOOKUP(G587,METRICS!C:D,2,0)</f>
        <v>Beneficios</v>
      </c>
      <c r="L587" t="str">
        <f>VLOOKUP(K587,METRICS!D:E,2,0)</f>
        <v>PESSOAL</v>
      </c>
    </row>
    <row r="588" spans="1:12" ht="15" hidden="1">
      <c r="A588" t="s">
        <v>929</v>
      </c>
      <c r="B588" t="s">
        <v>689</v>
      </c>
      <c r="C588" t="s">
        <v>690</v>
      </c>
      <c r="D588" t="s">
        <v>733</v>
      </c>
      <c r="E588" t="s">
        <v>734</v>
      </c>
      <c r="F588" t="s">
        <v>1272</v>
      </c>
      <c r="G588" t="s">
        <v>665</v>
      </c>
      <c r="H588" s="595">
        <v>-13.01</v>
      </c>
      <c r="I588" t="str">
        <f t="shared" si="24"/>
        <v>janeiro 2026</v>
      </c>
      <c r="J588">
        <f t="shared" si="23"/>
        <v>2026</v>
      </c>
      <c r="K588" t="str">
        <f>VLOOKUP(G588,METRICS!C:D,2,0)</f>
        <v>Taxas Financeiras Diversas</v>
      </c>
      <c r="L588" t="str">
        <f>VLOOKUP(K588,METRICS!D:E,2,0)</f>
        <v>TAXAS CARTÃO DE CRÉDITO</v>
      </c>
    </row>
    <row r="589" spans="1:12" ht="15" hidden="1">
      <c r="A589" t="s">
        <v>929</v>
      </c>
      <c r="B589" t="s">
        <v>689</v>
      </c>
      <c r="C589" t="s">
        <v>690</v>
      </c>
      <c r="D589" t="s">
        <v>743</v>
      </c>
      <c r="E589" t="s">
        <v>734</v>
      </c>
      <c r="F589" t="s">
        <v>1272</v>
      </c>
      <c r="G589" t="s">
        <v>665</v>
      </c>
      <c r="H589" s="595">
        <v>-11.83</v>
      </c>
      <c r="I589" t="str">
        <f t="shared" si="24"/>
        <v>janeiro 2026</v>
      </c>
      <c r="J589">
        <f t="shared" si="23"/>
        <v>2026</v>
      </c>
      <c r="K589" t="str">
        <f>VLOOKUP(G589,METRICS!C:D,2,0)</f>
        <v>Taxas Financeiras Diversas</v>
      </c>
      <c r="L589" t="str">
        <f>VLOOKUP(K589,METRICS!D:E,2,0)</f>
        <v>TAXAS CARTÃO DE CRÉDITO</v>
      </c>
    </row>
    <row r="590" spans="1:12" ht="15" hidden="1">
      <c r="A590" t="s">
        <v>929</v>
      </c>
      <c r="B590" t="s">
        <v>612</v>
      </c>
      <c r="C590" t="s">
        <v>690</v>
      </c>
      <c r="D590" t="s">
        <v>949</v>
      </c>
      <c r="E590" t="s">
        <v>748</v>
      </c>
      <c r="F590" t="s">
        <v>1272</v>
      </c>
      <c r="G590" t="s">
        <v>620</v>
      </c>
      <c r="H590" s="595">
        <v>-101.15</v>
      </c>
      <c r="I590" t="str">
        <f t="shared" si="24"/>
        <v>janeiro 2026</v>
      </c>
      <c r="J590">
        <f t="shared" si="23"/>
        <v>2026</v>
      </c>
      <c r="K590" t="str">
        <f>VLOOKUP(G590,METRICS!C:D,2,0)</f>
        <v>Hortifruti</v>
      </c>
      <c r="L590" t="str">
        <f>VLOOKUP(K590,METRICS!D:E,2,0)</f>
        <v>CUSTOS DOS PRODUTOS VENDIDOS</v>
      </c>
    </row>
    <row r="591" spans="1:12" ht="15" hidden="1">
      <c r="A591" t="s">
        <v>929</v>
      </c>
      <c r="B591" t="s">
        <v>689</v>
      </c>
      <c r="C591" t="s">
        <v>690</v>
      </c>
      <c r="D591" t="s">
        <v>743</v>
      </c>
      <c r="E591" t="s">
        <v>734</v>
      </c>
      <c r="F591" t="s">
        <v>1272</v>
      </c>
      <c r="G591" t="s">
        <v>665</v>
      </c>
      <c r="H591" s="595">
        <v>-3.76</v>
      </c>
      <c r="I591" t="str">
        <f t="shared" si="24"/>
        <v>janeiro 2026</v>
      </c>
      <c r="J591">
        <f t="shared" si="23"/>
        <v>2026</v>
      </c>
      <c r="K591" t="str">
        <f>VLOOKUP(G591,METRICS!C:D,2,0)</f>
        <v>Taxas Financeiras Diversas</v>
      </c>
      <c r="L591" t="str">
        <f>VLOOKUP(K591,METRICS!D:E,2,0)</f>
        <v>TAXAS CARTÃO DE CRÉDITO</v>
      </c>
    </row>
    <row r="592" spans="1:12" ht="15" hidden="1">
      <c r="A592" t="s">
        <v>929</v>
      </c>
      <c r="B592" t="s">
        <v>689</v>
      </c>
      <c r="C592" t="s">
        <v>690</v>
      </c>
      <c r="D592" t="s">
        <v>733</v>
      </c>
      <c r="E592" t="s">
        <v>734</v>
      </c>
      <c r="F592" t="s">
        <v>1272</v>
      </c>
      <c r="G592" t="s">
        <v>665</v>
      </c>
      <c r="H592" s="595">
        <v>-3.96</v>
      </c>
      <c r="I592" t="str">
        <f t="shared" si="24"/>
        <v>janeiro 2026</v>
      </c>
      <c r="J592">
        <f t="shared" si="23"/>
        <v>2026</v>
      </c>
      <c r="K592" t="str">
        <f>VLOOKUP(G592,METRICS!C:D,2,0)</f>
        <v>Taxas Financeiras Diversas</v>
      </c>
      <c r="L592" t="str">
        <f>VLOOKUP(K592,METRICS!D:E,2,0)</f>
        <v>TAXAS CARTÃO DE CRÉDITO</v>
      </c>
    </row>
    <row r="593" spans="1:12" ht="15" hidden="1">
      <c r="A593" t="s">
        <v>929</v>
      </c>
      <c r="B593" t="s">
        <v>689</v>
      </c>
      <c r="C593" t="s">
        <v>690</v>
      </c>
      <c r="D593" t="s">
        <v>733</v>
      </c>
      <c r="E593" t="s">
        <v>734</v>
      </c>
      <c r="F593" t="s">
        <v>1272</v>
      </c>
      <c r="G593" t="s">
        <v>665</v>
      </c>
      <c r="H593" s="595">
        <v>-0.36</v>
      </c>
      <c r="I593" t="str">
        <f t="shared" si="24"/>
        <v>janeiro 2026</v>
      </c>
      <c r="J593">
        <f t="shared" si="23"/>
        <v>2026</v>
      </c>
      <c r="K593" t="str">
        <f>VLOOKUP(G593,METRICS!C:D,2,0)</f>
        <v>Taxas Financeiras Diversas</v>
      </c>
      <c r="L593" t="str">
        <f>VLOOKUP(K593,METRICS!D:E,2,0)</f>
        <v>TAXAS CARTÃO DE CRÉDITO</v>
      </c>
    </row>
    <row r="594" spans="1:12" ht="15" hidden="1">
      <c r="A594" t="s">
        <v>929</v>
      </c>
      <c r="B594" t="s">
        <v>612</v>
      </c>
      <c r="C594" t="s">
        <v>690</v>
      </c>
      <c r="D594" t="s">
        <v>950</v>
      </c>
      <c r="E594" t="s">
        <v>951</v>
      </c>
      <c r="F594" t="s">
        <v>1272</v>
      </c>
      <c r="G594" t="s">
        <v>609</v>
      </c>
      <c r="H594" s="595">
        <v>-3584.25</v>
      </c>
      <c r="I594" t="str">
        <f t="shared" si="24"/>
        <v>janeiro 2026</v>
      </c>
      <c r="J594">
        <f t="shared" si="23"/>
        <v>2026</v>
      </c>
      <c r="K594" t="str">
        <f>VLOOKUP(G594,METRICS!C:D,2,0)</f>
        <v>Carnes e Aves</v>
      </c>
      <c r="L594" t="str">
        <f>VLOOKUP(K594,METRICS!D:E,2,0)</f>
        <v>CUSTOS DOS PRODUTOS VENDIDOS</v>
      </c>
    </row>
    <row r="595" spans="1:12" ht="15" hidden="1">
      <c r="A595" t="s">
        <v>929</v>
      </c>
      <c r="B595" t="s">
        <v>689</v>
      </c>
      <c r="C595" t="s">
        <v>690</v>
      </c>
      <c r="D595" t="s">
        <v>743</v>
      </c>
      <c r="E595" t="s">
        <v>734</v>
      </c>
      <c r="F595" t="s">
        <v>1272</v>
      </c>
      <c r="G595" t="s">
        <v>665</v>
      </c>
      <c r="H595" s="595">
        <v>-10.119999999999999</v>
      </c>
      <c r="I595" t="str">
        <f t="shared" si="24"/>
        <v>janeiro 2026</v>
      </c>
      <c r="J595">
        <f t="shared" si="23"/>
        <v>2026</v>
      </c>
      <c r="K595" t="str">
        <f>VLOOKUP(G595,METRICS!C:D,2,0)</f>
        <v>Taxas Financeiras Diversas</v>
      </c>
      <c r="L595" t="str">
        <f>VLOOKUP(K595,METRICS!D:E,2,0)</f>
        <v>TAXAS CARTÃO DE CRÉDITO</v>
      </c>
    </row>
    <row r="596" spans="1:12" ht="15" hidden="1">
      <c r="A596" t="s">
        <v>929</v>
      </c>
      <c r="B596" t="s">
        <v>689</v>
      </c>
      <c r="C596" t="s">
        <v>690</v>
      </c>
      <c r="D596" t="s">
        <v>743</v>
      </c>
      <c r="E596" t="s">
        <v>734</v>
      </c>
      <c r="F596" t="s">
        <v>1272</v>
      </c>
      <c r="G596" t="s">
        <v>665</v>
      </c>
      <c r="H596" s="595">
        <v>-26.58</v>
      </c>
      <c r="I596" t="str">
        <f t="shared" si="24"/>
        <v>janeiro 2026</v>
      </c>
      <c r="J596">
        <f t="shared" si="23"/>
        <v>2026</v>
      </c>
      <c r="K596" t="str">
        <f>VLOOKUP(G596,METRICS!C:D,2,0)</f>
        <v>Taxas Financeiras Diversas</v>
      </c>
      <c r="L596" t="str">
        <f>VLOOKUP(K596,METRICS!D:E,2,0)</f>
        <v>TAXAS CARTÃO DE CRÉDITO</v>
      </c>
    </row>
    <row r="597" spans="1:12" ht="15" hidden="1">
      <c r="A597" t="s">
        <v>929</v>
      </c>
      <c r="B597" t="s">
        <v>689</v>
      </c>
      <c r="C597" t="s">
        <v>690</v>
      </c>
      <c r="D597" t="s">
        <v>733</v>
      </c>
      <c r="E597" t="s">
        <v>734</v>
      </c>
      <c r="F597" t="s">
        <v>1272</v>
      </c>
      <c r="G597" t="s">
        <v>665</v>
      </c>
      <c r="H597" s="595">
        <v>-8.6</v>
      </c>
      <c r="I597" t="str">
        <f t="shared" si="24"/>
        <v>janeiro 2026</v>
      </c>
      <c r="J597">
        <f t="shared" si="23"/>
        <v>2026</v>
      </c>
      <c r="K597" t="str">
        <f>VLOOKUP(G597,METRICS!C:D,2,0)</f>
        <v>Taxas Financeiras Diversas</v>
      </c>
      <c r="L597" t="str">
        <f>VLOOKUP(K597,METRICS!D:E,2,0)</f>
        <v>TAXAS CARTÃO DE CRÉDITO</v>
      </c>
    </row>
    <row r="598" spans="1:12" ht="15" hidden="1">
      <c r="A598" t="s">
        <v>929</v>
      </c>
      <c r="B598" t="s">
        <v>689</v>
      </c>
      <c r="C598" t="s">
        <v>690</v>
      </c>
      <c r="D598" t="s">
        <v>733</v>
      </c>
      <c r="E598" t="s">
        <v>734</v>
      </c>
      <c r="F598" t="s">
        <v>1272</v>
      </c>
      <c r="G598" t="s">
        <v>665</v>
      </c>
      <c r="H598" s="595">
        <v>-0.39</v>
      </c>
      <c r="I598" t="str">
        <f t="shared" si="24"/>
        <v>janeiro 2026</v>
      </c>
      <c r="J598">
        <f t="shared" si="23"/>
        <v>2026</v>
      </c>
      <c r="K598" t="str">
        <f>VLOOKUP(G598,METRICS!C:D,2,0)</f>
        <v>Taxas Financeiras Diversas</v>
      </c>
      <c r="L598" t="str">
        <f>VLOOKUP(K598,METRICS!D:E,2,0)</f>
        <v>TAXAS CARTÃO DE CRÉDITO</v>
      </c>
    </row>
    <row r="599" spans="1:12" ht="15" hidden="1">
      <c r="A599" t="s">
        <v>929</v>
      </c>
      <c r="B599" t="s">
        <v>689</v>
      </c>
      <c r="C599" t="s">
        <v>690</v>
      </c>
      <c r="D599" t="s">
        <v>753</v>
      </c>
      <c r="E599" t="s">
        <v>734</v>
      </c>
      <c r="F599" t="s">
        <v>1272</v>
      </c>
      <c r="G599" t="s">
        <v>665</v>
      </c>
      <c r="H599" s="595">
        <v>-16.920000000000002</v>
      </c>
      <c r="I599" t="str">
        <f t="shared" si="24"/>
        <v>janeiro 2026</v>
      </c>
      <c r="J599">
        <f t="shared" si="23"/>
        <v>2026</v>
      </c>
      <c r="K599" t="str">
        <f>VLOOKUP(G599,METRICS!C:D,2,0)</f>
        <v>Taxas Financeiras Diversas</v>
      </c>
      <c r="L599" t="str">
        <f>VLOOKUP(K599,METRICS!D:E,2,0)</f>
        <v>TAXAS CARTÃO DE CRÉDITO</v>
      </c>
    </row>
    <row r="600" spans="1:12" ht="15" hidden="1">
      <c r="A600" t="s">
        <v>929</v>
      </c>
      <c r="B600" t="s">
        <v>689</v>
      </c>
      <c r="C600" t="s">
        <v>690</v>
      </c>
      <c r="D600" t="s">
        <v>743</v>
      </c>
      <c r="E600" t="s">
        <v>734</v>
      </c>
      <c r="F600" t="s">
        <v>1272</v>
      </c>
      <c r="G600" t="s">
        <v>665</v>
      </c>
      <c r="H600" s="595">
        <v>-1.88</v>
      </c>
      <c r="I600" t="str">
        <f t="shared" si="24"/>
        <v>janeiro 2026</v>
      </c>
      <c r="J600">
        <f t="shared" si="23"/>
        <v>2026</v>
      </c>
      <c r="K600" t="str">
        <f>VLOOKUP(G600,METRICS!C:D,2,0)</f>
        <v>Taxas Financeiras Diversas</v>
      </c>
      <c r="L600" t="str">
        <f>VLOOKUP(K600,METRICS!D:E,2,0)</f>
        <v>TAXAS CARTÃO DE CRÉDITO</v>
      </c>
    </row>
    <row r="601" spans="1:12" ht="15" hidden="1">
      <c r="A601" t="s">
        <v>929</v>
      </c>
      <c r="B601" t="s">
        <v>689</v>
      </c>
      <c r="C601" t="s">
        <v>690</v>
      </c>
      <c r="D601" t="s">
        <v>733</v>
      </c>
      <c r="E601" t="s">
        <v>734</v>
      </c>
      <c r="F601" t="s">
        <v>1272</v>
      </c>
      <c r="G601" t="s">
        <v>665</v>
      </c>
      <c r="H601" s="595">
        <v>-6.25</v>
      </c>
      <c r="I601" t="str">
        <f t="shared" si="24"/>
        <v>janeiro 2026</v>
      </c>
      <c r="J601">
        <f t="shared" si="23"/>
        <v>2026</v>
      </c>
      <c r="K601" t="str">
        <f>VLOOKUP(G601,METRICS!C:D,2,0)</f>
        <v>Taxas Financeiras Diversas</v>
      </c>
      <c r="L601" t="str">
        <f>VLOOKUP(K601,METRICS!D:E,2,0)</f>
        <v>TAXAS CARTÃO DE CRÉDITO</v>
      </c>
    </row>
    <row r="602" spans="1:12" ht="15" hidden="1">
      <c r="A602" t="s">
        <v>929</v>
      </c>
      <c r="B602" t="s">
        <v>689</v>
      </c>
      <c r="C602" t="s">
        <v>690</v>
      </c>
      <c r="D602" t="s">
        <v>733</v>
      </c>
      <c r="E602" t="s">
        <v>734</v>
      </c>
      <c r="F602" t="s">
        <v>1272</v>
      </c>
      <c r="G602" t="s">
        <v>665</v>
      </c>
      <c r="H602" s="595">
        <v>-3.71</v>
      </c>
      <c r="I602" t="str">
        <f t="shared" si="24"/>
        <v>janeiro 2026</v>
      </c>
      <c r="J602">
        <f t="shared" si="23"/>
        <v>2026</v>
      </c>
      <c r="K602" t="str">
        <f>VLOOKUP(G602,METRICS!C:D,2,0)</f>
        <v>Taxas Financeiras Diversas</v>
      </c>
      <c r="L602" t="str">
        <f>VLOOKUP(K602,METRICS!D:E,2,0)</f>
        <v>TAXAS CARTÃO DE CRÉDITO</v>
      </c>
    </row>
    <row r="603" spans="1:12" ht="15" hidden="1">
      <c r="A603" t="s">
        <v>929</v>
      </c>
      <c r="B603" t="s">
        <v>689</v>
      </c>
      <c r="C603" t="s">
        <v>690</v>
      </c>
      <c r="D603" t="s">
        <v>733</v>
      </c>
      <c r="E603" t="s">
        <v>734</v>
      </c>
      <c r="F603" t="s">
        <v>1272</v>
      </c>
      <c r="G603" t="s">
        <v>665</v>
      </c>
      <c r="H603" s="595">
        <v>-0.71</v>
      </c>
      <c r="I603" t="str">
        <f t="shared" si="24"/>
        <v>janeiro 2026</v>
      </c>
      <c r="J603">
        <f t="shared" si="23"/>
        <v>2026</v>
      </c>
      <c r="K603" t="str">
        <f>VLOOKUP(G603,METRICS!C:D,2,0)</f>
        <v>Taxas Financeiras Diversas</v>
      </c>
      <c r="L603" t="str">
        <f>VLOOKUP(K603,METRICS!D:E,2,0)</f>
        <v>TAXAS CARTÃO DE CRÉDITO</v>
      </c>
    </row>
    <row r="604" spans="1:12" ht="15" hidden="1">
      <c r="A604" t="s">
        <v>929</v>
      </c>
      <c r="B604" t="s">
        <v>689</v>
      </c>
      <c r="C604" t="s">
        <v>690</v>
      </c>
      <c r="D604" t="s">
        <v>852</v>
      </c>
      <c r="E604" s="155" t="s">
        <v>544</v>
      </c>
      <c r="F604" t="s">
        <v>1272</v>
      </c>
      <c r="G604" t="s">
        <v>664</v>
      </c>
      <c r="H604" s="595">
        <v>-150</v>
      </c>
      <c r="I604" t="str">
        <f t="shared" si="24"/>
        <v>janeiro 2026</v>
      </c>
      <c r="J604">
        <f t="shared" si="23"/>
        <v>2026</v>
      </c>
      <c r="K604" t="str">
        <f>VLOOKUP(G604,METRICS!C:D,2,0)</f>
        <v>Colaborador Extra</v>
      </c>
      <c r="L604" t="str">
        <f>VLOOKUP(K604,METRICS!D:E,2,0)</f>
        <v>PESSOAL</v>
      </c>
    </row>
    <row r="605" spans="1:12" ht="15" hidden="1">
      <c r="A605" t="s">
        <v>929</v>
      </c>
      <c r="B605" t="s">
        <v>689</v>
      </c>
      <c r="C605" t="s">
        <v>690</v>
      </c>
      <c r="D605" t="s">
        <v>733</v>
      </c>
      <c r="E605" t="s">
        <v>734</v>
      </c>
      <c r="F605" t="s">
        <v>1272</v>
      </c>
      <c r="G605" t="s">
        <v>665</v>
      </c>
      <c r="H605" s="595">
        <v>-5.99</v>
      </c>
      <c r="I605" t="str">
        <f t="shared" si="24"/>
        <v>janeiro 2026</v>
      </c>
      <c r="J605">
        <f t="shared" si="23"/>
        <v>2026</v>
      </c>
      <c r="K605" t="str">
        <f>VLOOKUP(G605,METRICS!C:D,2,0)</f>
        <v>Taxas Financeiras Diversas</v>
      </c>
      <c r="L605" t="str">
        <f>VLOOKUP(K605,METRICS!D:E,2,0)</f>
        <v>TAXAS CARTÃO DE CRÉDITO</v>
      </c>
    </row>
    <row r="606" spans="1:12" ht="15" hidden="1">
      <c r="A606" t="s">
        <v>929</v>
      </c>
      <c r="B606" t="s">
        <v>689</v>
      </c>
      <c r="C606" t="s">
        <v>690</v>
      </c>
      <c r="D606" t="s">
        <v>943</v>
      </c>
      <c r="E606" t="s">
        <v>789</v>
      </c>
      <c r="F606" t="s">
        <v>1272</v>
      </c>
      <c r="G606" t="s">
        <v>647</v>
      </c>
      <c r="H606" s="595">
        <v>-407.23</v>
      </c>
      <c r="I606" t="str">
        <f t="shared" ref="I606:I640" si="25">TEXT(A606, "mmmm aaaa")</f>
        <v>janeiro 2026</v>
      </c>
      <c r="J606">
        <f t="shared" si="23"/>
        <v>2026</v>
      </c>
      <c r="K606" t="str">
        <f>VLOOKUP(G606,METRICS!C:D,2,0)</f>
        <v>FGTS</v>
      </c>
      <c r="L606" t="str">
        <f>VLOOKUP(K606,METRICS!D:E,2,0)</f>
        <v>PESSOAL</v>
      </c>
    </row>
    <row r="607" spans="1:12" ht="15" hidden="1">
      <c r="A607" t="s">
        <v>929</v>
      </c>
      <c r="B607" t="s">
        <v>689</v>
      </c>
      <c r="C607" t="s">
        <v>690</v>
      </c>
      <c r="D607" t="s">
        <v>733</v>
      </c>
      <c r="E607" t="s">
        <v>734</v>
      </c>
      <c r="F607" t="s">
        <v>1272</v>
      </c>
      <c r="G607" t="s">
        <v>665</v>
      </c>
      <c r="H607" s="595">
        <v>-0.76</v>
      </c>
      <c r="I607" t="str">
        <f t="shared" si="25"/>
        <v>janeiro 2026</v>
      </c>
      <c r="J607">
        <f t="shared" si="23"/>
        <v>2026</v>
      </c>
      <c r="K607" t="str">
        <f>VLOOKUP(G607,METRICS!C:D,2,0)</f>
        <v>Taxas Financeiras Diversas</v>
      </c>
      <c r="L607" t="str">
        <f>VLOOKUP(K607,METRICS!D:E,2,0)</f>
        <v>TAXAS CARTÃO DE CRÉDITO</v>
      </c>
    </row>
    <row r="608" spans="1:12" ht="15" hidden="1">
      <c r="A608" t="s">
        <v>929</v>
      </c>
      <c r="B608" t="s">
        <v>612</v>
      </c>
      <c r="C608" t="s">
        <v>690</v>
      </c>
      <c r="D608" t="s">
        <v>952</v>
      </c>
      <c r="E608" t="s">
        <v>770</v>
      </c>
      <c r="F608" t="s">
        <v>1272</v>
      </c>
      <c r="G608" t="s">
        <v>630</v>
      </c>
      <c r="H608" s="595">
        <v>-1504.62</v>
      </c>
      <c r="I608" t="str">
        <f t="shared" si="25"/>
        <v>janeiro 2026</v>
      </c>
      <c r="J608">
        <f t="shared" si="23"/>
        <v>2026</v>
      </c>
      <c r="K608" t="str">
        <f>VLOOKUP(G608,METRICS!C:D,2,0)</f>
        <v>Material de Copa e Limpeza</v>
      </c>
      <c r="L608" t="str">
        <f>VLOOKUP(K608,METRICS!D:E,2,0)</f>
        <v>ADMINISTRATIVA</v>
      </c>
    </row>
    <row r="609" spans="1:12" ht="15" hidden="1">
      <c r="A609" t="s">
        <v>929</v>
      </c>
      <c r="B609" t="s">
        <v>689</v>
      </c>
      <c r="C609" t="s">
        <v>690</v>
      </c>
      <c r="D609" t="s">
        <v>743</v>
      </c>
      <c r="E609" t="s">
        <v>734</v>
      </c>
      <c r="F609" t="s">
        <v>1272</v>
      </c>
      <c r="G609" t="s">
        <v>665</v>
      </c>
      <c r="H609" s="595">
        <v>-14.72</v>
      </c>
      <c r="I609" t="str">
        <f t="shared" si="25"/>
        <v>janeiro 2026</v>
      </c>
      <c r="J609">
        <f t="shared" si="23"/>
        <v>2026</v>
      </c>
      <c r="K609" t="str">
        <f>VLOOKUP(G609,METRICS!C:D,2,0)</f>
        <v>Taxas Financeiras Diversas</v>
      </c>
      <c r="L609" t="str">
        <f>VLOOKUP(K609,METRICS!D:E,2,0)</f>
        <v>TAXAS CARTÃO DE CRÉDITO</v>
      </c>
    </row>
    <row r="610" spans="1:12" ht="15" hidden="1">
      <c r="A610" t="s">
        <v>929</v>
      </c>
      <c r="B610" t="s">
        <v>689</v>
      </c>
      <c r="C610" t="s">
        <v>690</v>
      </c>
      <c r="D610" t="s">
        <v>733</v>
      </c>
      <c r="E610" t="s">
        <v>734</v>
      </c>
      <c r="F610" t="s">
        <v>1272</v>
      </c>
      <c r="G610" t="s">
        <v>665</v>
      </c>
      <c r="H610" s="595">
        <v>-1.49</v>
      </c>
      <c r="I610" t="str">
        <f t="shared" si="25"/>
        <v>janeiro 2026</v>
      </c>
      <c r="J610">
        <f t="shared" si="23"/>
        <v>2026</v>
      </c>
      <c r="K610" t="str">
        <f>VLOOKUP(G610,METRICS!C:D,2,0)</f>
        <v>Taxas Financeiras Diversas</v>
      </c>
      <c r="L610" t="str">
        <f>VLOOKUP(K610,METRICS!D:E,2,0)</f>
        <v>TAXAS CARTÃO DE CRÉDITO</v>
      </c>
    </row>
    <row r="611" spans="1:12" ht="15" hidden="1">
      <c r="A611" t="s">
        <v>929</v>
      </c>
      <c r="B611" t="s">
        <v>612</v>
      </c>
      <c r="C611" t="s">
        <v>690</v>
      </c>
      <c r="D611" t="s">
        <v>953</v>
      </c>
      <c r="E611" t="s">
        <v>954</v>
      </c>
      <c r="F611" t="s">
        <v>1272</v>
      </c>
      <c r="G611" t="s">
        <v>607</v>
      </c>
      <c r="H611" s="595">
        <v>-831</v>
      </c>
      <c r="I611" t="str">
        <f t="shared" si="25"/>
        <v>janeiro 2026</v>
      </c>
      <c r="J611">
        <f t="shared" si="23"/>
        <v>2026</v>
      </c>
      <c r="K611" t="str">
        <f>VLOOKUP(G611,METRICS!C:D,2,0)</f>
        <v>Bebidas Alcoólicas</v>
      </c>
      <c r="L611" t="str">
        <f>VLOOKUP(K611,METRICS!D:E,2,0)</f>
        <v>CUSTOS DOS PRODUTOS VENDIDOS</v>
      </c>
    </row>
    <row r="612" spans="1:12" ht="15" hidden="1">
      <c r="A612" t="s">
        <v>929</v>
      </c>
      <c r="B612" t="s">
        <v>689</v>
      </c>
      <c r="C612" t="s">
        <v>690</v>
      </c>
      <c r="D612" t="s">
        <v>955</v>
      </c>
      <c r="E612" t="s">
        <v>956</v>
      </c>
      <c r="F612" t="s">
        <v>1272</v>
      </c>
      <c r="G612" t="s">
        <v>1736</v>
      </c>
      <c r="H612" s="595">
        <v>-1500</v>
      </c>
      <c r="I612" t="str">
        <f t="shared" si="25"/>
        <v>janeiro 2026</v>
      </c>
      <c r="J612">
        <f t="shared" si="23"/>
        <v>2026</v>
      </c>
      <c r="K612" t="str">
        <f>VLOOKUP(G612,METRICS!C:D,2,0)</f>
        <v>Sistema e Software OP</v>
      </c>
      <c r="L612" t="str">
        <f>VLOOKUP(K612,METRICS!D:E,2,0)</f>
        <v>OPERAÇÃO</v>
      </c>
    </row>
    <row r="613" spans="1:12" ht="15" hidden="1">
      <c r="A613" t="s">
        <v>929</v>
      </c>
      <c r="B613" t="s">
        <v>689</v>
      </c>
      <c r="C613" t="s">
        <v>690</v>
      </c>
      <c r="D613" t="s">
        <v>957</v>
      </c>
      <c r="E613" t="s">
        <v>958</v>
      </c>
      <c r="F613" t="s">
        <v>1272</v>
      </c>
      <c r="G613" t="s">
        <v>660</v>
      </c>
      <c r="H613" s="595">
        <v>-205.86</v>
      </c>
      <c r="I613" t="str">
        <f t="shared" si="25"/>
        <v>janeiro 2026</v>
      </c>
      <c r="J613">
        <f t="shared" si="23"/>
        <v>2026</v>
      </c>
      <c r="K613" t="str">
        <f>VLOOKUP(G613,METRICS!C:D,2,0)</f>
        <v>Telefone e Internet</v>
      </c>
      <c r="L613" t="str">
        <f>VLOOKUP(K613,METRICS!D:E,2,0)</f>
        <v>ADMINISTRATIVA</v>
      </c>
    </row>
    <row r="614" spans="1:12" ht="15" hidden="1">
      <c r="A614" t="s">
        <v>929</v>
      </c>
      <c r="B614" t="s">
        <v>689</v>
      </c>
      <c r="C614" t="s">
        <v>690</v>
      </c>
      <c r="D614" t="s">
        <v>733</v>
      </c>
      <c r="E614" t="s">
        <v>734</v>
      </c>
      <c r="F614" t="s">
        <v>1272</v>
      </c>
      <c r="G614" t="s">
        <v>665</v>
      </c>
      <c r="H614" s="595">
        <v>-15.87</v>
      </c>
      <c r="I614" t="str">
        <f t="shared" si="25"/>
        <v>janeiro 2026</v>
      </c>
      <c r="J614">
        <f t="shared" si="23"/>
        <v>2026</v>
      </c>
      <c r="K614" t="str">
        <f>VLOOKUP(G614,METRICS!C:D,2,0)</f>
        <v>Taxas Financeiras Diversas</v>
      </c>
      <c r="L614" t="str">
        <f>VLOOKUP(K614,METRICS!D:E,2,0)</f>
        <v>TAXAS CARTÃO DE CRÉDITO</v>
      </c>
    </row>
    <row r="615" spans="1:12" ht="15" hidden="1">
      <c r="A615" t="s">
        <v>929</v>
      </c>
      <c r="B615" t="s">
        <v>689</v>
      </c>
      <c r="C615" t="s">
        <v>690</v>
      </c>
      <c r="D615" t="s">
        <v>733</v>
      </c>
      <c r="E615" t="s">
        <v>734</v>
      </c>
      <c r="F615" t="s">
        <v>1272</v>
      </c>
      <c r="G615" t="s">
        <v>665</v>
      </c>
      <c r="H615" s="595">
        <v>-8.16</v>
      </c>
      <c r="I615" t="str">
        <f t="shared" si="25"/>
        <v>janeiro 2026</v>
      </c>
      <c r="J615">
        <f t="shared" si="23"/>
        <v>2026</v>
      </c>
      <c r="K615" t="str">
        <f>VLOOKUP(G615,METRICS!C:D,2,0)</f>
        <v>Taxas Financeiras Diversas</v>
      </c>
      <c r="L615" t="str">
        <f>VLOOKUP(K615,METRICS!D:E,2,0)</f>
        <v>TAXAS CARTÃO DE CRÉDITO</v>
      </c>
    </row>
    <row r="616" spans="1:12" ht="15" hidden="1">
      <c r="A616" t="s">
        <v>929</v>
      </c>
      <c r="B616" t="s">
        <v>689</v>
      </c>
      <c r="C616" t="s">
        <v>690</v>
      </c>
      <c r="D616" t="s">
        <v>733</v>
      </c>
      <c r="E616" t="s">
        <v>734</v>
      </c>
      <c r="F616" t="s">
        <v>1272</v>
      </c>
      <c r="G616" t="s">
        <v>665</v>
      </c>
      <c r="H616" s="595">
        <v>-0.5</v>
      </c>
      <c r="I616" t="str">
        <f t="shared" si="25"/>
        <v>janeiro 2026</v>
      </c>
      <c r="J616">
        <f t="shared" si="23"/>
        <v>2026</v>
      </c>
      <c r="K616" t="str">
        <f>VLOOKUP(G616,METRICS!C:D,2,0)</f>
        <v>Taxas Financeiras Diversas</v>
      </c>
      <c r="L616" t="str">
        <f>VLOOKUP(K616,METRICS!D:E,2,0)</f>
        <v>TAXAS CARTÃO DE CRÉDITO</v>
      </c>
    </row>
    <row r="617" spans="1:12" ht="15" hidden="1">
      <c r="A617" t="s">
        <v>929</v>
      </c>
      <c r="B617" t="s">
        <v>689</v>
      </c>
      <c r="C617" t="s">
        <v>690</v>
      </c>
      <c r="D617" t="s">
        <v>743</v>
      </c>
      <c r="E617" t="s">
        <v>734</v>
      </c>
      <c r="F617" t="s">
        <v>1272</v>
      </c>
      <c r="G617" t="s">
        <v>665</v>
      </c>
      <c r="H617" s="595">
        <v>-12.62</v>
      </c>
      <c r="I617" t="str">
        <f t="shared" si="25"/>
        <v>janeiro 2026</v>
      </c>
      <c r="J617">
        <f t="shared" si="23"/>
        <v>2026</v>
      </c>
      <c r="K617" t="str">
        <f>VLOOKUP(G617,METRICS!C:D,2,0)</f>
        <v>Taxas Financeiras Diversas</v>
      </c>
      <c r="L617" t="str">
        <f>VLOOKUP(K617,METRICS!D:E,2,0)</f>
        <v>TAXAS CARTÃO DE CRÉDITO</v>
      </c>
    </row>
    <row r="618" spans="1:12" ht="15" hidden="1">
      <c r="A618" t="s">
        <v>929</v>
      </c>
      <c r="B618" t="s">
        <v>689</v>
      </c>
      <c r="C618" t="s">
        <v>690</v>
      </c>
      <c r="D618" t="s">
        <v>733</v>
      </c>
      <c r="E618" t="s">
        <v>734</v>
      </c>
      <c r="F618" t="s">
        <v>1272</v>
      </c>
      <c r="G618" t="s">
        <v>665</v>
      </c>
      <c r="H618" s="595">
        <v>-5.59</v>
      </c>
      <c r="I618" t="str">
        <f t="shared" si="25"/>
        <v>janeiro 2026</v>
      </c>
      <c r="J618">
        <f t="shared" si="23"/>
        <v>2026</v>
      </c>
      <c r="K618" t="str">
        <f>VLOOKUP(G618,METRICS!C:D,2,0)</f>
        <v>Taxas Financeiras Diversas</v>
      </c>
      <c r="L618" t="str">
        <f>VLOOKUP(K618,METRICS!D:E,2,0)</f>
        <v>TAXAS CARTÃO DE CRÉDITO</v>
      </c>
    </row>
    <row r="619" spans="1:12" ht="15" hidden="1">
      <c r="A619" t="s">
        <v>929</v>
      </c>
      <c r="B619" t="s">
        <v>689</v>
      </c>
      <c r="C619" t="s">
        <v>690</v>
      </c>
      <c r="D619" t="s">
        <v>743</v>
      </c>
      <c r="E619" t="s">
        <v>734</v>
      </c>
      <c r="F619" t="s">
        <v>1272</v>
      </c>
      <c r="G619" t="s">
        <v>665</v>
      </c>
      <c r="H619" s="595">
        <v>-14.3</v>
      </c>
      <c r="I619" t="str">
        <f t="shared" si="25"/>
        <v>janeiro 2026</v>
      </c>
      <c r="J619">
        <f t="shared" si="23"/>
        <v>2026</v>
      </c>
      <c r="K619" t="str">
        <f>VLOOKUP(G619,METRICS!C:D,2,0)</f>
        <v>Taxas Financeiras Diversas</v>
      </c>
      <c r="L619" t="str">
        <f>VLOOKUP(K619,METRICS!D:E,2,0)</f>
        <v>TAXAS CARTÃO DE CRÉDITO</v>
      </c>
    </row>
    <row r="620" spans="1:12" ht="15" hidden="1">
      <c r="A620" t="s">
        <v>929</v>
      </c>
      <c r="B620" t="s">
        <v>689</v>
      </c>
      <c r="C620" t="s">
        <v>690</v>
      </c>
      <c r="D620" t="s">
        <v>959</v>
      </c>
      <c r="E620" t="s">
        <v>960</v>
      </c>
      <c r="F620" t="s">
        <v>1272</v>
      </c>
      <c r="G620" t="s">
        <v>673</v>
      </c>
      <c r="H620" s="595">
        <v>-8329</v>
      </c>
      <c r="I620" t="str">
        <f t="shared" si="25"/>
        <v>janeiro 2026</v>
      </c>
      <c r="J620">
        <f t="shared" si="23"/>
        <v>2026</v>
      </c>
      <c r="K620" t="str">
        <f>VLOOKUP(G620,METRICS!C:D,2,0)</f>
        <v>Comissões Eventos</v>
      </c>
      <c r="L620" t="str">
        <f>VLOOKUP(K620,METRICS!D:E,2,0)</f>
        <v>OPERAÇÃO</v>
      </c>
    </row>
    <row r="621" spans="1:12" ht="15" hidden="1">
      <c r="A621" t="s">
        <v>929</v>
      </c>
      <c r="B621" t="s">
        <v>689</v>
      </c>
      <c r="C621" t="s">
        <v>690</v>
      </c>
      <c r="D621" t="s">
        <v>733</v>
      </c>
      <c r="E621" t="s">
        <v>734</v>
      </c>
      <c r="F621" t="s">
        <v>1272</v>
      </c>
      <c r="G621" t="s">
        <v>665</v>
      </c>
      <c r="H621" s="595">
        <v>-35.47</v>
      </c>
      <c r="I621" t="str">
        <f t="shared" si="25"/>
        <v>janeiro 2026</v>
      </c>
      <c r="J621">
        <f t="shared" si="23"/>
        <v>2026</v>
      </c>
      <c r="K621" t="str">
        <f>VLOOKUP(G621,METRICS!C:D,2,0)</f>
        <v>Taxas Financeiras Diversas</v>
      </c>
      <c r="L621" t="str">
        <f>VLOOKUP(K621,METRICS!D:E,2,0)</f>
        <v>TAXAS CARTÃO DE CRÉDITO</v>
      </c>
    </row>
    <row r="622" spans="1:12" ht="15" hidden="1">
      <c r="A622" t="s">
        <v>929</v>
      </c>
      <c r="B622" t="s">
        <v>689</v>
      </c>
      <c r="C622" t="s">
        <v>690</v>
      </c>
      <c r="D622" t="s">
        <v>733</v>
      </c>
      <c r="E622" t="s">
        <v>734</v>
      </c>
      <c r="F622" t="s">
        <v>1272</v>
      </c>
      <c r="G622" t="s">
        <v>665</v>
      </c>
      <c r="H622" s="595">
        <v>-2.72</v>
      </c>
      <c r="I622" t="str">
        <f t="shared" si="25"/>
        <v>janeiro 2026</v>
      </c>
      <c r="J622">
        <f t="shared" si="23"/>
        <v>2026</v>
      </c>
      <c r="K622" t="str">
        <f>VLOOKUP(G622,METRICS!C:D,2,0)</f>
        <v>Taxas Financeiras Diversas</v>
      </c>
      <c r="L622" t="str">
        <f>VLOOKUP(K622,METRICS!D:E,2,0)</f>
        <v>TAXAS CARTÃO DE CRÉDITO</v>
      </c>
    </row>
    <row r="623" spans="1:12" ht="15" hidden="1">
      <c r="A623" t="s">
        <v>571</v>
      </c>
      <c r="B623" t="s">
        <v>612</v>
      </c>
      <c r="C623" t="s">
        <v>690</v>
      </c>
      <c r="D623" t="s">
        <v>961</v>
      </c>
      <c r="E623" t="s">
        <v>878</v>
      </c>
      <c r="F623" t="s">
        <v>1272</v>
      </c>
      <c r="G623" t="s">
        <v>609</v>
      </c>
      <c r="H623" s="595">
        <v>-10835.35</v>
      </c>
      <c r="I623" t="str">
        <f t="shared" si="25"/>
        <v>janeiro 2026</v>
      </c>
      <c r="J623">
        <f t="shared" si="23"/>
        <v>2026</v>
      </c>
      <c r="K623" t="str">
        <f>VLOOKUP(G623,METRICS!C:D,2,0)</f>
        <v>Carnes e Aves</v>
      </c>
      <c r="L623" t="str">
        <f>VLOOKUP(K623,METRICS!D:E,2,0)</f>
        <v>CUSTOS DOS PRODUTOS VENDIDOS</v>
      </c>
    </row>
    <row r="624" spans="1:12" ht="15" hidden="1">
      <c r="A624" t="s">
        <v>571</v>
      </c>
      <c r="B624" t="s">
        <v>689</v>
      </c>
      <c r="C624" t="s">
        <v>690</v>
      </c>
      <c r="D624" t="s">
        <v>733</v>
      </c>
      <c r="E624" t="s">
        <v>734</v>
      </c>
      <c r="F624" t="s">
        <v>1272</v>
      </c>
      <c r="G624" t="s">
        <v>665</v>
      </c>
      <c r="H624" s="595">
        <v>-8.24</v>
      </c>
      <c r="I624" t="str">
        <f t="shared" si="25"/>
        <v>janeiro 2026</v>
      </c>
      <c r="J624">
        <f t="shared" si="23"/>
        <v>2026</v>
      </c>
      <c r="K624" t="str">
        <f>VLOOKUP(G624,METRICS!C:D,2,0)</f>
        <v>Taxas Financeiras Diversas</v>
      </c>
      <c r="L624" t="str">
        <f>VLOOKUP(K624,METRICS!D:E,2,0)</f>
        <v>TAXAS CARTÃO DE CRÉDITO</v>
      </c>
    </row>
    <row r="625" spans="1:12" ht="15" hidden="1">
      <c r="A625" t="s">
        <v>571</v>
      </c>
      <c r="B625" t="s">
        <v>612</v>
      </c>
      <c r="C625" t="s">
        <v>690</v>
      </c>
      <c r="D625" t="s">
        <v>962</v>
      </c>
      <c r="E625" t="s">
        <v>804</v>
      </c>
      <c r="F625" t="s">
        <v>1272</v>
      </c>
      <c r="G625" t="s">
        <v>607</v>
      </c>
      <c r="H625" s="595">
        <v>-5736.47</v>
      </c>
      <c r="I625" t="str">
        <f t="shared" si="25"/>
        <v>janeiro 2026</v>
      </c>
      <c r="J625">
        <f t="shared" si="23"/>
        <v>2026</v>
      </c>
      <c r="K625" t="str">
        <f>VLOOKUP(G625,METRICS!C:D,2,0)</f>
        <v>Bebidas Alcoólicas</v>
      </c>
      <c r="L625" t="str">
        <f>VLOOKUP(K625,METRICS!D:E,2,0)</f>
        <v>CUSTOS DOS PRODUTOS VENDIDOS</v>
      </c>
    </row>
    <row r="626" spans="1:12" ht="15" hidden="1">
      <c r="A626" t="s">
        <v>571</v>
      </c>
      <c r="B626" t="s">
        <v>612</v>
      </c>
      <c r="C626" t="s">
        <v>690</v>
      </c>
      <c r="D626" t="s">
        <v>963</v>
      </c>
      <c r="E626" t="s">
        <v>964</v>
      </c>
      <c r="F626" t="s">
        <v>1272</v>
      </c>
      <c r="G626" t="s">
        <v>608</v>
      </c>
      <c r="H626" s="595">
        <v>-2872.04</v>
      </c>
      <c r="I626" t="str">
        <f t="shared" si="25"/>
        <v>janeiro 2026</v>
      </c>
      <c r="J626">
        <f t="shared" si="23"/>
        <v>2026</v>
      </c>
      <c r="K626" t="str">
        <f>VLOOKUP(G626,METRICS!C:D,2,0)</f>
        <v>Bebidas não Alcoolicas</v>
      </c>
      <c r="L626" t="str">
        <f>VLOOKUP(K626,METRICS!D:E,2,0)</f>
        <v>CUSTOS DOS PRODUTOS VENDIDOS</v>
      </c>
    </row>
    <row r="627" spans="1:12" ht="15" hidden="1">
      <c r="A627" t="s">
        <v>571</v>
      </c>
      <c r="B627" t="s">
        <v>612</v>
      </c>
      <c r="C627" t="s">
        <v>690</v>
      </c>
      <c r="D627" t="s">
        <v>965</v>
      </c>
      <c r="E627" t="s">
        <v>830</v>
      </c>
      <c r="F627" t="s">
        <v>1272</v>
      </c>
      <c r="G627" t="s">
        <v>623</v>
      </c>
      <c r="H627" s="595">
        <v>-407</v>
      </c>
      <c r="I627" t="str">
        <f t="shared" si="25"/>
        <v>janeiro 2026</v>
      </c>
      <c r="J627">
        <f t="shared" si="23"/>
        <v>2026</v>
      </c>
      <c r="K627" t="str">
        <f>VLOOKUP(G627,METRICS!C:D,2,0)</f>
        <v>Secos - Mercearia</v>
      </c>
      <c r="L627" t="str">
        <f>VLOOKUP(K627,METRICS!D:E,2,0)</f>
        <v>CUSTOS DOS PRODUTOS VENDIDOS</v>
      </c>
    </row>
    <row r="628" spans="1:12" ht="15" hidden="1">
      <c r="A628" t="s">
        <v>571</v>
      </c>
      <c r="B628" t="s">
        <v>689</v>
      </c>
      <c r="C628" t="s">
        <v>690</v>
      </c>
      <c r="D628" t="s">
        <v>733</v>
      </c>
      <c r="E628" t="s">
        <v>734</v>
      </c>
      <c r="F628" t="s">
        <v>1272</v>
      </c>
      <c r="G628" t="s">
        <v>665</v>
      </c>
      <c r="H628" s="595">
        <v>-8.1300000000000008</v>
      </c>
      <c r="I628" t="str">
        <f t="shared" si="25"/>
        <v>janeiro 2026</v>
      </c>
      <c r="J628">
        <f t="shared" si="23"/>
        <v>2026</v>
      </c>
      <c r="K628" t="str">
        <f>VLOOKUP(G628,METRICS!C:D,2,0)</f>
        <v>Taxas Financeiras Diversas</v>
      </c>
      <c r="L628" t="str">
        <f>VLOOKUP(K628,METRICS!D:E,2,0)</f>
        <v>TAXAS CARTÃO DE CRÉDITO</v>
      </c>
    </row>
    <row r="629" spans="1:12" ht="15" hidden="1">
      <c r="A629" t="s">
        <v>571</v>
      </c>
      <c r="B629" t="s">
        <v>689</v>
      </c>
      <c r="C629" t="s">
        <v>690</v>
      </c>
      <c r="D629" t="s">
        <v>733</v>
      </c>
      <c r="E629" t="s">
        <v>734</v>
      </c>
      <c r="F629" t="s">
        <v>1272</v>
      </c>
      <c r="G629" t="s">
        <v>665</v>
      </c>
      <c r="H629" s="595">
        <v>-4.66</v>
      </c>
      <c r="I629" t="str">
        <f t="shared" si="25"/>
        <v>janeiro 2026</v>
      </c>
      <c r="J629">
        <f t="shared" si="23"/>
        <v>2026</v>
      </c>
      <c r="K629" t="str">
        <f>VLOOKUP(G629,METRICS!C:D,2,0)</f>
        <v>Taxas Financeiras Diversas</v>
      </c>
      <c r="L629" t="str">
        <f>VLOOKUP(K629,METRICS!D:E,2,0)</f>
        <v>TAXAS CARTÃO DE CRÉDITO</v>
      </c>
    </row>
    <row r="630" spans="1:12" ht="15" hidden="1">
      <c r="A630" t="s">
        <v>571</v>
      </c>
      <c r="B630" t="s">
        <v>689</v>
      </c>
      <c r="C630" t="s">
        <v>690</v>
      </c>
      <c r="D630" t="s">
        <v>733</v>
      </c>
      <c r="E630" t="s">
        <v>734</v>
      </c>
      <c r="F630" t="s">
        <v>1272</v>
      </c>
      <c r="G630" t="s">
        <v>665</v>
      </c>
      <c r="H630" s="595">
        <v>-9.39</v>
      </c>
      <c r="I630" t="str">
        <f t="shared" si="25"/>
        <v>janeiro 2026</v>
      </c>
      <c r="J630">
        <f t="shared" si="23"/>
        <v>2026</v>
      </c>
      <c r="K630" t="str">
        <f>VLOOKUP(G630,METRICS!C:D,2,0)</f>
        <v>Taxas Financeiras Diversas</v>
      </c>
      <c r="L630" t="str">
        <f>VLOOKUP(K630,METRICS!D:E,2,0)</f>
        <v>TAXAS CARTÃO DE CRÉDITO</v>
      </c>
    </row>
    <row r="631" spans="1:12" ht="15" hidden="1">
      <c r="A631" t="s">
        <v>571</v>
      </c>
      <c r="B631" t="s">
        <v>689</v>
      </c>
      <c r="C631" t="s">
        <v>690</v>
      </c>
      <c r="D631" t="s">
        <v>733</v>
      </c>
      <c r="E631" t="s">
        <v>734</v>
      </c>
      <c r="F631" t="s">
        <v>1272</v>
      </c>
      <c r="G631" t="s">
        <v>665</v>
      </c>
      <c r="H631" s="595">
        <v>-14.62</v>
      </c>
      <c r="I631" t="str">
        <f t="shared" si="25"/>
        <v>janeiro 2026</v>
      </c>
      <c r="J631">
        <f t="shared" si="23"/>
        <v>2026</v>
      </c>
      <c r="K631" t="str">
        <f>VLOOKUP(G631,METRICS!C:D,2,0)</f>
        <v>Taxas Financeiras Diversas</v>
      </c>
      <c r="L631" t="str">
        <f>VLOOKUP(K631,METRICS!D:E,2,0)</f>
        <v>TAXAS CARTÃO DE CRÉDITO</v>
      </c>
    </row>
    <row r="632" spans="1:12" ht="15" hidden="1">
      <c r="A632" t="s">
        <v>571</v>
      </c>
      <c r="B632" t="s">
        <v>689</v>
      </c>
      <c r="C632" t="s">
        <v>690</v>
      </c>
      <c r="D632" t="s">
        <v>860</v>
      </c>
      <c r="E632" t="s">
        <v>734</v>
      </c>
      <c r="F632" t="s">
        <v>1272</v>
      </c>
      <c r="G632" t="s">
        <v>665</v>
      </c>
      <c r="H632" s="595">
        <v>-7</v>
      </c>
      <c r="I632" t="str">
        <f t="shared" si="25"/>
        <v>janeiro 2026</v>
      </c>
      <c r="J632">
        <f t="shared" si="23"/>
        <v>2026</v>
      </c>
      <c r="K632" t="str">
        <f>VLOOKUP(G632,METRICS!C:D,2,0)</f>
        <v>Taxas Financeiras Diversas</v>
      </c>
      <c r="L632" t="str">
        <f>VLOOKUP(K632,METRICS!D:E,2,0)</f>
        <v>TAXAS CARTÃO DE CRÉDITO</v>
      </c>
    </row>
    <row r="633" spans="1:12" ht="15" hidden="1">
      <c r="A633" t="s">
        <v>571</v>
      </c>
      <c r="B633" t="s">
        <v>689</v>
      </c>
      <c r="C633" t="s">
        <v>690</v>
      </c>
      <c r="D633" t="s">
        <v>733</v>
      </c>
      <c r="E633" t="s">
        <v>734</v>
      </c>
      <c r="F633" t="s">
        <v>1272</v>
      </c>
      <c r="G633" t="s">
        <v>665</v>
      </c>
      <c r="H633" s="595">
        <v>-5.07</v>
      </c>
      <c r="I633" t="str">
        <f t="shared" si="25"/>
        <v>janeiro 2026</v>
      </c>
      <c r="J633">
        <f t="shared" ref="J633:J692" si="26">YEAR(A633)</f>
        <v>2026</v>
      </c>
      <c r="K633" t="str">
        <f>VLOOKUP(G633,METRICS!C:D,2,0)</f>
        <v>Taxas Financeiras Diversas</v>
      </c>
      <c r="L633" t="str">
        <f>VLOOKUP(K633,METRICS!D:E,2,0)</f>
        <v>TAXAS CARTÃO DE CRÉDITO</v>
      </c>
    </row>
    <row r="634" spans="1:12" ht="15" hidden="1">
      <c r="A634" t="s">
        <v>571</v>
      </c>
      <c r="B634" t="s">
        <v>689</v>
      </c>
      <c r="C634" t="s">
        <v>690</v>
      </c>
      <c r="D634" t="s">
        <v>733</v>
      </c>
      <c r="E634" t="s">
        <v>734</v>
      </c>
      <c r="F634" t="s">
        <v>1272</v>
      </c>
      <c r="G634" t="s">
        <v>665</v>
      </c>
      <c r="H634" s="595">
        <v>-12.14</v>
      </c>
      <c r="I634" t="str">
        <f t="shared" si="25"/>
        <v>janeiro 2026</v>
      </c>
      <c r="J634">
        <f t="shared" si="26"/>
        <v>2026</v>
      </c>
      <c r="K634" t="str">
        <f>VLOOKUP(G634,METRICS!C:D,2,0)</f>
        <v>Taxas Financeiras Diversas</v>
      </c>
      <c r="L634" t="str">
        <f>VLOOKUP(K634,METRICS!D:E,2,0)</f>
        <v>TAXAS CARTÃO DE CRÉDITO</v>
      </c>
    </row>
    <row r="635" spans="1:12" ht="15" hidden="1">
      <c r="A635" t="s">
        <v>571</v>
      </c>
      <c r="B635" t="s">
        <v>689</v>
      </c>
      <c r="C635" t="s">
        <v>690</v>
      </c>
      <c r="D635" t="s">
        <v>733</v>
      </c>
      <c r="E635" t="s">
        <v>734</v>
      </c>
      <c r="F635" t="s">
        <v>1272</v>
      </c>
      <c r="G635" t="s">
        <v>665</v>
      </c>
      <c r="H635" s="595">
        <v>-14.62</v>
      </c>
      <c r="I635" t="str">
        <f t="shared" si="25"/>
        <v>janeiro 2026</v>
      </c>
      <c r="J635">
        <f t="shared" si="26"/>
        <v>2026</v>
      </c>
      <c r="K635" t="str">
        <f>VLOOKUP(G635,METRICS!C:D,2,0)</f>
        <v>Taxas Financeiras Diversas</v>
      </c>
      <c r="L635" t="str">
        <f>VLOOKUP(K635,METRICS!D:E,2,0)</f>
        <v>TAXAS CARTÃO DE CRÉDITO</v>
      </c>
    </row>
    <row r="636" spans="1:12" ht="15" hidden="1">
      <c r="A636" t="s">
        <v>571</v>
      </c>
      <c r="B636" t="s">
        <v>689</v>
      </c>
      <c r="C636" t="s">
        <v>690</v>
      </c>
      <c r="D636" t="s">
        <v>733</v>
      </c>
      <c r="E636" t="s">
        <v>734</v>
      </c>
      <c r="F636" t="s">
        <v>1272</v>
      </c>
      <c r="G636" t="s">
        <v>665</v>
      </c>
      <c r="H636" s="595">
        <v>-16.3</v>
      </c>
      <c r="I636" t="str">
        <f t="shared" si="25"/>
        <v>janeiro 2026</v>
      </c>
      <c r="J636">
        <f t="shared" si="26"/>
        <v>2026</v>
      </c>
      <c r="K636" t="str">
        <f>VLOOKUP(G636,METRICS!C:D,2,0)</f>
        <v>Taxas Financeiras Diversas</v>
      </c>
      <c r="L636" t="str">
        <f>VLOOKUP(K636,METRICS!D:E,2,0)</f>
        <v>TAXAS CARTÃO DE CRÉDITO</v>
      </c>
    </row>
    <row r="637" spans="1:12" ht="15" hidden="1">
      <c r="A637" t="s">
        <v>571</v>
      </c>
      <c r="B637" t="s">
        <v>689</v>
      </c>
      <c r="C637" t="s">
        <v>690</v>
      </c>
      <c r="D637" t="s">
        <v>733</v>
      </c>
      <c r="E637" t="s">
        <v>734</v>
      </c>
      <c r="F637" t="s">
        <v>1272</v>
      </c>
      <c r="G637" t="s">
        <v>665</v>
      </c>
      <c r="H637" s="595">
        <v>-11.73</v>
      </c>
      <c r="I637" t="str">
        <f t="shared" si="25"/>
        <v>janeiro 2026</v>
      </c>
      <c r="J637">
        <f t="shared" si="26"/>
        <v>2026</v>
      </c>
      <c r="K637" t="str">
        <f>VLOOKUP(G637,METRICS!C:D,2,0)</f>
        <v>Taxas Financeiras Diversas</v>
      </c>
      <c r="L637" t="str">
        <f>VLOOKUP(K637,METRICS!D:E,2,0)</f>
        <v>TAXAS CARTÃO DE CRÉDITO</v>
      </c>
    </row>
    <row r="638" spans="1:12" ht="15" hidden="1">
      <c r="A638" t="s">
        <v>571</v>
      </c>
      <c r="B638" t="s">
        <v>689</v>
      </c>
      <c r="C638" t="s">
        <v>690</v>
      </c>
      <c r="D638" t="s">
        <v>743</v>
      </c>
      <c r="E638" t="s">
        <v>734</v>
      </c>
      <c r="F638" t="s">
        <v>1272</v>
      </c>
      <c r="G638" t="s">
        <v>665</v>
      </c>
      <c r="H638" s="595">
        <v>-8.86</v>
      </c>
      <c r="I638" t="str">
        <f t="shared" si="25"/>
        <v>janeiro 2026</v>
      </c>
      <c r="J638">
        <f t="shared" si="26"/>
        <v>2026</v>
      </c>
      <c r="K638" t="str">
        <f>VLOOKUP(G638,METRICS!C:D,2,0)</f>
        <v>Taxas Financeiras Diversas</v>
      </c>
      <c r="L638" t="str">
        <f>VLOOKUP(K638,METRICS!D:E,2,0)</f>
        <v>TAXAS CARTÃO DE CRÉDITO</v>
      </c>
    </row>
    <row r="639" spans="1:12" ht="15" hidden="1">
      <c r="A639" t="s">
        <v>571</v>
      </c>
      <c r="B639" t="s">
        <v>689</v>
      </c>
      <c r="C639" t="s">
        <v>690</v>
      </c>
      <c r="D639" t="s">
        <v>733</v>
      </c>
      <c r="E639" t="s">
        <v>734</v>
      </c>
      <c r="F639" t="s">
        <v>1272</v>
      </c>
      <c r="G639" t="s">
        <v>665</v>
      </c>
      <c r="H639" s="595">
        <v>-7.21</v>
      </c>
      <c r="I639" t="str">
        <f t="shared" si="25"/>
        <v>janeiro 2026</v>
      </c>
      <c r="J639">
        <f t="shared" si="26"/>
        <v>2026</v>
      </c>
      <c r="K639" t="str">
        <f>VLOOKUP(G639,METRICS!C:D,2,0)</f>
        <v>Taxas Financeiras Diversas</v>
      </c>
      <c r="L639" t="str">
        <f>VLOOKUP(K639,METRICS!D:E,2,0)</f>
        <v>TAXAS CARTÃO DE CRÉDITO</v>
      </c>
    </row>
    <row r="640" spans="1:12" ht="15" hidden="1">
      <c r="A640" t="s">
        <v>571</v>
      </c>
      <c r="B640" t="s">
        <v>689</v>
      </c>
      <c r="C640" t="s">
        <v>690</v>
      </c>
      <c r="D640" t="s">
        <v>733</v>
      </c>
      <c r="E640" t="s">
        <v>734</v>
      </c>
      <c r="F640" t="s">
        <v>1272</v>
      </c>
      <c r="G640" t="s">
        <v>665</v>
      </c>
      <c r="H640" s="595">
        <v>-2.38</v>
      </c>
      <c r="I640" t="str">
        <f t="shared" si="25"/>
        <v>janeiro 2026</v>
      </c>
      <c r="J640">
        <f t="shared" si="26"/>
        <v>2026</v>
      </c>
      <c r="K640" t="str">
        <f>VLOOKUP(G640,METRICS!C:D,2,0)</f>
        <v>Taxas Financeiras Diversas</v>
      </c>
      <c r="L640" t="str">
        <f>VLOOKUP(K640,METRICS!D:E,2,0)</f>
        <v>TAXAS CARTÃO DE CRÉDITO</v>
      </c>
    </row>
    <row r="641" spans="1:12" ht="15" hidden="1">
      <c r="A641" t="s">
        <v>571</v>
      </c>
      <c r="B641" t="s">
        <v>612</v>
      </c>
      <c r="C641" t="s">
        <v>690</v>
      </c>
      <c r="D641" t="s">
        <v>966</v>
      </c>
      <c r="E641" t="s">
        <v>752</v>
      </c>
      <c r="F641" t="s">
        <v>1272</v>
      </c>
      <c r="G641" t="s">
        <v>609</v>
      </c>
      <c r="H641" s="595">
        <v>-164.7</v>
      </c>
      <c r="I641" t="str">
        <f t="shared" ref="I641:I674" si="27">TEXT(A641, "mmmm aaaa")</f>
        <v>janeiro 2026</v>
      </c>
      <c r="J641">
        <f t="shared" si="26"/>
        <v>2026</v>
      </c>
      <c r="K641" t="str">
        <f>VLOOKUP(G641,METRICS!C:D,2,0)</f>
        <v>Carnes e Aves</v>
      </c>
      <c r="L641" t="str">
        <f>VLOOKUP(K641,METRICS!D:E,2,0)</f>
        <v>CUSTOS DOS PRODUTOS VENDIDOS</v>
      </c>
    </row>
    <row r="642" spans="1:12" ht="15" hidden="1">
      <c r="A642" t="s">
        <v>571</v>
      </c>
      <c r="B642" t="s">
        <v>689</v>
      </c>
      <c r="C642" t="s">
        <v>690</v>
      </c>
      <c r="D642" t="s">
        <v>967</v>
      </c>
      <c r="E642" t="s">
        <v>968</v>
      </c>
      <c r="F642" t="s">
        <v>1272</v>
      </c>
      <c r="G642" t="s">
        <v>657</v>
      </c>
      <c r="H642" s="595">
        <v>-269.7</v>
      </c>
      <c r="I642" t="str">
        <f t="shared" si="27"/>
        <v>janeiro 2026</v>
      </c>
      <c r="J642">
        <f t="shared" si="26"/>
        <v>2026</v>
      </c>
      <c r="K642" t="str">
        <f>VLOOKUP(G642,METRICS!C:D,2,0)</f>
        <v>Aluguel de Maquinas</v>
      </c>
      <c r="L642" t="str">
        <f>VLOOKUP(K642,METRICS!D:E,2,0)</f>
        <v>OPERAÇÃO</v>
      </c>
    </row>
    <row r="643" spans="1:12" ht="15" hidden="1">
      <c r="A643" t="s">
        <v>571</v>
      </c>
      <c r="B643" t="s">
        <v>612</v>
      </c>
      <c r="C643" t="s">
        <v>690</v>
      </c>
      <c r="D643" t="s">
        <v>969</v>
      </c>
      <c r="E643" t="s">
        <v>970</v>
      </c>
      <c r="F643" t="s">
        <v>1272</v>
      </c>
      <c r="G643" t="s">
        <v>1736</v>
      </c>
      <c r="H643" s="595">
        <v>-249</v>
      </c>
      <c r="I643" t="str">
        <f t="shared" si="27"/>
        <v>janeiro 2026</v>
      </c>
      <c r="J643">
        <f t="shared" si="26"/>
        <v>2026</v>
      </c>
      <c r="K643" t="str">
        <f>VLOOKUP(G643,METRICS!C:D,2,0)</f>
        <v>Sistema e Software OP</v>
      </c>
      <c r="L643" t="str">
        <f>VLOOKUP(K643,METRICS!D:E,2,0)</f>
        <v>OPERAÇÃO</v>
      </c>
    </row>
    <row r="644" spans="1:12" ht="15" hidden="1">
      <c r="A644" t="s">
        <v>571</v>
      </c>
      <c r="B644" t="s">
        <v>612</v>
      </c>
      <c r="C644" t="s">
        <v>690</v>
      </c>
      <c r="D644" t="s">
        <v>971</v>
      </c>
      <c r="E644" t="s">
        <v>972</v>
      </c>
      <c r="F644" t="s">
        <v>1272</v>
      </c>
      <c r="G644" s="518" t="s">
        <v>1318</v>
      </c>
      <c r="H644" s="595">
        <v>-223.56</v>
      </c>
      <c r="I644" t="str">
        <f t="shared" si="27"/>
        <v>janeiro 2026</v>
      </c>
      <c r="J644">
        <f t="shared" si="26"/>
        <v>2026</v>
      </c>
      <c r="K644" t="str">
        <f>VLOOKUP(G644,METRICS!C:D,2,0)</f>
        <v>Despesas com Segurança</v>
      </c>
      <c r="L644" t="str">
        <f>VLOOKUP(K644,METRICS!D:E,2,0)</f>
        <v>OPERAÇÃO</v>
      </c>
    </row>
    <row r="645" spans="1:12" ht="15" hidden="1">
      <c r="A645" t="s">
        <v>571</v>
      </c>
      <c r="B645" t="s">
        <v>689</v>
      </c>
      <c r="C645" t="s">
        <v>690</v>
      </c>
      <c r="D645" t="s">
        <v>733</v>
      </c>
      <c r="E645" t="s">
        <v>734</v>
      </c>
      <c r="F645" t="s">
        <v>1272</v>
      </c>
      <c r="G645" t="s">
        <v>665</v>
      </c>
      <c r="H645" s="595">
        <v>-0.21</v>
      </c>
      <c r="I645" t="str">
        <f t="shared" si="27"/>
        <v>janeiro 2026</v>
      </c>
      <c r="J645">
        <f t="shared" si="26"/>
        <v>2026</v>
      </c>
      <c r="K645" t="str">
        <f>VLOOKUP(G645,METRICS!C:D,2,0)</f>
        <v>Taxas Financeiras Diversas</v>
      </c>
      <c r="L645" t="str">
        <f>VLOOKUP(K645,METRICS!D:E,2,0)</f>
        <v>TAXAS CARTÃO DE CRÉDITO</v>
      </c>
    </row>
    <row r="646" spans="1:12" ht="15" hidden="1">
      <c r="A646" t="s">
        <v>571</v>
      </c>
      <c r="B646" t="s">
        <v>612</v>
      </c>
      <c r="C646" t="s">
        <v>690</v>
      </c>
      <c r="D646" t="s">
        <v>973</v>
      </c>
      <c r="E646" t="s">
        <v>828</v>
      </c>
      <c r="F646" t="s">
        <v>1272</v>
      </c>
      <c r="G646" t="s">
        <v>636</v>
      </c>
      <c r="H646" s="595">
        <v>-1819.92</v>
      </c>
      <c r="I646" t="str">
        <f t="shared" si="27"/>
        <v>janeiro 2026</v>
      </c>
      <c r="J646">
        <f t="shared" si="26"/>
        <v>2026</v>
      </c>
      <c r="K646" t="str">
        <f>VLOOKUP(G646,METRICS!C:D,2,0)</f>
        <v>Secos - Mercearia</v>
      </c>
      <c r="L646" t="str">
        <f>VLOOKUP(K646,METRICS!D:E,2,0)</f>
        <v>CUSTOS DOS PRODUTOS VENDIDOS</v>
      </c>
    </row>
    <row r="647" spans="1:12" ht="15" hidden="1">
      <c r="A647" t="s">
        <v>571</v>
      </c>
      <c r="B647" t="s">
        <v>689</v>
      </c>
      <c r="C647" t="s">
        <v>690</v>
      </c>
      <c r="D647" t="s">
        <v>753</v>
      </c>
      <c r="E647" t="s">
        <v>734</v>
      </c>
      <c r="F647" t="s">
        <v>1272</v>
      </c>
      <c r="G647" t="s">
        <v>665</v>
      </c>
      <c r="H647" s="595">
        <v>-22.61</v>
      </c>
      <c r="I647" t="str">
        <f t="shared" si="27"/>
        <v>janeiro 2026</v>
      </c>
      <c r="J647">
        <f t="shared" si="26"/>
        <v>2026</v>
      </c>
      <c r="K647" t="str">
        <f>VLOOKUP(G647,METRICS!C:D,2,0)</f>
        <v>Taxas Financeiras Diversas</v>
      </c>
      <c r="L647" t="str">
        <f>VLOOKUP(K647,METRICS!D:E,2,0)</f>
        <v>TAXAS CARTÃO DE CRÉDITO</v>
      </c>
    </row>
    <row r="648" spans="1:12" ht="15" hidden="1">
      <c r="A648" t="s">
        <v>571</v>
      </c>
      <c r="B648" t="s">
        <v>689</v>
      </c>
      <c r="C648" t="s">
        <v>690</v>
      </c>
      <c r="D648" t="s">
        <v>733</v>
      </c>
      <c r="E648" t="s">
        <v>734</v>
      </c>
      <c r="F648" t="s">
        <v>1272</v>
      </c>
      <c r="G648" t="s">
        <v>665</v>
      </c>
      <c r="H648" s="595">
        <v>-2.78</v>
      </c>
      <c r="I648" t="str">
        <f t="shared" si="27"/>
        <v>janeiro 2026</v>
      </c>
      <c r="J648">
        <f t="shared" si="26"/>
        <v>2026</v>
      </c>
      <c r="K648" t="str">
        <f>VLOOKUP(G648,METRICS!C:D,2,0)</f>
        <v>Taxas Financeiras Diversas</v>
      </c>
      <c r="L648" t="str">
        <f>VLOOKUP(K648,METRICS!D:E,2,0)</f>
        <v>TAXAS CARTÃO DE CRÉDITO</v>
      </c>
    </row>
    <row r="649" spans="1:12" ht="15" hidden="1">
      <c r="A649" t="s">
        <v>571</v>
      </c>
      <c r="B649" t="s">
        <v>689</v>
      </c>
      <c r="C649" t="s">
        <v>690</v>
      </c>
      <c r="D649" t="s">
        <v>733</v>
      </c>
      <c r="E649" t="s">
        <v>734</v>
      </c>
      <c r="F649" t="s">
        <v>1272</v>
      </c>
      <c r="G649" t="s">
        <v>665</v>
      </c>
      <c r="H649" s="595">
        <v>-3.62</v>
      </c>
      <c r="I649" t="str">
        <f t="shared" si="27"/>
        <v>janeiro 2026</v>
      </c>
      <c r="J649">
        <f t="shared" si="26"/>
        <v>2026</v>
      </c>
      <c r="K649" t="str">
        <f>VLOOKUP(G649,METRICS!C:D,2,0)</f>
        <v>Taxas Financeiras Diversas</v>
      </c>
      <c r="L649" t="str">
        <f>VLOOKUP(K649,METRICS!D:E,2,0)</f>
        <v>TAXAS CARTÃO DE CRÉDITO</v>
      </c>
    </row>
    <row r="650" spans="1:12" ht="15" hidden="1">
      <c r="A650" t="s">
        <v>571</v>
      </c>
      <c r="B650" t="s">
        <v>612</v>
      </c>
      <c r="C650" t="s">
        <v>690</v>
      </c>
      <c r="D650" t="s">
        <v>974</v>
      </c>
      <c r="E650" t="s">
        <v>748</v>
      </c>
      <c r="F650" t="s">
        <v>1272</v>
      </c>
      <c r="G650" t="s">
        <v>620</v>
      </c>
      <c r="H650" s="595">
        <v>-1862.86</v>
      </c>
      <c r="I650" t="str">
        <f t="shared" si="27"/>
        <v>janeiro 2026</v>
      </c>
      <c r="J650">
        <f t="shared" si="26"/>
        <v>2026</v>
      </c>
      <c r="K650" t="str">
        <f>VLOOKUP(G650,METRICS!C:D,2,0)</f>
        <v>Hortifruti</v>
      </c>
      <c r="L650" t="str">
        <f>VLOOKUP(K650,METRICS!D:E,2,0)</f>
        <v>CUSTOS DOS PRODUTOS VENDIDOS</v>
      </c>
    </row>
    <row r="651" spans="1:12" ht="15" hidden="1">
      <c r="A651" t="s">
        <v>571</v>
      </c>
      <c r="B651" t="s">
        <v>612</v>
      </c>
      <c r="C651" t="s">
        <v>690</v>
      </c>
      <c r="D651" t="s">
        <v>975</v>
      </c>
      <c r="E651" t="s">
        <v>765</v>
      </c>
      <c r="F651" t="s">
        <v>1272</v>
      </c>
      <c r="G651" t="s">
        <v>619</v>
      </c>
      <c r="H651" s="595">
        <v>-509.6</v>
      </c>
      <c r="I651" t="str">
        <f t="shared" si="27"/>
        <v>janeiro 2026</v>
      </c>
      <c r="J651">
        <f t="shared" si="26"/>
        <v>2026</v>
      </c>
      <c r="K651" t="str">
        <f>VLOOKUP(G651,METRICS!C:D,2,0)</f>
        <v>Gelo</v>
      </c>
      <c r="L651" t="str">
        <f>VLOOKUP(K651,METRICS!D:E,2,0)</f>
        <v>CUSTOS DOS PRODUTOS VENDIDOS</v>
      </c>
    </row>
    <row r="652" spans="1:12" ht="15" hidden="1">
      <c r="A652" t="s">
        <v>571</v>
      </c>
      <c r="B652" t="s">
        <v>689</v>
      </c>
      <c r="C652" t="s">
        <v>690</v>
      </c>
      <c r="D652" t="s">
        <v>733</v>
      </c>
      <c r="E652" t="s">
        <v>734</v>
      </c>
      <c r="F652" t="s">
        <v>1272</v>
      </c>
      <c r="G652" t="s">
        <v>665</v>
      </c>
      <c r="H652" s="595">
        <v>-11.23</v>
      </c>
      <c r="I652" t="str">
        <f t="shared" si="27"/>
        <v>janeiro 2026</v>
      </c>
      <c r="J652">
        <f t="shared" si="26"/>
        <v>2026</v>
      </c>
      <c r="K652" t="str">
        <f>VLOOKUP(G652,METRICS!C:D,2,0)</f>
        <v>Taxas Financeiras Diversas</v>
      </c>
      <c r="L652" t="str">
        <f>VLOOKUP(K652,METRICS!D:E,2,0)</f>
        <v>TAXAS CARTÃO DE CRÉDITO</v>
      </c>
    </row>
    <row r="653" spans="1:12" ht="15" hidden="1">
      <c r="A653" t="s">
        <v>571</v>
      </c>
      <c r="B653" t="s">
        <v>612</v>
      </c>
      <c r="C653" t="s">
        <v>690</v>
      </c>
      <c r="D653" t="s">
        <v>976</v>
      </c>
      <c r="E653" t="s">
        <v>972</v>
      </c>
      <c r="F653" t="s">
        <v>1272</v>
      </c>
      <c r="G653" t="s">
        <v>1318</v>
      </c>
      <c r="H653" s="595">
        <v>-222.84</v>
      </c>
      <c r="I653" t="str">
        <f t="shared" si="27"/>
        <v>janeiro 2026</v>
      </c>
      <c r="J653">
        <f t="shared" si="26"/>
        <v>2026</v>
      </c>
      <c r="K653" t="str">
        <f>VLOOKUP(G653,METRICS!C:D,2,0)</f>
        <v>Despesas com Segurança</v>
      </c>
      <c r="L653" t="str">
        <f>VLOOKUP(K653,METRICS!D:E,2,0)</f>
        <v>OPERAÇÃO</v>
      </c>
    </row>
    <row r="654" spans="1:12" ht="15" hidden="1">
      <c r="A654" t="s">
        <v>571</v>
      </c>
      <c r="B654" t="s">
        <v>689</v>
      </c>
      <c r="C654" t="s">
        <v>690</v>
      </c>
      <c r="D654" t="s">
        <v>733</v>
      </c>
      <c r="E654" t="s">
        <v>734</v>
      </c>
      <c r="F654" t="s">
        <v>1272</v>
      </c>
      <c r="G654" t="s">
        <v>665</v>
      </c>
      <c r="H654" s="595">
        <v>-4.2300000000000004</v>
      </c>
      <c r="I654" t="str">
        <f t="shared" si="27"/>
        <v>janeiro 2026</v>
      </c>
      <c r="J654">
        <f t="shared" si="26"/>
        <v>2026</v>
      </c>
      <c r="K654" t="str">
        <f>VLOOKUP(G654,METRICS!C:D,2,0)</f>
        <v>Taxas Financeiras Diversas</v>
      </c>
      <c r="L654" t="str">
        <f>VLOOKUP(K654,METRICS!D:E,2,0)</f>
        <v>TAXAS CARTÃO DE CRÉDITO</v>
      </c>
    </row>
    <row r="655" spans="1:12" ht="15" hidden="1">
      <c r="A655" t="s">
        <v>571</v>
      </c>
      <c r="B655" t="s">
        <v>689</v>
      </c>
      <c r="C655" t="s">
        <v>690</v>
      </c>
      <c r="D655" t="s">
        <v>733</v>
      </c>
      <c r="E655" t="s">
        <v>734</v>
      </c>
      <c r="F655" t="s">
        <v>1272</v>
      </c>
      <c r="G655" t="s">
        <v>665</v>
      </c>
      <c r="H655" s="595">
        <v>-7.05</v>
      </c>
      <c r="I655" t="str">
        <f t="shared" si="27"/>
        <v>janeiro 2026</v>
      </c>
      <c r="J655">
        <f t="shared" si="26"/>
        <v>2026</v>
      </c>
      <c r="K655" t="str">
        <f>VLOOKUP(G655,METRICS!C:D,2,0)</f>
        <v>Taxas Financeiras Diversas</v>
      </c>
      <c r="L655" t="str">
        <f>VLOOKUP(K655,METRICS!D:E,2,0)</f>
        <v>TAXAS CARTÃO DE CRÉDITO</v>
      </c>
    </row>
    <row r="656" spans="1:12" ht="15" hidden="1">
      <c r="A656" t="s">
        <v>571</v>
      </c>
      <c r="B656" t="s">
        <v>689</v>
      </c>
      <c r="C656" t="s">
        <v>690</v>
      </c>
      <c r="D656" t="s">
        <v>743</v>
      </c>
      <c r="E656" t="s">
        <v>734</v>
      </c>
      <c r="F656" t="s">
        <v>1272</v>
      </c>
      <c r="G656" t="s">
        <v>665</v>
      </c>
      <c r="H656" s="595">
        <v>-63.07</v>
      </c>
      <c r="I656" t="str">
        <f t="shared" si="27"/>
        <v>janeiro 2026</v>
      </c>
      <c r="J656">
        <f t="shared" si="26"/>
        <v>2026</v>
      </c>
      <c r="K656" t="str">
        <f>VLOOKUP(G656,METRICS!C:D,2,0)</f>
        <v>Taxas Financeiras Diversas</v>
      </c>
      <c r="L656" t="str">
        <f>VLOOKUP(K656,METRICS!D:E,2,0)</f>
        <v>TAXAS CARTÃO DE CRÉDITO</v>
      </c>
    </row>
    <row r="657" spans="1:12" ht="15" hidden="1">
      <c r="A657" t="s">
        <v>571</v>
      </c>
      <c r="B657" t="s">
        <v>612</v>
      </c>
      <c r="C657" t="s">
        <v>690</v>
      </c>
      <c r="D657" t="s">
        <v>977</v>
      </c>
      <c r="E657" t="s">
        <v>750</v>
      </c>
      <c r="F657" t="s">
        <v>1272</v>
      </c>
      <c r="G657" t="s">
        <v>610</v>
      </c>
      <c r="H657" s="595">
        <v>-2388</v>
      </c>
      <c r="I657" t="str">
        <f t="shared" si="27"/>
        <v>janeiro 2026</v>
      </c>
      <c r="J657">
        <f t="shared" si="26"/>
        <v>2026</v>
      </c>
      <c r="K657" t="str">
        <f>VLOOKUP(G657,METRICS!C:D,2,0)</f>
        <v>Carvão</v>
      </c>
      <c r="L657" t="str">
        <f>VLOOKUP(K657,METRICS!D:E,2,0)</f>
        <v>CUSTOS DOS PRODUTOS VENDIDOS</v>
      </c>
    </row>
    <row r="658" spans="1:12" ht="15" hidden="1">
      <c r="A658" t="s">
        <v>571</v>
      </c>
      <c r="B658" t="s">
        <v>689</v>
      </c>
      <c r="C658" t="s">
        <v>690</v>
      </c>
      <c r="D658" t="s">
        <v>733</v>
      </c>
      <c r="E658" t="s">
        <v>734</v>
      </c>
      <c r="F658" t="s">
        <v>1272</v>
      </c>
      <c r="G658" t="s">
        <v>665</v>
      </c>
      <c r="H658" s="595">
        <v>-21.64</v>
      </c>
      <c r="I658" t="str">
        <f t="shared" si="27"/>
        <v>janeiro 2026</v>
      </c>
      <c r="J658">
        <f t="shared" si="26"/>
        <v>2026</v>
      </c>
      <c r="K658" t="str">
        <f>VLOOKUP(G658,METRICS!C:D,2,0)</f>
        <v>Taxas Financeiras Diversas</v>
      </c>
      <c r="L658" t="str">
        <f>VLOOKUP(K658,METRICS!D:E,2,0)</f>
        <v>TAXAS CARTÃO DE CRÉDITO</v>
      </c>
    </row>
    <row r="659" spans="1:12" ht="15" hidden="1">
      <c r="A659" t="s">
        <v>571</v>
      </c>
      <c r="B659" t="s">
        <v>689</v>
      </c>
      <c r="C659" t="s">
        <v>690</v>
      </c>
      <c r="D659" t="s">
        <v>743</v>
      </c>
      <c r="E659" t="s">
        <v>734</v>
      </c>
      <c r="F659" t="s">
        <v>1272</v>
      </c>
      <c r="G659" t="s">
        <v>665</v>
      </c>
      <c r="H659" s="595">
        <v>-12.68</v>
      </c>
      <c r="I659" t="str">
        <f t="shared" si="27"/>
        <v>janeiro 2026</v>
      </c>
      <c r="J659">
        <f t="shared" si="26"/>
        <v>2026</v>
      </c>
      <c r="K659" t="str">
        <f>VLOOKUP(G659,METRICS!C:D,2,0)</f>
        <v>Taxas Financeiras Diversas</v>
      </c>
      <c r="L659" t="str">
        <f>VLOOKUP(K659,METRICS!D:E,2,0)</f>
        <v>TAXAS CARTÃO DE CRÉDITO</v>
      </c>
    </row>
    <row r="660" spans="1:12" ht="15" hidden="1">
      <c r="A660" t="s">
        <v>571</v>
      </c>
      <c r="B660" t="s">
        <v>689</v>
      </c>
      <c r="C660" t="s">
        <v>690</v>
      </c>
      <c r="D660" t="s">
        <v>756</v>
      </c>
      <c r="E660" t="s">
        <v>757</v>
      </c>
      <c r="F660" t="s">
        <v>1272</v>
      </c>
      <c r="G660" t="s">
        <v>666</v>
      </c>
      <c r="H660" s="595">
        <v>-29.7</v>
      </c>
      <c r="I660" t="str">
        <f t="shared" si="27"/>
        <v>janeiro 2026</v>
      </c>
      <c r="J660">
        <f t="shared" si="26"/>
        <v>2026</v>
      </c>
      <c r="K660" t="str">
        <f>VLOOKUP(G660,METRICS!C:D,2,0)</f>
        <v>Encargos Bancarios</v>
      </c>
      <c r="L660" t="str">
        <f>VLOOKUP(K660,METRICS!D:E,2,0)</f>
        <v>DESPESAS FINANCEIRAS</v>
      </c>
    </row>
    <row r="661" spans="1:12" ht="15" hidden="1">
      <c r="A661" t="s">
        <v>571</v>
      </c>
      <c r="B661" t="s">
        <v>612</v>
      </c>
      <c r="C661" t="s">
        <v>690</v>
      </c>
      <c r="D661" t="s">
        <v>978</v>
      </c>
      <c r="E661" t="s">
        <v>979</v>
      </c>
      <c r="F661" t="s">
        <v>1272</v>
      </c>
      <c r="G661" t="s">
        <v>641</v>
      </c>
      <c r="H661" s="595">
        <v>-3851.52</v>
      </c>
      <c r="I661" t="str">
        <f t="shared" si="27"/>
        <v>janeiro 2026</v>
      </c>
      <c r="J661">
        <f t="shared" si="26"/>
        <v>2026</v>
      </c>
      <c r="K661" t="str">
        <f>VLOOKUP(G661,METRICS!C:D,2,0)</f>
        <v>Vinhos/Espumantes</v>
      </c>
      <c r="L661" t="str">
        <f>VLOOKUP(K661,METRICS!D:E,2,0)</f>
        <v>CUSTOS DOS PRODUTOS VENDIDOS</v>
      </c>
    </row>
    <row r="662" spans="1:12" ht="15" hidden="1">
      <c r="A662" t="s">
        <v>571</v>
      </c>
      <c r="B662" t="s">
        <v>689</v>
      </c>
      <c r="C662" t="s">
        <v>690</v>
      </c>
      <c r="D662" t="s">
        <v>743</v>
      </c>
      <c r="E662" t="s">
        <v>734</v>
      </c>
      <c r="F662" t="s">
        <v>1272</v>
      </c>
      <c r="G662" t="s">
        <v>665</v>
      </c>
      <c r="H662" s="595">
        <v>-5.62</v>
      </c>
      <c r="I662" t="str">
        <f t="shared" si="27"/>
        <v>janeiro 2026</v>
      </c>
      <c r="J662">
        <f t="shared" si="26"/>
        <v>2026</v>
      </c>
      <c r="K662" t="str">
        <f>VLOOKUP(G662,METRICS!C:D,2,0)</f>
        <v>Taxas Financeiras Diversas</v>
      </c>
      <c r="L662" t="str">
        <f>VLOOKUP(K662,METRICS!D:E,2,0)</f>
        <v>TAXAS CARTÃO DE CRÉDITO</v>
      </c>
    </row>
    <row r="663" spans="1:12" ht="15" hidden="1">
      <c r="A663" t="s">
        <v>571</v>
      </c>
      <c r="B663" t="s">
        <v>689</v>
      </c>
      <c r="C663" t="s">
        <v>690</v>
      </c>
      <c r="D663" t="s">
        <v>743</v>
      </c>
      <c r="E663" t="s">
        <v>734</v>
      </c>
      <c r="F663" t="s">
        <v>1272</v>
      </c>
      <c r="G663" t="s">
        <v>665</v>
      </c>
      <c r="H663" s="595">
        <v>-3.37</v>
      </c>
      <c r="I663" t="str">
        <f t="shared" si="27"/>
        <v>janeiro 2026</v>
      </c>
      <c r="J663">
        <f t="shared" si="26"/>
        <v>2026</v>
      </c>
      <c r="K663" t="str">
        <f>VLOOKUP(G663,METRICS!C:D,2,0)</f>
        <v>Taxas Financeiras Diversas</v>
      </c>
      <c r="L663" t="str">
        <f>VLOOKUP(K663,METRICS!D:E,2,0)</f>
        <v>TAXAS CARTÃO DE CRÉDITO</v>
      </c>
    </row>
    <row r="664" spans="1:12" ht="15" hidden="1">
      <c r="A664" t="s">
        <v>571</v>
      </c>
      <c r="B664" t="s">
        <v>689</v>
      </c>
      <c r="C664" t="s">
        <v>690</v>
      </c>
      <c r="D664" t="s">
        <v>733</v>
      </c>
      <c r="E664" t="s">
        <v>734</v>
      </c>
      <c r="F664" t="s">
        <v>1272</v>
      </c>
      <c r="G664" t="s">
        <v>665</v>
      </c>
      <c r="H664" s="595">
        <v>-2.65</v>
      </c>
      <c r="I664" t="str">
        <f t="shared" si="27"/>
        <v>janeiro 2026</v>
      </c>
      <c r="J664">
        <f t="shared" si="26"/>
        <v>2026</v>
      </c>
      <c r="K664" t="str">
        <f>VLOOKUP(G664,METRICS!C:D,2,0)</f>
        <v>Taxas Financeiras Diversas</v>
      </c>
      <c r="L664" t="str">
        <f>VLOOKUP(K664,METRICS!D:E,2,0)</f>
        <v>TAXAS CARTÃO DE CRÉDITO</v>
      </c>
    </row>
    <row r="665" spans="1:12" ht="15" hidden="1">
      <c r="A665" t="s">
        <v>571</v>
      </c>
      <c r="B665" t="s">
        <v>689</v>
      </c>
      <c r="C665" t="s">
        <v>690</v>
      </c>
      <c r="D665" t="s">
        <v>883</v>
      </c>
      <c r="E665" t="s">
        <v>746</v>
      </c>
      <c r="F665" t="s">
        <v>1272</v>
      </c>
      <c r="G665" t="s">
        <v>669</v>
      </c>
      <c r="H665" s="595">
        <v>-189.23</v>
      </c>
      <c r="I665" t="str">
        <f t="shared" si="27"/>
        <v>janeiro 2026</v>
      </c>
      <c r="J665">
        <f t="shared" si="26"/>
        <v>2026</v>
      </c>
      <c r="K665" t="str">
        <f>VLOOKUP(G665,METRICS!C:D,2,0)</f>
        <v>Taxas Financeiras Diversas</v>
      </c>
      <c r="L665" t="str">
        <f>VLOOKUP(K665,METRICS!D:E,2,0)</f>
        <v>TAXAS CARTÃO DE CRÉDITO</v>
      </c>
    </row>
    <row r="666" spans="1:12" ht="15" hidden="1">
      <c r="A666" t="s">
        <v>571</v>
      </c>
      <c r="B666" t="s">
        <v>689</v>
      </c>
      <c r="C666" t="s">
        <v>690</v>
      </c>
      <c r="D666" t="s">
        <v>753</v>
      </c>
      <c r="E666" t="s">
        <v>734</v>
      </c>
      <c r="F666" t="s">
        <v>1272</v>
      </c>
      <c r="G666" t="s">
        <v>665</v>
      </c>
      <c r="H666" s="595">
        <v>-8.64</v>
      </c>
      <c r="I666" t="str">
        <f t="shared" si="27"/>
        <v>janeiro 2026</v>
      </c>
      <c r="J666">
        <f t="shared" si="26"/>
        <v>2026</v>
      </c>
      <c r="K666" t="str">
        <f>VLOOKUP(G666,METRICS!C:D,2,0)</f>
        <v>Taxas Financeiras Diversas</v>
      </c>
      <c r="L666" t="str">
        <f>VLOOKUP(K666,METRICS!D:E,2,0)</f>
        <v>TAXAS CARTÃO DE CRÉDITO</v>
      </c>
    </row>
    <row r="667" spans="1:12" ht="15" hidden="1">
      <c r="A667" t="s">
        <v>571</v>
      </c>
      <c r="B667" t="s">
        <v>689</v>
      </c>
      <c r="C667" t="s">
        <v>690</v>
      </c>
      <c r="D667" t="s">
        <v>733</v>
      </c>
      <c r="E667" t="s">
        <v>734</v>
      </c>
      <c r="F667" t="s">
        <v>1272</v>
      </c>
      <c r="G667" t="s">
        <v>665</v>
      </c>
      <c r="H667" s="595">
        <v>-7.87</v>
      </c>
      <c r="I667" t="str">
        <f t="shared" si="27"/>
        <v>janeiro 2026</v>
      </c>
      <c r="J667">
        <f t="shared" si="26"/>
        <v>2026</v>
      </c>
      <c r="K667" t="str">
        <f>VLOOKUP(G667,METRICS!C:D,2,0)</f>
        <v>Taxas Financeiras Diversas</v>
      </c>
      <c r="L667" t="str">
        <f>VLOOKUP(K667,METRICS!D:E,2,0)</f>
        <v>TAXAS CARTÃO DE CRÉDITO</v>
      </c>
    </row>
    <row r="668" spans="1:12" ht="15" hidden="1">
      <c r="A668" t="s">
        <v>571</v>
      </c>
      <c r="B668" t="s">
        <v>689</v>
      </c>
      <c r="C668" t="s">
        <v>690</v>
      </c>
      <c r="D668" t="s">
        <v>743</v>
      </c>
      <c r="E668" t="s">
        <v>734</v>
      </c>
      <c r="F668" t="s">
        <v>1272</v>
      </c>
      <c r="G668" t="s">
        <v>665</v>
      </c>
      <c r="H668" s="595">
        <v>-6.54</v>
      </c>
      <c r="I668" t="str">
        <f t="shared" si="27"/>
        <v>janeiro 2026</v>
      </c>
      <c r="J668">
        <f t="shared" si="26"/>
        <v>2026</v>
      </c>
      <c r="K668" t="str">
        <f>VLOOKUP(G668,METRICS!C:D,2,0)</f>
        <v>Taxas Financeiras Diversas</v>
      </c>
      <c r="L668" t="str">
        <f>VLOOKUP(K668,METRICS!D:E,2,0)</f>
        <v>TAXAS CARTÃO DE CRÉDITO</v>
      </c>
    </row>
    <row r="669" spans="1:12" ht="15" hidden="1">
      <c r="A669" t="s">
        <v>571</v>
      </c>
      <c r="B669" t="s">
        <v>612</v>
      </c>
      <c r="C669" t="s">
        <v>690</v>
      </c>
      <c r="D669" t="s">
        <v>980</v>
      </c>
      <c r="E669" t="s">
        <v>811</v>
      </c>
      <c r="F669" t="s">
        <v>1272</v>
      </c>
      <c r="G669" t="s">
        <v>636</v>
      </c>
      <c r="H669" s="595">
        <v>-2065.58</v>
      </c>
      <c r="I669" t="str">
        <f t="shared" si="27"/>
        <v>janeiro 2026</v>
      </c>
      <c r="J669">
        <f t="shared" si="26"/>
        <v>2026</v>
      </c>
      <c r="K669" t="str">
        <f>VLOOKUP(G669,METRICS!C:D,2,0)</f>
        <v>Secos - Mercearia</v>
      </c>
      <c r="L669" t="str">
        <f>VLOOKUP(K669,METRICS!D:E,2,0)</f>
        <v>CUSTOS DOS PRODUTOS VENDIDOS</v>
      </c>
    </row>
    <row r="670" spans="1:12" ht="15" hidden="1">
      <c r="A670" t="s">
        <v>981</v>
      </c>
      <c r="B670" t="s">
        <v>689</v>
      </c>
      <c r="C670" t="s">
        <v>690</v>
      </c>
      <c r="D670" t="s">
        <v>733</v>
      </c>
      <c r="E670" t="s">
        <v>734</v>
      </c>
      <c r="F670" t="s">
        <v>1272</v>
      </c>
      <c r="G670" t="s">
        <v>665</v>
      </c>
      <c r="H670" s="595">
        <v>-2.37</v>
      </c>
      <c r="I670" t="str">
        <f t="shared" si="27"/>
        <v>janeiro 2026</v>
      </c>
      <c r="J670">
        <f t="shared" si="26"/>
        <v>2026</v>
      </c>
      <c r="K670" t="str">
        <f>VLOOKUP(G670,METRICS!C:D,2,0)</f>
        <v>Taxas Financeiras Diversas</v>
      </c>
      <c r="L670" t="str">
        <f>VLOOKUP(K670,METRICS!D:E,2,0)</f>
        <v>TAXAS CARTÃO DE CRÉDITO</v>
      </c>
    </row>
    <row r="671" spans="1:12" ht="15" hidden="1">
      <c r="A671" t="s">
        <v>981</v>
      </c>
      <c r="B671" t="s">
        <v>689</v>
      </c>
      <c r="C671" t="s">
        <v>690</v>
      </c>
      <c r="D671" t="s">
        <v>753</v>
      </c>
      <c r="E671" t="s">
        <v>734</v>
      </c>
      <c r="F671" t="s">
        <v>1272</v>
      </c>
      <c r="G671" t="s">
        <v>665</v>
      </c>
      <c r="H671" s="595">
        <v>-7.91</v>
      </c>
      <c r="I671" t="str">
        <f t="shared" si="27"/>
        <v>janeiro 2026</v>
      </c>
      <c r="J671">
        <f t="shared" si="26"/>
        <v>2026</v>
      </c>
      <c r="K671" t="str">
        <f>VLOOKUP(G671,METRICS!C:D,2,0)</f>
        <v>Taxas Financeiras Diversas</v>
      </c>
      <c r="L671" t="str">
        <f>VLOOKUP(K671,METRICS!D:E,2,0)</f>
        <v>TAXAS CARTÃO DE CRÉDITO</v>
      </c>
    </row>
    <row r="672" spans="1:12" ht="15" hidden="1">
      <c r="A672" t="s">
        <v>981</v>
      </c>
      <c r="B672" t="s">
        <v>689</v>
      </c>
      <c r="C672" t="s">
        <v>690</v>
      </c>
      <c r="D672" t="s">
        <v>733</v>
      </c>
      <c r="E672" t="s">
        <v>734</v>
      </c>
      <c r="F672" t="s">
        <v>1272</v>
      </c>
      <c r="G672" t="s">
        <v>665</v>
      </c>
      <c r="H672" s="595">
        <v>-1.29</v>
      </c>
      <c r="I672" t="str">
        <f t="shared" si="27"/>
        <v>janeiro 2026</v>
      </c>
      <c r="J672">
        <f t="shared" si="26"/>
        <v>2026</v>
      </c>
      <c r="K672" t="str">
        <f>VLOOKUP(G672,METRICS!C:D,2,0)</f>
        <v>Taxas Financeiras Diversas</v>
      </c>
      <c r="L672" t="str">
        <f>VLOOKUP(K672,METRICS!D:E,2,0)</f>
        <v>TAXAS CARTÃO DE CRÉDITO</v>
      </c>
    </row>
    <row r="673" spans="1:12" ht="15" hidden="1">
      <c r="A673" t="s">
        <v>981</v>
      </c>
      <c r="B673" t="s">
        <v>689</v>
      </c>
      <c r="C673" t="s">
        <v>690</v>
      </c>
      <c r="D673" t="s">
        <v>982</v>
      </c>
      <c r="E673" t="s">
        <v>789</v>
      </c>
      <c r="F673" t="s">
        <v>1272</v>
      </c>
      <c r="G673" t="s">
        <v>647</v>
      </c>
      <c r="H673" s="595">
        <v>-312.58</v>
      </c>
      <c r="I673" t="str">
        <f t="shared" si="27"/>
        <v>janeiro 2026</v>
      </c>
      <c r="J673">
        <f t="shared" si="26"/>
        <v>2026</v>
      </c>
      <c r="K673" t="str">
        <f>VLOOKUP(G673,METRICS!C:D,2,0)</f>
        <v>FGTS</v>
      </c>
      <c r="L673" t="str">
        <f>VLOOKUP(K673,METRICS!D:E,2,0)</f>
        <v>PESSOAL</v>
      </c>
    </row>
    <row r="674" spans="1:12" ht="15" hidden="1">
      <c r="A674" t="s">
        <v>981</v>
      </c>
      <c r="B674" t="s">
        <v>689</v>
      </c>
      <c r="C674" t="s">
        <v>690</v>
      </c>
      <c r="D674" t="s">
        <v>733</v>
      </c>
      <c r="E674" t="s">
        <v>734</v>
      </c>
      <c r="F674" t="s">
        <v>1272</v>
      </c>
      <c r="G674" t="s">
        <v>665</v>
      </c>
      <c r="H674" s="595">
        <v>-0.31</v>
      </c>
      <c r="I674" t="str">
        <f t="shared" si="27"/>
        <v>janeiro 2026</v>
      </c>
      <c r="J674">
        <f t="shared" si="26"/>
        <v>2026</v>
      </c>
      <c r="K674" t="str">
        <f>VLOOKUP(G674,METRICS!C:D,2,0)</f>
        <v>Taxas Financeiras Diversas</v>
      </c>
      <c r="L674" t="str">
        <f>VLOOKUP(K674,METRICS!D:E,2,0)</f>
        <v>TAXAS CARTÃO DE CRÉDITO</v>
      </c>
    </row>
    <row r="675" spans="1:12" ht="15" hidden="1">
      <c r="A675" t="s">
        <v>981</v>
      </c>
      <c r="B675" t="s">
        <v>689</v>
      </c>
      <c r="C675" t="s">
        <v>690</v>
      </c>
      <c r="D675" t="s">
        <v>733</v>
      </c>
      <c r="E675" t="s">
        <v>734</v>
      </c>
      <c r="F675" t="s">
        <v>1272</v>
      </c>
      <c r="G675" t="s">
        <v>665</v>
      </c>
      <c r="H675" s="595">
        <v>-14.77</v>
      </c>
      <c r="I675" t="str">
        <f t="shared" ref="I675:I713" si="28">TEXT(A675, "mmmm aaaa")</f>
        <v>janeiro 2026</v>
      </c>
      <c r="J675">
        <f t="shared" si="26"/>
        <v>2026</v>
      </c>
      <c r="K675" t="str">
        <f>VLOOKUP(G675,METRICS!C:D,2,0)</f>
        <v>Taxas Financeiras Diversas</v>
      </c>
      <c r="L675" t="str">
        <f>VLOOKUP(K675,METRICS!D:E,2,0)</f>
        <v>TAXAS CARTÃO DE CRÉDITO</v>
      </c>
    </row>
    <row r="676" spans="1:12" ht="15" hidden="1">
      <c r="A676" t="s">
        <v>981</v>
      </c>
      <c r="B676" t="s">
        <v>689</v>
      </c>
      <c r="C676" t="s">
        <v>690</v>
      </c>
      <c r="D676" t="s">
        <v>733</v>
      </c>
      <c r="E676" t="s">
        <v>734</v>
      </c>
      <c r="F676" t="s">
        <v>1272</v>
      </c>
      <c r="G676" t="s">
        <v>665</v>
      </c>
      <c r="H676" s="595">
        <v>-5.75</v>
      </c>
      <c r="I676" t="str">
        <f t="shared" si="28"/>
        <v>janeiro 2026</v>
      </c>
      <c r="J676">
        <f t="shared" si="26"/>
        <v>2026</v>
      </c>
      <c r="K676" t="str">
        <f>VLOOKUP(G676,METRICS!C:D,2,0)</f>
        <v>Taxas Financeiras Diversas</v>
      </c>
      <c r="L676" t="str">
        <f>VLOOKUP(K676,METRICS!D:E,2,0)</f>
        <v>TAXAS CARTÃO DE CRÉDITO</v>
      </c>
    </row>
    <row r="677" spans="1:12" ht="15" hidden="1">
      <c r="A677" t="s">
        <v>981</v>
      </c>
      <c r="B677" t="s">
        <v>689</v>
      </c>
      <c r="C677" t="s">
        <v>690</v>
      </c>
      <c r="D677" t="s">
        <v>733</v>
      </c>
      <c r="E677" t="s">
        <v>734</v>
      </c>
      <c r="F677" t="s">
        <v>1272</v>
      </c>
      <c r="G677" t="s">
        <v>665</v>
      </c>
      <c r="H677" s="595">
        <v>-1.2</v>
      </c>
      <c r="I677" t="str">
        <f t="shared" si="28"/>
        <v>janeiro 2026</v>
      </c>
      <c r="J677">
        <f t="shared" si="26"/>
        <v>2026</v>
      </c>
      <c r="K677" t="str">
        <f>VLOOKUP(G677,METRICS!C:D,2,0)</f>
        <v>Taxas Financeiras Diversas</v>
      </c>
      <c r="L677" t="str">
        <f>VLOOKUP(K677,METRICS!D:E,2,0)</f>
        <v>TAXAS CARTÃO DE CRÉDITO</v>
      </c>
    </row>
    <row r="678" spans="1:12" ht="15" hidden="1">
      <c r="A678" t="s">
        <v>981</v>
      </c>
      <c r="B678" t="s">
        <v>689</v>
      </c>
      <c r="C678" t="s">
        <v>690</v>
      </c>
      <c r="D678" t="s">
        <v>733</v>
      </c>
      <c r="E678" t="s">
        <v>734</v>
      </c>
      <c r="F678" t="s">
        <v>1272</v>
      </c>
      <c r="G678" t="s">
        <v>665</v>
      </c>
      <c r="H678" s="595">
        <v>-2.75</v>
      </c>
      <c r="I678" t="str">
        <f t="shared" si="28"/>
        <v>janeiro 2026</v>
      </c>
      <c r="J678">
        <f t="shared" si="26"/>
        <v>2026</v>
      </c>
      <c r="K678" t="str">
        <f>VLOOKUP(G678,METRICS!C:D,2,0)</f>
        <v>Taxas Financeiras Diversas</v>
      </c>
      <c r="L678" t="str">
        <f>VLOOKUP(K678,METRICS!D:E,2,0)</f>
        <v>TAXAS CARTÃO DE CRÉDITO</v>
      </c>
    </row>
    <row r="679" spans="1:12" ht="15" hidden="1">
      <c r="A679" t="s">
        <v>981</v>
      </c>
      <c r="B679" t="s">
        <v>689</v>
      </c>
      <c r="C679" t="s">
        <v>690</v>
      </c>
      <c r="D679" t="s">
        <v>733</v>
      </c>
      <c r="E679" t="s">
        <v>734</v>
      </c>
      <c r="F679" t="s">
        <v>1272</v>
      </c>
      <c r="G679" t="s">
        <v>665</v>
      </c>
      <c r="H679" s="595">
        <v>-11.78</v>
      </c>
      <c r="I679" t="str">
        <f t="shared" si="28"/>
        <v>janeiro 2026</v>
      </c>
      <c r="J679">
        <f t="shared" si="26"/>
        <v>2026</v>
      </c>
      <c r="K679" t="str">
        <f>VLOOKUP(G679,METRICS!C:D,2,0)</f>
        <v>Taxas Financeiras Diversas</v>
      </c>
      <c r="L679" t="str">
        <f>VLOOKUP(K679,METRICS!D:E,2,0)</f>
        <v>TAXAS CARTÃO DE CRÉDITO</v>
      </c>
    </row>
    <row r="680" spans="1:12" ht="15" hidden="1">
      <c r="A680" t="s">
        <v>981</v>
      </c>
      <c r="B680" t="s">
        <v>689</v>
      </c>
      <c r="C680" t="s">
        <v>690</v>
      </c>
      <c r="D680" t="s">
        <v>753</v>
      </c>
      <c r="E680" t="s">
        <v>734</v>
      </c>
      <c r="F680" t="s">
        <v>1272</v>
      </c>
      <c r="G680" t="s">
        <v>665</v>
      </c>
      <c r="H680" s="595">
        <v>-35.96</v>
      </c>
      <c r="I680" t="str">
        <f t="shared" si="28"/>
        <v>janeiro 2026</v>
      </c>
      <c r="J680">
        <f t="shared" si="26"/>
        <v>2026</v>
      </c>
      <c r="K680" t="str">
        <f>VLOOKUP(G680,METRICS!C:D,2,0)</f>
        <v>Taxas Financeiras Diversas</v>
      </c>
      <c r="L680" t="str">
        <f>VLOOKUP(K680,METRICS!D:E,2,0)</f>
        <v>TAXAS CARTÃO DE CRÉDITO</v>
      </c>
    </row>
    <row r="681" spans="1:12" ht="15" hidden="1">
      <c r="A681" t="s">
        <v>981</v>
      </c>
      <c r="B681" t="s">
        <v>689</v>
      </c>
      <c r="C681" t="s">
        <v>690</v>
      </c>
      <c r="D681" t="s">
        <v>743</v>
      </c>
      <c r="E681" t="s">
        <v>734</v>
      </c>
      <c r="F681" t="s">
        <v>1272</v>
      </c>
      <c r="G681" t="s">
        <v>665</v>
      </c>
      <c r="H681" s="595">
        <v>-1.2</v>
      </c>
      <c r="I681" t="str">
        <f t="shared" si="28"/>
        <v>janeiro 2026</v>
      </c>
      <c r="J681">
        <f t="shared" si="26"/>
        <v>2026</v>
      </c>
      <c r="K681" t="str">
        <f>VLOOKUP(G681,METRICS!C:D,2,0)</f>
        <v>Taxas Financeiras Diversas</v>
      </c>
      <c r="L681" t="str">
        <f>VLOOKUP(K681,METRICS!D:E,2,0)</f>
        <v>TAXAS CARTÃO DE CRÉDITO</v>
      </c>
    </row>
    <row r="682" spans="1:12" ht="15" hidden="1">
      <c r="A682" t="s">
        <v>981</v>
      </c>
      <c r="B682" t="s">
        <v>689</v>
      </c>
      <c r="C682" t="s">
        <v>690</v>
      </c>
      <c r="D682" t="s">
        <v>733</v>
      </c>
      <c r="E682" t="s">
        <v>734</v>
      </c>
      <c r="F682" t="s">
        <v>1272</v>
      </c>
      <c r="G682" t="s">
        <v>665</v>
      </c>
      <c r="H682" s="595">
        <v>-12.26</v>
      </c>
      <c r="I682" t="str">
        <f t="shared" si="28"/>
        <v>janeiro 2026</v>
      </c>
      <c r="J682">
        <f t="shared" si="26"/>
        <v>2026</v>
      </c>
      <c r="K682" t="str">
        <f>VLOOKUP(G682,METRICS!C:D,2,0)</f>
        <v>Taxas Financeiras Diversas</v>
      </c>
      <c r="L682" t="str">
        <f>VLOOKUP(K682,METRICS!D:E,2,0)</f>
        <v>TAXAS CARTÃO DE CRÉDITO</v>
      </c>
    </row>
    <row r="683" spans="1:12" ht="15" hidden="1">
      <c r="A683" t="s">
        <v>981</v>
      </c>
      <c r="B683" t="s">
        <v>689</v>
      </c>
      <c r="C683" t="s">
        <v>690</v>
      </c>
      <c r="D683" t="s">
        <v>733</v>
      </c>
      <c r="E683" t="s">
        <v>734</v>
      </c>
      <c r="F683" t="s">
        <v>1272</v>
      </c>
      <c r="G683" t="s">
        <v>665</v>
      </c>
      <c r="H683" s="595">
        <v>-2.54</v>
      </c>
      <c r="I683" t="str">
        <f t="shared" si="28"/>
        <v>janeiro 2026</v>
      </c>
      <c r="J683">
        <f t="shared" si="26"/>
        <v>2026</v>
      </c>
      <c r="K683" t="str">
        <f>VLOOKUP(G683,METRICS!C:D,2,0)</f>
        <v>Taxas Financeiras Diversas</v>
      </c>
      <c r="L683" t="str">
        <f>VLOOKUP(K683,METRICS!D:E,2,0)</f>
        <v>TAXAS CARTÃO DE CRÉDITO</v>
      </c>
    </row>
    <row r="684" spans="1:12" ht="15" hidden="1">
      <c r="A684" t="s">
        <v>981</v>
      </c>
      <c r="B684" t="s">
        <v>612</v>
      </c>
      <c r="C684" t="s">
        <v>690</v>
      </c>
      <c r="D684" t="s">
        <v>983</v>
      </c>
      <c r="E684" t="s">
        <v>984</v>
      </c>
      <c r="F684" t="s">
        <v>1272</v>
      </c>
      <c r="G684" t="s">
        <v>614</v>
      </c>
      <c r="H684" s="595">
        <v>-3620.05</v>
      </c>
      <c r="I684" t="str">
        <f t="shared" si="28"/>
        <v>janeiro 2026</v>
      </c>
      <c r="J684">
        <f t="shared" si="26"/>
        <v>2026</v>
      </c>
      <c r="K684" t="str">
        <f>VLOOKUP(G684,METRICS!C:D,2,0)</f>
        <v>Honorarios Advocaticios</v>
      </c>
      <c r="L684" t="str">
        <f>VLOOKUP(K684,METRICS!D:E,2,0)</f>
        <v>ADMINISTRATIVA</v>
      </c>
    </row>
    <row r="685" spans="1:12" ht="15" hidden="1">
      <c r="A685" t="s">
        <v>981</v>
      </c>
      <c r="B685" t="s">
        <v>689</v>
      </c>
      <c r="C685" t="s">
        <v>690</v>
      </c>
      <c r="D685" t="s">
        <v>733</v>
      </c>
      <c r="E685" t="s">
        <v>734</v>
      </c>
      <c r="F685" t="s">
        <v>1272</v>
      </c>
      <c r="G685" t="s">
        <v>665</v>
      </c>
      <c r="H685" s="595">
        <v>-2.72</v>
      </c>
      <c r="I685" t="str">
        <f t="shared" si="28"/>
        <v>janeiro 2026</v>
      </c>
      <c r="J685">
        <f t="shared" si="26"/>
        <v>2026</v>
      </c>
      <c r="K685" t="str">
        <f>VLOOKUP(G685,METRICS!C:D,2,0)</f>
        <v>Taxas Financeiras Diversas</v>
      </c>
      <c r="L685" t="str">
        <f>VLOOKUP(K685,METRICS!D:E,2,0)</f>
        <v>TAXAS CARTÃO DE CRÉDITO</v>
      </c>
    </row>
    <row r="686" spans="1:12" ht="15" hidden="1">
      <c r="A686" t="s">
        <v>981</v>
      </c>
      <c r="B686" t="s">
        <v>689</v>
      </c>
      <c r="C686" t="s">
        <v>690</v>
      </c>
      <c r="D686" t="s">
        <v>743</v>
      </c>
      <c r="E686" t="s">
        <v>734</v>
      </c>
      <c r="F686" t="s">
        <v>1272</v>
      </c>
      <c r="G686" t="s">
        <v>665</v>
      </c>
      <c r="H686" s="595">
        <v>-0.91</v>
      </c>
      <c r="I686" t="str">
        <f t="shared" si="28"/>
        <v>janeiro 2026</v>
      </c>
      <c r="J686">
        <f t="shared" si="26"/>
        <v>2026</v>
      </c>
      <c r="K686" t="str">
        <f>VLOOKUP(G686,METRICS!C:D,2,0)</f>
        <v>Taxas Financeiras Diversas</v>
      </c>
      <c r="L686" t="str">
        <f>VLOOKUP(K686,METRICS!D:E,2,0)</f>
        <v>TAXAS CARTÃO DE CRÉDITO</v>
      </c>
    </row>
    <row r="687" spans="1:12" ht="15" hidden="1">
      <c r="A687" t="s">
        <v>981</v>
      </c>
      <c r="B687" t="s">
        <v>689</v>
      </c>
      <c r="C687" t="s">
        <v>690</v>
      </c>
      <c r="D687" t="s">
        <v>733</v>
      </c>
      <c r="E687" t="s">
        <v>734</v>
      </c>
      <c r="F687" t="s">
        <v>1272</v>
      </c>
      <c r="G687" t="s">
        <v>665</v>
      </c>
      <c r="H687" s="595">
        <v>-5.26</v>
      </c>
      <c r="I687" t="str">
        <f t="shared" si="28"/>
        <v>janeiro 2026</v>
      </c>
      <c r="J687">
        <f t="shared" si="26"/>
        <v>2026</v>
      </c>
      <c r="K687" t="str">
        <f>VLOOKUP(G687,METRICS!C:D,2,0)</f>
        <v>Taxas Financeiras Diversas</v>
      </c>
      <c r="L687" t="str">
        <f>VLOOKUP(K687,METRICS!D:E,2,0)</f>
        <v>TAXAS CARTÃO DE CRÉDITO</v>
      </c>
    </row>
    <row r="688" spans="1:12" ht="15" hidden="1">
      <c r="A688" t="s">
        <v>981</v>
      </c>
      <c r="B688" t="s">
        <v>689</v>
      </c>
      <c r="C688" t="s">
        <v>690</v>
      </c>
      <c r="D688" t="s">
        <v>733</v>
      </c>
      <c r="E688" t="s">
        <v>734</v>
      </c>
      <c r="F688" t="s">
        <v>1272</v>
      </c>
      <c r="G688" t="s">
        <v>665</v>
      </c>
      <c r="H688" s="595">
        <v>-7.32</v>
      </c>
      <c r="I688" t="str">
        <f t="shared" si="28"/>
        <v>janeiro 2026</v>
      </c>
      <c r="J688">
        <f t="shared" si="26"/>
        <v>2026</v>
      </c>
      <c r="K688" t="str">
        <f>VLOOKUP(G688,METRICS!C:D,2,0)</f>
        <v>Taxas Financeiras Diversas</v>
      </c>
      <c r="L688" t="str">
        <f>VLOOKUP(K688,METRICS!D:E,2,0)</f>
        <v>TAXAS CARTÃO DE CRÉDITO</v>
      </c>
    </row>
    <row r="689" spans="1:12" ht="15" hidden="1">
      <c r="A689" t="s">
        <v>981</v>
      </c>
      <c r="B689" t="s">
        <v>689</v>
      </c>
      <c r="C689" t="s">
        <v>690</v>
      </c>
      <c r="D689" t="s">
        <v>743</v>
      </c>
      <c r="E689" t="s">
        <v>734</v>
      </c>
      <c r="F689" t="s">
        <v>1272</v>
      </c>
      <c r="G689" t="s">
        <v>665</v>
      </c>
      <c r="H689" s="595">
        <v>-3.09</v>
      </c>
      <c r="I689" t="str">
        <f t="shared" si="28"/>
        <v>janeiro 2026</v>
      </c>
      <c r="J689">
        <f t="shared" si="26"/>
        <v>2026</v>
      </c>
      <c r="K689" t="str">
        <f>VLOOKUP(G689,METRICS!C:D,2,0)</f>
        <v>Taxas Financeiras Diversas</v>
      </c>
      <c r="L689" t="str">
        <f>VLOOKUP(K689,METRICS!D:E,2,0)</f>
        <v>TAXAS CARTÃO DE CRÉDITO</v>
      </c>
    </row>
    <row r="690" spans="1:12" ht="15" hidden="1">
      <c r="A690" t="s">
        <v>981</v>
      </c>
      <c r="B690" t="s">
        <v>689</v>
      </c>
      <c r="C690" t="s">
        <v>690</v>
      </c>
      <c r="D690" t="s">
        <v>753</v>
      </c>
      <c r="E690" t="s">
        <v>734</v>
      </c>
      <c r="F690" t="s">
        <v>1272</v>
      </c>
      <c r="G690" t="s">
        <v>665</v>
      </c>
      <c r="H690" s="595">
        <v>-21.29</v>
      </c>
      <c r="I690" t="str">
        <f t="shared" si="28"/>
        <v>janeiro 2026</v>
      </c>
      <c r="J690">
        <f t="shared" si="26"/>
        <v>2026</v>
      </c>
      <c r="K690" t="str">
        <f>VLOOKUP(G690,METRICS!C:D,2,0)</f>
        <v>Taxas Financeiras Diversas</v>
      </c>
      <c r="L690" t="str">
        <f>VLOOKUP(K690,METRICS!D:E,2,0)</f>
        <v>TAXAS CARTÃO DE CRÉDITO</v>
      </c>
    </row>
    <row r="691" spans="1:12" ht="15" hidden="1">
      <c r="A691" t="s">
        <v>981</v>
      </c>
      <c r="B691" t="s">
        <v>689</v>
      </c>
      <c r="C691" t="s">
        <v>690</v>
      </c>
      <c r="D691" t="s">
        <v>733</v>
      </c>
      <c r="E691" t="s">
        <v>734</v>
      </c>
      <c r="F691" t="s">
        <v>1272</v>
      </c>
      <c r="G691" t="s">
        <v>665</v>
      </c>
      <c r="H691" s="595">
        <v>-3.48</v>
      </c>
      <c r="I691" t="str">
        <f t="shared" si="28"/>
        <v>janeiro 2026</v>
      </c>
      <c r="J691">
        <f t="shared" si="26"/>
        <v>2026</v>
      </c>
      <c r="K691" t="str">
        <f>VLOOKUP(G691,METRICS!C:D,2,0)</f>
        <v>Taxas Financeiras Diversas</v>
      </c>
      <c r="L691" t="str">
        <f>VLOOKUP(K691,METRICS!D:E,2,0)</f>
        <v>TAXAS CARTÃO DE CRÉDITO</v>
      </c>
    </row>
    <row r="692" spans="1:12" ht="15" hidden="1">
      <c r="A692" t="s">
        <v>981</v>
      </c>
      <c r="B692" t="s">
        <v>612</v>
      </c>
      <c r="C692" t="s">
        <v>690</v>
      </c>
      <c r="D692" t="s">
        <v>985</v>
      </c>
      <c r="E692" t="s">
        <v>780</v>
      </c>
      <c r="F692" t="s">
        <v>1272</v>
      </c>
      <c r="G692" t="s">
        <v>611</v>
      </c>
      <c r="H692" s="595">
        <v>-2710.11</v>
      </c>
      <c r="I692" t="str">
        <f t="shared" si="28"/>
        <v>janeiro 2026</v>
      </c>
      <c r="J692">
        <f t="shared" si="26"/>
        <v>2026</v>
      </c>
      <c r="K692" t="str">
        <f>VLOOKUP(G692,METRICS!C:D,2,0)</f>
        <v>Bebidas Alcoólicas</v>
      </c>
      <c r="L692" t="str">
        <f>VLOOKUP(K692,METRICS!D:E,2,0)</f>
        <v>CUSTOS DOS PRODUTOS VENDIDOS</v>
      </c>
    </row>
    <row r="693" spans="1:12" ht="15" hidden="1">
      <c r="A693" t="s">
        <v>981</v>
      </c>
      <c r="B693" t="s">
        <v>689</v>
      </c>
      <c r="C693" t="s">
        <v>690</v>
      </c>
      <c r="D693" t="s">
        <v>733</v>
      </c>
      <c r="E693" t="s">
        <v>734</v>
      </c>
      <c r="F693" t="s">
        <v>1272</v>
      </c>
      <c r="G693" t="s">
        <v>665</v>
      </c>
      <c r="H693" s="595">
        <v>-8.4700000000000006</v>
      </c>
      <c r="I693" t="str">
        <f t="shared" si="28"/>
        <v>janeiro 2026</v>
      </c>
      <c r="J693">
        <f t="shared" ref="J693:J756" si="29">YEAR(A693)</f>
        <v>2026</v>
      </c>
      <c r="K693" t="str">
        <f>VLOOKUP(G693,METRICS!C:D,2,0)</f>
        <v>Taxas Financeiras Diversas</v>
      </c>
      <c r="L693" t="str">
        <f>VLOOKUP(K693,METRICS!D:E,2,0)</f>
        <v>TAXAS CARTÃO DE CRÉDITO</v>
      </c>
    </row>
    <row r="694" spans="1:12" ht="15" hidden="1">
      <c r="A694" t="s">
        <v>981</v>
      </c>
      <c r="B694" t="s">
        <v>689</v>
      </c>
      <c r="C694" t="s">
        <v>690</v>
      </c>
      <c r="D694" t="s">
        <v>733</v>
      </c>
      <c r="E694" t="s">
        <v>734</v>
      </c>
      <c r="F694" t="s">
        <v>1272</v>
      </c>
      <c r="G694" t="s">
        <v>665</v>
      </c>
      <c r="H694" s="595">
        <v>-0.68</v>
      </c>
      <c r="I694" t="str">
        <f t="shared" si="28"/>
        <v>janeiro 2026</v>
      </c>
      <c r="J694">
        <f t="shared" si="29"/>
        <v>2026</v>
      </c>
      <c r="K694" t="str">
        <f>VLOOKUP(G694,METRICS!C:D,2,0)</f>
        <v>Taxas Financeiras Diversas</v>
      </c>
      <c r="L694" t="str">
        <f>VLOOKUP(K694,METRICS!D:E,2,0)</f>
        <v>TAXAS CARTÃO DE CRÉDITO</v>
      </c>
    </row>
    <row r="695" spans="1:12" ht="15" hidden="1">
      <c r="A695" t="s">
        <v>981</v>
      </c>
      <c r="B695" t="s">
        <v>689</v>
      </c>
      <c r="C695" t="s">
        <v>690</v>
      </c>
      <c r="D695" t="s">
        <v>733</v>
      </c>
      <c r="E695" t="s">
        <v>734</v>
      </c>
      <c r="F695" t="s">
        <v>1272</v>
      </c>
      <c r="G695" t="s">
        <v>665</v>
      </c>
      <c r="H695" s="595">
        <v>-1.42</v>
      </c>
      <c r="I695" t="str">
        <f t="shared" si="28"/>
        <v>janeiro 2026</v>
      </c>
      <c r="J695">
        <f t="shared" si="29"/>
        <v>2026</v>
      </c>
      <c r="K695" t="str">
        <f>VLOOKUP(G695,METRICS!C:D,2,0)</f>
        <v>Taxas Financeiras Diversas</v>
      </c>
      <c r="L695" t="str">
        <f>VLOOKUP(K695,METRICS!D:E,2,0)</f>
        <v>TAXAS CARTÃO DE CRÉDITO</v>
      </c>
    </row>
    <row r="696" spans="1:12" ht="15" hidden="1">
      <c r="A696" t="s">
        <v>981</v>
      </c>
      <c r="B696" t="s">
        <v>689</v>
      </c>
      <c r="C696" t="s">
        <v>690</v>
      </c>
      <c r="D696" t="s">
        <v>743</v>
      </c>
      <c r="E696" t="s">
        <v>734</v>
      </c>
      <c r="F696" t="s">
        <v>1272</v>
      </c>
      <c r="G696" t="s">
        <v>665</v>
      </c>
      <c r="H696" s="595">
        <v>-3.48</v>
      </c>
      <c r="I696" t="str">
        <f t="shared" si="28"/>
        <v>janeiro 2026</v>
      </c>
      <c r="J696">
        <f t="shared" si="29"/>
        <v>2026</v>
      </c>
      <c r="K696" t="str">
        <f>VLOOKUP(G696,METRICS!C:D,2,0)</f>
        <v>Taxas Financeiras Diversas</v>
      </c>
      <c r="L696" t="str">
        <f>VLOOKUP(K696,METRICS!D:E,2,0)</f>
        <v>TAXAS CARTÃO DE CRÉDITO</v>
      </c>
    </row>
    <row r="697" spans="1:12" ht="15" hidden="1">
      <c r="A697" t="s">
        <v>981</v>
      </c>
      <c r="B697" t="s">
        <v>689</v>
      </c>
      <c r="C697" t="s">
        <v>690</v>
      </c>
      <c r="D697" t="s">
        <v>733</v>
      </c>
      <c r="E697" t="s">
        <v>734</v>
      </c>
      <c r="F697" t="s">
        <v>1272</v>
      </c>
      <c r="G697" t="s">
        <v>665</v>
      </c>
      <c r="H697" s="595">
        <v>-1.75</v>
      </c>
      <c r="I697" t="str">
        <f t="shared" si="28"/>
        <v>janeiro 2026</v>
      </c>
      <c r="J697">
        <f t="shared" si="29"/>
        <v>2026</v>
      </c>
      <c r="K697" t="str">
        <f>VLOOKUP(G697,METRICS!C:D,2,0)</f>
        <v>Taxas Financeiras Diversas</v>
      </c>
      <c r="L697" t="str">
        <f>VLOOKUP(K697,METRICS!D:E,2,0)</f>
        <v>TAXAS CARTÃO DE CRÉDITO</v>
      </c>
    </row>
    <row r="698" spans="1:12" ht="15" hidden="1">
      <c r="A698" t="s">
        <v>981</v>
      </c>
      <c r="B698" t="s">
        <v>689</v>
      </c>
      <c r="C698" t="s">
        <v>690</v>
      </c>
      <c r="D698" t="s">
        <v>733</v>
      </c>
      <c r="E698" t="s">
        <v>734</v>
      </c>
      <c r="F698" t="s">
        <v>1272</v>
      </c>
      <c r="G698" t="s">
        <v>665</v>
      </c>
      <c r="H698" s="595">
        <v>-2.61</v>
      </c>
      <c r="I698" t="str">
        <f t="shared" si="28"/>
        <v>janeiro 2026</v>
      </c>
      <c r="J698">
        <f t="shared" si="29"/>
        <v>2026</v>
      </c>
      <c r="K698" t="str">
        <f>VLOOKUP(G698,METRICS!C:D,2,0)</f>
        <v>Taxas Financeiras Diversas</v>
      </c>
      <c r="L698" t="str">
        <f>VLOOKUP(K698,METRICS!D:E,2,0)</f>
        <v>TAXAS CARTÃO DE CRÉDITO</v>
      </c>
    </row>
    <row r="699" spans="1:12" ht="15" hidden="1">
      <c r="A699" t="s">
        <v>981</v>
      </c>
      <c r="B699" t="s">
        <v>689</v>
      </c>
      <c r="C699" t="s">
        <v>690</v>
      </c>
      <c r="D699" t="s">
        <v>733</v>
      </c>
      <c r="E699" t="s">
        <v>734</v>
      </c>
      <c r="F699" t="s">
        <v>1272</v>
      </c>
      <c r="G699" t="s">
        <v>665</v>
      </c>
      <c r="H699" s="595">
        <v>-0.34</v>
      </c>
      <c r="I699" t="str">
        <f t="shared" si="28"/>
        <v>janeiro 2026</v>
      </c>
      <c r="J699">
        <f t="shared" si="29"/>
        <v>2026</v>
      </c>
      <c r="K699" t="str">
        <f>VLOOKUP(G699,METRICS!C:D,2,0)</f>
        <v>Taxas Financeiras Diversas</v>
      </c>
      <c r="L699" t="str">
        <f>VLOOKUP(K699,METRICS!D:E,2,0)</f>
        <v>TAXAS CARTÃO DE CRÉDITO</v>
      </c>
    </row>
    <row r="700" spans="1:12" ht="15" hidden="1">
      <c r="A700" t="s">
        <v>981</v>
      </c>
      <c r="B700" t="s">
        <v>689</v>
      </c>
      <c r="C700" t="s">
        <v>690</v>
      </c>
      <c r="D700" t="s">
        <v>733</v>
      </c>
      <c r="E700" t="s">
        <v>734</v>
      </c>
      <c r="F700" t="s">
        <v>1272</v>
      </c>
      <c r="G700" t="s">
        <v>665</v>
      </c>
      <c r="H700" s="595">
        <v>-3.09</v>
      </c>
      <c r="I700" t="str">
        <f t="shared" si="28"/>
        <v>janeiro 2026</v>
      </c>
      <c r="J700">
        <f t="shared" si="29"/>
        <v>2026</v>
      </c>
      <c r="K700" t="str">
        <f>VLOOKUP(G700,METRICS!C:D,2,0)</f>
        <v>Taxas Financeiras Diversas</v>
      </c>
      <c r="L700" t="str">
        <f>VLOOKUP(K700,METRICS!D:E,2,0)</f>
        <v>TAXAS CARTÃO DE CRÉDITO</v>
      </c>
    </row>
    <row r="701" spans="1:12" ht="15" hidden="1">
      <c r="A701" t="s">
        <v>981</v>
      </c>
      <c r="B701" t="s">
        <v>689</v>
      </c>
      <c r="C701" t="s">
        <v>690</v>
      </c>
      <c r="D701" t="s">
        <v>743</v>
      </c>
      <c r="E701" t="s">
        <v>734</v>
      </c>
      <c r="F701" t="s">
        <v>1272</v>
      </c>
      <c r="G701" t="s">
        <v>665</v>
      </c>
      <c r="H701" s="595">
        <v>-5.59</v>
      </c>
      <c r="I701" t="str">
        <f t="shared" si="28"/>
        <v>janeiro 2026</v>
      </c>
      <c r="J701">
        <f t="shared" si="29"/>
        <v>2026</v>
      </c>
      <c r="K701" t="str">
        <f>VLOOKUP(G701,METRICS!C:D,2,0)</f>
        <v>Taxas Financeiras Diversas</v>
      </c>
      <c r="L701" t="str">
        <f>VLOOKUP(K701,METRICS!D:E,2,0)</f>
        <v>TAXAS CARTÃO DE CRÉDITO</v>
      </c>
    </row>
    <row r="702" spans="1:12" ht="15" hidden="1">
      <c r="A702" t="s">
        <v>981</v>
      </c>
      <c r="B702" t="s">
        <v>689</v>
      </c>
      <c r="C702" t="s">
        <v>690</v>
      </c>
      <c r="D702" t="s">
        <v>743</v>
      </c>
      <c r="E702" t="s">
        <v>734</v>
      </c>
      <c r="F702" t="s">
        <v>1272</v>
      </c>
      <c r="G702" t="s">
        <v>665</v>
      </c>
      <c r="H702" s="595">
        <v>-0.92</v>
      </c>
      <c r="I702" t="str">
        <f t="shared" si="28"/>
        <v>janeiro 2026</v>
      </c>
      <c r="J702">
        <f t="shared" si="29"/>
        <v>2026</v>
      </c>
      <c r="K702" t="str">
        <f>VLOOKUP(G702,METRICS!C:D,2,0)</f>
        <v>Taxas Financeiras Diversas</v>
      </c>
      <c r="L702" t="str">
        <f>VLOOKUP(K702,METRICS!D:E,2,0)</f>
        <v>TAXAS CARTÃO DE CRÉDITO</v>
      </c>
    </row>
    <row r="703" spans="1:12" ht="15" hidden="1">
      <c r="A703" t="s">
        <v>981</v>
      </c>
      <c r="B703" t="s">
        <v>689</v>
      </c>
      <c r="C703" t="s">
        <v>690</v>
      </c>
      <c r="D703" t="s">
        <v>733</v>
      </c>
      <c r="E703" t="s">
        <v>734</v>
      </c>
      <c r="F703" t="s">
        <v>1272</v>
      </c>
      <c r="G703" t="s">
        <v>665</v>
      </c>
      <c r="H703" s="595">
        <v>-4.12</v>
      </c>
      <c r="I703" t="str">
        <f t="shared" si="28"/>
        <v>janeiro 2026</v>
      </c>
      <c r="J703">
        <f t="shared" si="29"/>
        <v>2026</v>
      </c>
      <c r="K703" t="str">
        <f>VLOOKUP(G703,METRICS!C:D,2,0)</f>
        <v>Taxas Financeiras Diversas</v>
      </c>
      <c r="L703" t="str">
        <f>VLOOKUP(K703,METRICS!D:E,2,0)</f>
        <v>TAXAS CARTÃO DE CRÉDITO</v>
      </c>
    </row>
    <row r="704" spans="1:12" ht="15" hidden="1">
      <c r="A704" t="s">
        <v>981</v>
      </c>
      <c r="B704" t="s">
        <v>689</v>
      </c>
      <c r="C704" t="s">
        <v>690</v>
      </c>
      <c r="D704" t="s">
        <v>733</v>
      </c>
      <c r="E704" t="s">
        <v>734</v>
      </c>
      <c r="F704" t="s">
        <v>1272</v>
      </c>
      <c r="G704" t="s">
        <v>665</v>
      </c>
      <c r="H704" s="595">
        <v>-21.09</v>
      </c>
      <c r="I704" t="str">
        <f t="shared" si="28"/>
        <v>janeiro 2026</v>
      </c>
      <c r="J704">
        <f t="shared" si="29"/>
        <v>2026</v>
      </c>
      <c r="K704" t="str">
        <f>VLOOKUP(G704,METRICS!C:D,2,0)</f>
        <v>Taxas Financeiras Diversas</v>
      </c>
      <c r="L704" t="str">
        <f>VLOOKUP(K704,METRICS!D:E,2,0)</f>
        <v>TAXAS CARTÃO DE CRÉDITO</v>
      </c>
    </row>
    <row r="705" spans="1:12" ht="15" hidden="1">
      <c r="A705" t="s">
        <v>981</v>
      </c>
      <c r="B705" t="s">
        <v>612</v>
      </c>
      <c r="C705" t="s">
        <v>690</v>
      </c>
      <c r="D705" t="s">
        <v>986</v>
      </c>
      <c r="E705" t="s">
        <v>987</v>
      </c>
      <c r="F705" t="s">
        <v>1272</v>
      </c>
      <c r="G705" t="s">
        <v>641</v>
      </c>
      <c r="H705" s="595">
        <v>-8228.3700000000008</v>
      </c>
      <c r="I705" t="str">
        <f t="shared" si="28"/>
        <v>janeiro 2026</v>
      </c>
      <c r="J705">
        <f t="shared" si="29"/>
        <v>2026</v>
      </c>
      <c r="K705" t="str">
        <f>VLOOKUP(G705,METRICS!C:D,2,0)</f>
        <v>Vinhos/Espumantes</v>
      </c>
      <c r="L705" t="str">
        <f>VLOOKUP(K705,METRICS!D:E,2,0)</f>
        <v>CUSTOS DOS PRODUTOS VENDIDOS</v>
      </c>
    </row>
    <row r="706" spans="1:12" ht="15" hidden="1">
      <c r="A706" t="s">
        <v>981</v>
      </c>
      <c r="B706" t="s">
        <v>689</v>
      </c>
      <c r="C706" t="s">
        <v>690</v>
      </c>
      <c r="D706" t="s">
        <v>733</v>
      </c>
      <c r="E706" t="s">
        <v>734</v>
      </c>
      <c r="F706" t="s">
        <v>1272</v>
      </c>
      <c r="G706" t="s">
        <v>665</v>
      </c>
      <c r="H706" s="595">
        <v>-2.61</v>
      </c>
      <c r="I706" t="str">
        <f t="shared" si="28"/>
        <v>janeiro 2026</v>
      </c>
      <c r="J706">
        <f t="shared" si="29"/>
        <v>2026</v>
      </c>
      <c r="K706" t="str">
        <f>VLOOKUP(G706,METRICS!C:D,2,0)</f>
        <v>Taxas Financeiras Diversas</v>
      </c>
      <c r="L706" t="str">
        <f>VLOOKUP(K706,METRICS!D:E,2,0)</f>
        <v>TAXAS CARTÃO DE CRÉDITO</v>
      </c>
    </row>
    <row r="707" spans="1:12" ht="15" hidden="1">
      <c r="A707" t="s">
        <v>981</v>
      </c>
      <c r="B707" t="s">
        <v>689</v>
      </c>
      <c r="C707" t="s">
        <v>690</v>
      </c>
      <c r="D707" t="s">
        <v>743</v>
      </c>
      <c r="E707" t="s">
        <v>734</v>
      </c>
      <c r="F707" t="s">
        <v>1272</v>
      </c>
      <c r="G707" t="s">
        <v>665</v>
      </c>
      <c r="H707" s="595">
        <v>-1.79</v>
      </c>
      <c r="I707" t="str">
        <f t="shared" si="28"/>
        <v>janeiro 2026</v>
      </c>
      <c r="J707">
        <f t="shared" si="29"/>
        <v>2026</v>
      </c>
      <c r="K707" t="str">
        <f>VLOOKUP(G707,METRICS!C:D,2,0)</f>
        <v>Taxas Financeiras Diversas</v>
      </c>
      <c r="L707" t="str">
        <f>VLOOKUP(K707,METRICS!D:E,2,0)</f>
        <v>TAXAS CARTÃO DE CRÉDITO</v>
      </c>
    </row>
    <row r="708" spans="1:12" ht="15" hidden="1">
      <c r="A708" t="s">
        <v>981</v>
      </c>
      <c r="B708" t="s">
        <v>689</v>
      </c>
      <c r="C708" t="s">
        <v>690</v>
      </c>
      <c r="D708" t="s">
        <v>733</v>
      </c>
      <c r="E708" t="s">
        <v>734</v>
      </c>
      <c r="F708" t="s">
        <v>1272</v>
      </c>
      <c r="G708" t="s">
        <v>665</v>
      </c>
      <c r="H708" s="595">
        <v>-22.56</v>
      </c>
      <c r="I708" t="str">
        <f t="shared" si="28"/>
        <v>janeiro 2026</v>
      </c>
      <c r="J708">
        <f t="shared" si="29"/>
        <v>2026</v>
      </c>
      <c r="K708" t="str">
        <f>VLOOKUP(G708,METRICS!C:D,2,0)</f>
        <v>Taxas Financeiras Diversas</v>
      </c>
      <c r="L708" t="str">
        <f>VLOOKUP(K708,METRICS!D:E,2,0)</f>
        <v>TAXAS CARTÃO DE CRÉDITO</v>
      </c>
    </row>
    <row r="709" spans="1:12" ht="15" hidden="1">
      <c r="A709" t="s">
        <v>981</v>
      </c>
      <c r="B709" t="s">
        <v>689</v>
      </c>
      <c r="C709" t="s">
        <v>690</v>
      </c>
      <c r="D709" t="s">
        <v>733</v>
      </c>
      <c r="E709" t="s">
        <v>734</v>
      </c>
      <c r="F709" t="s">
        <v>1272</v>
      </c>
      <c r="G709" t="s">
        <v>665</v>
      </c>
      <c r="H709" s="595">
        <v>-9.42</v>
      </c>
      <c r="I709" t="str">
        <f t="shared" si="28"/>
        <v>janeiro 2026</v>
      </c>
      <c r="J709">
        <f t="shared" si="29"/>
        <v>2026</v>
      </c>
      <c r="K709" t="str">
        <f>VLOOKUP(G709,METRICS!C:D,2,0)</f>
        <v>Taxas Financeiras Diversas</v>
      </c>
      <c r="L709" t="str">
        <f>VLOOKUP(K709,METRICS!D:E,2,0)</f>
        <v>TAXAS CARTÃO DE CRÉDITO</v>
      </c>
    </row>
    <row r="710" spans="1:12" ht="15" hidden="1">
      <c r="A710" t="s">
        <v>981</v>
      </c>
      <c r="B710" t="s">
        <v>689</v>
      </c>
      <c r="C710" t="s">
        <v>690</v>
      </c>
      <c r="D710" t="s">
        <v>733</v>
      </c>
      <c r="E710" t="s">
        <v>734</v>
      </c>
      <c r="F710" t="s">
        <v>1272</v>
      </c>
      <c r="G710" t="s">
        <v>665</v>
      </c>
      <c r="H710" s="595">
        <v>-2.61</v>
      </c>
      <c r="I710" t="str">
        <f t="shared" si="28"/>
        <v>janeiro 2026</v>
      </c>
      <c r="J710">
        <f t="shared" si="29"/>
        <v>2026</v>
      </c>
      <c r="K710" t="str">
        <f>VLOOKUP(G710,METRICS!C:D,2,0)</f>
        <v>Taxas Financeiras Diversas</v>
      </c>
      <c r="L710" t="str">
        <f>VLOOKUP(K710,METRICS!D:E,2,0)</f>
        <v>TAXAS CARTÃO DE CRÉDITO</v>
      </c>
    </row>
    <row r="711" spans="1:12" ht="15" hidden="1">
      <c r="A711" t="s">
        <v>981</v>
      </c>
      <c r="B711" t="s">
        <v>689</v>
      </c>
      <c r="C711" t="s">
        <v>690</v>
      </c>
      <c r="D711" t="s">
        <v>743</v>
      </c>
      <c r="E711" t="s">
        <v>734</v>
      </c>
      <c r="F711" t="s">
        <v>1272</v>
      </c>
      <c r="G711" t="s">
        <v>665</v>
      </c>
      <c r="H711" s="595">
        <v>-3.92</v>
      </c>
      <c r="I711" t="str">
        <f t="shared" si="28"/>
        <v>janeiro 2026</v>
      </c>
      <c r="J711">
        <f t="shared" si="29"/>
        <v>2026</v>
      </c>
      <c r="K711" t="str">
        <f>VLOOKUP(G711,METRICS!C:D,2,0)</f>
        <v>Taxas Financeiras Diversas</v>
      </c>
      <c r="L711" t="str">
        <f>VLOOKUP(K711,METRICS!D:E,2,0)</f>
        <v>TAXAS CARTÃO DE CRÉDITO</v>
      </c>
    </row>
    <row r="712" spans="1:12" ht="15" hidden="1">
      <c r="A712" t="s">
        <v>981</v>
      </c>
      <c r="B712" t="s">
        <v>612</v>
      </c>
      <c r="C712" t="s">
        <v>690</v>
      </c>
      <c r="D712" t="s">
        <v>988</v>
      </c>
      <c r="E712" t="s">
        <v>857</v>
      </c>
      <c r="F712" t="s">
        <v>1272</v>
      </c>
      <c r="G712" t="s">
        <v>413</v>
      </c>
      <c r="H712" s="595">
        <v>-330</v>
      </c>
      <c r="I712" t="str">
        <f t="shared" si="28"/>
        <v>janeiro 2026</v>
      </c>
      <c r="J712">
        <f t="shared" si="29"/>
        <v>2026</v>
      </c>
      <c r="K712" t="str">
        <f>VLOOKUP(G712,METRICS!C:D,2,0)</f>
        <v>Pescados</v>
      </c>
      <c r="L712" t="str">
        <f>VLOOKUP(K712,METRICS!D:E,2,0)</f>
        <v>CUSTOS DOS PRODUTOS VENDIDOS</v>
      </c>
    </row>
    <row r="713" spans="1:12" ht="15" hidden="1">
      <c r="A713" t="s">
        <v>981</v>
      </c>
      <c r="B713" t="s">
        <v>689</v>
      </c>
      <c r="C713" t="s">
        <v>690</v>
      </c>
      <c r="D713" t="s">
        <v>743</v>
      </c>
      <c r="E713" t="s">
        <v>734</v>
      </c>
      <c r="F713" t="s">
        <v>1272</v>
      </c>
      <c r="G713" t="s">
        <v>665</v>
      </c>
      <c r="H713" s="595">
        <v>-7.94</v>
      </c>
      <c r="I713" t="str">
        <f t="shared" si="28"/>
        <v>janeiro 2026</v>
      </c>
      <c r="J713">
        <f t="shared" si="29"/>
        <v>2026</v>
      </c>
      <c r="K713" t="str">
        <f>VLOOKUP(G713,METRICS!C:D,2,0)</f>
        <v>Taxas Financeiras Diversas</v>
      </c>
      <c r="L713" t="str">
        <f>VLOOKUP(K713,METRICS!D:E,2,0)</f>
        <v>TAXAS CARTÃO DE CRÉDITO</v>
      </c>
    </row>
    <row r="714" spans="1:12" ht="15" hidden="1">
      <c r="A714" t="s">
        <v>981</v>
      </c>
      <c r="B714" t="s">
        <v>689</v>
      </c>
      <c r="C714" t="s">
        <v>690</v>
      </c>
      <c r="D714" t="s">
        <v>733</v>
      </c>
      <c r="E714" t="s">
        <v>734</v>
      </c>
      <c r="F714" t="s">
        <v>1272</v>
      </c>
      <c r="G714" t="s">
        <v>665</v>
      </c>
      <c r="H714" s="595">
        <v>-1.62</v>
      </c>
      <c r="I714" t="str">
        <f t="shared" ref="I714:I750" si="30">TEXT(A714, "mmmm aaaa")</f>
        <v>janeiro 2026</v>
      </c>
      <c r="J714">
        <f t="shared" si="29"/>
        <v>2026</v>
      </c>
      <c r="K714" t="str">
        <f>VLOOKUP(G714,METRICS!C:D,2,0)</f>
        <v>Taxas Financeiras Diversas</v>
      </c>
      <c r="L714" t="str">
        <f>VLOOKUP(K714,METRICS!D:E,2,0)</f>
        <v>TAXAS CARTÃO DE CRÉDITO</v>
      </c>
    </row>
    <row r="715" spans="1:12" ht="15" hidden="1">
      <c r="A715" t="s">
        <v>981</v>
      </c>
      <c r="B715" t="s">
        <v>689</v>
      </c>
      <c r="C715" t="s">
        <v>690</v>
      </c>
      <c r="D715" t="s">
        <v>733</v>
      </c>
      <c r="E715" t="s">
        <v>734</v>
      </c>
      <c r="F715" t="s">
        <v>1272</v>
      </c>
      <c r="G715" t="s">
        <v>665</v>
      </c>
      <c r="H715" s="595">
        <v>-2.72</v>
      </c>
      <c r="I715" t="str">
        <f t="shared" si="30"/>
        <v>janeiro 2026</v>
      </c>
      <c r="J715">
        <f t="shared" si="29"/>
        <v>2026</v>
      </c>
      <c r="K715" t="str">
        <f>VLOOKUP(G715,METRICS!C:D,2,0)</f>
        <v>Taxas Financeiras Diversas</v>
      </c>
      <c r="L715" t="str">
        <f>VLOOKUP(K715,METRICS!D:E,2,0)</f>
        <v>TAXAS CARTÃO DE CRÉDITO</v>
      </c>
    </row>
    <row r="716" spans="1:12" ht="15" hidden="1">
      <c r="A716" t="s">
        <v>981</v>
      </c>
      <c r="B716" t="s">
        <v>689</v>
      </c>
      <c r="C716" t="s">
        <v>690</v>
      </c>
      <c r="D716" t="s">
        <v>733</v>
      </c>
      <c r="E716" t="s">
        <v>734</v>
      </c>
      <c r="F716" t="s">
        <v>1272</v>
      </c>
      <c r="G716" t="s">
        <v>665</v>
      </c>
      <c r="H716" s="595">
        <v>-12.54</v>
      </c>
      <c r="I716" t="str">
        <f t="shared" si="30"/>
        <v>janeiro 2026</v>
      </c>
      <c r="J716">
        <f t="shared" si="29"/>
        <v>2026</v>
      </c>
      <c r="K716" t="str">
        <f>VLOOKUP(G716,METRICS!C:D,2,0)</f>
        <v>Taxas Financeiras Diversas</v>
      </c>
      <c r="L716" t="str">
        <f>VLOOKUP(K716,METRICS!D:E,2,0)</f>
        <v>TAXAS CARTÃO DE CRÉDITO</v>
      </c>
    </row>
    <row r="717" spans="1:12" ht="15" hidden="1">
      <c r="A717" t="s">
        <v>981</v>
      </c>
      <c r="B717" t="s">
        <v>689</v>
      </c>
      <c r="C717" t="s">
        <v>690</v>
      </c>
      <c r="D717" t="s">
        <v>743</v>
      </c>
      <c r="E717" t="s">
        <v>734</v>
      </c>
      <c r="F717" t="s">
        <v>1272</v>
      </c>
      <c r="G717" t="s">
        <v>665</v>
      </c>
      <c r="H717" s="595">
        <v>-4.99</v>
      </c>
      <c r="I717" t="str">
        <f t="shared" si="30"/>
        <v>janeiro 2026</v>
      </c>
      <c r="J717">
        <f t="shared" si="29"/>
        <v>2026</v>
      </c>
      <c r="K717" t="str">
        <f>VLOOKUP(G717,METRICS!C:D,2,0)</f>
        <v>Taxas Financeiras Diversas</v>
      </c>
      <c r="L717" t="str">
        <f>VLOOKUP(K717,METRICS!D:E,2,0)</f>
        <v>TAXAS CARTÃO DE CRÉDITO</v>
      </c>
    </row>
    <row r="718" spans="1:12" ht="15" hidden="1">
      <c r="A718" t="s">
        <v>981</v>
      </c>
      <c r="B718" t="s">
        <v>689</v>
      </c>
      <c r="C718" t="s">
        <v>690</v>
      </c>
      <c r="D718" t="s">
        <v>743</v>
      </c>
      <c r="E718" t="s">
        <v>734</v>
      </c>
      <c r="F718" t="s">
        <v>1272</v>
      </c>
      <c r="G718" t="s">
        <v>665</v>
      </c>
      <c r="H718" s="595">
        <v>-3.13</v>
      </c>
      <c r="I718" t="str">
        <f t="shared" si="30"/>
        <v>janeiro 2026</v>
      </c>
      <c r="J718">
        <f t="shared" si="29"/>
        <v>2026</v>
      </c>
      <c r="K718" t="str">
        <f>VLOOKUP(G718,METRICS!C:D,2,0)</f>
        <v>Taxas Financeiras Diversas</v>
      </c>
      <c r="L718" t="str">
        <f>VLOOKUP(K718,METRICS!D:E,2,0)</f>
        <v>TAXAS CARTÃO DE CRÉDITO</v>
      </c>
    </row>
    <row r="719" spans="1:12" ht="15" hidden="1">
      <c r="A719" t="s">
        <v>981</v>
      </c>
      <c r="B719" t="s">
        <v>689</v>
      </c>
      <c r="C719" t="s">
        <v>690</v>
      </c>
      <c r="D719" t="s">
        <v>733</v>
      </c>
      <c r="E719" t="s">
        <v>734</v>
      </c>
      <c r="F719" t="s">
        <v>1272</v>
      </c>
      <c r="G719" t="s">
        <v>665</v>
      </c>
      <c r="H719" s="595">
        <v>-0.42</v>
      </c>
      <c r="I719" t="str">
        <f t="shared" si="30"/>
        <v>janeiro 2026</v>
      </c>
      <c r="J719">
        <f t="shared" si="29"/>
        <v>2026</v>
      </c>
      <c r="K719" t="str">
        <f>VLOOKUP(G719,METRICS!C:D,2,0)</f>
        <v>Taxas Financeiras Diversas</v>
      </c>
      <c r="L719" t="str">
        <f>VLOOKUP(K719,METRICS!D:E,2,0)</f>
        <v>TAXAS CARTÃO DE CRÉDITO</v>
      </c>
    </row>
    <row r="720" spans="1:12" ht="15" hidden="1">
      <c r="A720" t="s">
        <v>981</v>
      </c>
      <c r="B720" t="s">
        <v>689</v>
      </c>
      <c r="C720" t="s">
        <v>690</v>
      </c>
      <c r="D720" t="s">
        <v>733</v>
      </c>
      <c r="E720" t="s">
        <v>734</v>
      </c>
      <c r="F720" t="s">
        <v>1272</v>
      </c>
      <c r="G720" t="s">
        <v>665</v>
      </c>
      <c r="H720" s="595">
        <v>-3.92</v>
      </c>
      <c r="I720" t="str">
        <f t="shared" si="30"/>
        <v>janeiro 2026</v>
      </c>
      <c r="J720">
        <f t="shared" si="29"/>
        <v>2026</v>
      </c>
      <c r="K720" t="str">
        <f>VLOOKUP(G720,METRICS!C:D,2,0)</f>
        <v>Taxas Financeiras Diversas</v>
      </c>
      <c r="L720" t="str">
        <f>VLOOKUP(K720,METRICS!D:E,2,0)</f>
        <v>TAXAS CARTÃO DE CRÉDITO</v>
      </c>
    </row>
    <row r="721" spans="1:12" ht="15" hidden="1">
      <c r="A721" t="s">
        <v>981</v>
      </c>
      <c r="B721" t="s">
        <v>689</v>
      </c>
      <c r="C721" t="s">
        <v>690</v>
      </c>
      <c r="D721" t="s">
        <v>733</v>
      </c>
      <c r="E721" t="s">
        <v>734</v>
      </c>
      <c r="F721" t="s">
        <v>1272</v>
      </c>
      <c r="G721" t="s">
        <v>665</v>
      </c>
      <c r="H721" s="595">
        <v>-0.76</v>
      </c>
      <c r="I721" t="str">
        <f t="shared" si="30"/>
        <v>janeiro 2026</v>
      </c>
      <c r="J721">
        <f t="shared" si="29"/>
        <v>2026</v>
      </c>
      <c r="K721" t="str">
        <f>VLOOKUP(G721,METRICS!C:D,2,0)</f>
        <v>Taxas Financeiras Diversas</v>
      </c>
      <c r="L721" t="str">
        <f>VLOOKUP(K721,METRICS!D:E,2,0)</f>
        <v>TAXAS CARTÃO DE CRÉDITO</v>
      </c>
    </row>
    <row r="722" spans="1:12" ht="15" hidden="1">
      <c r="A722" t="s">
        <v>981</v>
      </c>
      <c r="B722" t="s">
        <v>689</v>
      </c>
      <c r="C722" t="s">
        <v>690</v>
      </c>
      <c r="D722" t="s">
        <v>733</v>
      </c>
      <c r="E722" t="s">
        <v>734</v>
      </c>
      <c r="F722" t="s">
        <v>1272</v>
      </c>
      <c r="G722" t="s">
        <v>665</v>
      </c>
      <c r="H722" s="595">
        <v>-23.38</v>
      </c>
      <c r="I722" t="str">
        <f t="shared" si="30"/>
        <v>janeiro 2026</v>
      </c>
      <c r="J722">
        <f t="shared" si="29"/>
        <v>2026</v>
      </c>
      <c r="K722" t="str">
        <f>VLOOKUP(G722,METRICS!C:D,2,0)</f>
        <v>Taxas Financeiras Diversas</v>
      </c>
      <c r="L722" t="str">
        <f>VLOOKUP(K722,METRICS!D:E,2,0)</f>
        <v>TAXAS CARTÃO DE CRÉDITO</v>
      </c>
    </row>
    <row r="723" spans="1:12" ht="15" hidden="1">
      <c r="A723" t="s">
        <v>981</v>
      </c>
      <c r="B723" t="s">
        <v>689</v>
      </c>
      <c r="C723" t="s">
        <v>690</v>
      </c>
      <c r="D723" t="s">
        <v>743</v>
      </c>
      <c r="E723" t="s">
        <v>734</v>
      </c>
      <c r="F723" t="s">
        <v>1272</v>
      </c>
      <c r="G723" t="s">
        <v>665</v>
      </c>
      <c r="H723" s="595">
        <v>-6.61</v>
      </c>
      <c r="I723" t="str">
        <f t="shared" si="30"/>
        <v>janeiro 2026</v>
      </c>
      <c r="J723">
        <f t="shared" si="29"/>
        <v>2026</v>
      </c>
      <c r="K723" t="str">
        <f>VLOOKUP(G723,METRICS!C:D,2,0)</f>
        <v>Taxas Financeiras Diversas</v>
      </c>
      <c r="L723" t="str">
        <f>VLOOKUP(K723,METRICS!D:E,2,0)</f>
        <v>TAXAS CARTÃO DE CRÉDITO</v>
      </c>
    </row>
    <row r="724" spans="1:12" ht="15" hidden="1">
      <c r="A724" t="s">
        <v>981</v>
      </c>
      <c r="B724" t="s">
        <v>689</v>
      </c>
      <c r="C724" t="s">
        <v>690</v>
      </c>
      <c r="D724" t="s">
        <v>743</v>
      </c>
      <c r="E724" t="s">
        <v>734</v>
      </c>
      <c r="F724" t="s">
        <v>1272</v>
      </c>
      <c r="G724" t="s">
        <v>665</v>
      </c>
      <c r="H724" s="595">
        <v>-17.47</v>
      </c>
      <c r="I724" t="str">
        <f t="shared" si="30"/>
        <v>janeiro 2026</v>
      </c>
      <c r="J724">
        <f t="shared" si="29"/>
        <v>2026</v>
      </c>
      <c r="K724" t="str">
        <f>VLOOKUP(G724,METRICS!C:D,2,0)</f>
        <v>Taxas Financeiras Diversas</v>
      </c>
      <c r="L724" t="str">
        <f>VLOOKUP(K724,METRICS!D:E,2,0)</f>
        <v>TAXAS CARTÃO DE CRÉDITO</v>
      </c>
    </row>
    <row r="725" spans="1:12" ht="15" hidden="1">
      <c r="A725" t="s">
        <v>981</v>
      </c>
      <c r="B725" t="s">
        <v>612</v>
      </c>
      <c r="C725" t="s">
        <v>690</v>
      </c>
      <c r="D725" t="s">
        <v>989</v>
      </c>
      <c r="E725" t="s">
        <v>990</v>
      </c>
      <c r="F725" t="s">
        <v>1272</v>
      </c>
      <c r="G725" t="s">
        <v>608</v>
      </c>
      <c r="H725" s="595">
        <v>-1913.98</v>
      </c>
      <c r="I725" t="str">
        <f t="shared" si="30"/>
        <v>janeiro 2026</v>
      </c>
      <c r="J725">
        <f t="shared" si="29"/>
        <v>2026</v>
      </c>
      <c r="K725" t="str">
        <f>VLOOKUP(G725,METRICS!C:D,2,0)</f>
        <v>Bebidas não Alcoolicas</v>
      </c>
      <c r="L725" t="str">
        <f>VLOOKUP(K725,METRICS!D:E,2,0)</f>
        <v>CUSTOS DOS PRODUTOS VENDIDOS</v>
      </c>
    </row>
    <row r="726" spans="1:12" ht="15" hidden="1">
      <c r="A726" t="s">
        <v>981</v>
      </c>
      <c r="B726" t="s">
        <v>689</v>
      </c>
      <c r="C726" t="s">
        <v>690</v>
      </c>
      <c r="D726" t="s">
        <v>743</v>
      </c>
      <c r="E726" t="s">
        <v>734</v>
      </c>
      <c r="F726" t="s">
        <v>1272</v>
      </c>
      <c r="G726" t="s">
        <v>665</v>
      </c>
      <c r="H726" s="595">
        <v>-34.06</v>
      </c>
      <c r="I726" t="str">
        <f t="shared" si="30"/>
        <v>janeiro 2026</v>
      </c>
      <c r="J726">
        <f t="shared" si="29"/>
        <v>2026</v>
      </c>
      <c r="K726" t="str">
        <f>VLOOKUP(G726,METRICS!C:D,2,0)</f>
        <v>Taxas Financeiras Diversas</v>
      </c>
      <c r="L726" t="str">
        <f>VLOOKUP(K726,METRICS!D:E,2,0)</f>
        <v>TAXAS CARTÃO DE CRÉDITO</v>
      </c>
    </row>
    <row r="727" spans="1:12" ht="15" hidden="1">
      <c r="A727" t="s">
        <v>981</v>
      </c>
      <c r="B727" t="s">
        <v>689</v>
      </c>
      <c r="C727" t="s">
        <v>690</v>
      </c>
      <c r="D727" t="s">
        <v>733</v>
      </c>
      <c r="E727" t="s">
        <v>734</v>
      </c>
      <c r="F727" t="s">
        <v>1272</v>
      </c>
      <c r="G727" t="s">
        <v>665</v>
      </c>
      <c r="H727" s="595">
        <v>-1.71</v>
      </c>
      <c r="I727" t="str">
        <f t="shared" si="30"/>
        <v>janeiro 2026</v>
      </c>
      <c r="J727">
        <f t="shared" si="29"/>
        <v>2026</v>
      </c>
      <c r="K727" t="str">
        <f>VLOOKUP(G727,METRICS!C:D,2,0)</f>
        <v>Taxas Financeiras Diversas</v>
      </c>
      <c r="L727" t="str">
        <f>VLOOKUP(K727,METRICS!D:E,2,0)</f>
        <v>TAXAS CARTÃO DE CRÉDITO</v>
      </c>
    </row>
    <row r="728" spans="1:12" ht="15" hidden="1">
      <c r="A728" t="s">
        <v>981</v>
      </c>
      <c r="B728" t="s">
        <v>689</v>
      </c>
      <c r="C728" t="s">
        <v>690</v>
      </c>
      <c r="D728" t="s">
        <v>743</v>
      </c>
      <c r="E728" t="s">
        <v>734</v>
      </c>
      <c r="F728" t="s">
        <v>1272</v>
      </c>
      <c r="G728" t="s">
        <v>665</v>
      </c>
      <c r="H728" s="595">
        <v>-7.5</v>
      </c>
      <c r="I728" t="str">
        <f t="shared" si="30"/>
        <v>janeiro 2026</v>
      </c>
      <c r="J728">
        <f t="shared" si="29"/>
        <v>2026</v>
      </c>
      <c r="K728" t="str">
        <f>VLOOKUP(G728,METRICS!C:D,2,0)</f>
        <v>Taxas Financeiras Diversas</v>
      </c>
      <c r="L728" t="str">
        <f>VLOOKUP(K728,METRICS!D:E,2,0)</f>
        <v>TAXAS CARTÃO DE CRÉDITO</v>
      </c>
    </row>
    <row r="729" spans="1:12" ht="15" hidden="1">
      <c r="A729" t="s">
        <v>981</v>
      </c>
      <c r="B729" t="s">
        <v>689</v>
      </c>
      <c r="C729" t="s">
        <v>690</v>
      </c>
      <c r="D729" t="s">
        <v>753</v>
      </c>
      <c r="E729" t="s">
        <v>734</v>
      </c>
      <c r="F729" t="s">
        <v>1272</v>
      </c>
      <c r="G729" t="s">
        <v>665</v>
      </c>
      <c r="H729" s="595">
        <v>-27.11</v>
      </c>
      <c r="I729" t="str">
        <f t="shared" si="30"/>
        <v>janeiro 2026</v>
      </c>
      <c r="J729">
        <f t="shared" si="29"/>
        <v>2026</v>
      </c>
      <c r="K729" t="str">
        <f>VLOOKUP(G729,METRICS!C:D,2,0)</f>
        <v>Taxas Financeiras Diversas</v>
      </c>
      <c r="L729" t="str">
        <f>VLOOKUP(K729,METRICS!D:E,2,0)</f>
        <v>TAXAS CARTÃO DE CRÉDITO</v>
      </c>
    </row>
    <row r="730" spans="1:12" ht="15" hidden="1">
      <c r="A730" t="s">
        <v>981</v>
      </c>
      <c r="B730" t="s">
        <v>689</v>
      </c>
      <c r="C730" t="s">
        <v>690</v>
      </c>
      <c r="D730" t="s">
        <v>753</v>
      </c>
      <c r="E730" t="s">
        <v>734</v>
      </c>
      <c r="F730" t="s">
        <v>1272</v>
      </c>
      <c r="G730" t="s">
        <v>665</v>
      </c>
      <c r="H730" s="595">
        <v>-4.04</v>
      </c>
      <c r="I730" t="str">
        <f t="shared" si="30"/>
        <v>janeiro 2026</v>
      </c>
      <c r="J730">
        <f t="shared" si="29"/>
        <v>2026</v>
      </c>
      <c r="K730" t="str">
        <f>VLOOKUP(G730,METRICS!C:D,2,0)</f>
        <v>Taxas Financeiras Diversas</v>
      </c>
      <c r="L730" t="str">
        <f>VLOOKUP(K730,METRICS!D:E,2,0)</f>
        <v>TAXAS CARTÃO DE CRÉDITO</v>
      </c>
    </row>
    <row r="731" spans="1:12" ht="15" hidden="1">
      <c r="A731" t="s">
        <v>981</v>
      </c>
      <c r="B731" t="s">
        <v>689</v>
      </c>
      <c r="C731" t="s">
        <v>690</v>
      </c>
      <c r="D731" t="s">
        <v>733</v>
      </c>
      <c r="E731" t="s">
        <v>734</v>
      </c>
      <c r="F731" t="s">
        <v>1272</v>
      </c>
      <c r="G731" t="s">
        <v>665</v>
      </c>
      <c r="H731" s="595">
        <v>-11.58</v>
      </c>
      <c r="I731" t="str">
        <f t="shared" si="30"/>
        <v>janeiro 2026</v>
      </c>
      <c r="J731">
        <f t="shared" si="29"/>
        <v>2026</v>
      </c>
      <c r="K731" t="str">
        <f>VLOOKUP(G731,METRICS!C:D,2,0)</f>
        <v>Taxas Financeiras Diversas</v>
      </c>
      <c r="L731" t="str">
        <f>VLOOKUP(K731,METRICS!D:E,2,0)</f>
        <v>TAXAS CARTÃO DE CRÉDITO</v>
      </c>
    </row>
    <row r="732" spans="1:12" ht="15" hidden="1">
      <c r="A732" t="s">
        <v>981</v>
      </c>
      <c r="B732" t="s">
        <v>689</v>
      </c>
      <c r="C732" t="s">
        <v>690</v>
      </c>
      <c r="D732" t="s">
        <v>743</v>
      </c>
      <c r="E732" t="s">
        <v>734</v>
      </c>
      <c r="F732" t="s">
        <v>1272</v>
      </c>
      <c r="G732" t="s">
        <v>665</v>
      </c>
      <c r="H732" s="595">
        <v>-6.51</v>
      </c>
      <c r="I732" t="str">
        <f t="shared" si="30"/>
        <v>janeiro 2026</v>
      </c>
      <c r="J732">
        <f t="shared" si="29"/>
        <v>2026</v>
      </c>
      <c r="K732" t="str">
        <f>VLOOKUP(G732,METRICS!C:D,2,0)</f>
        <v>Taxas Financeiras Diversas</v>
      </c>
      <c r="L732" t="str">
        <f>VLOOKUP(K732,METRICS!D:E,2,0)</f>
        <v>TAXAS CARTÃO DE CRÉDITO</v>
      </c>
    </row>
    <row r="733" spans="1:12" ht="15" hidden="1">
      <c r="A733" t="s">
        <v>981</v>
      </c>
      <c r="B733" t="s">
        <v>689</v>
      </c>
      <c r="C733" t="s">
        <v>690</v>
      </c>
      <c r="D733" t="s">
        <v>733</v>
      </c>
      <c r="E733" t="s">
        <v>734</v>
      </c>
      <c r="F733" t="s">
        <v>1272</v>
      </c>
      <c r="G733" t="s">
        <v>665</v>
      </c>
      <c r="H733" s="595">
        <v>-3.48</v>
      </c>
      <c r="I733" t="str">
        <f t="shared" si="30"/>
        <v>janeiro 2026</v>
      </c>
      <c r="J733">
        <f t="shared" si="29"/>
        <v>2026</v>
      </c>
      <c r="K733" t="str">
        <f>VLOOKUP(G733,METRICS!C:D,2,0)</f>
        <v>Taxas Financeiras Diversas</v>
      </c>
      <c r="L733" t="str">
        <f>VLOOKUP(K733,METRICS!D:E,2,0)</f>
        <v>TAXAS CARTÃO DE CRÉDITO</v>
      </c>
    </row>
    <row r="734" spans="1:12" ht="15" hidden="1">
      <c r="A734" t="s">
        <v>981</v>
      </c>
      <c r="B734" t="s">
        <v>689</v>
      </c>
      <c r="C734" t="s">
        <v>690</v>
      </c>
      <c r="D734" t="s">
        <v>743</v>
      </c>
      <c r="E734" t="s">
        <v>734</v>
      </c>
      <c r="F734" t="s">
        <v>1272</v>
      </c>
      <c r="G734" t="s">
        <v>665</v>
      </c>
      <c r="H734" s="595">
        <v>-6.08</v>
      </c>
      <c r="I734" t="str">
        <f t="shared" si="30"/>
        <v>janeiro 2026</v>
      </c>
      <c r="J734">
        <f t="shared" si="29"/>
        <v>2026</v>
      </c>
      <c r="K734" t="str">
        <f>VLOOKUP(G734,METRICS!C:D,2,0)</f>
        <v>Taxas Financeiras Diversas</v>
      </c>
      <c r="L734" t="str">
        <f>VLOOKUP(K734,METRICS!D:E,2,0)</f>
        <v>TAXAS CARTÃO DE CRÉDITO</v>
      </c>
    </row>
    <row r="735" spans="1:12" ht="15" hidden="1">
      <c r="A735" t="s">
        <v>981</v>
      </c>
      <c r="B735" t="s">
        <v>689</v>
      </c>
      <c r="C735" t="s">
        <v>690</v>
      </c>
      <c r="D735" t="s">
        <v>743</v>
      </c>
      <c r="E735" t="s">
        <v>734</v>
      </c>
      <c r="F735" t="s">
        <v>1272</v>
      </c>
      <c r="G735" t="s">
        <v>665</v>
      </c>
      <c r="H735" s="595">
        <v>-8.0500000000000007</v>
      </c>
      <c r="I735" t="str">
        <f t="shared" si="30"/>
        <v>janeiro 2026</v>
      </c>
      <c r="J735">
        <f t="shared" si="29"/>
        <v>2026</v>
      </c>
      <c r="K735" t="str">
        <f>VLOOKUP(G735,METRICS!C:D,2,0)</f>
        <v>Taxas Financeiras Diversas</v>
      </c>
      <c r="L735" t="str">
        <f>VLOOKUP(K735,METRICS!D:E,2,0)</f>
        <v>TAXAS CARTÃO DE CRÉDITO</v>
      </c>
    </row>
    <row r="736" spans="1:12" ht="15" hidden="1">
      <c r="A736" t="s">
        <v>981</v>
      </c>
      <c r="B736" t="s">
        <v>689</v>
      </c>
      <c r="C736" t="s">
        <v>690</v>
      </c>
      <c r="D736" t="s">
        <v>743</v>
      </c>
      <c r="E736" t="s">
        <v>734</v>
      </c>
      <c r="F736" t="s">
        <v>1272</v>
      </c>
      <c r="G736" t="s">
        <v>665</v>
      </c>
      <c r="H736" s="595">
        <v>-4.96</v>
      </c>
      <c r="I736" t="str">
        <f t="shared" si="30"/>
        <v>janeiro 2026</v>
      </c>
      <c r="J736">
        <f t="shared" si="29"/>
        <v>2026</v>
      </c>
      <c r="K736" t="str">
        <f>VLOOKUP(G736,METRICS!C:D,2,0)</f>
        <v>Taxas Financeiras Diversas</v>
      </c>
      <c r="L736" t="str">
        <f>VLOOKUP(K736,METRICS!D:E,2,0)</f>
        <v>TAXAS CARTÃO DE CRÉDITO</v>
      </c>
    </row>
    <row r="737" spans="1:12" ht="15" hidden="1">
      <c r="A737" t="s">
        <v>981</v>
      </c>
      <c r="B737" t="s">
        <v>689</v>
      </c>
      <c r="C737" t="s">
        <v>690</v>
      </c>
      <c r="D737" t="s">
        <v>733</v>
      </c>
      <c r="E737" t="s">
        <v>734</v>
      </c>
      <c r="F737" t="s">
        <v>1272</v>
      </c>
      <c r="G737" t="s">
        <v>665</v>
      </c>
      <c r="H737" s="595">
        <v>-4.5199999999999996</v>
      </c>
      <c r="I737" t="str">
        <f t="shared" si="30"/>
        <v>janeiro 2026</v>
      </c>
      <c r="J737">
        <f t="shared" si="29"/>
        <v>2026</v>
      </c>
      <c r="K737" t="str">
        <f>VLOOKUP(G737,METRICS!C:D,2,0)</f>
        <v>Taxas Financeiras Diversas</v>
      </c>
      <c r="L737" t="str">
        <f>VLOOKUP(K737,METRICS!D:E,2,0)</f>
        <v>TAXAS CARTÃO DE CRÉDITO</v>
      </c>
    </row>
    <row r="738" spans="1:12" ht="15" hidden="1">
      <c r="A738" t="s">
        <v>981</v>
      </c>
      <c r="B738" t="s">
        <v>689</v>
      </c>
      <c r="C738" t="s">
        <v>690</v>
      </c>
      <c r="D738" t="s">
        <v>733</v>
      </c>
      <c r="E738" t="s">
        <v>734</v>
      </c>
      <c r="F738" t="s">
        <v>1272</v>
      </c>
      <c r="G738" t="s">
        <v>665</v>
      </c>
      <c r="H738" s="595">
        <v>-2.06</v>
      </c>
      <c r="I738" t="str">
        <f t="shared" si="30"/>
        <v>janeiro 2026</v>
      </c>
      <c r="J738">
        <f t="shared" si="29"/>
        <v>2026</v>
      </c>
      <c r="K738" t="str">
        <f>VLOOKUP(G738,METRICS!C:D,2,0)</f>
        <v>Taxas Financeiras Diversas</v>
      </c>
      <c r="L738" t="str">
        <f>VLOOKUP(K738,METRICS!D:E,2,0)</f>
        <v>TAXAS CARTÃO DE CRÉDITO</v>
      </c>
    </row>
    <row r="739" spans="1:12" ht="15" hidden="1">
      <c r="A739" t="s">
        <v>981</v>
      </c>
      <c r="B739" t="s">
        <v>689</v>
      </c>
      <c r="C739" t="s">
        <v>690</v>
      </c>
      <c r="D739" t="s">
        <v>733</v>
      </c>
      <c r="E739" t="s">
        <v>734</v>
      </c>
      <c r="F739" t="s">
        <v>1272</v>
      </c>
      <c r="G739" t="s">
        <v>665</v>
      </c>
      <c r="H739" s="595">
        <v>-19.84</v>
      </c>
      <c r="I739" t="str">
        <f t="shared" si="30"/>
        <v>janeiro 2026</v>
      </c>
      <c r="J739">
        <f t="shared" si="29"/>
        <v>2026</v>
      </c>
      <c r="K739" t="str">
        <f>VLOOKUP(G739,METRICS!C:D,2,0)</f>
        <v>Taxas Financeiras Diversas</v>
      </c>
      <c r="L739" t="str">
        <f>VLOOKUP(K739,METRICS!D:E,2,0)</f>
        <v>TAXAS CARTÃO DE CRÉDITO</v>
      </c>
    </row>
    <row r="740" spans="1:12" ht="15" hidden="1">
      <c r="A740" t="s">
        <v>981</v>
      </c>
      <c r="B740" t="s">
        <v>612</v>
      </c>
      <c r="C740" t="s">
        <v>690</v>
      </c>
      <c r="D740" t="s">
        <v>991</v>
      </c>
      <c r="E740" t="s">
        <v>834</v>
      </c>
      <c r="F740" t="s">
        <v>1272</v>
      </c>
      <c r="G740" t="s">
        <v>413</v>
      </c>
      <c r="H740" s="595">
        <v>-10165.4</v>
      </c>
      <c r="I740" t="str">
        <f t="shared" si="30"/>
        <v>janeiro 2026</v>
      </c>
      <c r="J740">
        <f t="shared" si="29"/>
        <v>2026</v>
      </c>
      <c r="K740" t="str">
        <f>VLOOKUP(G740,METRICS!C:D,2,0)</f>
        <v>Pescados</v>
      </c>
      <c r="L740" t="str">
        <f>VLOOKUP(K740,METRICS!D:E,2,0)</f>
        <v>CUSTOS DOS PRODUTOS VENDIDOS</v>
      </c>
    </row>
    <row r="741" spans="1:12" ht="15" hidden="1">
      <c r="A741" t="s">
        <v>981</v>
      </c>
      <c r="B741" t="s">
        <v>689</v>
      </c>
      <c r="C741" t="s">
        <v>690</v>
      </c>
      <c r="D741" t="s">
        <v>733</v>
      </c>
      <c r="E741" t="s">
        <v>734</v>
      </c>
      <c r="F741" t="s">
        <v>1272</v>
      </c>
      <c r="G741" t="s">
        <v>665</v>
      </c>
      <c r="H741" s="595">
        <v>-2.2799999999999998</v>
      </c>
      <c r="I741" t="str">
        <f t="shared" si="30"/>
        <v>janeiro 2026</v>
      </c>
      <c r="J741">
        <f t="shared" si="29"/>
        <v>2026</v>
      </c>
      <c r="K741" t="str">
        <f>VLOOKUP(G741,METRICS!C:D,2,0)</f>
        <v>Taxas Financeiras Diversas</v>
      </c>
      <c r="L741" t="str">
        <f>VLOOKUP(K741,METRICS!D:E,2,0)</f>
        <v>TAXAS CARTÃO DE CRÉDITO</v>
      </c>
    </row>
    <row r="742" spans="1:12" ht="15" hidden="1">
      <c r="A742" t="s">
        <v>981</v>
      </c>
      <c r="B742" t="s">
        <v>689</v>
      </c>
      <c r="C742" t="s">
        <v>690</v>
      </c>
      <c r="D742" t="s">
        <v>743</v>
      </c>
      <c r="E742" t="s">
        <v>734</v>
      </c>
      <c r="F742" t="s">
        <v>1272</v>
      </c>
      <c r="G742" t="s">
        <v>665</v>
      </c>
      <c r="H742" s="595">
        <v>-4.46</v>
      </c>
      <c r="I742" t="str">
        <f t="shared" si="30"/>
        <v>janeiro 2026</v>
      </c>
      <c r="J742">
        <f t="shared" si="29"/>
        <v>2026</v>
      </c>
      <c r="K742" t="str">
        <f>VLOOKUP(G742,METRICS!C:D,2,0)</f>
        <v>Taxas Financeiras Diversas</v>
      </c>
      <c r="L742" t="str">
        <f>VLOOKUP(K742,METRICS!D:E,2,0)</f>
        <v>TAXAS CARTÃO DE CRÉDITO</v>
      </c>
    </row>
    <row r="743" spans="1:12" ht="15" hidden="1">
      <c r="A743" t="s">
        <v>981</v>
      </c>
      <c r="B743" t="s">
        <v>689</v>
      </c>
      <c r="C743" t="s">
        <v>690</v>
      </c>
      <c r="D743" t="s">
        <v>733</v>
      </c>
      <c r="E743" t="s">
        <v>734</v>
      </c>
      <c r="F743" t="s">
        <v>1272</v>
      </c>
      <c r="G743" t="s">
        <v>665</v>
      </c>
      <c r="H743" s="595">
        <v>-2.13</v>
      </c>
      <c r="I743" t="str">
        <f t="shared" si="30"/>
        <v>janeiro 2026</v>
      </c>
      <c r="J743">
        <f t="shared" si="29"/>
        <v>2026</v>
      </c>
      <c r="K743" t="str">
        <f>VLOOKUP(G743,METRICS!C:D,2,0)</f>
        <v>Taxas Financeiras Diversas</v>
      </c>
      <c r="L743" t="str">
        <f>VLOOKUP(K743,METRICS!D:E,2,0)</f>
        <v>TAXAS CARTÃO DE CRÉDITO</v>
      </c>
    </row>
    <row r="744" spans="1:12" ht="15" hidden="1">
      <c r="A744" t="s">
        <v>981</v>
      </c>
      <c r="B744" t="s">
        <v>689</v>
      </c>
      <c r="C744" t="s">
        <v>690</v>
      </c>
      <c r="D744" t="s">
        <v>743</v>
      </c>
      <c r="E744" t="s">
        <v>734</v>
      </c>
      <c r="F744" t="s">
        <v>1272</v>
      </c>
      <c r="G744" t="s">
        <v>665</v>
      </c>
      <c r="H744" s="595">
        <v>-1.19</v>
      </c>
      <c r="I744" t="str">
        <f t="shared" si="30"/>
        <v>janeiro 2026</v>
      </c>
      <c r="J744">
        <f t="shared" si="29"/>
        <v>2026</v>
      </c>
      <c r="K744" t="str">
        <f>VLOOKUP(G744,METRICS!C:D,2,0)</f>
        <v>Taxas Financeiras Diversas</v>
      </c>
      <c r="L744" t="str">
        <f>VLOOKUP(K744,METRICS!D:E,2,0)</f>
        <v>TAXAS CARTÃO DE CRÉDITO</v>
      </c>
    </row>
    <row r="745" spans="1:12" ht="15" hidden="1">
      <c r="A745" t="s">
        <v>981</v>
      </c>
      <c r="B745" t="s">
        <v>689</v>
      </c>
      <c r="C745" t="s">
        <v>690</v>
      </c>
      <c r="D745" t="s">
        <v>743</v>
      </c>
      <c r="E745" t="s">
        <v>734</v>
      </c>
      <c r="F745" t="s">
        <v>1272</v>
      </c>
      <c r="G745" t="s">
        <v>665</v>
      </c>
      <c r="H745" s="595">
        <v>-4.78</v>
      </c>
      <c r="I745" t="str">
        <f t="shared" si="30"/>
        <v>janeiro 2026</v>
      </c>
      <c r="J745">
        <f t="shared" si="29"/>
        <v>2026</v>
      </c>
      <c r="K745" t="str">
        <f>VLOOKUP(G745,METRICS!C:D,2,0)</f>
        <v>Taxas Financeiras Diversas</v>
      </c>
      <c r="L745" t="str">
        <f>VLOOKUP(K745,METRICS!D:E,2,0)</f>
        <v>TAXAS CARTÃO DE CRÉDITO</v>
      </c>
    </row>
    <row r="746" spans="1:12" ht="15" hidden="1">
      <c r="A746" t="s">
        <v>981</v>
      </c>
      <c r="B746" t="s">
        <v>689</v>
      </c>
      <c r="C746" t="s">
        <v>690</v>
      </c>
      <c r="D746" t="s">
        <v>733</v>
      </c>
      <c r="E746" t="s">
        <v>734</v>
      </c>
      <c r="F746" t="s">
        <v>1272</v>
      </c>
      <c r="G746" t="s">
        <v>665</v>
      </c>
      <c r="H746" s="595">
        <v>-2.25</v>
      </c>
      <c r="I746" t="str">
        <f t="shared" si="30"/>
        <v>janeiro 2026</v>
      </c>
      <c r="J746">
        <f t="shared" si="29"/>
        <v>2026</v>
      </c>
      <c r="K746" t="str">
        <f>VLOOKUP(G746,METRICS!C:D,2,0)</f>
        <v>Taxas Financeiras Diversas</v>
      </c>
      <c r="L746" t="str">
        <f>VLOOKUP(K746,METRICS!D:E,2,0)</f>
        <v>TAXAS CARTÃO DE CRÉDITO</v>
      </c>
    </row>
    <row r="747" spans="1:12" ht="15" hidden="1">
      <c r="A747" t="s">
        <v>981</v>
      </c>
      <c r="B747" t="s">
        <v>689</v>
      </c>
      <c r="C747" t="s">
        <v>690</v>
      </c>
      <c r="D747" t="s">
        <v>852</v>
      </c>
      <c r="E747" s="155" t="s">
        <v>544</v>
      </c>
      <c r="F747" t="s">
        <v>1272</v>
      </c>
      <c r="G747" t="s">
        <v>664</v>
      </c>
      <c r="H747" s="595">
        <v>-250</v>
      </c>
      <c r="I747" t="str">
        <f t="shared" si="30"/>
        <v>janeiro 2026</v>
      </c>
      <c r="J747">
        <f t="shared" si="29"/>
        <v>2026</v>
      </c>
      <c r="K747" t="str">
        <f>VLOOKUP(G747,METRICS!C:D,2,0)</f>
        <v>Colaborador Extra</v>
      </c>
      <c r="L747" t="str">
        <f>VLOOKUP(K747,METRICS!D:E,2,0)</f>
        <v>PESSOAL</v>
      </c>
    </row>
    <row r="748" spans="1:12" ht="15" hidden="1">
      <c r="A748" t="s">
        <v>981</v>
      </c>
      <c r="B748" t="s">
        <v>689</v>
      </c>
      <c r="C748" t="s">
        <v>690</v>
      </c>
      <c r="D748" t="s">
        <v>756</v>
      </c>
      <c r="E748" t="s">
        <v>757</v>
      </c>
      <c r="F748" t="s">
        <v>1272</v>
      </c>
      <c r="G748" t="s">
        <v>666</v>
      </c>
      <c r="H748" s="595">
        <v>-21.55</v>
      </c>
      <c r="I748" t="str">
        <f t="shared" si="30"/>
        <v>janeiro 2026</v>
      </c>
      <c r="J748">
        <f t="shared" si="29"/>
        <v>2026</v>
      </c>
      <c r="K748" t="str">
        <f>VLOOKUP(G748,METRICS!C:D,2,0)</f>
        <v>Encargos Bancarios</v>
      </c>
      <c r="L748" t="str">
        <f>VLOOKUP(K748,METRICS!D:E,2,0)</f>
        <v>DESPESAS FINANCEIRAS</v>
      </c>
    </row>
    <row r="749" spans="1:12" ht="15" hidden="1">
      <c r="A749" t="s">
        <v>981</v>
      </c>
      <c r="B749" t="s">
        <v>689</v>
      </c>
      <c r="C749" t="s">
        <v>690</v>
      </c>
      <c r="D749" t="s">
        <v>733</v>
      </c>
      <c r="E749" t="s">
        <v>734</v>
      </c>
      <c r="F749" t="s">
        <v>1272</v>
      </c>
      <c r="G749" t="s">
        <v>665</v>
      </c>
      <c r="H749" s="595">
        <v>-5.22</v>
      </c>
      <c r="I749" t="str">
        <f t="shared" si="30"/>
        <v>janeiro 2026</v>
      </c>
      <c r="J749">
        <f t="shared" si="29"/>
        <v>2026</v>
      </c>
      <c r="K749" t="str">
        <f>VLOOKUP(G749,METRICS!C:D,2,0)</f>
        <v>Taxas Financeiras Diversas</v>
      </c>
      <c r="L749" t="str">
        <f>VLOOKUP(K749,METRICS!D:E,2,0)</f>
        <v>TAXAS CARTÃO DE CRÉDITO</v>
      </c>
    </row>
    <row r="750" spans="1:12" ht="15" hidden="1">
      <c r="A750" t="s">
        <v>981</v>
      </c>
      <c r="B750" t="s">
        <v>689</v>
      </c>
      <c r="C750" t="s">
        <v>690</v>
      </c>
      <c r="D750" t="s">
        <v>733</v>
      </c>
      <c r="E750" t="s">
        <v>734</v>
      </c>
      <c r="F750" t="s">
        <v>1272</v>
      </c>
      <c r="G750" t="s">
        <v>665</v>
      </c>
      <c r="H750" s="595">
        <v>-1.29</v>
      </c>
      <c r="I750" t="str">
        <f t="shared" si="30"/>
        <v>janeiro 2026</v>
      </c>
      <c r="J750">
        <f t="shared" si="29"/>
        <v>2026</v>
      </c>
      <c r="K750" t="str">
        <f>VLOOKUP(G750,METRICS!C:D,2,0)</f>
        <v>Taxas Financeiras Diversas</v>
      </c>
      <c r="L750" t="str">
        <f>VLOOKUP(K750,METRICS!D:E,2,0)</f>
        <v>TAXAS CARTÃO DE CRÉDITO</v>
      </c>
    </row>
    <row r="751" spans="1:12" ht="15" hidden="1">
      <c r="A751" t="s">
        <v>981</v>
      </c>
      <c r="B751" t="s">
        <v>689</v>
      </c>
      <c r="C751" t="s">
        <v>690</v>
      </c>
      <c r="D751" t="s">
        <v>733</v>
      </c>
      <c r="E751" t="s">
        <v>734</v>
      </c>
      <c r="F751" t="s">
        <v>1272</v>
      </c>
      <c r="G751" t="s">
        <v>665</v>
      </c>
      <c r="H751" s="595">
        <v>-5.77</v>
      </c>
      <c r="I751" t="str">
        <f t="shared" ref="I751:I790" si="31">TEXT(A751, "mmmm aaaa")</f>
        <v>janeiro 2026</v>
      </c>
      <c r="J751">
        <f t="shared" si="29"/>
        <v>2026</v>
      </c>
      <c r="K751" t="str">
        <f>VLOOKUP(G751,METRICS!C:D,2,0)</f>
        <v>Taxas Financeiras Diversas</v>
      </c>
      <c r="L751" t="str">
        <f>VLOOKUP(K751,METRICS!D:E,2,0)</f>
        <v>TAXAS CARTÃO DE CRÉDITO</v>
      </c>
    </row>
    <row r="752" spans="1:12" ht="15" hidden="1">
      <c r="A752" t="s">
        <v>981</v>
      </c>
      <c r="B752" t="s">
        <v>689</v>
      </c>
      <c r="C752" t="s">
        <v>690</v>
      </c>
      <c r="D752" t="s">
        <v>733</v>
      </c>
      <c r="E752" t="s">
        <v>734</v>
      </c>
      <c r="F752" t="s">
        <v>1272</v>
      </c>
      <c r="G752" t="s">
        <v>665</v>
      </c>
      <c r="H752" s="595">
        <v>-2.99</v>
      </c>
      <c r="I752" t="str">
        <f t="shared" si="31"/>
        <v>janeiro 2026</v>
      </c>
      <c r="J752">
        <f t="shared" si="29"/>
        <v>2026</v>
      </c>
      <c r="K752" t="str">
        <f>VLOOKUP(G752,METRICS!C:D,2,0)</f>
        <v>Taxas Financeiras Diversas</v>
      </c>
      <c r="L752" t="str">
        <f>VLOOKUP(K752,METRICS!D:E,2,0)</f>
        <v>TAXAS CARTÃO DE CRÉDITO</v>
      </c>
    </row>
    <row r="753" spans="1:13" ht="15" hidden="1">
      <c r="A753" t="s">
        <v>981</v>
      </c>
      <c r="B753" t="s">
        <v>689</v>
      </c>
      <c r="C753" t="s">
        <v>690</v>
      </c>
      <c r="D753" t="s">
        <v>743</v>
      </c>
      <c r="E753" t="s">
        <v>734</v>
      </c>
      <c r="F753" t="s">
        <v>1272</v>
      </c>
      <c r="G753" t="s">
        <v>665</v>
      </c>
      <c r="H753" s="595">
        <v>-9.11</v>
      </c>
      <c r="I753" t="str">
        <f t="shared" si="31"/>
        <v>janeiro 2026</v>
      </c>
      <c r="J753">
        <f t="shared" si="29"/>
        <v>2026</v>
      </c>
      <c r="K753" t="str">
        <f>VLOOKUP(G753,METRICS!C:D,2,0)</f>
        <v>Taxas Financeiras Diversas</v>
      </c>
      <c r="L753" t="str">
        <f>VLOOKUP(K753,METRICS!D:E,2,0)</f>
        <v>TAXAS CARTÃO DE CRÉDITO</v>
      </c>
    </row>
    <row r="754" spans="1:13" ht="15" hidden="1">
      <c r="A754" t="s">
        <v>981</v>
      </c>
      <c r="B754" t="s">
        <v>689</v>
      </c>
      <c r="C754" t="s">
        <v>690</v>
      </c>
      <c r="D754" t="s">
        <v>733</v>
      </c>
      <c r="E754" t="s">
        <v>734</v>
      </c>
      <c r="F754" t="s">
        <v>1272</v>
      </c>
      <c r="G754" t="s">
        <v>665</v>
      </c>
      <c r="H754" s="595">
        <v>-0.94</v>
      </c>
      <c r="I754" t="str">
        <f t="shared" si="31"/>
        <v>janeiro 2026</v>
      </c>
      <c r="J754">
        <f t="shared" si="29"/>
        <v>2026</v>
      </c>
      <c r="K754" t="str">
        <f>VLOOKUP(G754,METRICS!C:D,2,0)</f>
        <v>Taxas Financeiras Diversas</v>
      </c>
      <c r="L754" t="str">
        <f>VLOOKUP(K754,METRICS!D:E,2,0)</f>
        <v>TAXAS CARTÃO DE CRÉDITO</v>
      </c>
    </row>
    <row r="755" spans="1:13" ht="15" hidden="1">
      <c r="A755" t="s">
        <v>981</v>
      </c>
      <c r="B755" t="s">
        <v>689</v>
      </c>
      <c r="C755" t="s">
        <v>690</v>
      </c>
      <c r="D755" t="s">
        <v>743</v>
      </c>
      <c r="E755" t="s">
        <v>734</v>
      </c>
      <c r="F755" t="s">
        <v>1272</v>
      </c>
      <c r="G755" t="s">
        <v>665</v>
      </c>
      <c r="H755" s="595">
        <v>-8.0500000000000007</v>
      </c>
      <c r="I755" t="str">
        <f t="shared" si="31"/>
        <v>janeiro 2026</v>
      </c>
      <c r="J755">
        <f t="shared" si="29"/>
        <v>2026</v>
      </c>
      <c r="K755" t="str">
        <f>VLOOKUP(G755,METRICS!C:D,2,0)</f>
        <v>Taxas Financeiras Diversas</v>
      </c>
      <c r="L755" t="str">
        <f>VLOOKUP(K755,METRICS!D:E,2,0)</f>
        <v>TAXAS CARTÃO DE CRÉDITO</v>
      </c>
    </row>
    <row r="756" spans="1:13" ht="15" hidden="1">
      <c r="A756" t="s">
        <v>981</v>
      </c>
      <c r="B756" t="s">
        <v>689</v>
      </c>
      <c r="C756" t="s">
        <v>690</v>
      </c>
      <c r="D756" t="s">
        <v>743</v>
      </c>
      <c r="E756" t="s">
        <v>734</v>
      </c>
      <c r="F756" t="s">
        <v>1272</v>
      </c>
      <c r="G756" t="s">
        <v>665</v>
      </c>
      <c r="H756" s="595">
        <v>-15.99</v>
      </c>
      <c r="I756" t="str">
        <f t="shared" si="31"/>
        <v>janeiro 2026</v>
      </c>
      <c r="J756">
        <f t="shared" si="29"/>
        <v>2026</v>
      </c>
      <c r="K756" t="str">
        <f>VLOOKUP(G756,METRICS!C:D,2,0)</f>
        <v>Taxas Financeiras Diversas</v>
      </c>
      <c r="L756" t="str">
        <f>VLOOKUP(K756,METRICS!D:E,2,0)</f>
        <v>TAXAS CARTÃO DE CRÉDITO</v>
      </c>
    </row>
    <row r="757" spans="1:13" ht="15" hidden="1">
      <c r="A757" t="s">
        <v>981</v>
      </c>
      <c r="B757" t="s">
        <v>689</v>
      </c>
      <c r="C757" t="s">
        <v>690</v>
      </c>
      <c r="D757" t="s">
        <v>743</v>
      </c>
      <c r="E757" t="s">
        <v>734</v>
      </c>
      <c r="F757" t="s">
        <v>1272</v>
      </c>
      <c r="G757" t="s">
        <v>665</v>
      </c>
      <c r="H757" s="595">
        <v>-2.54</v>
      </c>
      <c r="I757" t="str">
        <f t="shared" si="31"/>
        <v>janeiro 2026</v>
      </c>
      <c r="J757">
        <f t="shared" ref="J757:J821" si="32">YEAR(A757)</f>
        <v>2026</v>
      </c>
      <c r="K757" t="str">
        <f>VLOOKUP(G757,METRICS!C:D,2,0)</f>
        <v>Taxas Financeiras Diversas</v>
      </c>
      <c r="L757" t="str">
        <f>VLOOKUP(K757,METRICS!D:E,2,0)</f>
        <v>TAXAS CARTÃO DE CRÉDITO</v>
      </c>
    </row>
    <row r="758" spans="1:13" ht="15" hidden="1">
      <c r="A758" t="s">
        <v>981</v>
      </c>
      <c r="B758" t="s">
        <v>689</v>
      </c>
      <c r="C758" t="s">
        <v>690</v>
      </c>
      <c r="D758" t="s">
        <v>883</v>
      </c>
      <c r="E758" t="s">
        <v>746</v>
      </c>
      <c r="F758" t="s">
        <v>1272</v>
      </c>
      <c r="G758" t="s">
        <v>669</v>
      </c>
      <c r="H758" s="595">
        <v>-20.52</v>
      </c>
      <c r="I758" t="str">
        <f t="shared" si="31"/>
        <v>janeiro 2026</v>
      </c>
      <c r="J758">
        <f t="shared" si="32"/>
        <v>2026</v>
      </c>
      <c r="K758" t="str">
        <f>VLOOKUP(G758,METRICS!C:D,2,0)</f>
        <v>Taxas Financeiras Diversas</v>
      </c>
      <c r="L758" t="str">
        <f>VLOOKUP(K758,METRICS!D:E,2,0)</f>
        <v>TAXAS CARTÃO DE CRÉDITO</v>
      </c>
    </row>
    <row r="759" spans="1:13" ht="15" hidden="1">
      <c r="A759" t="s">
        <v>981</v>
      </c>
      <c r="B759" t="s">
        <v>689</v>
      </c>
      <c r="C759" t="s">
        <v>690</v>
      </c>
      <c r="D759" t="s">
        <v>733</v>
      </c>
      <c r="E759" t="s">
        <v>734</v>
      </c>
      <c r="F759" t="s">
        <v>1272</v>
      </c>
      <c r="G759" t="s">
        <v>665</v>
      </c>
      <c r="H759" s="595">
        <v>-34.340000000000003</v>
      </c>
      <c r="I759" t="str">
        <f t="shared" si="31"/>
        <v>janeiro 2026</v>
      </c>
      <c r="J759">
        <f t="shared" si="32"/>
        <v>2026</v>
      </c>
      <c r="K759" t="str">
        <f>VLOOKUP(G759,METRICS!C:D,2,0)</f>
        <v>Taxas Financeiras Diversas</v>
      </c>
      <c r="L759" t="str">
        <f>VLOOKUP(K759,METRICS!D:E,2,0)</f>
        <v>TAXAS CARTÃO DE CRÉDITO</v>
      </c>
    </row>
    <row r="760" spans="1:13" ht="15" hidden="1">
      <c r="A760" t="s">
        <v>981</v>
      </c>
      <c r="B760" t="s">
        <v>689</v>
      </c>
      <c r="C760" t="s">
        <v>690</v>
      </c>
      <c r="D760" t="s">
        <v>743</v>
      </c>
      <c r="E760" t="s">
        <v>734</v>
      </c>
      <c r="F760" t="s">
        <v>1272</v>
      </c>
      <c r="G760" t="s">
        <v>665</v>
      </c>
      <c r="H760" s="595">
        <v>-4.0199999999999996</v>
      </c>
      <c r="I760" t="str">
        <f t="shared" si="31"/>
        <v>janeiro 2026</v>
      </c>
      <c r="J760">
        <f t="shared" si="32"/>
        <v>2026</v>
      </c>
      <c r="K760" t="str">
        <f>VLOOKUP(G760,METRICS!C:D,2,0)</f>
        <v>Taxas Financeiras Diversas</v>
      </c>
      <c r="L760" t="str">
        <f>VLOOKUP(K760,METRICS!D:E,2,0)</f>
        <v>TAXAS CARTÃO DE CRÉDITO</v>
      </c>
    </row>
    <row r="761" spans="1:13" ht="15" hidden="1">
      <c r="A761" t="s">
        <v>981</v>
      </c>
      <c r="B761" t="s">
        <v>689</v>
      </c>
      <c r="C761" t="s">
        <v>690</v>
      </c>
      <c r="D761" t="s">
        <v>860</v>
      </c>
      <c r="E761" t="s">
        <v>734</v>
      </c>
      <c r="F761" t="s">
        <v>1272</v>
      </c>
      <c r="G761" t="s">
        <v>665</v>
      </c>
      <c r="H761" s="595">
        <v>-2.73</v>
      </c>
      <c r="I761" t="str">
        <f t="shared" si="31"/>
        <v>janeiro 2026</v>
      </c>
      <c r="J761">
        <f t="shared" si="32"/>
        <v>2026</v>
      </c>
      <c r="K761" t="str">
        <f>VLOOKUP(G761,METRICS!C:D,2,0)</f>
        <v>Taxas Financeiras Diversas</v>
      </c>
      <c r="L761" t="str">
        <f>VLOOKUP(K761,METRICS!D:E,2,0)</f>
        <v>TAXAS CARTÃO DE CRÉDITO</v>
      </c>
    </row>
    <row r="762" spans="1:13" ht="15" hidden="1">
      <c r="A762" t="s">
        <v>981</v>
      </c>
      <c r="B762" t="s">
        <v>689</v>
      </c>
      <c r="C762" t="s">
        <v>690</v>
      </c>
      <c r="D762" t="s">
        <v>733</v>
      </c>
      <c r="E762" t="s">
        <v>734</v>
      </c>
      <c r="F762" t="s">
        <v>1272</v>
      </c>
      <c r="G762" t="s">
        <v>665</v>
      </c>
      <c r="H762" s="595">
        <v>-29.17</v>
      </c>
      <c r="I762" t="str">
        <f t="shared" si="31"/>
        <v>janeiro 2026</v>
      </c>
      <c r="J762">
        <f t="shared" si="32"/>
        <v>2026</v>
      </c>
      <c r="K762" t="str">
        <f>VLOOKUP(G762,METRICS!C:D,2,0)</f>
        <v>Taxas Financeiras Diversas</v>
      </c>
      <c r="L762" t="str">
        <f>VLOOKUP(K762,METRICS!D:E,2,0)</f>
        <v>TAXAS CARTÃO DE CRÉDITO</v>
      </c>
    </row>
    <row r="763" spans="1:13" ht="15" hidden="1">
      <c r="A763" t="s">
        <v>981</v>
      </c>
      <c r="B763" t="s">
        <v>612</v>
      </c>
      <c r="C763" t="s">
        <v>690</v>
      </c>
      <c r="D763" t="s">
        <v>992</v>
      </c>
      <c r="E763" t="s">
        <v>993</v>
      </c>
      <c r="F763" t="s">
        <v>1272</v>
      </c>
      <c r="G763" t="s">
        <v>661</v>
      </c>
      <c r="H763" s="595">
        <v>-9000</v>
      </c>
      <c r="I763" t="str">
        <f t="shared" si="31"/>
        <v>janeiro 2026</v>
      </c>
      <c r="J763">
        <f t="shared" si="32"/>
        <v>2026</v>
      </c>
      <c r="K763" t="str">
        <f>VLOOKUP(G763,METRICS!C:D,2,0)</f>
        <v>Consultoria OP</v>
      </c>
      <c r="L763" t="str">
        <f>VLOOKUP(K763,METRICS!D:E,2,0)</f>
        <v>OPERAÇÃO</v>
      </c>
      <c r="M763" s="518"/>
    </row>
    <row r="764" spans="1:13" ht="15" hidden="1">
      <c r="A764" t="s">
        <v>981</v>
      </c>
      <c r="B764" t="s">
        <v>689</v>
      </c>
      <c r="D764" s="518" t="s">
        <v>2229</v>
      </c>
      <c r="E764" t="s">
        <v>1665</v>
      </c>
      <c r="F764" t="s">
        <v>1272</v>
      </c>
      <c r="G764" t="s">
        <v>661</v>
      </c>
      <c r="H764" s="595">
        <v>-15000</v>
      </c>
      <c r="I764" t="str">
        <f t="shared" si="31"/>
        <v>janeiro 2026</v>
      </c>
      <c r="J764">
        <f t="shared" si="32"/>
        <v>2026</v>
      </c>
      <c r="K764" t="str">
        <f>VLOOKUP(G764,METRICS!C:D,2,0)</f>
        <v>Consultoria OP</v>
      </c>
      <c r="L764" t="str">
        <f>VLOOKUP(K764,METRICS!D:E,2,0)</f>
        <v>OPERAÇÃO</v>
      </c>
    </row>
    <row r="765" spans="1:13" ht="15" hidden="1">
      <c r="A765" t="s">
        <v>981</v>
      </c>
      <c r="B765" t="s">
        <v>689</v>
      </c>
      <c r="C765" t="s">
        <v>690</v>
      </c>
      <c r="D765" t="s">
        <v>733</v>
      </c>
      <c r="E765" t="s">
        <v>734</v>
      </c>
      <c r="F765" t="s">
        <v>1272</v>
      </c>
      <c r="G765" t="s">
        <v>665</v>
      </c>
      <c r="H765" s="595">
        <v>-3.48</v>
      </c>
      <c r="I765" t="str">
        <f t="shared" si="31"/>
        <v>janeiro 2026</v>
      </c>
      <c r="J765">
        <f t="shared" si="32"/>
        <v>2026</v>
      </c>
      <c r="K765" t="str">
        <f>VLOOKUP(G765,METRICS!C:D,2,0)</f>
        <v>Taxas Financeiras Diversas</v>
      </c>
      <c r="L765" t="str">
        <f>VLOOKUP(K765,METRICS!D:E,2,0)</f>
        <v>TAXAS CARTÃO DE CRÉDITO</v>
      </c>
    </row>
    <row r="766" spans="1:13" ht="15" hidden="1">
      <c r="A766" t="s">
        <v>994</v>
      </c>
      <c r="B766" t="s">
        <v>612</v>
      </c>
      <c r="C766" t="s">
        <v>690</v>
      </c>
      <c r="D766" t="s">
        <v>995</v>
      </c>
      <c r="E766" t="s">
        <v>727</v>
      </c>
      <c r="F766" t="s">
        <v>1272</v>
      </c>
      <c r="G766" t="s">
        <v>620</v>
      </c>
      <c r="H766" s="595">
        <v>-4901.57</v>
      </c>
      <c r="I766" t="str">
        <f t="shared" si="31"/>
        <v>janeiro 2026</v>
      </c>
      <c r="J766">
        <f t="shared" si="32"/>
        <v>2026</v>
      </c>
      <c r="K766" t="str">
        <f>VLOOKUP(G766,METRICS!C:D,2,0)</f>
        <v>Hortifruti</v>
      </c>
      <c r="L766" t="str">
        <f>VLOOKUP(K766,METRICS!D:E,2,0)</f>
        <v>CUSTOS DOS PRODUTOS VENDIDOS</v>
      </c>
    </row>
    <row r="767" spans="1:13" ht="15" hidden="1">
      <c r="A767" t="s">
        <v>994</v>
      </c>
      <c r="B767" t="s">
        <v>689</v>
      </c>
      <c r="C767" t="s">
        <v>690</v>
      </c>
      <c r="D767" t="s">
        <v>733</v>
      </c>
      <c r="E767" t="s">
        <v>734</v>
      </c>
      <c r="F767" t="s">
        <v>1272</v>
      </c>
      <c r="G767" t="s">
        <v>665</v>
      </c>
      <c r="H767" s="595">
        <v>-2.59</v>
      </c>
      <c r="I767" t="str">
        <f t="shared" si="31"/>
        <v>janeiro 2026</v>
      </c>
      <c r="J767">
        <f t="shared" si="32"/>
        <v>2026</v>
      </c>
      <c r="K767" t="str">
        <f>VLOOKUP(G767,METRICS!C:D,2,0)</f>
        <v>Taxas Financeiras Diversas</v>
      </c>
      <c r="L767" t="str">
        <f>VLOOKUP(K767,METRICS!D:E,2,0)</f>
        <v>TAXAS CARTÃO DE CRÉDITO</v>
      </c>
    </row>
    <row r="768" spans="1:13" ht="15" hidden="1">
      <c r="A768" t="s">
        <v>994</v>
      </c>
      <c r="B768" t="s">
        <v>689</v>
      </c>
      <c r="C768" t="s">
        <v>690</v>
      </c>
      <c r="D768" t="s">
        <v>743</v>
      </c>
      <c r="E768" t="s">
        <v>734</v>
      </c>
      <c r="F768" t="s">
        <v>1272</v>
      </c>
      <c r="G768" t="s">
        <v>665</v>
      </c>
      <c r="H768" s="595">
        <v>-4</v>
      </c>
      <c r="I768" t="str">
        <f t="shared" si="31"/>
        <v>janeiro 2026</v>
      </c>
      <c r="J768">
        <f t="shared" si="32"/>
        <v>2026</v>
      </c>
      <c r="K768" t="str">
        <f>VLOOKUP(G768,METRICS!C:D,2,0)</f>
        <v>Taxas Financeiras Diversas</v>
      </c>
      <c r="L768" t="str">
        <f>VLOOKUP(K768,METRICS!D:E,2,0)</f>
        <v>TAXAS CARTÃO DE CRÉDITO</v>
      </c>
    </row>
    <row r="769" spans="1:12" ht="15" hidden="1">
      <c r="A769" t="s">
        <v>994</v>
      </c>
      <c r="B769" t="s">
        <v>612</v>
      </c>
      <c r="C769" t="s">
        <v>690</v>
      </c>
      <c r="D769" t="s">
        <v>996</v>
      </c>
      <c r="E769" t="s">
        <v>745</v>
      </c>
      <c r="F769" t="s">
        <v>1272</v>
      </c>
      <c r="G769" t="s">
        <v>620</v>
      </c>
      <c r="H769" s="595">
        <v>-364.6</v>
      </c>
      <c r="I769" t="str">
        <f t="shared" si="31"/>
        <v>janeiro 2026</v>
      </c>
      <c r="J769">
        <f t="shared" si="32"/>
        <v>2026</v>
      </c>
      <c r="K769" t="str">
        <f>VLOOKUP(G769,METRICS!C:D,2,0)</f>
        <v>Hortifruti</v>
      </c>
      <c r="L769" t="str">
        <f>VLOOKUP(K769,METRICS!D:E,2,0)</f>
        <v>CUSTOS DOS PRODUTOS VENDIDOS</v>
      </c>
    </row>
    <row r="770" spans="1:12" ht="15" hidden="1">
      <c r="A770" t="s">
        <v>994</v>
      </c>
      <c r="B770" t="s">
        <v>689</v>
      </c>
      <c r="C770" t="s">
        <v>690</v>
      </c>
      <c r="D770" t="s">
        <v>753</v>
      </c>
      <c r="E770" t="s">
        <v>734</v>
      </c>
      <c r="F770" t="s">
        <v>1272</v>
      </c>
      <c r="G770" t="s">
        <v>665</v>
      </c>
      <c r="H770" s="595">
        <v>-22.97</v>
      </c>
      <c r="I770" t="str">
        <f t="shared" si="31"/>
        <v>janeiro 2026</v>
      </c>
      <c r="J770">
        <f t="shared" si="32"/>
        <v>2026</v>
      </c>
      <c r="K770" t="str">
        <f>VLOOKUP(G770,METRICS!C:D,2,0)</f>
        <v>Taxas Financeiras Diversas</v>
      </c>
      <c r="L770" t="str">
        <f>VLOOKUP(K770,METRICS!D:E,2,0)</f>
        <v>TAXAS CARTÃO DE CRÉDITO</v>
      </c>
    </row>
    <row r="771" spans="1:12" ht="15" hidden="1">
      <c r="A771" t="s">
        <v>994</v>
      </c>
      <c r="B771" t="s">
        <v>689</v>
      </c>
      <c r="C771" t="s">
        <v>690</v>
      </c>
      <c r="D771" t="s">
        <v>733</v>
      </c>
      <c r="E771" t="s">
        <v>734</v>
      </c>
      <c r="F771" t="s">
        <v>1272</v>
      </c>
      <c r="G771" t="s">
        <v>665</v>
      </c>
      <c r="H771" s="595">
        <v>-13.05</v>
      </c>
      <c r="I771" t="str">
        <f t="shared" si="31"/>
        <v>janeiro 2026</v>
      </c>
      <c r="J771">
        <f t="shared" si="32"/>
        <v>2026</v>
      </c>
      <c r="K771" t="str">
        <f>VLOOKUP(G771,METRICS!C:D,2,0)</f>
        <v>Taxas Financeiras Diversas</v>
      </c>
      <c r="L771" t="str">
        <f>VLOOKUP(K771,METRICS!D:E,2,0)</f>
        <v>TAXAS CARTÃO DE CRÉDITO</v>
      </c>
    </row>
    <row r="772" spans="1:12" ht="15" hidden="1">
      <c r="A772" t="s">
        <v>994</v>
      </c>
      <c r="B772" t="s">
        <v>689</v>
      </c>
      <c r="C772" t="s">
        <v>690</v>
      </c>
      <c r="D772" t="s">
        <v>733</v>
      </c>
      <c r="E772" t="s">
        <v>734</v>
      </c>
      <c r="F772" t="s">
        <v>1272</v>
      </c>
      <c r="G772" t="s">
        <v>665</v>
      </c>
      <c r="H772" s="595">
        <v>-1.6</v>
      </c>
      <c r="I772" t="str">
        <f t="shared" si="31"/>
        <v>janeiro 2026</v>
      </c>
      <c r="J772">
        <f t="shared" si="32"/>
        <v>2026</v>
      </c>
      <c r="K772" t="str">
        <f>VLOOKUP(G772,METRICS!C:D,2,0)</f>
        <v>Taxas Financeiras Diversas</v>
      </c>
      <c r="L772" t="str">
        <f>VLOOKUP(K772,METRICS!D:E,2,0)</f>
        <v>TAXAS CARTÃO DE CRÉDITO</v>
      </c>
    </row>
    <row r="773" spans="1:12" ht="15" hidden="1">
      <c r="A773" t="s">
        <v>994</v>
      </c>
      <c r="B773" t="s">
        <v>612</v>
      </c>
      <c r="C773" t="s">
        <v>690</v>
      </c>
      <c r="D773" t="s">
        <v>997</v>
      </c>
      <c r="E773" t="s">
        <v>954</v>
      </c>
      <c r="F773" t="s">
        <v>1272</v>
      </c>
      <c r="G773" t="s">
        <v>607</v>
      </c>
      <c r="H773" s="595">
        <v>-1013.22</v>
      </c>
      <c r="I773" t="str">
        <f t="shared" si="31"/>
        <v>janeiro 2026</v>
      </c>
      <c r="J773">
        <f t="shared" si="32"/>
        <v>2026</v>
      </c>
      <c r="K773" t="str">
        <f>VLOOKUP(G773,METRICS!C:D,2,0)</f>
        <v>Bebidas Alcoólicas</v>
      </c>
      <c r="L773" t="str">
        <f>VLOOKUP(K773,METRICS!D:E,2,0)</f>
        <v>CUSTOS DOS PRODUTOS VENDIDOS</v>
      </c>
    </row>
    <row r="774" spans="1:12" ht="15" hidden="1">
      <c r="A774" t="s">
        <v>994</v>
      </c>
      <c r="B774" t="s">
        <v>689</v>
      </c>
      <c r="C774" t="s">
        <v>690</v>
      </c>
      <c r="D774" t="s">
        <v>733</v>
      </c>
      <c r="E774" t="s">
        <v>734</v>
      </c>
      <c r="F774" t="s">
        <v>1272</v>
      </c>
      <c r="G774" t="s">
        <v>665</v>
      </c>
      <c r="H774" s="595">
        <v>-5.9</v>
      </c>
      <c r="I774" t="str">
        <f t="shared" si="31"/>
        <v>janeiro 2026</v>
      </c>
      <c r="J774">
        <f t="shared" si="32"/>
        <v>2026</v>
      </c>
      <c r="K774" t="str">
        <f>VLOOKUP(G774,METRICS!C:D,2,0)</f>
        <v>Taxas Financeiras Diversas</v>
      </c>
      <c r="L774" t="str">
        <f>VLOOKUP(K774,METRICS!D:E,2,0)</f>
        <v>TAXAS CARTÃO DE CRÉDITO</v>
      </c>
    </row>
    <row r="775" spans="1:12" ht="15" hidden="1">
      <c r="A775" t="s">
        <v>994</v>
      </c>
      <c r="B775" t="s">
        <v>689</v>
      </c>
      <c r="C775" t="s">
        <v>690</v>
      </c>
      <c r="D775" t="s">
        <v>743</v>
      </c>
      <c r="E775" t="s">
        <v>734</v>
      </c>
      <c r="F775" t="s">
        <v>1272</v>
      </c>
      <c r="G775" t="s">
        <v>665</v>
      </c>
      <c r="H775" s="595">
        <v>-5.7</v>
      </c>
      <c r="I775" t="str">
        <f t="shared" si="31"/>
        <v>janeiro 2026</v>
      </c>
      <c r="J775">
        <f t="shared" si="32"/>
        <v>2026</v>
      </c>
      <c r="K775" t="str">
        <f>VLOOKUP(G775,METRICS!C:D,2,0)</f>
        <v>Taxas Financeiras Diversas</v>
      </c>
      <c r="L775" t="str">
        <f>VLOOKUP(K775,METRICS!D:E,2,0)</f>
        <v>TAXAS CARTÃO DE CRÉDITO</v>
      </c>
    </row>
    <row r="776" spans="1:12" ht="15" hidden="1">
      <c r="A776" t="s">
        <v>994</v>
      </c>
      <c r="B776" t="s">
        <v>689</v>
      </c>
      <c r="C776" t="s">
        <v>690</v>
      </c>
      <c r="D776" t="s">
        <v>733</v>
      </c>
      <c r="E776" t="s">
        <v>734</v>
      </c>
      <c r="F776" t="s">
        <v>1272</v>
      </c>
      <c r="G776" t="s">
        <v>665</v>
      </c>
      <c r="H776" s="595">
        <v>-13.05</v>
      </c>
      <c r="I776" t="str">
        <f t="shared" si="31"/>
        <v>janeiro 2026</v>
      </c>
      <c r="J776">
        <f t="shared" si="32"/>
        <v>2026</v>
      </c>
      <c r="K776" t="str">
        <f>VLOOKUP(G776,METRICS!C:D,2,0)</f>
        <v>Taxas Financeiras Diversas</v>
      </c>
      <c r="L776" t="str">
        <f>VLOOKUP(K776,METRICS!D:E,2,0)</f>
        <v>TAXAS CARTÃO DE CRÉDITO</v>
      </c>
    </row>
    <row r="777" spans="1:12" ht="15" hidden="1">
      <c r="A777" t="s">
        <v>994</v>
      </c>
      <c r="B777" t="s">
        <v>689</v>
      </c>
      <c r="C777" t="s">
        <v>690</v>
      </c>
      <c r="D777" t="s">
        <v>733</v>
      </c>
      <c r="E777" t="s">
        <v>734</v>
      </c>
      <c r="F777" t="s">
        <v>1272</v>
      </c>
      <c r="G777" t="s">
        <v>665</v>
      </c>
      <c r="H777" s="595">
        <v>-0.55000000000000004</v>
      </c>
      <c r="I777" t="str">
        <f t="shared" si="31"/>
        <v>janeiro 2026</v>
      </c>
      <c r="J777">
        <f t="shared" si="32"/>
        <v>2026</v>
      </c>
      <c r="K777" t="str">
        <f>VLOOKUP(G777,METRICS!C:D,2,0)</f>
        <v>Taxas Financeiras Diversas</v>
      </c>
      <c r="L777" t="str">
        <f>VLOOKUP(K777,METRICS!D:E,2,0)</f>
        <v>TAXAS CARTÃO DE CRÉDITO</v>
      </c>
    </row>
    <row r="778" spans="1:12" ht="15" hidden="1">
      <c r="A778" t="s">
        <v>994</v>
      </c>
      <c r="B778" t="s">
        <v>689</v>
      </c>
      <c r="C778" t="s">
        <v>690</v>
      </c>
      <c r="D778" t="s">
        <v>743</v>
      </c>
      <c r="E778" t="s">
        <v>734</v>
      </c>
      <c r="F778" t="s">
        <v>1272</v>
      </c>
      <c r="G778" t="s">
        <v>665</v>
      </c>
      <c r="H778" s="595">
        <v>-9.33</v>
      </c>
      <c r="I778" t="str">
        <f t="shared" si="31"/>
        <v>janeiro 2026</v>
      </c>
      <c r="J778">
        <f t="shared" si="32"/>
        <v>2026</v>
      </c>
      <c r="K778" t="str">
        <f>VLOOKUP(G778,METRICS!C:D,2,0)</f>
        <v>Taxas Financeiras Diversas</v>
      </c>
      <c r="L778" t="str">
        <f>VLOOKUP(K778,METRICS!D:E,2,0)</f>
        <v>TAXAS CARTÃO DE CRÉDITO</v>
      </c>
    </row>
    <row r="779" spans="1:12" ht="15" hidden="1">
      <c r="A779" t="s">
        <v>994</v>
      </c>
      <c r="B779" t="s">
        <v>689</v>
      </c>
      <c r="C779" t="s">
        <v>690</v>
      </c>
      <c r="D779" t="s">
        <v>743</v>
      </c>
      <c r="E779" t="s">
        <v>734</v>
      </c>
      <c r="F779" t="s">
        <v>1272</v>
      </c>
      <c r="G779" t="s">
        <v>665</v>
      </c>
      <c r="H779" s="595">
        <v>-10.55</v>
      </c>
      <c r="I779" t="str">
        <f t="shared" si="31"/>
        <v>janeiro 2026</v>
      </c>
      <c r="J779">
        <f t="shared" si="32"/>
        <v>2026</v>
      </c>
      <c r="K779" t="str">
        <f>VLOOKUP(G779,METRICS!C:D,2,0)</f>
        <v>Taxas Financeiras Diversas</v>
      </c>
      <c r="L779" t="str">
        <f>VLOOKUP(K779,METRICS!D:E,2,0)</f>
        <v>TAXAS CARTÃO DE CRÉDITO</v>
      </c>
    </row>
    <row r="780" spans="1:12" ht="15" hidden="1">
      <c r="A780" t="s">
        <v>994</v>
      </c>
      <c r="B780" t="s">
        <v>612</v>
      </c>
      <c r="C780" t="s">
        <v>690</v>
      </c>
      <c r="D780" t="s">
        <v>998</v>
      </c>
      <c r="E780" t="s">
        <v>999</v>
      </c>
      <c r="F780" t="s">
        <v>1272</v>
      </c>
      <c r="G780" t="s">
        <v>635</v>
      </c>
      <c r="H780" s="595">
        <v>-2300</v>
      </c>
      <c r="I780" t="str">
        <f t="shared" si="31"/>
        <v>janeiro 2026</v>
      </c>
      <c r="J780">
        <f t="shared" si="32"/>
        <v>2026</v>
      </c>
      <c r="K780" t="str">
        <f>VLOOKUP(G780,METRICS!C:D,2,0)</f>
        <v>Manutenção e Conservação</v>
      </c>
      <c r="L780" t="str">
        <f>VLOOKUP(K780,METRICS!D:E,2,0)</f>
        <v>OPERAÇÃO</v>
      </c>
    </row>
    <row r="781" spans="1:12" ht="15" hidden="1">
      <c r="A781" t="s">
        <v>994</v>
      </c>
      <c r="B781" t="s">
        <v>689</v>
      </c>
      <c r="C781" t="s">
        <v>690</v>
      </c>
      <c r="D781" t="s">
        <v>733</v>
      </c>
      <c r="E781" t="s">
        <v>734</v>
      </c>
      <c r="F781" t="s">
        <v>1272</v>
      </c>
      <c r="G781" t="s">
        <v>665</v>
      </c>
      <c r="H781" s="595">
        <v>-0.55000000000000004</v>
      </c>
      <c r="I781" t="str">
        <f t="shared" si="31"/>
        <v>janeiro 2026</v>
      </c>
      <c r="J781">
        <f t="shared" si="32"/>
        <v>2026</v>
      </c>
      <c r="K781" t="str">
        <f>VLOOKUP(G781,METRICS!C:D,2,0)</f>
        <v>Taxas Financeiras Diversas</v>
      </c>
      <c r="L781" t="str">
        <f>VLOOKUP(K781,METRICS!D:E,2,0)</f>
        <v>TAXAS CARTÃO DE CRÉDITO</v>
      </c>
    </row>
    <row r="782" spans="1:12" ht="15" hidden="1">
      <c r="A782" t="s">
        <v>994</v>
      </c>
      <c r="B782" t="s">
        <v>689</v>
      </c>
      <c r="C782" t="s">
        <v>690</v>
      </c>
      <c r="D782" t="s">
        <v>743</v>
      </c>
      <c r="E782" t="s">
        <v>734</v>
      </c>
      <c r="F782" t="s">
        <v>1272</v>
      </c>
      <c r="G782" t="s">
        <v>665</v>
      </c>
      <c r="H782" s="595">
        <v>-3.49</v>
      </c>
      <c r="I782" t="str">
        <f t="shared" si="31"/>
        <v>janeiro 2026</v>
      </c>
      <c r="J782">
        <f t="shared" si="32"/>
        <v>2026</v>
      </c>
      <c r="K782" t="str">
        <f>VLOOKUP(G782,METRICS!C:D,2,0)</f>
        <v>Taxas Financeiras Diversas</v>
      </c>
      <c r="L782" t="str">
        <f>VLOOKUP(K782,METRICS!D:E,2,0)</f>
        <v>TAXAS CARTÃO DE CRÉDITO</v>
      </c>
    </row>
    <row r="783" spans="1:12" ht="15" hidden="1">
      <c r="A783" t="s">
        <v>994</v>
      </c>
      <c r="B783" t="s">
        <v>689</v>
      </c>
      <c r="C783" t="s">
        <v>690</v>
      </c>
      <c r="D783" t="s">
        <v>743</v>
      </c>
      <c r="E783" t="s">
        <v>734</v>
      </c>
      <c r="F783" t="s">
        <v>1272</v>
      </c>
      <c r="G783" t="s">
        <v>665</v>
      </c>
      <c r="H783" s="595">
        <v>-15.77</v>
      </c>
      <c r="I783" t="str">
        <f t="shared" si="31"/>
        <v>janeiro 2026</v>
      </c>
      <c r="J783">
        <f t="shared" si="32"/>
        <v>2026</v>
      </c>
      <c r="K783" t="str">
        <f>VLOOKUP(G783,METRICS!C:D,2,0)</f>
        <v>Taxas Financeiras Diversas</v>
      </c>
      <c r="L783" t="str">
        <f>VLOOKUP(K783,METRICS!D:E,2,0)</f>
        <v>TAXAS CARTÃO DE CRÉDITO</v>
      </c>
    </row>
    <row r="784" spans="1:12" ht="15" hidden="1">
      <c r="A784" t="s">
        <v>994</v>
      </c>
      <c r="B784" t="s">
        <v>689</v>
      </c>
      <c r="C784" t="s">
        <v>690</v>
      </c>
      <c r="D784" t="s">
        <v>743</v>
      </c>
      <c r="E784" t="s">
        <v>734</v>
      </c>
      <c r="F784" t="s">
        <v>1272</v>
      </c>
      <c r="G784" t="s">
        <v>665</v>
      </c>
      <c r="H784" s="595">
        <v>-10.54</v>
      </c>
      <c r="I784" t="str">
        <f t="shared" si="31"/>
        <v>janeiro 2026</v>
      </c>
      <c r="J784">
        <f t="shared" si="32"/>
        <v>2026</v>
      </c>
      <c r="K784" t="str">
        <f>VLOOKUP(G784,METRICS!C:D,2,0)</f>
        <v>Taxas Financeiras Diversas</v>
      </c>
      <c r="L784" t="str">
        <f>VLOOKUP(K784,METRICS!D:E,2,0)</f>
        <v>TAXAS CARTÃO DE CRÉDITO</v>
      </c>
    </row>
    <row r="785" spans="1:12" ht="15" hidden="1">
      <c r="A785" t="s">
        <v>994</v>
      </c>
      <c r="B785" t="s">
        <v>689</v>
      </c>
      <c r="C785" t="s">
        <v>690</v>
      </c>
      <c r="D785" t="s">
        <v>733</v>
      </c>
      <c r="E785" t="s">
        <v>734</v>
      </c>
      <c r="F785" t="s">
        <v>1272</v>
      </c>
      <c r="G785" t="s">
        <v>665</v>
      </c>
      <c r="H785" s="595">
        <v>-0.55000000000000004</v>
      </c>
      <c r="I785" t="str">
        <f t="shared" si="31"/>
        <v>janeiro 2026</v>
      </c>
      <c r="J785">
        <f t="shared" si="32"/>
        <v>2026</v>
      </c>
      <c r="K785" t="str">
        <f>VLOOKUP(G785,METRICS!C:D,2,0)</f>
        <v>Taxas Financeiras Diversas</v>
      </c>
      <c r="L785" t="str">
        <f>VLOOKUP(K785,METRICS!D:E,2,0)</f>
        <v>TAXAS CARTÃO DE CRÉDITO</v>
      </c>
    </row>
    <row r="786" spans="1:12" ht="15" hidden="1">
      <c r="A786" t="s">
        <v>994</v>
      </c>
      <c r="B786" t="s">
        <v>689</v>
      </c>
      <c r="C786" t="s">
        <v>690</v>
      </c>
      <c r="D786" t="s">
        <v>743</v>
      </c>
      <c r="E786" t="s">
        <v>734</v>
      </c>
      <c r="F786" t="s">
        <v>1272</v>
      </c>
      <c r="G786" t="s">
        <v>665</v>
      </c>
      <c r="H786" s="595">
        <v>-15.26</v>
      </c>
      <c r="I786" t="str">
        <f t="shared" si="31"/>
        <v>janeiro 2026</v>
      </c>
      <c r="J786">
        <f t="shared" si="32"/>
        <v>2026</v>
      </c>
      <c r="K786" t="str">
        <f>VLOOKUP(G786,METRICS!C:D,2,0)</f>
        <v>Taxas Financeiras Diversas</v>
      </c>
      <c r="L786" t="str">
        <f>VLOOKUP(K786,METRICS!D:E,2,0)</f>
        <v>TAXAS CARTÃO DE CRÉDITO</v>
      </c>
    </row>
    <row r="787" spans="1:12" ht="15" hidden="1">
      <c r="A787" t="s">
        <v>994</v>
      </c>
      <c r="B787" t="s">
        <v>689</v>
      </c>
      <c r="C787" t="s">
        <v>690</v>
      </c>
      <c r="D787" t="s">
        <v>733</v>
      </c>
      <c r="E787" t="s">
        <v>734</v>
      </c>
      <c r="F787" t="s">
        <v>1272</v>
      </c>
      <c r="G787" t="s">
        <v>665</v>
      </c>
      <c r="H787" s="595">
        <v>-11.63</v>
      </c>
      <c r="I787" t="str">
        <f t="shared" si="31"/>
        <v>janeiro 2026</v>
      </c>
      <c r="J787">
        <f t="shared" si="32"/>
        <v>2026</v>
      </c>
      <c r="K787" t="str">
        <f>VLOOKUP(G787,METRICS!C:D,2,0)</f>
        <v>Taxas Financeiras Diversas</v>
      </c>
      <c r="L787" t="str">
        <f>VLOOKUP(K787,METRICS!D:E,2,0)</f>
        <v>TAXAS CARTÃO DE CRÉDITO</v>
      </c>
    </row>
    <row r="788" spans="1:12" ht="15" hidden="1">
      <c r="A788" t="s">
        <v>994</v>
      </c>
      <c r="B788" t="s">
        <v>689</v>
      </c>
      <c r="C788" t="s">
        <v>690</v>
      </c>
      <c r="D788" t="s">
        <v>1000</v>
      </c>
      <c r="E788" t="s">
        <v>757</v>
      </c>
      <c r="F788" t="s">
        <v>1272</v>
      </c>
      <c r="G788" t="s">
        <v>666</v>
      </c>
      <c r="H788" s="595">
        <v>-9.9</v>
      </c>
      <c r="I788" t="str">
        <f t="shared" si="31"/>
        <v>janeiro 2026</v>
      </c>
      <c r="J788">
        <f t="shared" si="32"/>
        <v>2026</v>
      </c>
      <c r="K788" t="str">
        <f>VLOOKUP(G788,METRICS!C:D,2,0)</f>
        <v>Encargos Bancarios</v>
      </c>
      <c r="L788" t="str">
        <f>VLOOKUP(K788,METRICS!D:E,2,0)</f>
        <v>DESPESAS FINANCEIRAS</v>
      </c>
    </row>
    <row r="789" spans="1:12" ht="15" hidden="1">
      <c r="A789" t="s">
        <v>994</v>
      </c>
      <c r="B789" t="s">
        <v>689</v>
      </c>
      <c r="C789" t="s">
        <v>690</v>
      </c>
      <c r="D789" t="s">
        <v>743</v>
      </c>
      <c r="E789" t="s">
        <v>734</v>
      </c>
      <c r="F789" t="s">
        <v>1272</v>
      </c>
      <c r="G789" t="s">
        <v>665</v>
      </c>
      <c r="H789" s="595">
        <v>-2.17</v>
      </c>
      <c r="I789" t="str">
        <f t="shared" si="31"/>
        <v>janeiro 2026</v>
      </c>
      <c r="J789">
        <f t="shared" si="32"/>
        <v>2026</v>
      </c>
      <c r="K789" t="str">
        <f>VLOOKUP(G789,METRICS!C:D,2,0)</f>
        <v>Taxas Financeiras Diversas</v>
      </c>
      <c r="L789" t="str">
        <f>VLOOKUP(K789,METRICS!D:E,2,0)</f>
        <v>TAXAS CARTÃO DE CRÉDITO</v>
      </c>
    </row>
    <row r="790" spans="1:12" ht="15" hidden="1">
      <c r="A790" t="s">
        <v>994</v>
      </c>
      <c r="B790" t="s">
        <v>689</v>
      </c>
      <c r="C790" t="s">
        <v>690</v>
      </c>
      <c r="D790" t="s">
        <v>733</v>
      </c>
      <c r="E790" t="s">
        <v>734</v>
      </c>
      <c r="F790" t="s">
        <v>1272</v>
      </c>
      <c r="G790" t="s">
        <v>665</v>
      </c>
      <c r="H790" s="595">
        <v>-19.829999999999998</v>
      </c>
      <c r="I790" t="str">
        <f t="shared" si="31"/>
        <v>janeiro 2026</v>
      </c>
      <c r="J790">
        <f t="shared" si="32"/>
        <v>2026</v>
      </c>
      <c r="K790" t="str">
        <f>VLOOKUP(G790,METRICS!C:D,2,0)</f>
        <v>Taxas Financeiras Diversas</v>
      </c>
      <c r="L790" t="str">
        <f>VLOOKUP(K790,METRICS!D:E,2,0)</f>
        <v>TAXAS CARTÃO DE CRÉDITO</v>
      </c>
    </row>
    <row r="791" spans="1:12" ht="15" hidden="1">
      <c r="A791" t="s">
        <v>994</v>
      </c>
      <c r="B791" t="s">
        <v>612</v>
      </c>
      <c r="C791" t="s">
        <v>690</v>
      </c>
      <c r="D791" t="s">
        <v>1001</v>
      </c>
      <c r="E791" t="s">
        <v>878</v>
      </c>
      <c r="F791" t="s">
        <v>1272</v>
      </c>
      <c r="G791" t="s">
        <v>609</v>
      </c>
      <c r="H791" s="595">
        <v>-3381.97</v>
      </c>
      <c r="I791" t="str">
        <f t="shared" ref="I791:I831" si="33">TEXT(A791, "mmmm aaaa")</f>
        <v>janeiro 2026</v>
      </c>
      <c r="J791">
        <f t="shared" si="32"/>
        <v>2026</v>
      </c>
      <c r="K791" t="str">
        <f>VLOOKUP(G791,METRICS!C:D,2,0)</f>
        <v>Carnes e Aves</v>
      </c>
      <c r="L791" t="str">
        <f>VLOOKUP(K791,METRICS!D:E,2,0)</f>
        <v>CUSTOS DOS PRODUTOS VENDIDOS</v>
      </c>
    </row>
    <row r="792" spans="1:12" ht="15" hidden="1">
      <c r="A792" s="593" t="s">
        <v>994</v>
      </c>
      <c r="B792" s="593" t="s">
        <v>612</v>
      </c>
      <c r="C792" s="593" t="s">
        <v>690</v>
      </c>
      <c r="D792" s="593" t="s">
        <v>1002</v>
      </c>
      <c r="E792" s="593" t="s">
        <v>794</v>
      </c>
      <c r="F792" s="593" t="s">
        <v>1272</v>
      </c>
      <c r="G792" t="s">
        <v>618</v>
      </c>
      <c r="H792" s="594">
        <v>-118.8</v>
      </c>
      <c r="I792" s="593" t="str">
        <f t="shared" si="33"/>
        <v>janeiro 2026</v>
      </c>
      <c r="J792" s="593">
        <f t="shared" si="32"/>
        <v>2026</v>
      </c>
      <c r="K792" s="593" t="str">
        <f>VLOOKUP(G792,METRICS!C:D,2,0)</f>
        <v>Gás Encanado</v>
      </c>
      <c r="L792" s="593" t="str">
        <f>VLOOKUP(K792,METRICS!D:E,2,0)</f>
        <v>OPERAÇÃO</v>
      </c>
    </row>
    <row r="793" spans="1:12" ht="15" hidden="1">
      <c r="A793" t="s">
        <v>994</v>
      </c>
      <c r="B793" t="s">
        <v>689</v>
      </c>
      <c r="C793" t="s">
        <v>690</v>
      </c>
      <c r="D793" t="s">
        <v>743</v>
      </c>
      <c r="E793" t="s">
        <v>734</v>
      </c>
      <c r="F793" t="s">
        <v>1272</v>
      </c>
      <c r="G793" t="s">
        <v>665</v>
      </c>
      <c r="H793" s="595">
        <v>-2.17</v>
      </c>
      <c r="I793" t="str">
        <f t="shared" si="33"/>
        <v>janeiro 2026</v>
      </c>
      <c r="J793">
        <f t="shared" si="32"/>
        <v>2026</v>
      </c>
      <c r="K793" t="str">
        <f>VLOOKUP(G793,METRICS!C:D,2,0)</f>
        <v>Taxas Financeiras Diversas</v>
      </c>
      <c r="L793" t="str">
        <f>VLOOKUP(K793,METRICS!D:E,2,0)</f>
        <v>TAXAS CARTÃO DE CRÉDITO</v>
      </c>
    </row>
    <row r="794" spans="1:12" ht="15" hidden="1">
      <c r="A794" t="s">
        <v>994</v>
      </c>
      <c r="B794" t="s">
        <v>689</v>
      </c>
      <c r="C794" t="s">
        <v>690</v>
      </c>
      <c r="D794" t="s">
        <v>733</v>
      </c>
      <c r="E794" t="s">
        <v>734</v>
      </c>
      <c r="F794" t="s">
        <v>1272</v>
      </c>
      <c r="G794" t="s">
        <v>665</v>
      </c>
      <c r="H794" s="595">
        <v>-5.61</v>
      </c>
      <c r="I794" t="str">
        <f t="shared" si="33"/>
        <v>janeiro 2026</v>
      </c>
      <c r="J794">
        <f t="shared" si="32"/>
        <v>2026</v>
      </c>
      <c r="K794" t="str">
        <f>VLOOKUP(G794,METRICS!C:D,2,0)</f>
        <v>Taxas Financeiras Diversas</v>
      </c>
      <c r="L794" t="str">
        <f>VLOOKUP(K794,METRICS!D:E,2,0)</f>
        <v>TAXAS CARTÃO DE CRÉDITO</v>
      </c>
    </row>
    <row r="795" spans="1:12" ht="15" hidden="1">
      <c r="A795" t="s">
        <v>994</v>
      </c>
      <c r="B795" t="s">
        <v>689</v>
      </c>
      <c r="C795" t="s">
        <v>690</v>
      </c>
      <c r="D795" t="s">
        <v>733</v>
      </c>
      <c r="E795" t="s">
        <v>734</v>
      </c>
      <c r="F795" t="s">
        <v>1272</v>
      </c>
      <c r="G795" t="s">
        <v>665</v>
      </c>
      <c r="H795" s="595">
        <v>-2.09</v>
      </c>
      <c r="I795" t="str">
        <f t="shared" si="33"/>
        <v>janeiro 2026</v>
      </c>
      <c r="J795">
        <f t="shared" si="32"/>
        <v>2026</v>
      </c>
      <c r="K795" t="str">
        <f>VLOOKUP(G795,METRICS!C:D,2,0)</f>
        <v>Taxas Financeiras Diversas</v>
      </c>
      <c r="L795" t="str">
        <f>VLOOKUP(K795,METRICS!D:E,2,0)</f>
        <v>TAXAS CARTÃO DE CRÉDITO</v>
      </c>
    </row>
    <row r="796" spans="1:12" ht="15" hidden="1">
      <c r="A796" t="s">
        <v>994</v>
      </c>
      <c r="B796" t="s">
        <v>612</v>
      </c>
      <c r="C796" t="s">
        <v>690</v>
      </c>
      <c r="D796" t="s">
        <v>1003</v>
      </c>
      <c r="E796" t="s">
        <v>770</v>
      </c>
      <c r="F796" t="s">
        <v>1272</v>
      </c>
      <c r="G796" t="s">
        <v>630</v>
      </c>
      <c r="H796" s="595">
        <v>-1159.02</v>
      </c>
      <c r="I796" t="str">
        <f t="shared" si="33"/>
        <v>janeiro 2026</v>
      </c>
      <c r="J796">
        <f t="shared" si="32"/>
        <v>2026</v>
      </c>
      <c r="K796" t="str">
        <f>VLOOKUP(G796,METRICS!C:D,2,0)</f>
        <v>Material de Copa e Limpeza</v>
      </c>
      <c r="L796" t="str">
        <f>VLOOKUP(K796,METRICS!D:E,2,0)</f>
        <v>ADMINISTRATIVA</v>
      </c>
    </row>
    <row r="797" spans="1:12" ht="15" hidden="1">
      <c r="A797" t="s">
        <v>994</v>
      </c>
      <c r="B797" t="s">
        <v>689</v>
      </c>
      <c r="C797" t="s">
        <v>690</v>
      </c>
      <c r="D797" t="s">
        <v>733</v>
      </c>
      <c r="E797" t="s">
        <v>734</v>
      </c>
      <c r="F797" t="s">
        <v>1272</v>
      </c>
      <c r="G797" t="s">
        <v>665</v>
      </c>
      <c r="H797" s="595">
        <v>-12.67</v>
      </c>
      <c r="I797" t="str">
        <f t="shared" si="33"/>
        <v>janeiro 2026</v>
      </c>
      <c r="J797">
        <f t="shared" si="32"/>
        <v>2026</v>
      </c>
      <c r="K797" t="str">
        <f>VLOOKUP(G797,METRICS!C:D,2,0)</f>
        <v>Taxas Financeiras Diversas</v>
      </c>
      <c r="L797" t="str">
        <f>VLOOKUP(K797,METRICS!D:E,2,0)</f>
        <v>TAXAS CARTÃO DE CRÉDITO</v>
      </c>
    </row>
    <row r="798" spans="1:12" ht="15" hidden="1">
      <c r="A798" t="s">
        <v>994</v>
      </c>
      <c r="B798" t="s">
        <v>612</v>
      </c>
      <c r="C798" t="s">
        <v>690</v>
      </c>
      <c r="D798" t="s">
        <v>1004</v>
      </c>
      <c r="E798" t="s">
        <v>1005</v>
      </c>
      <c r="F798" t="s">
        <v>1272</v>
      </c>
      <c r="G798" t="s">
        <v>608</v>
      </c>
      <c r="H798" s="595">
        <v>-1906</v>
      </c>
      <c r="I798" t="str">
        <f t="shared" si="33"/>
        <v>janeiro 2026</v>
      </c>
      <c r="J798">
        <f t="shared" si="32"/>
        <v>2026</v>
      </c>
      <c r="K798" t="str">
        <f>VLOOKUP(G798,METRICS!C:D,2,0)</f>
        <v>Bebidas não Alcoolicas</v>
      </c>
      <c r="L798" t="str">
        <f>VLOOKUP(K798,METRICS!D:E,2,0)</f>
        <v>CUSTOS DOS PRODUTOS VENDIDOS</v>
      </c>
    </row>
    <row r="799" spans="1:12" ht="15" hidden="1">
      <c r="A799" t="s">
        <v>994</v>
      </c>
      <c r="B799" t="s">
        <v>689</v>
      </c>
      <c r="C799" t="s">
        <v>690</v>
      </c>
      <c r="D799" t="s">
        <v>733</v>
      </c>
      <c r="E799" t="s">
        <v>734</v>
      </c>
      <c r="F799" t="s">
        <v>1272</v>
      </c>
      <c r="G799" t="s">
        <v>665</v>
      </c>
      <c r="H799" s="595">
        <v>-2.99</v>
      </c>
      <c r="I799" t="str">
        <f t="shared" si="33"/>
        <v>janeiro 2026</v>
      </c>
      <c r="J799">
        <f t="shared" si="32"/>
        <v>2026</v>
      </c>
      <c r="K799" t="str">
        <f>VLOOKUP(G799,METRICS!C:D,2,0)</f>
        <v>Taxas Financeiras Diversas</v>
      </c>
      <c r="L799" t="str">
        <f>VLOOKUP(K799,METRICS!D:E,2,0)</f>
        <v>TAXAS CARTÃO DE CRÉDITO</v>
      </c>
    </row>
    <row r="800" spans="1:12" ht="15" hidden="1">
      <c r="A800" t="s">
        <v>994</v>
      </c>
      <c r="B800" t="s">
        <v>689</v>
      </c>
      <c r="C800" t="s">
        <v>690</v>
      </c>
      <c r="D800" t="s">
        <v>733</v>
      </c>
      <c r="E800" t="s">
        <v>734</v>
      </c>
      <c r="F800" t="s">
        <v>1272</v>
      </c>
      <c r="G800" t="s">
        <v>665</v>
      </c>
      <c r="H800" s="595">
        <v>-0.55000000000000004</v>
      </c>
      <c r="I800" t="str">
        <f t="shared" si="33"/>
        <v>janeiro 2026</v>
      </c>
      <c r="J800">
        <f t="shared" si="32"/>
        <v>2026</v>
      </c>
      <c r="K800" t="str">
        <f>VLOOKUP(G800,METRICS!C:D,2,0)</f>
        <v>Taxas Financeiras Diversas</v>
      </c>
      <c r="L800" t="str">
        <f>VLOOKUP(K800,METRICS!D:E,2,0)</f>
        <v>TAXAS CARTÃO DE CRÉDITO</v>
      </c>
    </row>
    <row r="801" spans="1:12" ht="15" hidden="1">
      <c r="A801" t="s">
        <v>994</v>
      </c>
      <c r="B801" t="s">
        <v>612</v>
      </c>
      <c r="C801" t="s">
        <v>690</v>
      </c>
      <c r="D801" t="s">
        <v>1006</v>
      </c>
      <c r="E801" t="s">
        <v>1007</v>
      </c>
      <c r="F801" t="s">
        <v>1272</v>
      </c>
      <c r="G801" t="s">
        <v>635</v>
      </c>
      <c r="H801" s="595">
        <v>-1200</v>
      </c>
      <c r="I801" t="str">
        <f t="shared" si="33"/>
        <v>janeiro 2026</v>
      </c>
      <c r="J801">
        <f t="shared" si="32"/>
        <v>2026</v>
      </c>
      <c r="K801" t="str">
        <f>VLOOKUP(G801,METRICS!C:D,2,0)</f>
        <v>Manutenção e Conservação</v>
      </c>
      <c r="L801" t="str">
        <f>VLOOKUP(K801,METRICS!D:E,2,0)</f>
        <v>OPERAÇÃO</v>
      </c>
    </row>
    <row r="802" spans="1:12" ht="15" hidden="1">
      <c r="A802" t="s">
        <v>994</v>
      </c>
      <c r="B802" t="s">
        <v>689</v>
      </c>
      <c r="C802" t="s">
        <v>690</v>
      </c>
      <c r="D802" t="s">
        <v>743</v>
      </c>
      <c r="E802" t="s">
        <v>734</v>
      </c>
      <c r="F802" t="s">
        <v>1272</v>
      </c>
      <c r="G802" t="s">
        <v>665</v>
      </c>
      <c r="H802" s="595">
        <v>-6.22</v>
      </c>
      <c r="I802" t="str">
        <f t="shared" si="33"/>
        <v>janeiro 2026</v>
      </c>
      <c r="J802">
        <f t="shared" si="32"/>
        <v>2026</v>
      </c>
      <c r="K802" t="str">
        <f>VLOOKUP(G802,METRICS!C:D,2,0)</f>
        <v>Taxas Financeiras Diversas</v>
      </c>
      <c r="L802" t="str">
        <f>VLOOKUP(K802,METRICS!D:E,2,0)</f>
        <v>TAXAS CARTÃO DE CRÉDITO</v>
      </c>
    </row>
    <row r="803" spans="1:12" ht="15" hidden="1">
      <c r="A803" t="s">
        <v>994</v>
      </c>
      <c r="B803" t="s">
        <v>689</v>
      </c>
      <c r="C803" t="s">
        <v>690</v>
      </c>
      <c r="D803" t="s">
        <v>733</v>
      </c>
      <c r="E803" t="s">
        <v>734</v>
      </c>
      <c r="F803" t="s">
        <v>1272</v>
      </c>
      <c r="G803" t="s">
        <v>665</v>
      </c>
      <c r="H803" s="595">
        <v>-3.22</v>
      </c>
      <c r="I803" t="str">
        <f t="shared" si="33"/>
        <v>janeiro 2026</v>
      </c>
      <c r="J803">
        <f t="shared" si="32"/>
        <v>2026</v>
      </c>
      <c r="K803" t="str">
        <f>VLOOKUP(G803,METRICS!C:D,2,0)</f>
        <v>Taxas Financeiras Diversas</v>
      </c>
      <c r="L803" t="str">
        <f>VLOOKUP(K803,METRICS!D:E,2,0)</f>
        <v>TAXAS CARTÃO DE CRÉDITO</v>
      </c>
    </row>
    <row r="804" spans="1:12" ht="15" hidden="1">
      <c r="A804" t="s">
        <v>994</v>
      </c>
      <c r="B804" t="s">
        <v>689</v>
      </c>
      <c r="C804" t="s">
        <v>690</v>
      </c>
      <c r="D804" t="s">
        <v>883</v>
      </c>
      <c r="E804" t="s">
        <v>746</v>
      </c>
      <c r="F804" t="s">
        <v>1272</v>
      </c>
      <c r="G804" t="s">
        <v>669</v>
      </c>
      <c r="H804" s="595">
        <v>-11.95</v>
      </c>
      <c r="I804" t="str">
        <f t="shared" si="33"/>
        <v>janeiro 2026</v>
      </c>
      <c r="J804">
        <f t="shared" si="32"/>
        <v>2026</v>
      </c>
      <c r="K804" t="str">
        <f>VLOOKUP(G804,METRICS!C:D,2,0)</f>
        <v>Taxas Financeiras Diversas</v>
      </c>
      <c r="L804" t="str">
        <f>VLOOKUP(K804,METRICS!D:E,2,0)</f>
        <v>TAXAS CARTÃO DE CRÉDITO</v>
      </c>
    </row>
    <row r="805" spans="1:12" ht="15" hidden="1">
      <c r="A805" t="s">
        <v>994</v>
      </c>
      <c r="B805" t="s">
        <v>689</v>
      </c>
      <c r="C805" t="s">
        <v>690</v>
      </c>
      <c r="D805" t="s">
        <v>733</v>
      </c>
      <c r="E805" t="s">
        <v>734</v>
      </c>
      <c r="F805" t="s">
        <v>1272</v>
      </c>
      <c r="G805" t="s">
        <v>665</v>
      </c>
      <c r="H805" s="595">
        <v>-7.82</v>
      </c>
      <c r="I805" t="str">
        <f t="shared" si="33"/>
        <v>janeiro 2026</v>
      </c>
      <c r="J805">
        <f t="shared" si="32"/>
        <v>2026</v>
      </c>
      <c r="K805" t="str">
        <f>VLOOKUP(G805,METRICS!C:D,2,0)</f>
        <v>Taxas Financeiras Diversas</v>
      </c>
      <c r="L805" t="str">
        <f>VLOOKUP(K805,METRICS!D:E,2,0)</f>
        <v>TAXAS CARTÃO DE CRÉDITO</v>
      </c>
    </row>
    <row r="806" spans="1:12" ht="15" hidden="1">
      <c r="A806" t="s">
        <v>994</v>
      </c>
      <c r="B806" t="s">
        <v>689</v>
      </c>
      <c r="C806" t="s">
        <v>690</v>
      </c>
      <c r="D806" t="s">
        <v>733</v>
      </c>
      <c r="E806" t="s">
        <v>734</v>
      </c>
      <c r="F806" t="s">
        <v>1272</v>
      </c>
      <c r="G806" t="s">
        <v>665</v>
      </c>
      <c r="H806" s="595">
        <v>-12.1</v>
      </c>
      <c r="I806" t="str">
        <f t="shared" si="33"/>
        <v>janeiro 2026</v>
      </c>
      <c r="J806">
        <f t="shared" si="32"/>
        <v>2026</v>
      </c>
      <c r="K806" t="str">
        <f>VLOOKUP(G806,METRICS!C:D,2,0)</f>
        <v>Taxas Financeiras Diversas</v>
      </c>
      <c r="L806" t="str">
        <f>VLOOKUP(K806,METRICS!D:E,2,0)</f>
        <v>TAXAS CARTÃO DE CRÉDITO</v>
      </c>
    </row>
    <row r="807" spans="1:12" ht="15" hidden="1">
      <c r="A807" t="s">
        <v>994</v>
      </c>
      <c r="B807" t="s">
        <v>689</v>
      </c>
      <c r="C807" t="s">
        <v>690</v>
      </c>
      <c r="D807" t="s">
        <v>743</v>
      </c>
      <c r="E807" t="s">
        <v>734</v>
      </c>
      <c r="F807" t="s">
        <v>1272</v>
      </c>
      <c r="G807" t="s">
        <v>665</v>
      </c>
      <c r="H807" s="595">
        <v>-7.55</v>
      </c>
      <c r="I807" t="str">
        <f t="shared" si="33"/>
        <v>janeiro 2026</v>
      </c>
      <c r="J807">
        <f t="shared" si="32"/>
        <v>2026</v>
      </c>
      <c r="K807" t="str">
        <f>VLOOKUP(G807,METRICS!C:D,2,0)</f>
        <v>Taxas Financeiras Diversas</v>
      </c>
      <c r="L807" t="str">
        <f>VLOOKUP(K807,METRICS!D:E,2,0)</f>
        <v>TAXAS CARTÃO DE CRÉDITO</v>
      </c>
    </row>
    <row r="808" spans="1:12" ht="15" hidden="1">
      <c r="A808" t="s">
        <v>994</v>
      </c>
      <c r="B808" t="s">
        <v>689</v>
      </c>
      <c r="C808" t="s">
        <v>690</v>
      </c>
      <c r="D808" t="s">
        <v>733</v>
      </c>
      <c r="E808" t="s">
        <v>734</v>
      </c>
      <c r="F808" t="s">
        <v>1272</v>
      </c>
      <c r="G808" t="s">
        <v>665</v>
      </c>
      <c r="H808" s="595">
        <v>-32.54</v>
      </c>
      <c r="I808" t="str">
        <f t="shared" si="33"/>
        <v>janeiro 2026</v>
      </c>
      <c r="J808">
        <f t="shared" si="32"/>
        <v>2026</v>
      </c>
      <c r="K808" t="str">
        <f>VLOOKUP(G808,METRICS!C:D,2,0)</f>
        <v>Taxas Financeiras Diversas</v>
      </c>
      <c r="L808" t="str">
        <f>VLOOKUP(K808,METRICS!D:E,2,0)</f>
        <v>TAXAS CARTÃO DE CRÉDITO</v>
      </c>
    </row>
    <row r="809" spans="1:12" ht="15" hidden="1">
      <c r="A809" t="s">
        <v>994</v>
      </c>
      <c r="B809" t="s">
        <v>689</v>
      </c>
      <c r="C809" t="s">
        <v>690</v>
      </c>
      <c r="D809" t="s">
        <v>733</v>
      </c>
      <c r="E809" t="s">
        <v>734</v>
      </c>
      <c r="F809" t="s">
        <v>1272</v>
      </c>
      <c r="G809" t="s">
        <v>665</v>
      </c>
      <c r="H809" s="595">
        <v>-9.75</v>
      </c>
      <c r="I809" t="str">
        <f t="shared" si="33"/>
        <v>janeiro 2026</v>
      </c>
      <c r="J809">
        <f t="shared" si="32"/>
        <v>2026</v>
      </c>
      <c r="K809" t="str">
        <f>VLOOKUP(G809,METRICS!C:D,2,0)</f>
        <v>Taxas Financeiras Diversas</v>
      </c>
      <c r="L809" t="str">
        <f>VLOOKUP(K809,METRICS!D:E,2,0)</f>
        <v>TAXAS CARTÃO DE CRÉDITO</v>
      </c>
    </row>
    <row r="810" spans="1:12" ht="15" hidden="1">
      <c r="A810" t="s">
        <v>994</v>
      </c>
      <c r="B810" t="s">
        <v>612</v>
      </c>
      <c r="C810" t="s">
        <v>690</v>
      </c>
      <c r="D810" t="s">
        <v>1008</v>
      </c>
      <c r="E810" t="s">
        <v>830</v>
      </c>
      <c r="F810" t="s">
        <v>1272</v>
      </c>
      <c r="G810" t="s">
        <v>623</v>
      </c>
      <c r="H810" s="595">
        <v>-407</v>
      </c>
      <c r="I810" t="str">
        <f t="shared" si="33"/>
        <v>janeiro 2026</v>
      </c>
      <c r="J810">
        <f t="shared" si="32"/>
        <v>2026</v>
      </c>
      <c r="K810" t="str">
        <f>VLOOKUP(G810,METRICS!C:D,2,0)</f>
        <v>Secos - Mercearia</v>
      </c>
      <c r="L810" t="str">
        <f>VLOOKUP(K810,METRICS!D:E,2,0)</f>
        <v>CUSTOS DOS PRODUTOS VENDIDOS</v>
      </c>
    </row>
    <row r="811" spans="1:12" ht="15" hidden="1">
      <c r="A811" t="s">
        <v>994</v>
      </c>
      <c r="B811" t="s">
        <v>612</v>
      </c>
      <c r="C811" t="s">
        <v>690</v>
      </c>
      <c r="D811" t="s">
        <v>1009</v>
      </c>
      <c r="E811" t="s">
        <v>826</v>
      </c>
      <c r="F811" t="s">
        <v>1272</v>
      </c>
      <c r="G811" t="s">
        <v>633</v>
      </c>
      <c r="H811" s="595">
        <v>-3880</v>
      </c>
      <c r="I811" t="str">
        <f t="shared" si="33"/>
        <v>janeiro 2026</v>
      </c>
      <c r="J811">
        <f t="shared" si="32"/>
        <v>2026</v>
      </c>
      <c r="K811" t="str">
        <f>VLOOKUP(G811,METRICS!C:D,2,0)</f>
        <v>Paes, Massas e Salgados</v>
      </c>
      <c r="L811" t="str">
        <f>VLOOKUP(K811,METRICS!D:E,2,0)</f>
        <v>CUSTOS DOS PRODUTOS VENDIDOS</v>
      </c>
    </row>
    <row r="812" spans="1:12" ht="15" hidden="1">
      <c r="A812" t="s">
        <v>994</v>
      </c>
      <c r="B812" t="s">
        <v>612</v>
      </c>
      <c r="C812" t="s">
        <v>690</v>
      </c>
      <c r="D812" t="s">
        <v>1010</v>
      </c>
      <c r="E812" t="s">
        <v>738</v>
      </c>
      <c r="F812" t="s">
        <v>1272</v>
      </c>
      <c r="G812" t="s">
        <v>623</v>
      </c>
      <c r="H812" s="595">
        <v>-2298.14</v>
      </c>
      <c r="I812" t="str">
        <f t="shared" si="33"/>
        <v>janeiro 2026</v>
      </c>
      <c r="J812">
        <f t="shared" si="32"/>
        <v>2026</v>
      </c>
      <c r="K812" t="str">
        <f>VLOOKUP(G812,METRICS!C:D,2,0)</f>
        <v>Secos - Mercearia</v>
      </c>
      <c r="L812" t="str">
        <f>VLOOKUP(K812,METRICS!D:E,2,0)</f>
        <v>CUSTOS DOS PRODUTOS VENDIDOS</v>
      </c>
    </row>
    <row r="813" spans="1:12" ht="15" hidden="1">
      <c r="A813" t="s">
        <v>994</v>
      </c>
      <c r="B813" t="s">
        <v>689</v>
      </c>
      <c r="C813" t="s">
        <v>690</v>
      </c>
      <c r="D813" t="s">
        <v>743</v>
      </c>
      <c r="E813" t="s">
        <v>734</v>
      </c>
      <c r="F813" t="s">
        <v>1272</v>
      </c>
      <c r="G813" t="s">
        <v>665</v>
      </c>
      <c r="H813" s="595">
        <v>-7.8</v>
      </c>
      <c r="I813" t="str">
        <f t="shared" si="33"/>
        <v>janeiro 2026</v>
      </c>
      <c r="J813">
        <f t="shared" si="32"/>
        <v>2026</v>
      </c>
      <c r="K813" t="str">
        <f>VLOOKUP(G813,METRICS!C:D,2,0)</f>
        <v>Taxas Financeiras Diversas</v>
      </c>
      <c r="L813" t="str">
        <f>VLOOKUP(K813,METRICS!D:E,2,0)</f>
        <v>TAXAS CARTÃO DE CRÉDITO</v>
      </c>
    </row>
    <row r="814" spans="1:12" ht="15" hidden="1">
      <c r="A814" t="s">
        <v>994</v>
      </c>
      <c r="B814" t="s">
        <v>689</v>
      </c>
      <c r="C814" t="s">
        <v>690</v>
      </c>
      <c r="D814" t="s">
        <v>852</v>
      </c>
      <c r="E814" s="155" t="s">
        <v>544</v>
      </c>
      <c r="F814" t="s">
        <v>1272</v>
      </c>
      <c r="G814" t="s">
        <v>664</v>
      </c>
      <c r="H814" s="595">
        <v>-150</v>
      </c>
      <c r="I814" t="str">
        <f t="shared" si="33"/>
        <v>janeiro 2026</v>
      </c>
      <c r="J814">
        <f t="shared" si="32"/>
        <v>2026</v>
      </c>
      <c r="K814" t="str">
        <f>VLOOKUP(G814,METRICS!C:D,2,0)</f>
        <v>Colaborador Extra</v>
      </c>
      <c r="L814" t="str">
        <f>VLOOKUP(K814,METRICS!D:E,2,0)</f>
        <v>PESSOAL</v>
      </c>
    </row>
    <row r="815" spans="1:12" ht="15" hidden="1">
      <c r="A815" t="s">
        <v>994</v>
      </c>
      <c r="B815" t="s">
        <v>689</v>
      </c>
      <c r="C815" t="s">
        <v>690</v>
      </c>
      <c r="D815" t="s">
        <v>743</v>
      </c>
      <c r="E815" t="s">
        <v>734</v>
      </c>
      <c r="F815" t="s">
        <v>1272</v>
      </c>
      <c r="G815" t="s">
        <v>665</v>
      </c>
      <c r="H815" s="595">
        <v>-5.7</v>
      </c>
      <c r="I815" t="str">
        <f t="shared" si="33"/>
        <v>janeiro 2026</v>
      </c>
      <c r="J815">
        <f t="shared" si="32"/>
        <v>2026</v>
      </c>
      <c r="K815" t="str">
        <f>VLOOKUP(G815,METRICS!C:D,2,0)</f>
        <v>Taxas Financeiras Diversas</v>
      </c>
      <c r="L815" t="str">
        <f>VLOOKUP(K815,METRICS!D:E,2,0)</f>
        <v>TAXAS CARTÃO DE CRÉDITO</v>
      </c>
    </row>
    <row r="816" spans="1:12" ht="15" hidden="1">
      <c r="A816" t="s">
        <v>994</v>
      </c>
      <c r="B816" t="s">
        <v>689</v>
      </c>
      <c r="C816" t="s">
        <v>690</v>
      </c>
      <c r="D816" t="s">
        <v>743</v>
      </c>
      <c r="E816" t="s">
        <v>734</v>
      </c>
      <c r="F816" t="s">
        <v>1272</v>
      </c>
      <c r="G816" t="s">
        <v>665</v>
      </c>
      <c r="H816" s="595">
        <v>-2.59</v>
      </c>
      <c r="I816" t="str">
        <f t="shared" si="33"/>
        <v>janeiro 2026</v>
      </c>
      <c r="J816">
        <f t="shared" si="32"/>
        <v>2026</v>
      </c>
      <c r="K816" t="str">
        <f>VLOOKUP(G816,METRICS!C:D,2,0)</f>
        <v>Taxas Financeiras Diversas</v>
      </c>
      <c r="L816" t="str">
        <f>VLOOKUP(K816,METRICS!D:E,2,0)</f>
        <v>TAXAS CARTÃO DE CRÉDITO</v>
      </c>
    </row>
    <row r="817" spans="1:12" ht="15" hidden="1">
      <c r="A817" t="s">
        <v>994</v>
      </c>
      <c r="B817" t="s">
        <v>689</v>
      </c>
      <c r="C817" t="s">
        <v>690</v>
      </c>
      <c r="D817" t="s">
        <v>743</v>
      </c>
      <c r="E817" t="s">
        <v>734</v>
      </c>
      <c r="F817" t="s">
        <v>1272</v>
      </c>
      <c r="G817" t="s">
        <v>665</v>
      </c>
      <c r="H817" s="595">
        <v>-16.95</v>
      </c>
      <c r="I817" t="str">
        <f t="shared" si="33"/>
        <v>janeiro 2026</v>
      </c>
      <c r="J817">
        <f t="shared" si="32"/>
        <v>2026</v>
      </c>
      <c r="K817" t="str">
        <f>VLOOKUP(G817,METRICS!C:D,2,0)</f>
        <v>Taxas Financeiras Diversas</v>
      </c>
      <c r="L817" t="str">
        <f>VLOOKUP(K817,METRICS!D:E,2,0)</f>
        <v>TAXAS CARTÃO DE CRÉDITO</v>
      </c>
    </row>
    <row r="818" spans="1:12" ht="15" hidden="1">
      <c r="A818" t="s">
        <v>994</v>
      </c>
      <c r="B818" t="s">
        <v>689</v>
      </c>
      <c r="C818" t="s">
        <v>690</v>
      </c>
      <c r="D818" t="s">
        <v>733</v>
      </c>
      <c r="E818" t="s">
        <v>734</v>
      </c>
      <c r="F818" t="s">
        <v>1272</v>
      </c>
      <c r="G818" t="s">
        <v>665</v>
      </c>
      <c r="H818" s="595">
        <v>-12.41</v>
      </c>
      <c r="I818" t="str">
        <f t="shared" si="33"/>
        <v>janeiro 2026</v>
      </c>
      <c r="J818">
        <f t="shared" si="32"/>
        <v>2026</v>
      </c>
      <c r="K818" t="str">
        <f>VLOOKUP(G818,METRICS!C:D,2,0)</f>
        <v>Taxas Financeiras Diversas</v>
      </c>
      <c r="L818" t="str">
        <f>VLOOKUP(K818,METRICS!D:E,2,0)</f>
        <v>TAXAS CARTÃO DE CRÉDITO</v>
      </c>
    </row>
    <row r="819" spans="1:12" ht="15" hidden="1">
      <c r="A819" t="s">
        <v>994</v>
      </c>
      <c r="B819" t="s">
        <v>612</v>
      </c>
      <c r="C819" t="s">
        <v>690</v>
      </c>
      <c r="D819" t="s">
        <v>1011</v>
      </c>
      <c r="E819" t="s">
        <v>1012</v>
      </c>
      <c r="F819" t="s">
        <v>1272</v>
      </c>
      <c r="G819" t="s">
        <v>611</v>
      </c>
      <c r="H819" s="595">
        <v>-3686.44</v>
      </c>
      <c r="I819" t="str">
        <f t="shared" si="33"/>
        <v>janeiro 2026</v>
      </c>
      <c r="J819">
        <f t="shared" si="32"/>
        <v>2026</v>
      </c>
      <c r="K819" t="str">
        <f>VLOOKUP(G819,METRICS!C:D,2,0)</f>
        <v>Bebidas Alcoólicas</v>
      </c>
      <c r="L819" t="str">
        <f>VLOOKUP(K819,METRICS!D:E,2,0)</f>
        <v>CUSTOS DOS PRODUTOS VENDIDOS</v>
      </c>
    </row>
    <row r="820" spans="1:12" ht="15" hidden="1">
      <c r="A820" t="s">
        <v>994</v>
      </c>
      <c r="B820" t="s">
        <v>689</v>
      </c>
      <c r="C820" t="s">
        <v>690</v>
      </c>
      <c r="D820" t="s">
        <v>733</v>
      </c>
      <c r="E820" t="s">
        <v>734</v>
      </c>
      <c r="F820" t="s">
        <v>1272</v>
      </c>
      <c r="G820" t="s">
        <v>665</v>
      </c>
      <c r="H820" s="595">
        <v>-3.98</v>
      </c>
      <c r="I820" t="str">
        <f t="shared" si="33"/>
        <v>janeiro 2026</v>
      </c>
      <c r="J820">
        <f t="shared" si="32"/>
        <v>2026</v>
      </c>
      <c r="K820" t="str">
        <f>VLOOKUP(G820,METRICS!C:D,2,0)</f>
        <v>Taxas Financeiras Diversas</v>
      </c>
      <c r="L820" t="str">
        <f>VLOOKUP(K820,METRICS!D:E,2,0)</f>
        <v>TAXAS CARTÃO DE CRÉDITO</v>
      </c>
    </row>
    <row r="821" spans="1:12" ht="15" hidden="1">
      <c r="A821" t="s">
        <v>994</v>
      </c>
      <c r="B821" t="s">
        <v>689</v>
      </c>
      <c r="C821" t="s">
        <v>690</v>
      </c>
      <c r="D821" t="s">
        <v>733</v>
      </c>
      <c r="E821" t="s">
        <v>734</v>
      </c>
      <c r="F821" t="s">
        <v>1272</v>
      </c>
      <c r="G821" t="s">
        <v>665</v>
      </c>
      <c r="H821" s="595">
        <v>-4.49</v>
      </c>
      <c r="I821" t="str">
        <f t="shared" si="33"/>
        <v>janeiro 2026</v>
      </c>
      <c r="J821">
        <f t="shared" si="32"/>
        <v>2026</v>
      </c>
      <c r="K821" t="str">
        <f>VLOOKUP(G821,METRICS!C:D,2,0)</f>
        <v>Taxas Financeiras Diversas</v>
      </c>
      <c r="L821" t="str">
        <f>VLOOKUP(K821,METRICS!D:E,2,0)</f>
        <v>TAXAS CARTÃO DE CRÉDITO</v>
      </c>
    </row>
    <row r="822" spans="1:12" ht="15" hidden="1">
      <c r="A822" t="s">
        <v>994</v>
      </c>
      <c r="B822" t="s">
        <v>689</v>
      </c>
      <c r="C822" t="s">
        <v>690</v>
      </c>
      <c r="D822" t="s">
        <v>743</v>
      </c>
      <c r="E822" t="s">
        <v>734</v>
      </c>
      <c r="F822" t="s">
        <v>1272</v>
      </c>
      <c r="G822" t="s">
        <v>665</v>
      </c>
      <c r="H822" s="595">
        <v>-7.46</v>
      </c>
      <c r="I822" t="str">
        <f t="shared" si="33"/>
        <v>janeiro 2026</v>
      </c>
      <c r="J822">
        <f t="shared" ref="J822:J885" si="34">YEAR(A822)</f>
        <v>2026</v>
      </c>
      <c r="K822" t="str">
        <f>VLOOKUP(G822,METRICS!C:D,2,0)</f>
        <v>Taxas Financeiras Diversas</v>
      </c>
      <c r="L822" t="str">
        <f>VLOOKUP(K822,METRICS!D:E,2,0)</f>
        <v>TAXAS CARTÃO DE CRÉDITO</v>
      </c>
    </row>
    <row r="823" spans="1:12" ht="15" hidden="1">
      <c r="A823" t="s">
        <v>994</v>
      </c>
      <c r="B823" t="s">
        <v>689</v>
      </c>
      <c r="C823" t="s">
        <v>690</v>
      </c>
      <c r="D823" t="s">
        <v>733</v>
      </c>
      <c r="E823" t="s">
        <v>734</v>
      </c>
      <c r="F823" t="s">
        <v>1272</v>
      </c>
      <c r="G823" t="s">
        <v>665</v>
      </c>
      <c r="H823" s="595">
        <v>-3.07</v>
      </c>
      <c r="I823" t="str">
        <f t="shared" si="33"/>
        <v>janeiro 2026</v>
      </c>
      <c r="J823">
        <f t="shared" si="34"/>
        <v>2026</v>
      </c>
      <c r="K823" t="str">
        <f>VLOOKUP(G823,METRICS!C:D,2,0)</f>
        <v>Taxas Financeiras Diversas</v>
      </c>
      <c r="L823" t="str">
        <f>VLOOKUP(K823,METRICS!D:E,2,0)</f>
        <v>TAXAS CARTÃO DE CRÉDITO</v>
      </c>
    </row>
    <row r="824" spans="1:12" ht="15" hidden="1">
      <c r="A824" t="s">
        <v>994</v>
      </c>
      <c r="B824" t="s">
        <v>612</v>
      </c>
      <c r="C824" t="s">
        <v>690</v>
      </c>
      <c r="D824" t="s">
        <v>1013</v>
      </c>
      <c r="E824" t="s">
        <v>748</v>
      </c>
      <c r="F824" t="s">
        <v>1272</v>
      </c>
      <c r="G824" t="s">
        <v>620</v>
      </c>
      <c r="H824" s="595">
        <v>-145.11000000000001</v>
      </c>
      <c r="I824" t="str">
        <f t="shared" si="33"/>
        <v>janeiro 2026</v>
      </c>
      <c r="J824">
        <f t="shared" si="34"/>
        <v>2026</v>
      </c>
      <c r="K824" t="str">
        <f>VLOOKUP(G824,METRICS!C:D,2,0)</f>
        <v>Hortifruti</v>
      </c>
      <c r="L824" t="str">
        <f>VLOOKUP(K824,METRICS!D:E,2,0)</f>
        <v>CUSTOS DOS PRODUTOS VENDIDOS</v>
      </c>
    </row>
    <row r="825" spans="1:12" ht="15" hidden="1">
      <c r="A825" t="s">
        <v>994</v>
      </c>
      <c r="B825" t="s">
        <v>689</v>
      </c>
      <c r="C825" t="s">
        <v>690</v>
      </c>
      <c r="D825" t="s">
        <v>743</v>
      </c>
      <c r="E825" t="s">
        <v>734</v>
      </c>
      <c r="F825" t="s">
        <v>1272</v>
      </c>
      <c r="G825" t="s">
        <v>665</v>
      </c>
      <c r="H825" s="595">
        <v>-5.07</v>
      </c>
      <c r="I825" t="str">
        <f t="shared" si="33"/>
        <v>janeiro 2026</v>
      </c>
      <c r="J825">
        <f t="shared" si="34"/>
        <v>2026</v>
      </c>
      <c r="K825" t="str">
        <f>VLOOKUP(G825,METRICS!C:D,2,0)</f>
        <v>Taxas Financeiras Diversas</v>
      </c>
      <c r="L825" t="str">
        <f>VLOOKUP(K825,METRICS!D:E,2,0)</f>
        <v>TAXAS CARTÃO DE CRÉDITO</v>
      </c>
    </row>
    <row r="826" spans="1:12" ht="15" hidden="1">
      <c r="A826" t="s">
        <v>994</v>
      </c>
      <c r="B826" t="s">
        <v>689</v>
      </c>
      <c r="C826" t="s">
        <v>690</v>
      </c>
      <c r="D826" t="s">
        <v>743</v>
      </c>
      <c r="E826" t="s">
        <v>734</v>
      </c>
      <c r="F826" t="s">
        <v>1272</v>
      </c>
      <c r="G826" t="s">
        <v>665</v>
      </c>
      <c r="H826" s="595">
        <v>-2.88</v>
      </c>
      <c r="I826" t="str">
        <f t="shared" si="33"/>
        <v>janeiro 2026</v>
      </c>
      <c r="J826">
        <f t="shared" si="34"/>
        <v>2026</v>
      </c>
      <c r="K826" t="str">
        <f>VLOOKUP(G826,METRICS!C:D,2,0)</f>
        <v>Taxas Financeiras Diversas</v>
      </c>
      <c r="L826" t="str">
        <f>VLOOKUP(K826,METRICS!D:E,2,0)</f>
        <v>TAXAS CARTÃO DE CRÉDITO</v>
      </c>
    </row>
    <row r="827" spans="1:12" ht="15" hidden="1">
      <c r="A827" t="s">
        <v>994</v>
      </c>
      <c r="B827" t="s">
        <v>689</v>
      </c>
      <c r="C827" t="s">
        <v>690</v>
      </c>
      <c r="D827" t="s">
        <v>743</v>
      </c>
      <c r="E827" t="s">
        <v>734</v>
      </c>
      <c r="F827" t="s">
        <v>1272</v>
      </c>
      <c r="G827" t="s">
        <v>665</v>
      </c>
      <c r="H827" s="595">
        <v>-2.52</v>
      </c>
      <c r="I827" t="str">
        <f t="shared" si="33"/>
        <v>janeiro 2026</v>
      </c>
      <c r="J827">
        <f t="shared" si="34"/>
        <v>2026</v>
      </c>
      <c r="K827" t="str">
        <f>VLOOKUP(G827,METRICS!C:D,2,0)</f>
        <v>Taxas Financeiras Diversas</v>
      </c>
      <c r="L827" t="str">
        <f>VLOOKUP(K827,METRICS!D:E,2,0)</f>
        <v>TAXAS CARTÃO DE CRÉDITO</v>
      </c>
    </row>
    <row r="828" spans="1:12" ht="15" hidden="1">
      <c r="A828" t="s">
        <v>994</v>
      </c>
      <c r="B828" t="s">
        <v>689</v>
      </c>
      <c r="C828" t="s">
        <v>690</v>
      </c>
      <c r="D828" t="s">
        <v>733</v>
      </c>
      <c r="E828" t="s">
        <v>734</v>
      </c>
      <c r="F828" t="s">
        <v>1272</v>
      </c>
      <c r="G828" t="s">
        <v>665</v>
      </c>
      <c r="H828" s="595">
        <v>-4.34</v>
      </c>
      <c r="I828" t="str">
        <f t="shared" si="33"/>
        <v>janeiro 2026</v>
      </c>
      <c r="J828">
        <f t="shared" si="34"/>
        <v>2026</v>
      </c>
      <c r="K828" t="str">
        <f>VLOOKUP(G828,METRICS!C:D,2,0)</f>
        <v>Taxas Financeiras Diversas</v>
      </c>
      <c r="L828" t="str">
        <f>VLOOKUP(K828,METRICS!D:E,2,0)</f>
        <v>TAXAS CARTÃO DE CRÉDITO</v>
      </c>
    </row>
    <row r="829" spans="1:12" ht="15" hidden="1">
      <c r="A829" t="s">
        <v>994</v>
      </c>
      <c r="B829" t="s">
        <v>689</v>
      </c>
      <c r="C829" t="s">
        <v>690</v>
      </c>
      <c r="D829" t="s">
        <v>743</v>
      </c>
      <c r="E829" t="s">
        <v>734</v>
      </c>
      <c r="F829" t="s">
        <v>1272</v>
      </c>
      <c r="G829" t="s">
        <v>665</v>
      </c>
      <c r="H829" s="595">
        <v>-4.34</v>
      </c>
      <c r="I829" t="str">
        <f t="shared" si="33"/>
        <v>janeiro 2026</v>
      </c>
      <c r="J829">
        <f t="shared" si="34"/>
        <v>2026</v>
      </c>
      <c r="K829" t="str">
        <f>VLOOKUP(G829,METRICS!C:D,2,0)</f>
        <v>Taxas Financeiras Diversas</v>
      </c>
      <c r="L829" t="str">
        <f>VLOOKUP(K829,METRICS!D:E,2,0)</f>
        <v>TAXAS CARTÃO DE CRÉDITO</v>
      </c>
    </row>
    <row r="830" spans="1:12" ht="15" hidden="1">
      <c r="A830" t="s">
        <v>994</v>
      </c>
      <c r="B830" t="s">
        <v>689</v>
      </c>
      <c r="C830" t="s">
        <v>690</v>
      </c>
      <c r="D830" t="s">
        <v>860</v>
      </c>
      <c r="E830" t="s">
        <v>734</v>
      </c>
      <c r="F830" t="s">
        <v>1272</v>
      </c>
      <c r="G830" t="s">
        <v>665</v>
      </c>
      <c r="H830" s="595">
        <v>-0.83</v>
      </c>
      <c r="I830" t="str">
        <f t="shared" si="33"/>
        <v>janeiro 2026</v>
      </c>
      <c r="J830">
        <f t="shared" si="34"/>
        <v>2026</v>
      </c>
      <c r="K830" t="str">
        <f>VLOOKUP(G830,METRICS!C:D,2,0)</f>
        <v>Taxas Financeiras Diversas</v>
      </c>
      <c r="L830" t="str">
        <f>VLOOKUP(K830,METRICS!D:E,2,0)</f>
        <v>TAXAS CARTÃO DE CRÉDITO</v>
      </c>
    </row>
    <row r="831" spans="1:12" ht="15" hidden="1">
      <c r="A831" t="s">
        <v>994</v>
      </c>
      <c r="B831" t="s">
        <v>689</v>
      </c>
      <c r="C831" t="s">
        <v>690</v>
      </c>
      <c r="D831" t="s">
        <v>733</v>
      </c>
      <c r="E831" t="s">
        <v>734</v>
      </c>
      <c r="F831" t="s">
        <v>1272</v>
      </c>
      <c r="G831" t="s">
        <v>665</v>
      </c>
      <c r="H831" s="595">
        <v>-8.61</v>
      </c>
      <c r="I831" t="str">
        <f t="shared" si="33"/>
        <v>janeiro 2026</v>
      </c>
      <c r="J831">
        <f t="shared" si="34"/>
        <v>2026</v>
      </c>
      <c r="K831" t="str">
        <f>VLOOKUP(G831,METRICS!C:D,2,0)</f>
        <v>Taxas Financeiras Diversas</v>
      </c>
      <c r="L831" t="str">
        <f>VLOOKUP(K831,METRICS!D:E,2,0)</f>
        <v>TAXAS CARTÃO DE CRÉDITO</v>
      </c>
    </row>
    <row r="832" spans="1:12" ht="15" hidden="1">
      <c r="A832" t="s">
        <v>994</v>
      </c>
      <c r="B832" t="s">
        <v>689</v>
      </c>
      <c r="C832" t="s">
        <v>690</v>
      </c>
      <c r="D832" t="s">
        <v>743</v>
      </c>
      <c r="E832" t="s">
        <v>734</v>
      </c>
      <c r="F832" t="s">
        <v>1272</v>
      </c>
      <c r="G832" t="s">
        <v>665</v>
      </c>
      <c r="H832" s="595">
        <v>-10.57</v>
      </c>
      <c r="I832" t="str">
        <f t="shared" ref="I832:I865" si="35">TEXT(A832, "mmmm aaaa")</f>
        <v>janeiro 2026</v>
      </c>
      <c r="J832">
        <f t="shared" si="34"/>
        <v>2026</v>
      </c>
      <c r="K832" t="str">
        <f>VLOOKUP(G832,METRICS!C:D,2,0)</f>
        <v>Taxas Financeiras Diversas</v>
      </c>
      <c r="L832" t="str">
        <f>VLOOKUP(K832,METRICS!D:E,2,0)</f>
        <v>TAXAS CARTÃO DE CRÉDITO</v>
      </c>
    </row>
    <row r="833" spans="1:12" ht="15" hidden="1">
      <c r="A833" t="s">
        <v>994</v>
      </c>
      <c r="B833" t="s">
        <v>689</v>
      </c>
      <c r="C833" t="s">
        <v>690</v>
      </c>
      <c r="D833" t="s">
        <v>743</v>
      </c>
      <c r="E833" t="s">
        <v>734</v>
      </c>
      <c r="F833" t="s">
        <v>1272</v>
      </c>
      <c r="G833" t="s">
        <v>665</v>
      </c>
      <c r="H833" s="595">
        <v>-3.98</v>
      </c>
      <c r="I833" t="str">
        <f t="shared" si="35"/>
        <v>janeiro 2026</v>
      </c>
      <c r="J833">
        <f t="shared" si="34"/>
        <v>2026</v>
      </c>
      <c r="K833" t="str">
        <f>VLOOKUP(G833,METRICS!C:D,2,0)</f>
        <v>Taxas Financeiras Diversas</v>
      </c>
      <c r="L833" t="str">
        <f>VLOOKUP(K833,METRICS!D:E,2,0)</f>
        <v>TAXAS CARTÃO DE CRÉDITO</v>
      </c>
    </row>
    <row r="834" spans="1:12" ht="15" hidden="1">
      <c r="A834" t="s">
        <v>994</v>
      </c>
      <c r="B834" t="s">
        <v>689</v>
      </c>
      <c r="C834" t="s">
        <v>690</v>
      </c>
      <c r="D834" t="s">
        <v>733</v>
      </c>
      <c r="E834" t="s">
        <v>734</v>
      </c>
      <c r="F834" t="s">
        <v>1272</v>
      </c>
      <c r="G834" t="s">
        <v>665</v>
      </c>
      <c r="H834" s="595">
        <v>-5.75</v>
      </c>
      <c r="I834" t="str">
        <f t="shared" si="35"/>
        <v>janeiro 2026</v>
      </c>
      <c r="J834">
        <f t="shared" si="34"/>
        <v>2026</v>
      </c>
      <c r="K834" t="str">
        <f>VLOOKUP(G834,METRICS!C:D,2,0)</f>
        <v>Taxas Financeiras Diversas</v>
      </c>
      <c r="L834" t="str">
        <f>VLOOKUP(K834,METRICS!D:E,2,0)</f>
        <v>TAXAS CARTÃO DE CRÉDITO</v>
      </c>
    </row>
    <row r="835" spans="1:12" ht="15" hidden="1">
      <c r="A835" t="s">
        <v>994</v>
      </c>
      <c r="B835" t="s">
        <v>612</v>
      </c>
      <c r="C835" t="s">
        <v>690</v>
      </c>
      <c r="D835" t="s">
        <v>1014</v>
      </c>
      <c r="E835" t="s">
        <v>724</v>
      </c>
      <c r="F835" t="s">
        <v>1272</v>
      </c>
      <c r="G835" t="s">
        <v>669</v>
      </c>
      <c r="H835" s="595">
        <v>-52.96</v>
      </c>
      <c r="I835" t="str">
        <f t="shared" si="35"/>
        <v>janeiro 2026</v>
      </c>
      <c r="J835">
        <f t="shared" si="34"/>
        <v>2026</v>
      </c>
      <c r="K835" t="str">
        <f>VLOOKUP(G835,METRICS!C:D,2,0)</f>
        <v>Taxas Financeiras Diversas</v>
      </c>
      <c r="L835" t="str">
        <f>VLOOKUP(K835,METRICS!D:E,2,0)</f>
        <v>TAXAS CARTÃO DE CRÉDITO</v>
      </c>
    </row>
    <row r="836" spans="1:12" ht="15" hidden="1">
      <c r="A836" t="s">
        <v>1015</v>
      </c>
      <c r="B836" t="s">
        <v>689</v>
      </c>
      <c r="C836" t="s">
        <v>690</v>
      </c>
      <c r="D836" t="s">
        <v>733</v>
      </c>
      <c r="E836" t="s">
        <v>734</v>
      </c>
      <c r="F836" t="s">
        <v>1272</v>
      </c>
      <c r="G836" t="s">
        <v>665</v>
      </c>
      <c r="H836" s="595">
        <v>-1.1100000000000001</v>
      </c>
      <c r="I836" t="str">
        <f t="shared" si="35"/>
        <v>janeiro 2026</v>
      </c>
      <c r="J836">
        <f t="shared" si="34"/>
        <v>2026</v>
      </c>
      <c r="K836" t="str">
        <f>VLOOKUP(G836,METRICS!C:D,2,0)</f>
        <v>Taxas Financeiras Diversas</v>
      </c>
      <c r="L836" t="str">
        <f>VLOOKUP(K836,METRICS!D:E,2,0)</f>
        <v>TAXAS CARTÃO DE CRÉDITO</v>
      </c>
    </row>
    <row r="837" spans="1:12" ht="15" hidden="1">
      <c r="A837" t="s">
        <v>1015</v>
      </c>
      <c r="B837" t="s">
        <v>689</v>
      </c>
      <c r="C837" t="s">
        <v>690</v>
      </c>
      <c r="D837" t="s">
        <v>733</v>
      </c>
      <c r="E837" t="s">
        <v>734</v>
      </c>
      <c r="F837" t="s">
        <v>1272</v>
      </c>
      <c r="G837" t="s">
        <v>665</v>
      </c>
      <c r="H837" s="595">
        <v>-1.46</v>
      </c>
      <c r="I837" t="str">
        <f t="shared" si="35"/>
        <v>janeiro 2026</v>
      </c>
      <c r="J837">
        <f t="shared" si="34"/>
        <v>2026</v>
      </c>
      <c r="K837" t="str">
        <f>VLOOKUP(G837,METRICS!C:D,2,0)</f>
        <v>Taxas Financeiras Diversas</v>
      </c>
      <c r="L837" t="str">
        <f>VLOOKUP(K837,METRICS!D:E,2,0)</f>
        <v>TAXAS CARTÃO DE CRÉDITO</v>
      </c>
    </row>
    <row r="838" spans="1:12" ht="15" hidden="1">
      <c r="A838" t="s">
        <v>1015</v>
      </c>
      <c r="B838" t="s">
        <v>689</v>
      </c>
      <c r="C838" t="s">
        <v>690</v>
      </c>
      <c r="D838" t="s">
        <v>743</v>
      </c>
      <c r="E838" t="s">
        <v>734</v>
      </c>
      <c r="F838" t="s">
        <v>1272</v>
      </c>
      <c r="G838" t="s">
        <v>665</v>
      </c>
      <c r="H838" s="595">
        <v>-34.43</v>
      </c>
      <c r="I838" t="str">
        <f t="shared" si="35"/>
        <v>janeiro 2026</v>
      </c>
      <c r="J838">
        <f t="shared" si="34"/>
        <v>2026</v>
      </c>
      <c r="K838" t="str">
        <f>VLOOKUP(G838,METRICS!C:D,2,0)</f>
        <v>Taxas Financeiras Diversas</v>
      </c>
      <c r="L838" t="str">
        <f>VLOOKUP(K838,METRICS!D:E,2,0)</f>
        <v>TAXAS CARTÃO DE CRÉDITO</v>
      </c>
    </row>
    <row r="839" spans="1:12" ht="15" hidden="1">
      <c r="A839" t="s">
        <v>1015</v>
      </c>
      <c r="B839" t="s">
        <v>689</v>
      </c>
      <c r="C839" t="s">
        <v>690</v>
      </c>
      <c r="D839" t="s">
        <v>743</v>
      </c>
      <c r="E839" t="s">
        <v>734</v>
      </c>
      <c r="F839" t="s">
        <v>1272</v>
      </c>
      <c r="G839" t="s">
        <v>665</v>
      </c>
      <c r="H839" s="595">
        <v>-20.51</v>
      </c>
      <c r="I839" t="str">
        <f t="shared" si="35"/>
        <v>janeiro 2026</v>
      </c>
      <c r="J839">
        <f t="shared" si="34"/>
        <v>2026</v>
      </c>
      <c r="K839" t="str">
        <f>VLOOKUP(G839,METRICS!C:D,2,0)</f>
        <v>Taxas Financeiras Diversas</v>
      </c>
      <c r="L839" t="str">
        <f>VLOOKUP(K839,METRICS!D:E,2,0)</f>
        <v>TAXAS CARTÃO DE CRÉDITO</v>
      </c>
    </row>
    <row r="840" spans="1:12" ht="15" hidden="1">
      <c r="A840" t="s">
        <v>1015</v>
      </c>
      <c r="B840" t="s">
        <v>689</v>
      </c>
      <c r="C840" t="s">
        <v>690</v>
      </c>
      <c r="D840" t="s">
        <v>733</v>
      </c>
      <c r="E840" t="s">
        <v>734</v>
      </c>
      <c r="F840" t="s">
        <v>1272</v>
      </c>
      <c r="G840" t="s">
        <v>665</v>
      </c>
      <c r="H840" s="595">
        <v>-15.14</v>
      </c>
      <c r="I840" t="str">
        <f t="shared" si="35"/>
        <v>janeiro 2026</v>
      </c>
      <c r="J840">
        <f t="shared" si="34"/>
        <v>2026</v>
      </c>
      <c r="K840" t="str">
        <f>VLOOKUP(G840,METRICS!C:D,2,0)</f>
        <v>Taxas Financeiras Diversas</v>
      </c>
      <c r="L840" t="str">
        <f>VLOOKUP(K840,METRICS!D:E,2,0)</f>
        <v>TAXAS CARTÃO DE CRÉDITO</v>
      </c>
    </row>
    <row r="841" spans="1:12" ht="15" hidden="1">
      <c r="A841" t="s">
        <v>1015</v>
      </c>
      <c r="B841" t="s">
        <v>689</v>
      </c>
      <c r="C841" t="s">
        <v>690</v>
      </c>
      <c r="D841" t="s">
        <v>733</v>
      </c>
      <c r="E841" t="s">
        <v>734</v>
      </c>
      <c r="F841" t="s">
        <v>1272</v>
      </c>
      <c r="G841" t="s">
        <v>665</v>
      </c>
      <c r="H841" s="595">
        <v>-2.13</v>
      </c>
      <c r="I841" t="str">
        <f t="shared" si="35"/>
        <v>janeiro 2026</v>
      </c>
      <c r="J841">
        <f t="shared" si="34"/>
        <v>2026</v>
      </c>
      <c r="K841" t="str">
        <f>VLOOKUP(G841,METRICS!C:D,2,0)</f>
        <v>Taxas Financeiras Diversas</v>
      </c>
      <c r="L841" t="str">
        <f>VLOOKUP(K841,METRICS!D:E,2,0)</f>
        <v>TAXAS CARTÃO DE CRÉDITO</v>
      </c>
    </row>
    <row r="842" spans="1:12" ht="15" hidden="1">
      <c r="A842" t="s">
        <v>1015</v>
      </c>
      <c r="B842" t="s">
        <v>612</v>
      </c>
      <c r="C842" t="s">
        <v>690</v>
      </c>
      <c r="D842" t="s">
        <v>1016</v>
      </c>
      <c r="E842" t="s">
        <v>811</v>
      </c>
      <c r="F842" t="s">
        <v>1272</v>
      </c>
      <c r="G842" t="s">
        <v>636</v>
      </c>
      <c r="H842" s="595">
        <v>-1276.8599999999999</v>
      </c>
      <c r="I842" t="str">
        <f t="shared" si="35"/>
        <v>janeiro 2026</v>
      </c>
      <c r="J842">
        <f t="shared" si="34"/>
        <v>2026</v>
      </c>
      <c r="K842" t="str">
        <f>VLOOKUP(G842,METRICS!C:D,2,0)</f>
        <v>Secos - Mercearia</v>
      </c>
      <c r="L842" t="str">
        <f>VLOOKUP(K842,METRICS!D:E,2,0)</f>
        <v>CUSTOS DOS PRODUTOS VENDIDOS</v>
      </c>
    </row>
    <row r="843" spans="1:12" ht="15" hidden="1">
      <c r="A843" t="s">
        <v>1015</v>
      </c>
      <c r="B843" t="s">
        <v>689</v>
      </c>
      <c r="C843" t="s">
        <v>690</v>
      </c>
      <c r="D843" t="s">
        <v>733</v>
      </c>
      <c r="E843" t="s">
        <v>734</v>
      </c>
      <c r="F843" t="s">
        <v>1272</v>
      </c>
      <c r="G843" t="s">
        <v>665</v>
      </c>
      <c r="H843" s="595">
        <v>-5.24</v>
      </c>
      <c r="I843" t="str">
        <f t="shared" si="35"/>
        <v>janeiro 2026</v>
      </c>
      <c r="J843">
        <f t="shared" si="34"/>
        <v>2026</v>
      </c>
      <c r="K843" t="str">
        <f>VLOOKUP(G843,METRICS!C:D,2,0)</f>
        <v>Taxas Financeiras Diversas</v>
      </c>
      <c r="L843" t="str">
        <f>VLOOKUP(K843,METRICS!D:E,2,0)</f>
        <v>TAXAS CARTÃO DE CRÉDITO</v>
      </c>
    </row>
    <row r="844" spans="1:12" ht="15" hidden="1">
      <c r="A844" t="s">
        <v>1015</v>
      </c>
      <c r="B844" t="s">
        <v>689</v>
      </c>
      <c r="C844" t="s">
        <v>690</v>
      </c>
      <c r="D844" t="s">
        <v>756</v>
      </c>
      <c r="E844" t="s">
        <v>757</v>
      </c>
      <c r="F844" t="s">
        <v>1272</v>
      </c>
      <c r="G844" t="s">
        <v>666</v>
      </c>
      <c r="H844" s="595">
        <v>-22.94</v>
      </c>
      <c r="I844" t="str">
        <f t="shared" si="35"/>
        <v>janeiro 2026</v>
      </c>
      <c r="J844">
        <f t="shared" si="34"/>
        <v>2026</v>
      </c>
      <c r="K844" t="str">
        <f>VLOOKUP(G844,METRICS!C:D,2,0)</f>
        <v>Encargos Bancarios</v>
      </c>
      <c r="L844" t="str">
        <f>VLOOKUP(K844,METRICS!D:E,2,0)</f>
        <v>DESPESAS FINANCEIRAS</v>
      </c>
    </row>
    <row r="845" spans="1:12" ht="15" hidden="1">
      <c r="A845" t="s">
        <v>1015</v>
      </c>
      <c r="B845" t="s">
        <v>689</v>
      </c>
      <c r="C845" t="s">
        <v>690</v>
      </c>
      <c r="D845" t="s">
        <v>733</v>
      </c>
      <c r="E845" t="s">
        <v>734</v>
      </c>
      <c r="F845" t="s">
        <v>1272</v>
      </c>
      <c r="G845" t="s">
        <v>665</v>
      </c>
      <c r="H845" s="595">
        <v>-1.97</v>
      </c>
      <c r="I845" t="str">
        <f t="shared" si="35"/>
        <v>janeiro 2026</v>
      </c>
      <c r="J845">
        <f t="shared" si="34"/>
        <v>2026</v>
      </c>
      <c r="K845" t="str">
        <f>VLOOKUP(G845,METRICS!C:D,2,0)</f>
        <v>Taxas Financeiras Diversas</v>
      </c>
      <c r="L845" t="str">
        <f>VLOOKUP(K845,METRICS!D:E,2,0)</f>
        <v>TAXAS CARTÃO DE CRÉDITO</v>
      </c>
    </row>
    <row r="846" spans="1:12" ht="15" hidden="1">
      <c r="A846" t="s">
        <v>1015</v>
      </c>
      <c r="B846" t="s">
        <v>689</v>
      </c>
      <c r="C846" t="s">
        <v>690</v>
      </c>
      <c r="D846" t="s">
        <v>753</v>
      </c>
      <c r="E846" t="s">
        <v>734</v>
      </c>
      <c r="F846" t="s">
        <v>1272</v>
      </c>
      <c r="G846" t="s">
        <v>665</v>
      </c>
      <c r="H846" s="595">
        <v>-97.08</v>
      </c>
      <c r="I846" t="str">
        <f t="shared" si="35"/>
        <v>janeiro 2026</v>
      </c>
      <c r="J846">
        <f t="shared" si="34"/>
        <v>2026</v>
      </c>
      <c r="K846" t="str">
        <f>VLOOKUP(G846,METRICS!C:D,2,0)</f>
        <v>Taxas Financeiras Diversas</v>
      </c>
      <c r="L846" t="str">
        <f>VLOOKUP(K846,METRICS!D:E,2,0)</f>
        <v>TAXAS CARTÃO DE CRÉDITO</v>
      </c>
    </row>
    <row r="847" spans="1:12" ht="15" hidden="1">
      <c r="A847" t="s">
        <v>1015</v>
      </c>
      <c r="B847" t="s">
        <v>689</v>
      </c>
      <c r="C847" t="s">
        <v>690</v>
      </c>
      <c r="D847" t="s">
        <v>733</v>
      </c>
      <c r="E847" t="s">
        <v>734</v>
      </c>
      <c r="F847" t="s">
        <v>1272</v>
      </c>
      <c r="G847" t="s">
        <v>665</v>
      </c>
      <c r="H847" s="595">
        <v>-4.3099999999999996</v>
      </c>
      <c r="I847" t="str">
        <f t="shared" si="35"/>
        <v>janeiro 2026</v>
      </c>
      <c r="J847">
        <f t="shared" si="34"/>
        <v>2026</v>
      </c>
      <c r="K847" t="str">
        <f>VLOOKUP(G847,METRICS!C:D,2,0)</f>
        <v>Taxas Financeiras Diversas</v>
      </c>
      <c r="L847" t="str">
        <f>VLOOKUP(K847,METRICS!D:E,2,0)</f>
        <v>TAXAS CARTÃO DE CRÉDITO</v>
      </c>
    </row>
    <row r="848" spans="1:12" ht="15" hidden="1">
      <c r="A848" t="s">
        <v>1015</v>
      </c>
      <c r="B848" t="s">
        <v>689</v>
      </c>
      <c r="C848" t="s">
        <v>690</v>
      </c>
      <c r="D848" t="s">
        <v>743</v>
      </c>
      <c r="E848" t="s">
        <v>734</v>
      </c>
      <c r="F848" t="s">
        <v>1272</v>
      </c>
      <c r="G848" t="s">
        <v>665</v>
      </c>
      <c r="H848" s="595">
        <v>-2.36</v>
      </c>
      <c r="I848" t="str">
        <f t="shared" si="35"/>
        <v>janeiro 2026</v>
      </c>
      <c r="J848">
        <f t="shared" si="34"/>
        <v>2026</v>
      </c>
      <c r="K848" t="str">
        <f>VLOOKUP(G848,METRICS!C:D,2,0)</f>
        <v>Taxas Financeiras Diversas</v>
      </c>
      <c r="L848" t="str">
        <f>VLOOKUP(K848,METRICS!D:E,2,0)</f>
        <v>TAXAS CARTÃO DE CRÉDITO</v>
      </c>
    </row>
    <row r="849" spans="1:12" ht="15" hidden="1">
      <c r="A849" t="s">
        <v>1015</v>
      </c>
      <c r="B849" t="s">
        <v>689</v>
      </c>
      <c r="C849" t="s">
        <v>690</v>
      </c>
      <c r="D849" t="s">
        <v>733</v>
      </c>
      <c r="E849" t="s">
        <v>734</v>
      </c>
      <c r="F849" t="s">
        <v>1272</v>
      </c>
      <c r="G849" t="s">
        <v>665</v>
      </c>
      <c r="H849" s="595">
        <v>-0.31</v>
      </c>
      <c r="I849" t="str">
        <f t="shared" si="35"/>
        <v>janeiro 2026</v>
      </c>
      <c r="J849">
        <f t="shared" si="34"/>
        <v>2026</v>
      </c>
      <c r="K849" t="str">
        <f>VLOOKUP(G849,METRICS!C:D,2,0)</f>
        <v>Taxas Financeiras Diversas</v>
      </c>
      <c r="L849" t="str">
        <f>VLOOKUP(K849,METRICS!D:E,2,0)</f>
        <v>TAXAS CARTÃO DE CRÉDITO</v>
      </c>
    </row>
    <row r="850" spans="1:12" ht="15" hidden="1">
      <c r="A850" t="s">
        <v>1015</v>
      </c>
      <c r="B850" t="s">
        <v>689</v>
      </c>
      <c r="C850" t="s">
        <v>690</v>
      </c>
      <c r="D850" t="s">
        <v>733</v>
      </c>
      <c r="E850" t="s">
        <v>734</v>
      </c>
      <c r="F850" t="s">
        <v>1272</v>
      </c>
      <c r="G850" t="s">
        <v>665</v>
      </c>
      <c r="H850" s="595">
        <v>-5.36</v>
      </c>
      <c r="I850" t="str">
        <f t="shared" si="35"/>
        <v>janeiro 2026</v>
      </c>
      <c r="J850">
        <f t="shared" si="34"/>
        <v>2026</v>
      </c>
      <c r="K850" t="str">
        <f>VLOOKUP(G850,METRICS!C:D,2,0)</f>
        <v>Taxas Financeiras Diversas</v>
      </c>
      <c r="L850" t="str">
        <f>VLOOKUP(K850,METRICS!D:E,2,0)</f>
        <v>TAXAS CARTÃO DE CRÉDITO</v>
      </c>
    </row>
    <row r="851" spans="1:12" ht="15" hidden="1">
      <c r="A851" t="s">
        <v>1015</v>
      </c>
      <c r="B851" t="s">
        <v>689</v>
      </c>
      <c r="C851" t="s">
        <v>690</v>
      </c>
      <c r="D851" t="s">
        <v>733</v>
      </c>
      <c r="E851" t="s">
        <v>734</v>
      </c>
      <c r="F851" t="s">
        <v>1272</v>
      </c>
      <c r="G851" t="s">
        <v>665</v>
      </c>
      <c r="H851" s="595">
        <v>-6.7</v>
      </c>
      <c r="I851" t="str">
        <f t="shared" si="35"/>
        <v>janeiro 2026</v>
      </c>
      <c r="J851">
        <f t="shared" si="34"/>
        <v>2026</v>
      </c>
      <c r="K851" t="str">
        <f>VLOOKUP(G851,METRICS!C:D,2,0)</f>
        <v>Taxas Financeiras Diversas</v>
      </c>
      <c r="L851" t="str">
        <f>VLOOKUP(K851,METRICS!D:E,2,0)</f>
        <v>TAXAS CARTÃO DE CRÉDITO</v>
      </c>
    </row>
    <row r="852" spans="1:12" ht="15" hidden="1">
      <c r="A852" t="s">
        <v>1015</v>
      </c>
      <c r="B852" t="s">
        <v>689</v>
      </c>
      <c r="C852" t="s">
        <v>690</v>
      </c>
      <c r="D852" t="s">
        <v>733</v>
      </c>
      <c r="E852" t="s">
        <v>734</v>
      </c>
      <c r="F852" t="s">
        <v>1272</v>
      </c>
      <c r="G852" t="s">
        <v>665</v>
      </c>
      <c r="H852" s="595">
        <v>-5.36</v>
      </c>
      <c r="I852" t="str">
        <f t="shared" si="35"/>
        <v>janeiro 2026</v>
      </c>
      <c r="J852">
        <f t="shared" si="34"/>
        <v>2026</v>
      </c>
      <c r="K852" t="str">
        <f>VLOOKUP(G852,METRICS!C:D,2,0)</f>
        <v>Taxas Financeiras Diversas</v>
      </c>
      <c r="L852" t="str">
        <f>VLOOKUP(K852,METRICS!D:E,2,0)</f>
        <v>TAXAS CARTÃO DE CRÉDITO</v>
      </c>
    </row>
    <row r="853" spans="1:12" ht="15" hidden="1">
      <c r="A853" t="s">
        <v>1015</v>
      </c>
      <c r="B853" t="s">
        <v>689</v>
      </c>
      <c r="C853" t="s">
        <v>690</v>
      </c>
      <c r="D853" t="s">
        <v>733</v>
      </c>
      <c r="E853" t="s">
        <v>734</v>
      </c>
      <c r="F853" t="s">
        <v>1272</v>
      </c>
      <c r="G853" t="s">
        <v>665</v>
      </c>
      <c r="H853" s="595">
        <v>-4.84</v>
      </c>
      <c r="I853" t="str">
        <f t="shared" si="35"/>
        <v>janeiro 2026</v>
      </c>
      <c r="J853">
        <f t="shared" si="34"/>
        <v>2026</v>
      </c>
      <c r="K853" t="str">
        <f>VLOOKUP(G853,METRICS!C:D,2,0)</f>
        <v>Taxas Financeiras Diversas</v>
      </c>
      <c r="L853" t="str">
        <f>VLOOKUP(K853,METRICS!D:E,2,0)</f>
        <v>TAXAS CARTÃO DE CRÉDITO</v>
      </c>
    </row>
    <row r="854" spans="1:12" ht="15" hidden="1">
      <c r="A854" t="s">
        <v>1015</v>
      </c>
      <c r="B854" t="s">
        <v>689</v>
      </c>
      <c r="C854" t="s">
        <v>690</v>
      </c>
      <c r="D854" t="s">
        <v>733</v>
      </c>
      <c r="E854" t="s">
        <v>734</v>
      </c>
      <c r="F854" t="s">
        <v>1272</v>
      </c>
      <c r="G854" t="s">
        <v>665</v>
      </c>
      <c r="H854" s="595">
        <v>-4.46</v>
      </c>
      <c r="I854" t="str">
        <f t="shared" si="35"/>
        <v>janeiro 2026</v>
      </c>
      <c r="J854">
        <f t="shared" si="34"/>
        <v>2026</v>
      </c>
      <c r="K854" t="str">
        <f>VLOOKUP(G854,METRICS!C:D,2,0)</f>
        <v>Taxas Financeiras Diversas</v>
      </c>
      <c r="L854" t="str">
        <f>VLOOKUP(K854,METRICS!D:E,2,0)</f>
        <v>TAXAS CARTÃO DE CRÉDITO</v>
      </c>
    </row>
    <row r="855" spans="1:12" ht="15" hidden="1">
      <c r="A855" t="s">
        <v>1015</v>
      </c>
      <c r="B855" t="s">
        <v>612</v>
      </c>
      <c r="C855" t="s">
        <v>690</v>
      </c>
      <c r="D855" t="s">
        <v>1017</v>
      </c>
      <c r="E855" t="s">
        <v>1018</v>
      </c>
      <c r="F855" t="s">
        <v>1272</v>
      </c>
      <c r="G855" t="s">
        <v>621</v>
      </c>
      <c r="H855" s="595">
        <v>-2500</v>
      </c>
      <c r="I855" t="str">
        <f t="shared" si="35"/>
        <v>janeiro 2026</v>
      </c>
      <c r="J855">
        <f t="shared" si="34"/>
        <v>2026</v>
      </c>
      <c r="K855" t="str">
        <f>VLOOKUP(G855,METRICS!C:D,2,0)</f>
        <v>Influencer</v>
      </c>
      <c r="L855" t="str">
        <f>VLOOKUP(K855,METRICS!D:E,2,0)</f>
        <v>MARKETING</v>
      </c>
    </row>
    <row r="856" spans="1:12" ht="15" hidden="1">
      <c r="A856" t="s">
        <v>1015</v>
      </c>
      <c r="B856" t="s">
        <v>689</v>
      </c>
      <c r="C856" t="s">
        <v>690</v>
      </c>
      <c r="D856" t="s">
        <v>733</v>
      </c>
      <c r="E856" t="s">
        <v>734</v>
      </c>
      <c r="F856" t="s">
        <v>1272</v>
      </c>
      <c r="G856" t="s">
        <v>665</v>
      </c>
      <c r="H856" s="595">
        <v>-5.14</v>
      </c>
      <c r="I856" t="str">
        <f t="shared" si="35"/>
        <v>janeiro 2026</v>
      </c>
      <c r="J856">
        <f t="shared" si="34"/>
        <v>2026</v>
      </c>
      <c r="K856" t="str">
        <f>VLOOKUP(G856,METRICS!C:D,2,0)</f>
        <v>Taxas Financeiras Diversas</v>
      </c>
      <c r="L856" t="str">
        <f>VLOOKUP(K856,METRICS!D:E,2,0)</f>
        <v>TAXAS CARTÃO DE CRÉDITO</v>
      </c>
    </row>
    <row r="857" spans="1:12" ht="15" hidden="1">
      <c r="A857" t="s">
        <v>1015</v>
      </c>
      <c r="B857" t="s">
        <v>689</v>
      </c>
      <c r="C857" t="s">
        <v>690</v>
      </c>
      <c r="D857" t="s">
        <v>733</v>
      </c>
      <c r="E857" t="s">
        <v>734</v>
      </c>
      <c r="F857" t="s">
        <v>1272</v>
      </c>
      <c r="G857" t="s">
        <v>665</v>
      </c>
      <c r="H857" s="595">
        <v>-7.17</v>
      </c>
      <c r="I857" t="str">
        <f t="shared" si="35"/>
        <v>janeiro 2026</v>
      </c>
      <c r="J857">
        <f t="shared" si="34"/>
        <v>2026</v>
      </c>
      <c r="K857" t="str">
        <f>VLOOKUP(G857,METRICS!C:D,2,0)</f>
        <v>Taxas Financeiras Diversas</v>
      </c>
      <c r="L857" t="str">
        <f>VLOOKUP(K857,METRICS!D:E,2,0)</f>
        <v>TAXAS CARTÃO DE CRÉDITO</v>
      </c>
    </row>
    <row r="858" spans="1:12" ht="15" hidden="1">
      <c r="A858" t="s">
        <v>1015</v>
      </c>
      <c r="B858" t="s">
        <v>689</v>
      </c>
      <c r="C858" t="s">
        <v>690</v>
      </c>
      <c r="D858" t="s">
        <v>1019</v>
      </c>
      <c r="E858" t="s">
        <v>1020</v>
      </c>
      <c r="F858" t="s">
        <v>1272</v>
      </c>
      <c r="G858" t="s">
        <v>542</v>
      </c>
      <c r="H858" s="595">
        <v>-139.1</v>
      </c>
      <c r="I858" t="str">
        <f t="shared" si="35"/>
        <v>janeiro 2026</v>
      </c>
      <c r="J858">
        <f t="shared" si="34"/>
        <v>2026</v>
      </c>
      <c r="K858" t="str">
        <f>VLOOKUP(G858,METRICS!C:D,2,0)</f>
        <v>Vale Transporte</v>
      </c>
      <c r="L858" t="str">
        <f>VLOOKUP(K858,METRICS!D:E,2,0)</f>
        <v>PESSOAL</v>
      </c>
    </row>
    <row r="859" spans="1:12" ht="15" hidden="1">
      <c r="A859" t="s">
        <v>1015</v>
      </c>
      <c r="B859" t="s">
        <v>689</v>
      </c>
      <c r="C859" t="s">
        <v>690</v>
      </c>
      <c r="D859" t="s">
        <v>743</v>
      </c>
      <c r="E859" t="s">
        <v>734</v>
      </c>
      <c r="F859" t="s">
        <v>1272</v>
      </c>
      <c r="G859" t="s">
        <v>665</v>
      </c>
      <c r="H859" s="595">
        <v>-4.79</v>
      </c>
      <c r="I859" t="str">
        <f t="shared" si="35"/>
        <v>janeiro 2026</v>
      </c>
      <c r="J859">
        <f t="shared" si="34"/>
        <v>2026</v>
      </c>
      <c r="K859" t="str">
        <f>VLOOKUP(G859,METRICS!C:D,2,0)</f>
        <v>Taxas Financeiras Diversas</v>
      </c>
      <c r="L859" t="str">
        <f>VLOOKUP(K859,METRICS!D:E,2,0)</f>
        <v>TAXAS CARTÃO DE CRÉDITO</v>
      </c>
    </row>
    <row r="860" spans="1:12" ht="15" hidden="1">
      <c r="A860" t="s">
        <v>1015</v>
      </c>
      <c r="B860" t="s">
        <v>689</v>
      </c>
      <c r="C860" t="s">
        <v>690</v>
      </c>
      <c r="D860" t="s">
        <v>733</v>
      </c>
      <c r="E860" t="s">
        <v>734</v>
      </c>
      <c r="F860" t="s">
        <v>1272</v>
      </c>
      <c r="G860" t="s">
        <v>665</v>
      </c>
      <c r="H860" s="595">
        <v>-5.24</v>
      </c>
      <c r="I860" t="str">
        <f t="shared" si="35"/>
        <v>janeiro 2026</v>
      </c>
      <c r="J860">
        <f t="shared" si="34"/>
        <v>2026</v>
      </c>
      <c r="K860" t="str">
        <f>VLOOKUP(G860,METRICS!C:D,2,0)</f>
        <v>Taxas Financeiras Diversas</v>
      </c>
      <c r="L860" t="str">
        <f>VLOOKUP(K860,METRICS!D:E,2,0)</f>
        <v>TAXAS CARTÃO DE CRÉDITO</v>
      </c>
    </row>
    <row r="861" spans="1:12" ht="15" hidden="1">
      <c r="A861" t="s">
        <v>1015</v>
      </c>
      <c r="B861" t="s">
        <v>689</v>
      </c>
      <c r="C861" t="s">
        <v>690</v>
      </c>
      <c r="D861" t="s">
        <v>733</v>
      </c>
      <c r="E861" t="s">
        <v>734</v>
      </c>
      <c r="F861" t="s">
        <v>1272</v>
      </c>
      <c r="G861" t="s">
        <v>665</v>
      </c>
      <c r="H861" s="595">
        <v>-6.16</v>
      </c>
      <c r="I861" t="str">
        <f t="shared" si="35"/>
        <v>janeiro 2026</v>
      </c>
      <c r="J861">
        <f t="shared" si="34"/>
        <v>2026</v>
      </c>
      <c r="K861" t="str">
        <f>VLOOKUP(G861,METRICS!C:D,2,0)</f>
        <v>Taxas Financeiras Diversas</v>
      </c>
      <c r="L861" t="str">
        <f>VLOOKUP(K861,METRICS!D:E,2,0)</f>
        <v>TAXAS CARTÃO DE CRÉDITO</v>
      </c>
    </row>
    <row r="862" spans="1:12" ht="15" hidden="1">
      <c r="A862" t="s">
        <v>1015</v>
      </c>
      <c r="B862" t="s">
        <v>689</v>
      </c>
      <c r="C862" t="s">
        <v>690</v>
      </c>
      <c r="D862" t="s">
        <v>743</v>
      </c>
      <c r="E862" t="s">
        <v>734</v>
      </c>
      <c r="F862" t="s">
        <v>1272</v>
      </c>
      <c r="G862" t="s">
        <v>665</v>
      </c>
      <c r="H862" s="595">
        <v>-1.4</v>
      </c>
      <c r="I862" t="str">
        <f t="shared" si="35"/>
        <v>janeiro 2026</v>
      </c>
      <c r="J862">
        <f t="shared" si="34"/>
        <v>2026</v>
      </c>
      <c r="K862" t="str">
        <f>VLOOKUP(G862,METRICS!C:D,2,0)</f>
        <v>Taxas Financeiras Diversas</v>
      </c>
      <c r="L862" t="str">
        <f>VLOOKUP(K862,METRICS!D:E,2,0)</f>
        <v>TAXAS CARTÃO DE CRÉDITO</v>
      </c>
    </row>
    <row r="863" spans="1:12" ht="15" hidden="1">
      <c r="A863" t="s">
        <v>1015</v>
      </c>
      <c r="B863" t="s">
        <v>689</v>
      </c>
      <c r="C863" t="s">
        <v>690</v>
      </c>
      <c r="D863" t="s">
        <v>733</v>
      </c>
      <c r="E863" t="s">
        <v>734</v>
      </c>
      <c r="F863" t="s">
        <v>1272</v>
      </c>
      <c r="G863" t="s">
        <v>665</v>
      </c>
      <c r="H863" s="595">
        <v>-7.58</v>
      </c>
      <c r="I863" t="str">
        <f t="shared" si="35"/>
        <v>janeiro 2026</v>
      </c>
      <c r="J863">
        <f t="shared" si="34"/>
        <v>2026</v>
      </c>
      <c r="K863" t="str">
        <f>VLOOKUP(G863,METRICS!C:D,2,0)</f>
        <v>Taxas Financeiras Diversas</v>
      </c>
      <c r="L863" t="str">
        <f>VLOOKUP(K863,METRICS!D:E,2,0)</f>
        <v>TAXAS CARTÃO DE CRÉDITO</v>
      </c>
    </row>
    <row r="864" spans="1:12" ht="15" hidden="1">
      <c r="A864" t="s">
        <v>1015</v>
      </c>
      <c r="B864" t="s">
        <v>689</v>
      </c>
      <c r="C864" t="s">
        <v>690</v>
      </c>
      <c r="D864" t="s">
        <v>733</v>
      </c>
      <c r="E864" t="s">
        <v>734</v>
      </c>
      <c r="F864" t="s">
        <v>1272</v>
      </c>
      <c r="G864" t="s">
        <v>665</v>
      </c>
      <c r="H864" s="595">
        <v>-4.93</v>
      </c>
      <c r="I864" t="str">
        <f t="shared" si="35"/>
        <v>janeiro 2026</v>
      </c>
      <c r="J864">
        <f t="shared" si="34"/>
        <v>2026</v>
      </c>
      <c r="K864" t="str">
        <f>VLOOKUP(G864,METRICS!C:D,2,0)</f>
        <v>Taxas Financeiras Diversas</v>
      </c>
      <c r="L864" t="str">
        <f>VLOOKUP(K864,METRICS!D:E,2,0)</f>
        <v>TAXAS CARTÃO DE CRÉDITO</v>
      </c>
    </row>
    <row r="865" spans="1:12" ht="15" hidden="1">
      <c r="A865" t="s">
        <v>1015</v>
      </c>
      <c r="B865" t="s">
        <v>689</v>
      </c>
      <c r="C865" t="s">
        <v>690</v>
      </c>
      <c r="D865" t="s">
        <v>733</v>
      </c>
      <c r="E865" t="s">
        <v>734</v>
      </c>
      <c r="F865" t="s">
        <v>1272</v>
      </c>
      <c r="G865" t="s">
        <v>665</v>
      </c>
      <c r="H865" s="595">
        <v>-6.7</v>
      </c>
      <c r="I865" t="str">
        <f t="shared" si="35"/>
        <v>janeiro 2026</v>
      </c>
      <c r="J865">
        <f t="shared" si="34"/>
        <v>2026</v>
      </c>
      <c r="K865" t="str">
        <f>VLOOKUP(G865,METRICS!C:D,2,0)</f>
        <v>Taxas Financeiras Diversas</v>
      </c>
      <c r="L865" t="str">
        <f>VLOOKUP(K865,METRICS!D:E,2,0)</f>
        <v>TAXAS CARTÃO DE CRÉDITO</v>
      </c>
    </row>
    <row r="866" spans="1:12" ht="15" hidden="1">
      <c r="A866" t="s">
        <v>1015</v>
      </c>
      <c r="B866" t="s">
        <v>689</v>
      </c>
      <c r="C866" t="s">
        <v>690</v>
      </c>
      <c r="D866" t="s">
        <v>733</v>
      </c>
      <c r="E866" t="s">
        <v>734</v>
      </c>
      <c r="F866" t="s">
        <v>1272</v>
      </c>
      <c r="G866" t="s">
        <v>665</v>
      </c>
      <c r="H866" s="595">
        <v>-7.5</v>
      </c>
      <c r="I866" t="str">
        <f t="shared" ref="I866:I908" si="36">TEXT(A866, "mmmm aaaa")</f>
        <v>janeiro 2026</v>
      </c>
      <c r="J866">
        <f t="shared" si="34"/>
        <v>2026</v>
      </c>
      <c r="K866" t="str">
        <f>VLOOKUP(G866,METRICS!C:D,2,0)</f>
        <v>Taxas Financeiras Diversas</v>
      </c>
      <c r="L866" t="str">
        <f>VLOOKUP(K866,METRICS!D:E,2,0)</f>
        <v>TAXAS CARTÃO DE CRÉDITO</v>
      </c>
    </row>
    <row r="867" spans="1:12" ht="15" hidden="1">
      <c r="A867" t="s">
        <v>1015</v>
      </c>
      <c r="B867" t="s">
        <v>689</v>
      </c>
      <c r="C867" t="s">
        <v>690</v>
      </c>
      <c r="D867" t="s">
        <v>743</v>
      </c>
      <c r="E867" t="s">
        <v>734</v>
      </c>
      <c r="F867" t="s">
        <v>1272</v>
      </c>
      <c r="G867" t="s">
        <v>665</v>
      </c>
      <c r="H867" s="595">
        <v>-12.26</v>
      </c>
      <c r="I867" t="str">
        <f t="shared" si="36"/>
        <v>janeiro 2026</v>
      </c>
      <c r="J867">
        <f t="shared" si="34"/>
        <v>2026</v>
      </c>
      <c r="K867" t="str">
        <f>VLOOKUP(G867,METRICS!C:D,2,0)</f>
        <v>Taxas Financeiras Diversas</v>
      </c>
      <c r="L867" t="str">
        <f>VLOOKUP(K867,METRICS!D:E,2,0)</f>
        <v>TAXAS CARTÃO DE CRÉDITO</v>
      </c>
    </row>
    <row r="868" spans="1:12" ht="15" hidden="1">
      <c r="A868" t="s">
        <v>1015</v>
      </c>
      <c r="B868" t="s">
        <v>689</v>
      </c>
      <c r="C868" t="s">
        <v>690</v>
      </c>
      <c r="D868" t="s">
        <v>733</v>
      </c>
      <c r="E868" t="s">
        <v>734</v>
      </c>
      <c r="F868" t="s">
        <v>1272</v>
      </c>
      <c r="G868" t="s">
        <v>665</v>
      </c>
      <c r="H868" s="595">
        <v>-12.57</v>
      </c>
      <c r="I868" t="str">
        <f t="shared" si="36"/>
        <v>janeiro 2026</v>
      </c>
      <c r="J868">
        <f t="shared" si="34"/>
        <v>2026</v>
      </c>
      <c r="K868" t="str">
        <f>VLOOKUP(G868,METRICS!C:D,2,0)</f>
        <v>Taxas Financeiras Diversas</v>
      </c>
      <c r="L868" t="str">
        <f>VLOOKUP(K868,METRICS!D:E,2,0)</f>
        <v>TAXAS CARTÃO DE CRÉDITO</v>
      </c>
    </row>
    <row r="869" spans="1:12" ht="15" hidden="1">
      <c r="A869" t="s">
        <v>1015</v>
      </c>
      <c r="B869" t="s">
        <v>612</v>
      </c>
      <c r="C869" t="s">
        <v>690</v>
      </c>
      <c r="D869" t="s">
        <v>1021</v>
      </c>
      <c r="E869" t="s">
        <v>1022</v>
      </c>
      <c r="F869" t="s">
        <v>1272</v>
      </c>
      <c r="G869" t="s">
        <v>626</v>
      </c>
      <c r="H869" s="595">
        <v>-1640</v>
      </c>
      <c r="I869" t="str">
        <f t="shared" si="36"/>
        <v>janeiro 2026</v>
      </c>
      <c r="J869">
        <f t="shared" si="34"/>
        <v>2026</v>
      </c>
      <c r="K869" t="str">
        <f>VLOOKUP(G869,METRICS!C:D,2,0)</f>
        <v>Manutenção e Conservação</v>
      </c>
      <c r="L869" t="str">
        <f>VLOOKUP(K869,METRICS!D:E,2,0)</f>
        <v>OPERAÇÃO</v>
      </c>
    </row>
    <row r="870" spans="1:12" ht="15" hidden="1">
      <c r="A870" t="s">
        <v>1015</v>
      </c>
      <c r="B870" t="s">
        <v>689</v>
      </c>
      <c r="C870" t="s">
        <v>690</v>
      </c>
      <c r="D870" t="s">
        <v>733</v>
      </c>
      <c r="E870" t="s">
        <v>734</v>
      </c>
      <c r="F870" t="s">
        <v>1272</v>
      </c>
      <c r="G870" t="s">
        <v>665</v>
      </c>
      <c r="H870" s="595">
        <v>-3.77</v>
      </c>
      <c r="I870" t="str">
        <f t="shared" si="36"/>
        <v>janeiro 2026</v>
      </c>
      <c r="J870">
        <f t="shared" si="34"/>
        <v>2026</v>
      </c>
      <c r="K870" t="str">
        <f>VLOOKUP(G870,METRICS!C:D,2,0)</f>
        <v>Taxas Financeiras Diversas</v>
      </c>
      <c r="L870" t="str">
        <f>VLOOKUP(K870,METRICS!D:E,2,0)</f>
        <v>TAXAS CARTÃO DE CRÉDITO</v>
      </c>
    </row>
    <row r="871" spans="1:12" ht="15" hidden="1">
      <c r="A871" t="s">
        <v>1015</v>
      </c>
      <c r="B871" t="s">
        <v>689</v>
      </c>
      <c r="C871" t="s">
        <v>690</v>
      </c>
      <c r="D871" t="s">
        <v>743</v>
      </c>
      <c r="E871" t="s">
        <v>734</v>
      </c>
      <c r="F871" t="s">
        <v>1272</v>
      </c>
      <c r="G871" t="s">
        <v>665</v>
      </c>
      <c r="H871" s="595">
        <v>-1.55</v>
      </c>
      <c r="I871" t="str">
        <f t="shared" si="36"/>
        <v>janeiro 2026</v>
      </c>
      <c r="J871">
        <f t="shared" si="34"/>
        <v>2026</v>
      </c>
      <c r="K871" t="str">
        <f>VLOOKUP(G871,METRICS!C:D,2,0)</f>
        <v>Taxas Financeiras Diversas</v>
      </c>
      <c r="L871" t="str">
        <f>VLOOKUP(K871,METRICS!D:E,2,0)</f>
        <v>TAXAS CARTÃO DE CRÉDITO</v>
      </c>
    </row>
    <row r="872" spans="1:12" ht="15" hidden="1">
      <c r="A872" t="s">
        <v>1015</v>
      </c>
      <c r="B872" t="s">
        <v>689</v>
      </c>
      <c r="C872" t="s">
        <v>690</v>
      </c>
      <c r="D872" t="s">
        <v>743</v>
      </c>
      <c r="E872" t="s">
        <v>734</v>
      </c>
      <c r="F872" t="s">
        <v>1272</v>
      </c>
      <c r="G872" t="s">
        <v>665</v>
      </c>
      <c r="H872" s="595">
        <v>-2.83</v>
      </c>
      <c r="I872" t="str">
        <f t="shared" si="36"/>
        <v>janeiro 2026</v>
      </c>
      <c r="J872">
        <f t="shared" si="34"/>
        <v>2026</v>
      </c>
      <c r="K872" t="str">
        <f>VLOOKUP(G872,METRICS!C:D,2,0)</f>
        <v>Taxas Financeiras Diversas</v>
      </c>
      <c r="L872" t="str">
        <f>VLOOKUP(K872,METRICS!D:E,2,0)</f>
        <v>TAXAS CARTÃO DE CRÉDITO</v>
      </c>
    </row>
    <row r="873" spans="1:12" ht="15" hidden="1">
      <c r="A873" t="s">
        <v>1015</v>
      </c>
      <c r="B873" t="s">
        <v>689</v>
      </c>
      <c r="C873" t="s">
        <v>690</v>
      </c>
      <c r="D873" t="s">
        <v>733</v>
      </c>
      <c r="E873" t="s">
        <v>734</v>
      </c>
      <c r="F873" t="s">
        <v>1272</v>
      </c>
      <c r="G873" t="s">
        <v>665</v>
      </c>
      <c r="H873" s="595">
        <v>-5.14</v>
      </c>
      <c r="I873" t="str">
        <f t="shared" si="36"/>
        <v>janeiro 2026</v>
      </c>
      <c r="J873">
        <f t="shared" si="34"/>
        <v>2026</v>
      </c>
      <c r="K873" t="str">
        <f>VLOOKUP(G873,METRICS!C:D,2,0)</f>
        <v>Taxas Financeiras Diversas</v>
      </c>
      <c r="L873" t="str">
        <f>VLOOKUP(K873,METRICS!D:E,2,0)</f>
        <v>TAXAS CARTÃO DE CRÉDITO</v>
      </c>
    </row>
    <row r="874" spans="1:12" ht="15" hidden="1">
      <c r="A874" t="s">
        <v>1015</v>
      </c>
      <c r="B874" t="s">
        <v>689</v>
      </c>
      <c r="C874" t="s">
        <v>690</v>
      </c>
      <c r="D874" t="s">
        <v>743</v>
      </c>
      <c r="E874" t="s">
        <v>734</v>
      </c>
      <c r="F874" t="s">
        <v>1272</v>
      </c>
      <c r="G874" t="s">
        <v>665</v>
      </c>
      <c r="H874" s="595">
        <v>-16.079999999999998</v>
      </c>
      <c r="I874" t="str">
        <f t="shared" si="36"/>
        <v>janeiro 2026</v>
      </c>
      <c r="J874">
        <f t="shared" si="34"/>
        <v>2026</v>
      </c>
      <c r="K874" t="str">
        <f>VLOOKUP(G874,METRICS!C:D,2,0)</f>
        <v>Taxas Financeiras Diversas</v>
      </c>
      <c r="L874" t="str">
        <f>VLOOKUP(K874,METRICS!D:E,2,0)</f>
        <v>TAXAS CARTÃO DE CRÉDITO</v>
      </c>
    </row>
    <row r="875" spans="1:12" ht="15" hidden="1">
      <c r="A875" t="s">
        <v>1015</v>
      </c>
      <c r="B875" t="s">
        <v>689</v>
      </c>
      <c r="C875" t="s">
        <v>690</v>
      </c>
      <c r="D875" t="s">
        <v>743</v>
      </c>
      <c r="E875" t="s">
        <v>734</v>
      </c>
      <c r="F875" t="s">
        <v>1272</v>
      </c>
      <c r="G875" t="s">
        <v>665</v>
      </c>
      <c r="H875" s="595">
        <v>-11.36</v>
      </c>
      <c r="I875" t="str">
        <f t="shared" si="36"/>
        <v>janeiro 2026</v>
      </c>
      <c r="J875">
        <f t="shared" si="34"/>
        <v>2026</v>
      </c>
      <c r="K875" t="str">
        <f>VLOOKUP(G875,METRICS!C:D,2,0)</f>
        <v>Taxas Financeiras Diversas</v>
      </c>
      <c r="L875" t="str">
        <f>VLOOKUP(K875,METRICS!D:E,2,0)</f>
        <v>TAXAS CARTÃO DE CRÉDITO</v>
      </c>
    </row>
    <row r="876" spans="1:12" ht="15" hidden="1">
      <c r="A876" t="s">
        <v>1015</v>
      </c>
      <c r="B876" t="s">
        <v>689</v>
      </c>
      <c r="C876" t="s">
        <v>690</v>
      </c>
      <c r="D876" t="s">
        <v>733</v>
      </c>
      <c r="E876" t="s">
        <v>734</v>
      </c>
      <c r="F876" t="s">
        <v>1272</v>
      </c>
      <c r="G876" t="s">
        <v>665</v>
      </c>
      <c r="H876" s="595">
        <v>-3.41</v>
      </c>
      <c r="I876" t="str">
        <f t="shared" si="36"/>
        <v>janeiro 2026</v>
      </c>
      <c r="J876">
        <f t="shared" si="34"/>
        <v>2026</v>
      </c>
      <c r="K876" t="str">
        <f>VLOOKUP(G876,METRICS!C:D,2,0)</f>
        <v>Taxas Financeiras Diversas</v>
      </c>
      <c r="L876" t="str">
        <f>VLOOKUP(K876,METRICS!D:E,2,0)</f>
        <v>TAXAS CARTÃO DE CRÉDITO</v>
      </c>
    </row>
    <row r="877" spans="1:12" ht="15" hidden="1">
      <c r="A877" t="s">
        <v>1015</v>
      </c>
      <c r="B877" t="s">
        <v>689</v>
      </c>
      <c r="C877" t="s">
        <v>690</v>
      </c>
      <c r="D877" t="s">
        <v>733</v>
      </c>
      <c r="E877" t="s">
        <v>734</v>
      </c>
      <c r="F877" t="s">
        <v>1272</v>
      </c>
      <c r="G877" t="s">
        <v>665</v>
      </c>
      <c r="H877" s="595">
        <v>-10.08</v>
      </c>
      <c r="I877" t="str">
        <f t="shared" si="36"/>
        <v>janeiro 2026</v>
      </c>
      <c r="J877">
        <f t="shared" si="34"/>
        <v>2026</v>
      </c>
      <c r="K877" t="str">
        <f>VLOOKUP(G877,METRICS!C:D,2,0)</f>
        <v>Taxas Financeiras Diversas</v>
      </c>
      <c r="L877" t="str">
        <f>VLOOKUP(K877,METRICS!D:E,2,0)</f>
        <v>TAXAS CARTÃO DE CRÉDITO</v>
      </c>
    </row>
    <row r="878" spans="1:12" ht="15" hidden="1">
      <c r="A878" t="s">
        <v>1015</v>
      </c>
      <c r="B878" t="s">
        <v>689</v>
      </c>
      <c r="C878" t="s">
        <v>690</v>
      </c>
      <c r="D878" t="s">
        <v>733</v>
      </c>
      <c r="E878" t="s">
        <v>734</v>
      </c>
      <c r="F878" t="s">
        <v>1272</v>
      </c>
      <c r="G878" t="s">
        <v>665</v>
      </c>
      <c r="H878" s="595">
        <v>-8.6</v>
      </c>
      <c r="I878" t="str">
        <f t="shared" si="36"/>
        <v>janeiro 2026</v>
      </c>
      <c r="J878">
        <f t="shared" si="34"/>
        <v>2026</v>
      </c>
      <c r="K878" t="str">
        <f>VLOOKUP(G878,METRICS!C:D,2,0)</f>
        <v>Taxas Financeiras Diversas</v>
      </c>
      <c r="L878" t="str">
        <f>VLOOKUP(K878,METRICS!D:E,2,0)</f>
        <v>TAXAS CARTÃO DE CRÉDITO</v>
      </c>
    </row>
    <row r="879" spans="1:12" ht="15" hidden="1">
      <c r="A879" t="s">
        <v>1015</v>
      </c>
      <c r="B879" t="s">
        <v>612</v>
      </c>
      <c r="C879" t="s">
        <v>690</v>
      </c>
      <c r="D879" t="s">
        <v>1023</v>
      </c>
      <c r="E879" t="s">
        <v>804</v>
      </c>
      <c r="F879" t="s">
        <v>1272</v>
      </c>
      <c r="G879" t="s">
        <v>607</v>
      </c>
      <c r="H879" s="595">
        <v>-5227.12</v>
      </c>
      <c r="I879" t="str">
        <f t="shared" si="36"/>
        <v>janeiro 2026</v>
      </c>
      <c r="J879">
        <f t="shared" si="34"/>
        <v>2026</v>
      </c>
      <c r="K879" t="str">
        <f>VLOOKUP(G879,METRICS!C:D,2,0)</f>
        <v>Bebidas Alcoólicas</v>
      </c>
      <c r="L879" t="str">
        <f>VLOOKUP(K879,METRICS!D:E,2,0)</f>
        <v>CUSTOS DOS PRODUTOS VENDIDOS</v>
      </c>
    </row>
    <row r="880" spans="1:12" ht="15" hidden="1">
      <c r="A880" t="s">
        <v>1015</v>
      </c>
      <c r="B880" t="s">
        <v>689</v>
      </c>
      <c r="C880" t="s">
        <v>690</v>
      </c>
      <c r="D880" t="s">
        <v>733</v>
      </c>
      <c r="E880" t="s">
        <v>734</v>
      </c>
      <c r="F880" t="s">
        <v>1272</v>
      </c>
      <c r="G880" t="s">
        <v>665</v>
      </c>
      <c r="H880" s="595">
        <v>-10.61</v>
      </c>
      <c r="I880" t="str">
        <f t="shared" si="36"/>
        <v>janeiro 2026</v>
      </c>
      <c r="J880">
        <f t="shared" si="34"/>
        <v>2026</v>
      </c>
      <c r="K880" t="str">
        <f>VLOOKUP(G880,METRICS!C:D,2,0)</f>
        <v>Taxas Financeiras Diversas</v>
      </c>
      <c r="L880" t="str">
        <f>VLOOKUP(K880,METRICS!D:E,2,0)</f>
        <v>TAXAS CARTÃO DE CRÉDITO</v>
      </c>
    </row>
    <row r="881" spans="1:12" ht="15" hidden="1">
      <c r="A881" t="s">
        <v>1015</v>
      </c>
      <c r="B881" t="s">
        <v>689</v>
      </c>
      <c r="C881" t="s">
        <v>690</v>
      </c>
      <c r="D881" t="s">
        <v>743</v>
      </c>
      <c r="E881" t="s">
        <v>734</v>
      </c>
      <c r="F881" t="s">
        <v>1272</v>
      </c>
      <c r="G881" t="s">
        <v>665</v>
      </c>
      <c r="H881" s="595">
        <v>-10.61</v>
      </c>
      <c r="I881" t="str">
        <f t="shared" si="36"/>
        <v>janeiro 2026</v>
      </c>
      <c r="J881">
        <f t="shared" si="34"/>
        <v>2026</v>
      </c>
      <c r="K881" t="str">
        <f>VLOOKUP(G881,METRICS!C:D,2,0)</f>
        <v>Taxas Financeiras Diversas</v>
      </c>
      <c r="L881" t="str">
        <f>VLOOKUP(K881,METRICS!D:E,2,0)</f>
        <v>TAXAS CARTÃO DE CRÉDITO</v>
      </c>
    </row>
    <row r="882" spans="1:12" ht="15" hidden="1">
      <c r="A882" t="s">
        <v>1015</v>
      </c>
      <c r="B882" t="s">
        <v>689</v>
      </c>
      <c r="C882" t="s">
        <v>690</v>
      </c>
      <c r="D882" t="s">
        <v>733</v>
      </c>
      <c r="E882" t="s">
        <v>734</v>
      </c>
      <c r="F882" t="s">
        <v>1272</v>
      </c>
      <c r="G882" t="s">
        <v>665</v>
      </c>
      <c r="H882" s="595">
        <v>-14.3</v>
      </c>
      <c r="I882" t="str">
        <f t="shared" si="36"/>
        <v>janeiro 2026</v>
      </c>
      <c r="J882">
        <f t="shared" si="34"/>
        <v>2026</v>
      </c>
      <c r="K882" t="str">
        <f>VLOOKUP(G882,METRICS!C:D,2,0)</f>
        <v>Taxas Financeiras Diversas</v>
      </c>
      <c r="L882" t="str">
        <f>VLOOKUP(K882,METRICS!D:E,2,0)</f>
        <v>TAXAS CARTÃO DE CRÉDITO</v>
      </c>
    </row>
    <row r="883" spans="1:12" ht="15" hidden="1">
      <c r="A883" t="s">
        <v>1015</v>
      </c>
      <c r="B883" t="s">
        <v>689</v>
      </c>
      <c r="C883" t="s">
        <v>690</v>
      </c>
      <c r="D883" t="s">
        <v>743</v>
      </c>
      <c r="E883" t="s">
        <v>734</v>
      </c>
      <c r="F883" t="s">
        <v>1272</v>
      </c>
      <c r="G883" t="s">
        <v>665</v>
      </c>
      <c r="H883" s="595">
        <v>-6.21</v>
      </c>
      <c r="I883" t="str">
        <f t="shared" si="36"/>
        <v>janeiro 2026</v>
      </c>
      <c r="J883">
        <f t="shared" si="34"/>
        <v>2026</v>
      </c>
      <c r="K883" t="str">
        <f>VLOOKUP(G883,METRICS!C:D,2,0)</f>
        <v>Taxas Financeiras Diversas</v>
      </c>
      <c r="L883" t="str">
        <f>VLOOKUP(K883,METRICS!D:E,2,0)</f>
        <v>TAXAS CARTÃO DE CRÉDITO</v>
      </c>
    </row>
    <row r="884" spans="1:12" ht="15" hidden="1">
      <c r="A884" t="s">
        <v>1015</v>
      </c>
      <c r="B884" t="s">
        <v>689</v>
      </c>
      <c r="C884" t="s">
        <v>690</v>
      </c>
      <c r="D884" t="s">
        <v>753</v>
      </c>
      <c r="E884" t="s">
        <v>734</v>
      </c>
      <c r="F884" t="s">
        <v>1272</v>
      </c>
      <c r="G884" t="s">
        <v>665</v>
      </c>
      <c r="H884" s="595">
        <v>-4.3499999999999996</v>
      </c>
      <c r="I884" t="str">
        <f t="shared" si="36"/>
        <v>janeiro 2026</v>
      </c>
      <c r="J884">
        <f t="shared" si="34"/>
        <v>2026</v>
      </c>
      <c r="K884" t="str">
        <f>VLOOKUP(G884,METRICS!C:D,2,0)</f>
        <v>Taxas Financeiras Diversas</v>
      </c>
      <c r="L884" t="str">
        <f>VLOOKUP(K884,METRICS!D:E,2,0)</f>
        <v>TAXAS CARTÃO DE CRÉDITO</v>
      </c>
    </row>
    <row r="885" spans="1:12" ht="15" hidden="1">
      <c r="A885" t="s">
        <v>1015</v>
      </c>
      <c r="B885" t="s">
        <v>689</v>
      </c>
      <c r="C885" t="s">
        <v>690</v>
      </c>
      <c r="D885" t="s">
        <v>733</v>
      </c>
      <c r="E885" t="s">
        <v>734</v>
      </c>
      <c r="F885" t="s">
        <v>1272</v>
      </c>
      <c r="G885" t="s">
        <v>665</v>
      </c>
      <c r="H885" s="595">
        <v>-4.96</v>
      </c>
      <c r="I885" t="str">
        <f t="shared" si="36"/>
        <v>janeiro 2026</v>
      </c>
      <c r="J885">
        <f t="shared" si="34"/>
        <v>2026</v>
      </c>
      <c r="K885" t="str">
        <f>VLOOKUP(G885,METRICS!C:D,2,0)</f>
        <v>Taxas Financeiras Diversas</v>
      </c>
      <c r="L885" t="str">
        <f>VLOOKUP(K885,METRICS!D:E,2,0)</f>
        <v>TAXAS CARTÃO DE CRÉDITO</v>
      </c>
    </row>
    <row r="886" spans="1:12" ht="15" hidden="1">
      <c r="A886" t="s">
        <v>1015</v>
      </c>
      <c r="B886" t="s">
        <v>689</v>
      </c>
      <c r="C886" t="s">
        <v>690</v>
      </c>
      <c r="D886" t="s">
        <v>733</v>
      </c>
      <c r="E886" t="s">
        <v>734</v>
      </c>
      <c r="F886" t="s">
        <v>1272</v>
      </c>
      <c r="G886" t="s">
        <v>665</v>
      </c>
      <c r="H886" s="595">
        <v>-9.36</v>
      </c>
      <c r="I886" t="str">
        <f t="shared" si="36"/>
        <v>janeiro 2026</v>
      </c>
      <c r="J886">
        <f t="shared" ref="J886:J949" si="37">YEAR(A886)</f>
        <v>2026</v>
      </c>
      <c r="K886" t="str">
        <f>VLOOKUP(G886,METRICS!C:D,2,0)</f>
        <v>Taxas Financeiras Diversas</v>
      </c>
      <c r="L886" t="str">
        <f>VLOOKUP(K886,METRICS!D:E,2,0)</f>
        <v>TAXAS CARTÃO DE CRÉDITO</v>
      </c>
    </row>
    <row r="887" spans="1:12" ht="15" hidden="1">
      <c r="A887" t="s">
        <v>1015</v>
      </c>
      <c r="B887" t="s">
        <v>689</v>
      </c>
      <c r="C887" t="s">
        <v>690</v>
      </c>
      <c r="D887" t="s">
        <v>733</v>
      </c>
      <c r="E887" t="s">
        <v>734</v>
      </c>
      <c r="F887" t="s">
        <v>1272</v>
      </c>
      <c r="G887" t="s">
        <v>665</v>
      </c>
      <c r="H887" s="595">
        <v>-24.62</v>
      </c>
      <c r="I887" t="str">
        <f t="shared" si="36"/>
        <v>janeiro 2026</v>
      </c>
      <c r="J887">
        <f t="shared" si="37"/>
        <v>2026</v>
      </c>
      <c r="K887" t="str">
        <f>VLOOKUP(G887,METRICS!C:D,2,0)</f>
        <v>Taxas Financeiras Diversas</v>
      </c>
      <c r="L887" t="str">
        <f>VLOOKUP(K887,METRICS!D:E,2,0)</f>
        <v>TAXAS CARTÃO DE CRÉDITO</v>
      </c>
    </row>
    <row r="888" spans="1:12" ht="15" hidden="1">
      <c r="A888" t="s">
        <v>1015</v>
      </c>
      <c r="B888" t="s">
        <v>689</v>
      </c>
      <c r="C888" t="s">
        <v>690</v>
      </c>
      <c r="D888" t="s">
        <v>743</v>
      </c>
      <c r="E888" t="s">
        <v>734</v>
      </c>
      <c r="F888" t="s">
        <v>1272</v>
      </c>
      <c r="G888" t="s">
        <v>665</v>
      </c>
      <c r="H888" s="595">
        <v>-13.18</v>
      </c>
      <c r="I888" t="str">
        <f t="shared" si="36"/>
        <v>janeiro 2026</v>
      </c>
      <c r="J888">
        <f t="shared" si="37"/>
        <v>2026</v>
      </c>
      <c r="K888" t="str">
        <f>VLOOKUP(G888,METRICS!C:D,2,0)</f>
        <v>Taxas Financeiras Diversas</v>
      </c>
      <c r="L888" t="str">
        <f>VLOOKUP(K888,METRICS!D:E,2,0)</f>
        <v>TAXAS CARTÃO DE CRÉDITO</v>
      </c>
    </row>
    <row r="889" spans="1:12" ht="15" hidden="1">
      <c r="A889" t="s">
        <v>1015</v>
      </c>
      <c r="B889" t="s">
        <v>689</v>
      </c>
      <c r="C889" t="s">
        <v>690</v>
      </c>
      <c r="D889" t="s">
        <v>733</v>
      </c>
      <c r="E889" t="s">
        <v>734</v>
      </c>
      <c r="F889" t="s">
        <v>1272</v>
      </c>
      <c r="G889" t="s">
        <v>665</v>
      </c>
      <c r="H889" s="595">
        <v>-14.04</v>
      </c>
      <c r="I889" t="str">
        <f t="shared" si="36"/>
        <v>janeiro 2026</v>
      </c>
      <c r="J889">
        <f t="shared" si="37"/>
        <v>2026</v>
      </c>
      <c r="K889" t="str">
        <f>VLOOKUP(G889,METRICS!C:D,2,0)</f>
        <v>Taxas Financeiras Diversas</v>
      </c>
      <c r="L889" t="str">
        <f>VLOOKUP(K889,METRICS!D:E,2,0)</f>
        <v>TAXAS CARTÃO DE CRÉDITO</v>
      </c>
    </row>
    <row r="890" spans="1:12" ht="15" hidden="1">
      <c r="A890" t="s">
        <v>1015</v>
      </c>
      <c r="B890" t="s">
        <v>689</v>
      </c>
      <c r="C890" t="s">
        <v>690</v>
      </c>
      <c r="D890" t="s">
        <v>883</v>
      </c>
      <c r="E890" t="s">
        <v>746</v>
      </c>
      <c r="F890" t="s">
        <v>1272</v>
      </c>
      <c r="G890" t="s">
        <v>669</v>
      </c>
      <c r="H890" s="595">
        <v>-11.69</v>
      </c>
      <c r="I890" t="str">
        <f t="shared" si="36"/>
        <v>janeiro 2026</v>
      </c>
      <c r="J890">
        <f t="shared" si="37"/>
        <v>2026</v>
      </c>
      <c r="K890" t="str">
        <f>VLOOKUP(G890,METRICS!C:D,2,0)</f>
        <v>Taxas Financeiras Diversas</v>
      </c>
      <c r="L890" t="str">
        <f>VLOOKUP(K890,METRICS!D:E,2,0)</f>
        <v>TAXAS CARTÃO DE CRÉDITO</v>
      </c>
    </row>
    <row r="891" spans="1:12" ht="15" hidden="1">
      <c r="A891" t="s">
        <v>1015</v>
      </c>
      <c r="B891" t="s">
        <v>689</v>
      </c>
      <c r="C891" t="s">
        <v>690</v>
      </c>
      <c r="D891" t="s">
        <v>733</v>
      </c>
      <c r="E891" t="s">
        <v>734</v>
      </c>
      <c r="F891" t="s">
        <v>1272</v>
      </c>
      <c r="G891" t="s">
        <v>665</v>
      </c>
      <c r="H891" s="595">
        <v>-3.83</v>
      </c>
      <c r="I891" t="str">
        <f t="shared" si="36"/>
        <v>janeiro 2026</v>
      </c>
      <c r="J891">
        <f t="shared" si="37"/>
        <v>2026</v>
      </c>
      <c r="K891" t="str">
        <f>VLOOKUP(G891,METRICS!C:D,2,0)</f>
        <v>Taxas Financeiras Diversas</v>
      </c>
      <c r="L891" t="str">
        <f>VLOOKUP(K891,METRICS!D:E,2,0)</f>
        <v>TAXAS CARTÃO DE CRÉDITO</v>
      </c>
    </row>
    <row r="892" spans="1:12" ht="15" hidden="1">
      <c r="A892" t="s">
        <v>1015</v>
      </c>
      <c r="B892" t="s">
        <v>612</v>
      </c>
      <c r="C892" t="s">
        <v>690</v>
      </c>
      <c r="D892" t="s">
        <v>1024</v>
      </c>
      <c r="E892" t="s">
        <v>828</v>
      </c>
      <c r="F892" t="s">
        <v>1272</v>
      </c>
      <c r="G892" t="s">
        <v>636</v>
      </c>
      <c r="H892" s="595">
        <v>-537.19000000000005</v>
      </c>
      <c r="I892" t="str">
        <f t="shared" si="36"/>
        <v>janeiro 2026</v>
      </c>
      <c r="J892">
        <f t="shared" si="37"/>
        <v>2026</v>
      </c>
      <c r="K892" t="str">
        <f>VLOOKUP(G892,METRICS!C:D,2,0)</f>
        <v>Secos - Mercearia</v>
      </c>
      <c r="L892" t="str">
        <f>VLOOKUP(K892,METRICS!D:E,2,0)</f>
        <v>CUSTOS DOS PRODUTOS VENDIDOS</v>
      </c>
    </row>
    <row r="893" spans="1:12" ht="15" hidden="1">
      <c r="A893" t="s">
        <v>1015</v>
      </c>
      <c r="B893" t="s">
        <v>689</v>
      </c>
      <c r="C893" t="s">
        <v>690</v>
      </c>
      <c r="D893" t="s">
        <v>743</v>
      </c>
      <c r="E893" t="s">
        <v>734</v>
      </c>
      <c r="F893" t="s">
        <v>1272</v>
      </c>
      <c r="G893" t="s">
        <v>665</v>
      </c>
      <c r="H893" s="595">
        <v>-6.5</v>
      </c>
      <c r="I893" t="str">
        <f t="shared" si="36"/>
        <v>janeiro 2026</v>
      </c>
      <c r="J893">
        <f t="shared" si="37"/>
        <v>2026</v>
      </c>
      <c r="K893" t="str">
        <f>VLOOKUP(G893,METRICS!C:D,2,0)</f>
        <v>Taxas Financeiras Diversas</v>
      </c>
      <c r="L893" t="str">
        <f>VLOOKUP(K893,METRICS!D:E,2,0)</f>
        <v>TAXAS CARTÃO DE CRÉDITO</v>
      </c>
    </row>
    <row r="894" spans="1:12" ht="15" hidden="1">
      <c r="A894" t="s">
        <v>1015</v>
      </c>
      <c r="B894" t="s">
        <v>612</v>
      </c>
      <c r="C894" t="s">
        <v>690</v>
      </c>
      <c r="D894" t="s">
        <v>1025</v>
      </c>
      <c r="E894" t="s">
        <v>878</v>
      </c>
      <c r="F894" t="s">
        <v>1272</v>
      </c>
      <c r="G894" t="s">
        <v>609</v>
      </c>
      <c r="H894" s="595">
        <v>-957.78</v>
      </c>
      <c r="I894" t="str">
        <f t="shared" si="36"/>
        <v>janeiro 2026</v>
      </c>
      <c r="J894">
        <f t="shared" si="37"/>
        <v>2026</v>
      </c>
      <c r="K894" t="str">
        <f>VLOOKUP(G894,METRICS!C:D,2,0)</f>
        <v>Carnes e Aves</v>
      </c>
      <c r="L894" t="str">
        <f>VLOOKUP(K894,METRICS!D:E,2,0)</f>
        <v>CUSTOS DOS PRODUTOS VENDIDOS</v>
      </c>
    </row>
    <row r="895" spans="1:12" ht="15" hidden="1">
      <c r="A895" t="s">
        <v>1015</v>
      </c>
      <c r="B895" t="s">
        <v>689</v>
      </c>
      <c r="C895" t="s">
        <v>690</v>
      </c>
      <c r="D895" t="s">
        <v>733</v>
      </c>
      <c r="E895" t="s">
        <v>734</v>
      </c>
      <c r="F895" t="s">
        <v>1272</v>
      </c>
      <c r="G895" t="s">
        <v>665</v>
      </c>
      <c r="H895" s="595">
        <v>-7</v>
      </c>
      <c r="I895" t="str">
        <f t="shared" si="36"/>
        <v>janeiro 2026</v>
      </c>
      <c r="J895">
        <f t="shared" si="37"/>
        <v>2026</v>
      </c>
      <c r="K895" t="str">
        <f>VLOOKUP(G895,METRICS!C:D,2,0)</f>
        <v>Taxas Financeiras Diversas</v>
      </c>
      <c r="L895" t="str">
        <f>VLOOKUP(K895,METRICS!D:E,2,0)</f>
        <v>TAXAS CARTÃO DE CRÉDITO</v>
      </c>
    </row>
    <row r="896" spans="1:12" ht="15" hidden="1">
      <c r="A896" t="s">
        <v>1015</v>
      </c>
      <c r="B896" t="s">
        <v>689</v>
      </c>
      <c r="C896" t="s">
        <v>690</v>
      </c>
      <c r="D896" t="s">
        <v>743</v>
      </c>
      <c r="E896" t="s">
        <v>734</v>
      </c>
      <c r="F896" t="s">
        <v>1272</v>
      </c>
      <c r="G896" t="s">
        <v>665</v>
      </c>
      <c r="H896" s="595">
        <v>-4.96</v>
      </c>
      <c r="I896" t="str">
        <f t="shared" si="36"/>
        <v>janeiro 2026</v>
      </c>
      <c r="J896">
        <f t="shared" si="37"/>
        <v>2026</v>
      </c>
      <c r="K896" t="str">
        <f>VLOOKUP(G896,METRICS!C:D,2,0)</f>
        <v>Taxas Financeiras Diversas</v>
      </c>
      <c r="L896" t="str">
        <f>VLOOKUP(K896,METRICS!D:E,2,0)</f>
        <v>TAXAS CARTÃO DE CRÉDITO</v>
      </c>
    </row>
    <row r="897" spans="1:12" ht="15" hidden="1">
      <c r="A897" t="s">
        <v>1015</v>
      </c>
      <c r="B897" t="s">
        <v>689</v>
      </c>
      <c r="C897" t="s">
        <v>690</v>
      </c>
      <c r="D897" t="s">
        <v>733</v>
      </c>
      <c r="E897" t="s">
        <v>734</v>
      </c>
      <c r="F897" t="s">
        <v>1272</v>
      </c>
      <c r="G897" t="s">
        <v>665</v>
      </c>
      <c r="H897" s="595">
        <v>-2.67</v>
      </c>
      <c r="I897" t="str">
        <f t="shared" si="36"/>
        <v>janeiro 2026</v>
      </c>
      <c r="J897">
        <f t="shared" si="37"/>
        <v>2026</v>
      </c>
      <c r="K897" t="str">
        <f>VLOOKUP(G897,METRICS!C:D,2,0)</f>
        <v>Taxas Financeiras Diversas</v>
      </c>
      <c r="L897" t="str">
        <f>VLOOKUP(K897,METRICS!D:E,2,0)</f>
        <v>TAXAS CARTÃO DE CRÉDITO</v>
      </c>
    </row>
    <row r="898" spans="1:12" ht="15" hidden="1">
      <c r="A898" t="s">
        <v>1015</v>
      </c>
      <c r="B898" t="s">
        <v>689</v>
      </c>
      <c r="C898" t="s">
        <v>690</v>
      </c>
      <c r="D898" t="s">
        <v>733</v>
      </c>
      <c r="E898" t="s">
        <v>734</v>
      </c>
      <c r="F898" t="s">
        <v>1272</v>
      </c>
      <c r="G898" t="s">
        <v>665</v>
      </c>
      <c r="H898" s="595">
        <v>-1.57</v>
      </c>
      <c r="I898" t="str">
        <f t="shared" si="36"/>
        <v>janeiro 2026</v>
      </c>
      <c r="J898">
        <f t="shared" si="37"/>
        <v>2026</v>
      </c>
      <c r="K898" t="str">
        <f>VLOOKUP(G898,METRICS!C:D,2,0)</f>
        <v>Taxas Financeiras Diversas</v>
      </c>
      <c r="L898" t="str">
        <f>VLOOKUP(K898,METRICS!D:E,2,0)</f>
        <v>TAXAS CARTÃO DE CRÉDITO</v>
      </c>
    </row>
    <row r="899" spans="1:12" ht="15" hidden="1">
      <c r="A899" t="s">
        <v>1015</v>
      </c>
      <c r="B899" t="s">
        <v>689</v>
      </c>
      <c r="C899" t="s">
        <v>690</v>
      </c>
      <c r="D899" t="s">
        <v>733</v>
      </c>
      <c r="E899" t="s">
        <v>734</v>
      </c>
      <c r="F899" t="s">
        <v>1272</v>
      </c>
      <c r="G899" t="s">
        <v>665</v>
      </c>
      <c r="H899" s="595">
        <v>-11.3</v>
      </c>
      <c r="I899" t="str">
        <f t="shared" si="36"/>
        <v>janeiro 2026</v>
      </c>
      <c r="J899">
        <f t="shared" si="37"/>
        <v>2026</v>
      </c>
      <c r="K899" t="str">
        <f>VLOOKUP(G899,METRICS!C:D,2,0)</f>
        <v>Taxas Financeiras Diversas</v>
      </c>
      <c r="L899" t="str">
        <f>VLOOKUP(K899,METRICS!D:E,2,0)</f>
        <v>TAXAS CARTÃO DE CRÉDITO</v>
      </c>
    </row>
    <row r="900" spans="1:12" ht="15" hidden="1">
      <c r="A900" t="s">
        <v>1015</v>
      </c>
      <c r="B900" t="s">
        <v>689</v>
      </c>
      <c r="C900" t="s">
        <v>690</v>
      </c>
      <c r="D900" t="s">
        <v>733</v>
      </c>
      <c r="E900" t="s">
        <v>734</v>
      </c>
      <c r="F900" t="s">
        <v>1272</v>
      </c>
      <c r="G900" t="s">
        <v>665</v>
      </c>
      <c r="H900" s="595">
        <v>-5.36</v>
      </c>
      <c r="I900" t="str">
        <f t="shared" si="36"/>
        <v>janeiro 2026</v>
      </c>
      <c r="J900">
        <f t="shared" si="37"/>
        <v>2026</v>
      </c>
      <c r="K900" t="str">
        <f>VLOOKUP(G900,METRICS!C:D,2,0)</f>
        <v>Taxas Financeiras Diversas</v>
      </c>
      <c r="L900" t="str">
        <f>VLOOKUP(K900,METRICS!D:E,2,0)</f>
        <v>TAXAS CARTÃO DE CRÉDITO</v>
      </c>
    </row>
    <row r="901" spans="1:12" ht="15" hidden="1">
      <c r="A901" t="s">
        <v>1015</v>
      </c>
      <c r="B901" t="s">
        <v>612</v>
      </c>
      <c r="C901" t="s">
        <v>690</v>
      </c>
      <c r="D901" t="s">
        <v>1026</v>
      </c>
      <c r="E901" t="s">
        <v>1027</v>
      </c>
      <c r="F901" t="s">
        <v>1272</v>
      </c>
      <c r="G901" t="s">
        <v>621</v>
      </c>
      <c r="H901" s="595">
        <v>-2000</v>
      </c>
      <c r="I901" t="str">
        <f t="shared" si="36"/>
        <v>janeiro 2026</v>
      </c>
      <c r="J901">
        <f t="shared" si="37"/>
        <v>2026</v>
      </c>
      <c r="K901" t="str">
        <f>VLOOKUP(G901,METRICS!C:D,2,0)</f>
        <v>Influencer</v>
      </c>
      <c r="L901" t="str">
        <f>VLOOKUP(K901,METRICS!D:E,2,0)</f>
        <v>MARKETING</v>
      </c>
    </row>
    <row r="902" spans="1:12" ht="15" hidden="1">
      <c r="A902" t="s">
        <v>1015</v>
      </c>
      <c r="B902" t="s">
        <v>689</v>
      </c>
      <c r="C902" t="s">
        <v>690</v>
      </c>
      <c r="D902" t="s">
        <v>733</v>
      </c>
      <c r="E902" t="s">
        <v>734</v>
      </c>
      <c r="F902" t="s">
        <v>1272</v>
      </c>
      <c r="G902" t="s">
        <v>665</v>
      </c>
      <c r="H902" s="595">
        <v>-1.47</v>
      </c>
      <c r="I902" t="str">
        <f t="shared" si="36"/>
        <v>janeiro 2026</v>
      </c>
      <c r="J902">
        <f t="shared" si="37"/>
        <v>2026</v>
      </c>
      <c r="K902" t="str">
        <f>VLOOKUP(G902,METRICS!C:D,2,0)</f>
        <v>Taxas Financeiras Diversas</v>
      </c>
      <c r="L902" t="str">
        <f>VLOOKUP(K902,METRICS!D:E,2,0)</f>
        <v>TAXAS CARTÃO DE CRÉDITO</v>
      </c>
    </row>
    <row r="903" spans="1:12" ht="15" hidden="1">
      <c r="A903" t="s">
        <v>1015</v>
      </c>
      <c r="B903" t="s">
        <v>689</v>
      </c>
      <c r="C903" t="s">
        <v>690</v>
      </c>
      <c r="D903" t="s">
        <v>743</v>
      </c>
      <c r="E903" t="s">
        <v>734</v>
      </c>
      <c r="F903" t="s">
        <v>1272</v>
      </c>
      <c r="G903" t="s">
        <v>665</v>
      </c>
      <c r="H903" s="595">
        <v>-15.42</v>
      </c>
      <c r="I903" t="str">
        <f t="shared" si="36"/>
        <v>janeiro 2026</v>
      </c>
      <c r="J903">
        <f t="shared" si="37"/>
        <v>2026</v>
      </c>
      <c r="K903" t="str">
        <f>VLOOKUP(G903,METRICS!C:D,2,0)</f>
        <v>Taxas Financeiras Diversas</v>
      </c>
      <c r="L903" t="str">
        <f>VLOOKUP(K903,METRICS!D:E,2,0)</f>
        <v>TAXAS CARTÃO DE CRÉDITO</v>
      </c>
    </row>
    <row r="904" spans="1:12" ht="15" hidden="1">
      <c r="A904" t="s">
        <v>1015</v>
      </c>
      <c r="B904" t="s">
        <v>689</v>
      </c>
      <c r="C904" t="s">
        <v>690</v>
      </c>
      <c r="D904" t="s">
        <v>733</v>
      </c>
      <c r="E904" t="s">
        <v>734</v>
      </c>
      <c r="F904" t="s">
        <v>1272</v>
      </c>
      <c r="G904" t="s">
        <v>665</v>
      </c>
      <c r="H904" s="595">
        <v>-10.18</v>
      </c>
      <c r="I904" t="str">
        <f t="shared" si="36"/>
        <v>janeiro 2026</v>
      </c>
      <c r="J904">
        <f t="shared" si="37"/>
        <v>2026</v>
      </c>
      <c r="K904" t="str">
        <f>VLOOKUP(G904,METRICS!C:D,2,0)</f>
        <v>Taxas Financeiras Diversas</v>
      </c>
      <c r="L904" t="str">
        <f>VLOOKUP(K904,METRICS!D:E,2,0)</f>
        <v>TAXAS CARTÃO DE CRÉDITO</v>
      </c>
    </row>
    <row r="905" spans="1:12" ht="15" hidden="1">
      <c r="A905" t="s">
        <v>1015</v>
      </c>
      <c r="B905" t="s">
        <v>689</v>
      </c>
      <c r="C905" t="s">
        <v>690</v>
      </c>
      <c r="D905" t="s">
        <v>733</v>
      </c>
      <c r="E905" t="s">
        <v>734</v>
      </c>
      <c r="F905" t="s">
        <v>1272</v>
      </c>
      <c r="G905" t="s">
        <v>665</v>
      </c>
      <c r="H905" s="595">
        <v>-0.73</v>
      </c>
      <c r="I905" t="str">
        <f t="shared" si="36"/>
        <v>janeiro 2026</v>
      </c>
      <c r="J905">
        <f t="shared" si="37"/>
        <v>2026</v>
      </c>
      <c r="K905" t="str">
        <f>VLOOKUP(G905,METRICS!C:D,2,0)</f>
        <v>Taxas Financeiras Diversas</v>
      </c>
      <c r="L905" t="str">
        <f>VLOOKUP(K905,METRICS!D:E,2,0)</f>
        <v>TAXAS CARTÃO DE CRÉDITO</v>
      </c>
    </row>
    <row r="906" spans="1:12" ht="15" hidden="1">
      <c r="A906" t="s">
        <v>1015</v>
      </c>
      <c r="B906" t="s">
        <v>689</v>
      </c>
      <c r="C906" t="s">
        <v>690</v>
      </c>
      <c r="D906" t="s">
        <v>860</v>
      </c>
      <c r="E906" t="s">
        <v>734</v>
      </c>
      <c r="F906" t="s">
        <v>1272</v>
      </c>
      <c r="G906" t="s">
        <v>665</v>
      </c>
      <c r="H906" s="595">
        <v>-21.68</v>
      </c>
      <c r="I906" t="str">
        <f t="shared" si="36"/>
        <v>janeiro 2026</v>
      </c>
      <c r="J906">
        <f t="shared" si="37"/>
        <v>2026</v>
      </c>
      <c r="K906" t="str">
        <f>VLOOKUP(G906,METRICS!C:D,2,0)</f>
        <v>Taxas Financeiras Diversas</v>
      </c>
      <c r="L906" t="str">
        <f>VLOOKUP(K906,METRICS!D:E,2,0)</f>
        <v>TAXAS CARTÃO DE CRÉDITO</v>
      </c>
    </row>
    <row r="907" spans="1:12" ht="15" hidden="1">
      <c r="A907" t="s">
        <v>1015</v>
      </c>
      <c r="B907" t="s">
        <v>689</v>
      </c>
      <c r="C907" t="s">
        <v>690</v>
      </c>
      <c r="D907" t="s">
        <v>733</v>
      </c>
      <c r="E907" t="s">
        <v>734</v>
      </c>
      <c r="F907" t="s">
        <v>1272</v>
      </c>
      <c r="G907" t="s">
        <v>665</v>
      </c>
      <c r="H907" s="595">
        <v>-2.2799999999999998</v>
      </c>
      <c r="I907" t="str">
        <f t="shared" si="36"/>
        <v>janeiro 2026</v>
      </c>
      <c r="J907">
        <f t="shared" si="37"/>
        <v>2026</v>
      </c>
      <c r="K907" t="str">
        <f>VLOOKUP(G907,METRICS!C:D,2,0)</f>
        <v>Taxas Financeiras Diversas</v>
      </c>
      <c r="L907" t="str">
        <f>VLOOKUP(K907,METRICS!D:E,2,0)</f>
        <v>TAXAS CARTÃO DE CRÉDITO</v>
      </c>
    </row>
    <row r="908" spans="1:12" ht="15" hidden="1">
      <c r="A908" t="s">
        <v>1015</v>
      </c>
      <c r="B908" t="s">
        <v>689</v>
      </c>
      <c r="C908" t="s">
        <v>690</v>
      </c>
      <c r="D908" t="s">
        <v>753</v>
      </c>
      <c r="E908" t="s">
        <v>734</v>
      </c>
      <c r="F908" t="s">
        <v>1272</v>
      </c>
      <c r="G908" t="s">
        <v>665</v>
      </c>
      <c r="H908" s="595">
        <v>-18.350000000000001</v>
      </c>
      <c r="I908" t="str">
        <f t="shared" si="36"/>
        <v>janeiro 2026</v>
      </c>
      <c r="J908">
        <f t="shared" si="37"/>
        <v>2026</v>
      </c>
      <c r="K908" t="str">
        <f>VLOOKUP(G908,METRICS!C:D,2,0)</f>
        <v>Taxas Financeiras Diversas</v>
      </c>
      <c r="L908" t="str">
        <f>VLOOKUP(K908,METRICS!D:E,2,0)</f>
        <v>TAXAS CARTÃO DE CRÉDITO</v>
      </c>
    </row>
    <row r="909" spans="1:12" ht="15" hidden="1">
      <c r="A909" t="s">
        <v>1015</v>
      </c>
      <c r="B909" t="s">
        <v>689</v>
      </c>
      <c r="C909" t="s">
        <v>690</v>
      </c>
      <c r="D909" t="s">
        <v>733</v>
      </c>
      <c r="E909" t="s">
        <v>734</v>
      </c>
      <c r="F909" t="s">
        <v>1272</v>
      </c>
      <c r="G909" t="s">
        <v>665</v>
      </c>
      <c r="H909" s="595">
        <v>-9.6300000000000008</v>
      </c>
      <c r="I909" t="str">
        <f t="shared" ref="I909:I953" si="38">TEXT(A909, "mmmm aaaa")</f>
        <v>janeiro 2026</v>
      </c>
      <c r="J909">
        <f t="shared" si="37"/>
        <v>2026</v>
      </c>
      <c r="K909" t="str">
        <f>VLOOKUP(G909,METRICS!C:D,2,0)</f>
        <v>Taxas Financeiras Diversas</v>
      </c>
      <c r="L909" t="str">
        <f>VLOOKUP(K909,METRICS!D:E,2,0)</f>
        <v>TAXAS CARTÃO DE CRÉDITO</v>
      </c>
    </row>
    <row r="910" spans="1:12" ht="15" hidden="1">
      <c r="A910" t="s">
        <v>1015</v>
      </c>
      <c r="B910" t="s">
        <v>689</v>
      </c>
      <c r="C910" t="s">
        <v>690</v>
      </c>
      <c r="D910" t="s">
        <v>733</v>
      </c>
      <c r="E910" t="s">
        <v>734</v>
      </c>
      <c r="F910" t="s">
        <v>1272</v>
      </c>
      <c r="G910" t="s">
        <v>665</v>
      </c>
      <c r="H910" s="595">
        <v>-8.5299999999999994</v>
      </c>
      <c r="I910" t="str">
        <f t="shared" si="38"/>
        <v>janeiro 2026</v>
      </c>
      <c r="J910">
        <f t="shared" si="37"/>
        <v>2026</v>
      </c>
      <c r="K910" t="str">
        <f>VLOOKUP(G910,METRICS!C:D,2,0)</f>
        <v>Taxas Financeiras Diversas</v>
      </c>
      <c r="L910" t="str">
        <f>VLOOKUP(K910,METRICS!D:E,2,0)</f>
        <v>TAXAS CARTÃO DE CRÉDITO</v>
      </c>
    </row>
    <row r="911" spans="1:12" ht="15" hidden="1">
      <c r="A911" t="s">
        <v>1028</v>
      </c>
      <c r="B911" t="s">
        <v>689</v>
      </c>
      <c r="C911" t="s">
        <v>690</v>
      </c>
      <c r="D911" t="s">
        <v>733</v>
      </c>
      <c r="E911" t="s">
        <v>734</v>
      </c>
      <c r="F911" t="s">
        <v>1272</v>
      </c>
      <c r="G911" t="s">
        <v>665</v>
      </c>
      <c r="H911" s="595">
        <v>-1.02</v>
      </c>
      <c r="I911" t="str">
        <f t="shared" si="38"/>
        <v>janeiro 2026</v>
      </c>
      <c r="J911">
        <f t="shared" si="37"/>
        <v>2026</v>
      </c>
      <c r="K911" t="str">
        <f>VLOOKUP(G911,METRICS!C:D,2,0)</f>
        <v>Taxas Financeiras Diversas</v>
      </c>
      <c r="L911" t="str">
        <f>VLOOKUP(K911,METRICS!D:E,2,0)</f>
        <v>TAXAS CARTÃO DE CRÉDITO</v>
      </c>
    </row>
    <row r="912" spans="1:12" ht="15" hidden="1">
      <c r="A912" t="s">
        <v>1028</v>
      </c>
      <c r="B912" t="s">
        <v>689</v>
      </c>
      <c r="C912" t="s">
        <v>690</v>
      </c>
      <c r="D912" t="s">
        <v>733</v>
      </c>
      <c r="E912" t="s">
        <v>734</v>
      </c>
      <c r="F912" t="s">
        <v>1272</v>
      </c>
      <c r="G912" t="s">
        <v>665</v>
      </c>
      <c r="H912" s="595">
        <v>-1.78</v>
      </c>
      <c r="I912" t="str">
        <f t="shared" si="38"/>
        <v>janeiro 2026</v>
      </c>
      <c r="J912">
        <f t="shared" si="37"/>
        <v>2026</v>
      </c>
      <c r="K912" t="str">
        <f>VLOOKUP(G912,METRICS!C:D,2,0)</f>
        <v>Taxas Financeiras Diversas</v>
      </c>
      <c r="L912" t="str">
        <f>VLOOKUP(K912,METRICS!D:E,2,0)</f>
        <v>TAXAS CARTÃO DE CRÉDITO</v>
      </c>
    </row>
    <row r="913" spans="1:12" ht="15" hidden="1">
      <c r="A913" t="s">
        <v>1028</v>
      </c>
      <c r="B913" t="s">
        <v>689</v>
      </c>
      <c r="C913" t="s">
        <v>690</v>
      </c>
      <c r="D913" t="s">
        <v>743</v>
      </c>
      <c r="E913" t="s">
        <v>734</v>
      </c>
      <c r="F913" t="s">
        <v>1272</v>
      </c>
      <c r="G913" t="s">
        <v>665</v>
      </c>
      <c r="H913" s="595">
        <v>-2.86</v>
      </c>
      <c r="I913" t="str">
        <f t="shared" si="38"/>
        <v>janeiro 2026</v>
      </c>
      <c r="J913">
        <f t="shared" si="37"/>
        <v>2026</v>
      </c>
      <c r="K913" t="str">
        <f>VLOOKUP(G913,METRICS!C:D,2,0)</f>
        <v>Taxas Financeiras Diversas</v>
      </c>
      <c r="L913" t="str">
        <f>VLOOKUP(K913,METRICS!D:E,2,0)</f>
        <v>TAXAS CARTÃO DE CRÉDITO</v>
      </c>
    </row>
    <row r="914" spans="1:12" ht="15" hidden="1">
      <c r="A914" t="s">
        <v>1028</v>
      </c>
      <c r="B914" t="s">
        <v>689</v>
      </c>
      <c r="C914" t="s">
        <v>690</v>
      </c>
      <c r="D914" t="s">
        <v>733</v>
      </c>
      <c r="E914" t="s">
        <v>734</v>
      </c>
      <c r="F914" t="s">
        <v>1272</v>
      </c>
      <c r="G914" t="s">
        <v>665</v>
      </c>
      <c r="H914" s="595">
        <v>-5.94</v>
      </c>
      <c r="I914" t="str">
        <f t="shared" si="38"/>
        <v>janeiro 2026</v>
      </c>
      <c r="J914">
        <f t="shared" si="37"/>
        <v>2026</v>
      </c>
      <c r="K914" t="str">
        <f>VLOOKUP(G914,METRICS!C:D,2,0)</f>
        <v>Taxas Financeiras Diversas</v>
      </c>
      <c r="L914" t="str">
        <f>VLOOKUP(K914,METRICS!D:E,2,0)</f>
        <v>TAXAS CARTÃO DE CRÉDITO</v>
      </c>
    </row>
    <row r="915" spans="1:12" ht="15" hidden="1">
      <c r="A915" t="s">
        <v>1028</v>
      </c>
      <c r="B915" t="s">
        <v>689</v>
      </c>
      <c r="C915" t="s">
        <v>690</v>
      </c>
      <c r="D915" t="s">
        <v>733</v>
      </c>
      <c r="E915" t="s">
        <v>734</v>
      </c>
      <c r="F915" t="s">
        <v>1272</v>
      </c>
      <c r="G915" t="s">
        <v>665</v>
      </c>
      <c r="H915" s="595">
        <v>-3.61</v>
      </c>
      <c r="I915" t="str">
        <f t="shared" si="38"/>
        <v>janeiro 2026</v>
      </c>
      <c r="J915">
        <f t="shared" si="37"/>
        <v>2026</v>
      </c>
      <c r="K915" t="str">
        <f>VLOOKUP(G915,METRICS!C:D,2,0)</f>
        <v>Taxas Financeiras Diversas</v>
      </c>
      <c r="L915" t="str">
        <f>VLOOKUP(K915,METRICS!D:E,2,0)</f>
        <v>TAXAS CARTÃO DE CRÉDITO</v>
      </c>
    </row>
    <row r="916" spans="1:12" ht="15" hidden="1">
      <c r="A916" t="s">
        <v>1028</v>
      </c>
      <c r="B916" t="s">
        <v>689</v>
      </c>
      <c r="C916" t="s">
        <v>690</v>
      </c>
      <c r="D916" t="s">
        <v>743</v>
      </c>
      <c r="E916" t="s">
        <v>734</v>
      </c>
      <c r="F916" t="s">
        <v>1272</v>
      </c>
      <c r="G916" t="s">
        <v>665</v>
      </c>
      <c r="H916" s="595">
        <v>-50.05</v>
      </c>
      <c r="I916" t="str">
        <f t="shared" si="38"/>
        <v>janeiro 2026</v>
      </c>
      <c r="J916">
        <f t="shared" si="37"/>
        <v>2026</v>
      </c>
      <c r="K916" t="str">
        <f>VLOOKUP(G916,METRICS!C:D,2,0)</f>
        <v>Taxas Financeiras Diversas</v>
      </c>
      <c r="L916" t="str">
        <f>VLOOKUP(K916,METRICS!D:E,2,0)</f>
        <v>TAXAS CARTÃO DE CRÉDITO</v>
      </c>
    </row>
    <row r="917" spans="1:12" ht="15" hidden="1">
      <c r="A917" t="s">
        <v>1028</v>
      </c>
      <c r="B917" t="s">
        <v>689</v>
      </c>
      <c r="C917" t="s">
        <v>690</v>
      </c>
      <c r="D917" t="s">
        <v>733</v>
      </c>
      <c r="E917" t="s">
        <v>734</v>
      </c>
      <c r="F917" t="s">
        <v>1272</v>
      </c>
      <c r="G917" t="s">
        <v>665</v>
      </c>
      <c r="H917" s="595">
        <v>-3.7</v>
      </c>
      <c r="I917" t="str">
        <f t="shared" si="38"/>
        <v>janeiro 2026</v>
      </c>
      <c r="J917">
        <f t="shared" si="37"/>
        <v>2026</v>
      </c>
      <c r="K917" t="str">
        <f>VLOOKUP(G917,METRICS!C:D,2,0)</f>
        <v>Taxas Financeiras Diversas</v>
      </c>
      <c r="L917" t="str">
        <f>VLOOKUP(K917,METRICS!D:E,2,0)</f>
        <v>TAXAS CARTÃO DE CRÉDITO</v>
      </c>
    </row>
    <row r="918" spans="1:12" ht="15" hidden="1">
      <c r="A918" t="s">
        <v>1028</v>
      </c>
      <c r="B918" t="s">
        <v>689</v>
      </c>
      <c r="C918" t="s">
        <v>690</v>
      </c>
      <c r="D918" t="s">
        <v>733</v>
      </c>
      <c r="E918" t="s">
        <v>734</v>
      </c>
      <c r="F918" t="s">
        <v>1272</v>
      </c>
      <c r="G918" t="s">
        <v>665</v>
      </c>
      <c r="H918" s="595">
        <v>-17.71</v>
      </c>
      <c r="I918" t="str">
        <f t="shared" si="38"/>
        <v>janeiro 2026</v>
      </c>
      <c r="J918">
        <f t="shared" si="37"/>
        <v>2026</v>
      </c>
      <c r="K918" t="str">
        <f>VLOOKUP(G918,METRICS!C:D,2,0)</f>
        <v>Taxas Financeiras Diversas</v>
      </c>
      <c r="L918" t="str">
        <f>VLOOKUP(K918,METRICS!D:E,2,0)</f>
        <v>TAXAS CARTÃO DE CRÉDITO</v>
      </c>
    </row>
    <row r="919" spans="1:12" ht="15" hidden="1">
      <c r="A919" t="s">
        <v>1028</v>
      </c>
      <c r="B919" t="s">
        <v>689</v>
      </c>
      <c r="C919" t="s">
        <v>690</v>
      </c>
      <c r="D919" t="s">
        <v>733</v>
      </c>
      <c r="E919" t="s">
        <v>734</v>
      </c>
      <c r="F919" t="s">
        <v>1272</v>
      </c>
      <c r="G919" t="s">
        <v>665</v>
      </c>
      <c r="H919" s="595">
        <v>-4.83</v>
      </c>
      <c r="I919" t="str">
        <f t="shared" si="38"/>
        <v>janeiro 2026</v>
      </c>
      <c r="J919">
        <f t="shared" si="37"/>
        <v>2026</v>
      </c>
      <c r="K919" t="str">
        <f>VLOOKUP(G919,METRICS!C:D,2,0)</f>
        <v>Taxas Financeiras Diversas</v>
      </c>
      <c r="L919" t="str">
        <f>VLOOKUP(K919,METRICS!D:E,2,0)</f>
        <v>TAXAS CARTÃO DE CRÉDITO</v>
      </c>
    </row>
    <row r="920" spans="1:12" ht="15" hidden="1">
      <c r="A920" t="s">
        <v>1028</v>
      </c>
      <c r="B920" t="s">
        <v>689</v>
      </c>
      <c r="C920" t="s">
        <v>690</v>
      </c>
      <c r="D920" t="s">
        <v>733</v>
      </c>
      <c r="E920" t="s">
        <v>734</v>
      </c>
      <c r="F920" t="s">
        <v>1272</v>
      </c>
      <c r="G920" t="s">
        <v>665</v>
      </c>
      <c r="H920" s="595">
        <v>-2.62</v>
      </c>
      <c r="I920" t="str">
        <f t="shared" si="38"/>
        <v>janeiro 2026</v>
      </c>
      <c r="J920">
        <f t="shared" si="37"/>
        <v>2026</v>
      </c>
      <c r="K920" t="str">
        <f>VLOOKUP(G920,METRICS!C:D,2,0)</f>
        <v>Taxas Financeiras Diversas</v>
      </c>
      <c r="L920" t="str">
        <f>VLOOKUP(K920,METRICS!D:E,2,0)</f>
        <v>TAXAS CARTÃO DE CRÉDITO</v>
      </c>
    </row>
    <row r="921" spans="1:12" ht="15" hidden="1">
      <c r="A921" t="s">
        <v>1028</v>
      </c>
      <c r="B921" t="s">
        <v>689</v>
      </c>
      <c r="C921" t="s">
        <v>690</v>
      </c>
      <c r="D921" t="s">
        <v>733</v>
      </c>
      <c r="E921" t="s">
        <v>734</v>
      </c>
      <c r="F921" t="s">
        <v>1272</v>
      </c>
      <c r="G921" t="s">
        <v>665</v>
      </c>
      <c r="H921" s="595">
        <v>-1.43</v>
      </c>
      <c r="I921" t="str">
        <f t="shared" si="38"/>
        <v>janeiro 2026</v>
      </c>
      <c r="J921">
        <f t="shared" si="37"/>
        <v>2026</v>
      </c>
      <c r="K921" t="str">
        <f>VLOOKUP(G921,METRICS!C:D,2,0)</f>
        <v>Taxas Financeiras Diversas</v>
      </c>
      <c r="L921" t="str">
        <f>VLOOKUP(K921,METRICS!D:E,2,0)</f>
        <v>TAXAS CARTÃO DE CRÉDITO</v>
      </c>
    </row>
    <row r="922" spans="1:12" ht="15" hidden="1">
      <c r="A922" t="s">
        <v>1028</v>
      </c>
      <c r="B922" t="s">
        <v>689</v>
      </c>
      <c r="C922" t="s">
        <v>690</v>
      </c>
      <c r="D922" t="s">
        <v>733</v>
      </c>
      <c r="E922" t="s">
        <v>734</v>
      </c>
      <c r="F922" t="s">
        <v>1272</v>
      </c>
      <c r="G922" t="s">
        <v>665</v>
      </c>
      <c r="H922" s="595">
        <v>-1.53</v>
      </c>
      <c r="I922" t="str">
        <f t="shared" si="38"/>
        <v>janeiro 2026</v>
      </c>
      <c r="J922">
        <f t="shared" si="37"/>
        <v>2026</v>
      </c>
      <c r="K922" t="str">
        <f>VLOOKUP(G922,METRICS!C:D,2,0)</f>
        <v>Taxas Financeiras Diversas</v>
      </c>
      <c r="L922" t="str">
        <f>VLOOKUP(K922,METRICS!D:E,2,0)</f>
        <v>TAXAS CARTÃO DE CRÉDITO</v>
      </c>
    </row>
    <row r="923" spans="1:12" ht="15" hidden="1">
      <c r="A923" t="s">
        <v>1028</v>
      </c>
      <c r="B923" t="s">
        <v>689</v>
      </c>
      <c r="C923" t="s">
        <v>690</v>
      </c>
      <c r="D923" t="s">
        <v>743</v>
      </c>
      <c r="E923" t="s">
        <v>734</v>
      </c>
      <c r="F923" t="s">
        <v>1272</v>
      </c>
      <c r="G923" t="s">
        <v>665</v>
      </c>
      <c r="H923" s="595">
        <v>-3.78</v>
      </c>
      <c r="I923" t="str">
        <f t="shared" si="38"/>
        <v>janeiro 2026</v>
      </c>
      <c r="J923">
        <f t="shared" si="37"/>
        <v>2026</v>
      </c>
      <c r="K923" t="str">
        <f>VLOOKUP(G923,METRICS!C:D,2,0)</f>
        <v>Taxas Financeiras Diversas</v>
      </c>
      <c r="L923" t="str">
        <f>VLOOKUP(K923,METRICS!D:E,2,0)</f>
        <v>TAXAS CARTÃO DE CRÉDITO</v>
      </c>
    </row>
    <row r="924" spans="1:12" ht="15" hidden="1">
      <c r="A924" t="s">
        <v>1028</v>
      </c>
      <c r="B924" t="s">
        <v>689</v>
      </c>
      <c r="C924" t="s">
        <v>690</v>
      </c>
      <c r="D924" t="s">
        <v>733</v>
      </c>
      <c r="E924" t="s">
        <v>734</v>
      </c>
      <c r="F924" t="s">
        <v>1272</v>
      </c>
      <c r="G924" t="s">
        <v>665</v>
      </c>
      <c r="H924" s="595">
        <v>-0.31</v>
      </c>
      <c r="I924" t="str">
        <f t="shared" si="38"/>
        <v>janeiro 2026</v>
      </c>
      <c r="J924">
        <f t="shared" si="37"/>
        <v>2026</v>
      </c>
      <c r="K924" t="str">
        <f>VLOOKUP(G924,METRICS!C:D,2,0)</f>
        <v>Taxas Financeiras Diversas</v>
      </c>
      <c r="L924" t="str">
        <f>VLOOKUP(K924,METRICS!D:E,2,0)</f>
        <v>TAXAS CARTÃO DE CRÉDITO</v>
      </c>
    </row>
    <row r="925" spans="1:12" ht="15" hidden="1">
      <c r="A925" t="s">
        <v>1028</v>
      </c>
      <c r="B925" t="s">
        <v>689</v>
      </c>
      <c r="C925" t="s">
        <v>690</v>
      </c>
      <c r="D925" t="s">
        <v>743</v>
      </c>
      <c r="E925" t="s">
        <v>734</v>
      </c>
      <c r="F925" t="s">
        <v>1272</v>
      </c>
      <c r="G925" t="s">
        <v>665</v>
      </c>
      <c r="H925" s="595">
        <v>-5.48</v>
      </c>
      <c r="I925" t="str">
        <f t="shared" si="38"/>
        <v>janeiro 2026</v>
      </c>
      <c r="J925">
        <f t="shared" si="37"/>
        <v>2026</v>
      </c>
      <c r="K925" t="str">
        <f>VLOOKUP(G925,METRICS!C:D,2,0)</f>
        <v>Taxas Financeiras Diversas</v>
      </c>
      <c r="L925" t="str">
        <f>VLOOKUP(K925,METRICS!D:E,2,0)</f>
        <v>TAXAS CARTÃO DE CRÉDITO</v>
      </c>
    </row>
    <row r="926" spans="1:12" ht="15" hidden="1">
      <c r="A926" t="s">
        <v>1028</v>
      </c>
      <c r="B926" t="s">
        <v>689</v>
      </c>
      <c r="C926" t="s">
        <v>690</v>
      </c>
      <c r="D926" t="s">
        <v>733</v>
      </c>
      <c r="E926" t="s">
        <v>734</v>
      </c>
      <c r="F926" t="s">
        <v>1272</v>
      </c>
      <c r="G926" t="s">
        <v>665</v>
      </c>
      <c r="H926" s="595">
        <v>-1.05</v>
      </c>
      <c r="I926" t="str">
        <f t="shared" si="38"/>
        <v>janeiro 2026</v>
      </c>
      <c r="J926">
        <f t="shared" si="37"/>
        <v>2026</v>
      </c>
      <c r="K926" t="str">
        <f>VLOOKUP(G926,METRICS!C:D,2,0)</f>
        <v>Taxas Financeiras Diversas</v>
      </c>
      <c r="L926" t="str">
        <f>VLOOKUP(K926,METRICS!D:E,2,0)</f>
        <v>TAXAS CARTÃO DE CRÉDITO</v>
      </c>
    </row>
    <row r="927" spans="1:12" ht="15" hidden="1">
      <c r="A927" t="s">
        <v>1028</v>
      </c>
      <c r="B927" t="s">
        <v>689</v>
      </c>
      <c r="C927" t="s">
        <v>690</v>
      </c>
      <c r="D927" t="s">
        <v>743</v>
      </c>
      <c r="E927" t="s">
        <v>734</v>
      </c>
      <c r="F927" t="s">
        <v>1272</v>
      </c>
      <c r="G927" t="s">
        <v>665</v>
      </c>
      <c r="H927" s="595">
        <v>-7.22</v>
      </c>
      <c r="I927" t="str">
        <f t="shared" si="38"/>
        <v>janeiro 2026</v>
      </c>
      <c r="J927">
        <f t="shared" si="37"/>
        <v>2026</v>
      </c>
      <c r="K927" t="str">
        <f>VLOOKUP(G927,METRICS!C:D,2,0)</f>
        <v>Taxas Financeiras Diversas</v>
      </c>
      <c r="L927" t="str">
        <f>VLOOKUP(K927,METRICS!D:E,2,0)</f>
        <v>TAXAS CARTÃO DE CRÉDITO</v>
      </c>
    </row>
    <row r="928" spans="1:12" ht="15" hidden="1">
      <c r="A928" t="s">
        <v>1028</v>
      </c>
      <c r="B928" t="s">
        <v>689</v>
      </c>
      <c r="C928" t="s">
        <v>690</v>
      </c>
      <c r="D928" t="s">
        <v>733</v>
      </c>
      <c r="E928" t="s">
        <v>734</v>
      </c>
      <c r="F928" t="s">
        <v>1272</v>
      </c>
      <c r="G928" t="s">
        <v>665</v>
      </c>
      <c r="H928" s="595">
        <v>-5.19</v>
      </c>
      <c r="I928" t="str">
        <f t="shared" si="38"/>
        <v>janeiro 2026</v>
      </c>
      <c r="J928">
        <f t="shared" si="37"/>
        <v>2026</v>
      </c>
      <c r="K928" t="str">
        <f>VLOOKUP(G928,METRICS!C:D,2,0)</f>
        <v>Taxas Financeiras Diversas</v>
      </c>
      <c r="L928" t="str">
        <f>VLOOKUP(K928,METRICS!D:E,2,0)</f>
        <v>TAXAS CARTÃO DE CRÉDITO</v>
      </c>
    </row>
    <row r="929" spans="1:12" ht="15" hidden="1">
      <c r="A929" t="s">
        <v>1028</v>
      </c>
      <c r="B929" t="s">
        <v>689</v>
      </c>
      <c r="C929" t="s">
        <v>690</v>
      </c>
      <c r="D929" t="s">
        <v>733</v>
      </c>
      <c r="E929" t="s">
        <v>734</v>
      </c>
      <c r="F929" t="s">
        <v>1272</v>
      </c>
      <c r="G929" t="s">
        <v>665</v>
      </c>
      <c r="H929" s="595">
        <v>-1.97</v>
      </c>
      <c r="I929" t="str">
        <f t="shared" si="38"/>
        <v>janeiro 2026</v>
      </c>
      <c r="J929">
        <f t="shared" si="37"/>
        <v>2026</v>
      </c>
      <c r="K929" t="str">
        <f>VLOOKUP(G929,METRICS!C:D,2,0)</f>
        <v>Taxas Financeiras Diversas</v>
      </c>
      <c r="L929" t="str">
        <f>VLOOKUP(K929,METRICS!D:E,2,0)</f>
        <v>TAXAS CARTÃO DE CRÉDITO</v>
      </c>
    </row>
    <row r="930" spans="1:12" ht="15" hidden="1">
      <c r="A930" t="s">
        <v>1028</v>
      </c>
      <c r="B930" t="s">
        <v>689</v>
      </c>
      <c r="C930" t="s">
        <v>690</v>
      </c>
      <c r="D930" t="s">
        <v>733</v>
      </c>
      <c r="E930" t="s">
        <v>734</v>
      </c>
      <c r="F930" t="s">
        <v>1272</v>
      </c>
      <c r="G930" t="s">
        <v>665</v>
      </c>
      <c r="H930" s="595">
        <v>-6.64</v>
      </c>
      <c r="I930" t="str">
        <f t="shared" si="38"/>
        <v>janeiro 2026</v>
      </c>
      <c r="J930">
        <f t="shared" si="37"/>
        <v>2026</v>
      </c>
      <c r="K930" t="str">
        <f>VLOOKUP(G930,METRICS!C:D,2,0)</f>
        <v>Taxas Financeiras Diversas</v>
      </c>
      <c r="L930" t="str">
        <f>VLOOKUP(K930,METRICS!D:E,2,0)</f>
        <v>TAXAS CARTÃO DE CRÉDITO</v>
      </c>
    </row>
    <row r="931" spans="1:12" ht="15" hidden="1">
      <c r="A931" t="s">
        <v>1028</v>
      </c>
      <c r="B931" t="s">
        <v>689</v>
      </c>
      <c r="C931" t="s">
        <v>690</v>
      </c>
      <c r="D931" t="s">
        <v>733</v>
      </c>
      <c r="E931" t="s">
        <v>734</v>
      </c>
      <c r="F931" t="s">
        <v>1272</v>
      </c>
      <c r="G931" t="s">
        <v>665</v>
      </c>
      <c r="H931" s="595">
        <v>-1.43</v>
      </c>
      <c r="I931" t="str">
        <f t="shared" si="38"/>
        <v>janeiro 2026</v>
      </c>
      <c r="J931">
        <f t="shared" si="37"/>
        <v>2026</v>
      </c>
      <c r="K931" t="str">
        <f>VLOOKUP(G931,METRICS!C:D,2,0)</f>
        <v>Taxas Financeiras Diversas</v>
      </c>
      <c r="L931" t="str">
        <f>VLOOKUP(K931,METRICS!D:E,2,0)</f>
        <v>TAXAS CARTÃO DE CRÉDITO</v>
      </c>
    </row>
    <row r="932" spans="1:12" ht="15" hidden="1">
      <c r="A932" t="s">
        <v>1028</v>
      </c>
      <c r="B932" t="s">
        <v>689</v>
      </c>
      <c r="C932" t="s">
        <v>690</v>
      </c>
      <c r="D932" t="s">
        <v>743</v>
      </c>
      <c r="E932" t="s">
        <v>734</v>
      </c>
      <c r="F932" t="s">
        <v>1272</v>
      </c>
      <c r="G932" t="s">
        <v>665</v>
      </c>
      <c r="H932" s="595">
        <v>-3.77</v>
      </c>
      <c r="I932" t="str">
        <f t="shared" si="38"/>
        <v>janeiro 2026</v>
      </c>
      <c r="J932">
        <f t="shared" si="37"/>
        <v>2026</v>
      </c>
      <c r="K932" t="str">
        <f>VLOOKUP(G932,METRICS!C:D,2,0)</f>
        <v>Taxas Financeiras Diversas</v>
      </c>
      <c r="L932" t="str">
        <f>VLOOKUP(K932,METRICS!D:E,2,0)</f>
        <v>TAXAS CARTÃO DE CRÉDITO</v>
      </c>
    </row>
    <row r="933" spans="1:12" ht="15" hidden="1">
      <c r="A933" t="s">
        <v>1028</v>
      </c>
      <c r="B933" t="s">
        <v>689</v>
      </c>
      <c r="C933" t="s">
        <v>690</v>
      </c>
      <c r="D933" t="s">
        <v>733</v>
      </c>
      <c r="E933" t="s">
        <v>734</v>
      </c>
      <c r="F933" t="s">
        <v>1272</v>
      </c>
      <c r="G933" t="s">
        <v>665</v>
      </c>
      <c r="H933" s="595">
        <v>-12.38</v>
      </c>
      <c r="I933" t="str">
        <f t="shared" si="38"/>
        <v>janeiro 2026</v>
      </c>
      <c r="J933">
        <f t="shared" si="37"/>
        <v>2026</v>
      </c>
      <c r="K933" t="str">
        <f>VLOOKUP(G933,METRICS!C:D,2,0)</f>
        <v>Taxas Financeiras Diversas</v>
      </c>
      <c r="L933" t="str">
        <f>VLOOKUP(K933,METRICS!D:E,2,0)</f>
        <v>TAXAS CARTÃO DE CRÉDITO</v>
      </c>
    </row>
    <row r="934" spans="1:12" ht="15" hidden="1">
      <c r="A934" t="s">
        <v>1028</v>
      </c>
      <c r="B934" t="s">
        <v>689</v>
      </c>
      <c r="C934" t="s">
        <v>690</v>
      </c>
      <c r="D934" t="s">
        <v>733</v>
      </c>
      <c r="E934" t="s">
        <v>734</v>
      </c>
      <c r="F934" t="s">
        <v>1272</v>
      </c>
      <c r="G934" t="s">
        <v>665</v>
      </c>
      <c r="H934" s="595">
        <v>-5.95</v>
      </c>
      <c r="I934" t="str">
        <f t="shared" si="38"/>
        <v>janeiro 2026</v>
      </c>
      <c r="J934">
        <f t="shared" si="37"/>
        <v>2026</v>
      </c>
      <c r="K934" t="str">
        <f>VLOOKUP(G934,METRICS!C:D,2,0)</f>
        <v>Taxas Financeiras Diversas</v>
      </c>
      <c r="L934" t="str">
        <f>VLOOKUP(K934,METRICS!D:E,2,0)</f>
        <v>TAXAS CARTÃO DE CRÉDITO</v>
      </c>
    </row>
    <row r="935" spans="1:12" ht="15" hidden="1">
      <c r="A935" t="s">
        <v>1028</v>
      </c>
      <c r="B935" t="s">
        <v>689</v>
      </c>
      <c r="C935" t="s">
        <v>690</v>
      </c>
      <c r="D935" t="s">
        <v>743</v>
      </c>
      <c r="E935" t="s">
        <v>734</v>
      </c>
      <c r="F935" t="s">
        <v>1272</v>
      </c>
      <c r="G935" t="s">
        <v>665</v>
      </c>
      <c r="H935" s="595">
        <v>-4.16</v>
      </c>
      <c r="I935" t="str">
        <f t="shared" si="38"/>
        <v>janeiro 2026</v>
      </c>
      <c r="J935">
        <f t="shared" si="37"/>
        <v>2026</v>
      </c>
      <c r="K935" t="str">
        <f>VLOOKUP(G935,METRICS!C:D,2,0)</f>
        <v>Taxas Financeiras Diversas</v>
      </c>
      <c r="L935" t="str">
        <f>VLOOKUP(K935,METRICS!D:E,2,0)</f>
        <v>TAXAS CARTÃO DE CRÉDITO</v>
      </c>
    </row>
    <row r="936" spans="1:12" ht="15" hidden="1">
      <c r="A936" t="s">
        <v>1028</v>
      </c>
      <c r="B936" t="s">
        <v>689</v>
      </c>
      <c r="C936" t="s">
        <v>690</v>
      </c>
      <c r="D936" t="s">
        <v>743</v>
      </c>
      <c r="E936" t="s">
        <v>734</v>
      </c>
      <c r="F936" t="s">
        <v>1272</v>
      </c>
      <c r="G936" t="s">
        <v>665</v>
      </c>
      <c r="H936" s="595">
        <v>-2.56</v>
      </c>
      <c r="I936" t="str">
        <f t="shared" si="38"/>
        <v>janeiro 2026</v>
      </c>
      <c r="J936">
        <f t="shared" si="37"/>
        <v>2026</v>
      </c>
      <c r="K936" t="str">
        <f>VLOOKUP(G936,METRICS!C:D,2,0)</f>
        <v>Taxas Financeiras Diversas</v>
      </c>
      <c r="L936" t="str">
        <f>VLOOKUP(K936,METRICS!D:E,2,0)</f>
        <v>TAXAS CARTÃO DE CRÉDITO</v>
      </c>
    </row>
    <row r="937" spans="1:12" ht="15" hidden="1">
      <c r="A937" t="s">
        <v>1028</v>
      </c>
      <c r="B937" t="s">
        <v>689</v>
      </c>
      <c r="C937" t="s">
        <v>690</v>
      </c>
      <c r="D937" t="s">
        <v>743</v>
      </c>
      <c r="E937" t="s">
        <v>734</v>
      </c>
      <c r="F937" t="s">
        <v>1272</v>
      </c>
      <c r="G937" t="s">
        <v>665</v>
      </c>
      <c r="H937" s="595">
        <v>-5.38</v>
      </c>
      <c r="I937" t="str">
        <f t="shared" si="38"/>
        <v>janeiro 2026</v>
      </c>
      <c r="J937">
        <f t="shared" si="37"/>
        <v>2026</v>
      </c>
      <c r="K937" t="str">
        <f>VLOOKUP(G937,METRICS!C:D,2,0)</f>
        <v>Taxas Financeiras Diversas</v>
      </c>
      <c r="L937" t="str">
        <f>VLOOKUP(K937,METRICS!D:E,2,0)</f>
        <v>TAXAS CARTÃO DE CRÉDITO</v>
      </c>
    </row>
    <row r="938" spans="1:12" ht="15" hidden="1">
      <c r="A938" t="s">
        <v>1028</v>
      </c>
      <c r="B938" t="s">
        <v>689</v>
      </c>
      <c r="C938" t="s">
        <v>690</v>
      </c>
      <c r="D938" t="s">
        <v>733</v>
      </c>
      <c r="E938" t="s">
        <v>734</v>
      </c>
      <c r="F938" t="s">
        <v>1272</v>
      </c>
      <c r="G938" t="s">
        <v>665</v>
      </c>
      <c r="H938" s="595">
        <v>-17.16</v>
      </c>
      <c r="I938" t="str">
        <f t="shared" si="38"/>
        <v>janeiro 2026</v>
      </c>
      <c r="J938">
        <f t="shared" si="37"/>
        <v>2026</v>
      </c>
      <c r="K938" t="str">
        <f>VLOOKUP(G938,METRICS!C:D,2,0)</f>
        <v>Taxas Financeiras Diversas</v>
      </c>
      <c r="L938" t="str">
        <f>VLOOKUP(K938,METRICS!D:E,2,0)</f>
        <v>TAXAS CARTÃO DE CRÉDITO</v>
      </c>
    </row>
    <row r="939" spans="1:12" ht="15" hidden="1">
      <c r="A939" t="s">
        <v>1028</v>
      </c>
      <c r="B939" t="s">
        <v>689</v>
      </c>
      <c r="C939" t="s">
        <v>690</v>
      </c>
      <c r="D939" t="s">
        <v>733</v>
      </c>
      <c r="E939" t="s">
        <v>734</v>
      </c>
      <c r="F939" t="s">
        <v>1272</v>
      </c>
      <c r="G939" t="s">
        <v>665</v>
      </c>
      <c r="H939" s="595">
        <v>-9.0299999999999994</v>
      </c>
      <c r="I939" t="str">
        <f t="shared" si="38"/>
        <v>janeiro 2026</v>
      </c>
      <c r="J939">
        <f t="shared" si="37"/>
        <v>2026</v>
      </c>
      <c r="K939" t="str">
        <f>VLOOKUP(G939,METRICS!C:D,2,0)</f>
        <v>Taxas Financeiras Diversas</v>
      </c>
      <c r="L939" t="str">
        <f>VLOOKUP(K939,METRICS!D:E,2,0)</f>
        <v>TAXAS CARTÃO DE CRÉDITO</v>
      </c>
    </row>
    <row r="940" spans="1:12" ht="15" hidden="1">
      <c r="A940" t="s">
        <v>1028</v>
      </c>
      <c r="B940" t="s">
        <v>689</v>
      </c>
      <c r="C940" t="s">
        <v>690</v>
      </c>
      <c r="D940" t="s">
        <v>743</v>
      </c>
      <c r="E940" t="s">
        <v>734</v>
      </c>
      <c r="F940" t="s">
        <v>1272</v>
      </c>
      <c r="G940" t="s">
        <v>665</v>
      </c>
      <c r="H940" s="595">
        <v>-10.97</v>
      </c>
      <c r="I940" t="str">
        <f t="shared" si="38"/>
        <v>janeiro 2026</v>
      </c>
      <c r="J940">
        <f t="shared" si="37"/>
        <v>2026</v>
      </c>
      <c r="K940" t="str">
        <f>VLOOKUP(G940,METRICS!C:D,2,0)</f>
        <v>Taxas Financeiras Diversas</v>
      </c>
      <c r="L940" t="str">
        <f>VLOOKUP(K940,METRICS!D:E,2,0)</f>
        <v>TAXAS CARTÃO DE CRÉDITO</v>
      </c>
    </row>
    <row r="941" spans="1:12" ht="15" hidden="1">
      <c r="A941" t="s">
        <v>1028</v>
      </c>
      <c r="B941" t="s">
        <v>689</v>
      </c>
      <c r="C941" t="s">
        <v>690</v>
      </c>
      <c r="D941" t="s">
        <v>733</v>
      </c>
      <c r="E941" t="s">
        <v>734</v>
      </c>
      <c r="F941" t="s">
        <v>1272</v>
      </c>
      <c r="G941" t="s">
        <v>665</v>
      </c>
      <c r="H941" s="595">
        <v>-2.86</v>
      </c>
      <c r="I941" t="str">
        <f t="shared" si="38"/>
        <v>janeiro 2026</v>
      </c>
      <c r="J941">
        <f t="shared" si="37"/>
        <v>2026</v>
      </c>
      <c r="K941" t="str">
        <f>VLOOKUP(G941,METRICS!C:D,2,0)</f>
        <v>Taxas Financeiras Diversas</v>
      </c>
      <c r="L941" t="str">
        <f>VLOOKUP(K941,METRICS!D:E,2,0)</f>
        <v>TAXAS CARTÃO DE CRÉDITO</v>
      </c>
    </row>
    <row r="942" spans="1:12" ht="15" hidden="1">
      <c r="A942" t="s">
        <v>1028</v>
      </c>
      <c r="B942" t="s">
        <v>689</v>
      </c>
      <c r="C942" t="s">
        <v>690</v>
      </c>
      <c r="D942" t="s">
        <v>733</v>
      </c>
      <c r="E942" t="s">
        <v>734</v>
      </c>
      <c r="F942" t="s">
        <v>1272</v>
      </c>
      <c r="G942" t="s">
        <v>665</v>
      </c>
      <c r="H942" s="595">
        <v>-11.41</v>
      </c>
      <c r="I942" t="str">
        <f t="shared" si="38"/>
        <v>janeiro 2026</v>
      </c>
      <c r="J942">
        <f t="shared" si="37"/>
        <v>2026</v>
      </c>
      <c r="K942" t="str">
        <f>VLOOKUP(G942,METRICS!C:D,2,0)</f>
        <v>Taxas Financeiras Diversas</v>
      </c>
      <c r="L942" t="str">
        <f>VLOOKUP(K942,METRICS!D:E,2,0)</f>
        <v>TAXAS CARTÃO DE CRÉDITO</v>
      </c>
    </row>
    <row r="943" spans="1:12" ht="15" hidden="1">
      <c r="A943" t="s">
        <v>1028</v>
      </c>
      <c r="B943" t="s">
        <v>689</v>
      </c>
      <c r="C943" t="s">
        <v>690</v>
      </c>
      <c r="D943" t="s">
        <v>743</v>
      </c>
      <c r="E943" t="s">
        <v>734</v>
      </c>
      <c r="F943" t="s">
        <v>1272</v>
      </c>
      <c r="G943" t="s">
        <v>665</v>
      </c>
      <c r="H943" s="595">
        <v>-0.15</v>
      </c>
      <c r="I943" t="str">
        <f t="shared" si="38"/>
        <v>janeiro 2026</v>
      </c>
      <c r="J943">
        <f t="shared" si="37"/>
        <v>2026</v>
      </c>
      <c r="K943" t="str">
        <f>VLOOKUP(G943,METRICS!C:D,2,0)</f>
        <v>Taxas Financeiras Diversas</v>
      </c>
      <c r="L943" t="str">
        <f>VLOOKUP(K943,METRICS!D:E,2,0)</f>
        <v>TAXAS CARTÃO DE CRÉDITO</v>
      </c>
    </row>
    <row r="944" spans="1:12" ht="15" hidden="1">
      <c r="A944" t="s">
        <v>1028</v>
      </c>
      <c r="B944" t="s">
        <v>689</v>
      </c>
      <c r="C944" t="s">
        <v>690</v>
      </c>
      <c r="D944" t="s">
        <v>733</v>
      </c>
      <c r="E944" t="s">
        <v>734</v>
      </c>
      <c r="F944" t="s">
        <v>1272</v>
      </c>
      <c r="G944" t="s">
        <v>665</v>
      </c>
      <c r="H944" s="595">
        <v>-9.39</v>
      </c>
      <c r="I944" t="str">
        <f t="shared" si="38"/>
        <v>janeiro 2026</v>
      </c>
      <c r="J944">
        <f t="shared" si="37"/>
        <v>2026</v>
      </c>
      <c r="K944" t="str">
        <f>VLOOKUP(G944,METRICS!C:D,2,0)</f>
        <v>Taxas Financeiras Diversas</v>
      </c>
      <c r="L944" t="str">
        <f>VLOOKUP(K944,METRICS!D:E,2,0)</f>
        <v>TAXAS CARTÃO DE CRÉDITO</v>
      </c>
    </row>
    <row r="945" spans="1:12" ht="15" hidden="1">
      <c r="A945" t="s">
        <v>1028</v>
      </c>
      <c r="B945" t="s">
        <v>689</v>
      </c>
      <c r="C945" t="s">
        <v>690</v>
      </c>
      <c r="D945" t="s">
        <v>743</v>
      </c>
      <c r="E945" t="s">
        <v>734</v>
      </c>
      <c r="F945" t="s">
        <v>1272</v>
      </c>
      <c r="G945" t="s">
        <v>665</v>
      </c>
      <c r="H945" s="595">
        <v>-2.97</v>
      </c>
      <c r="I945" t="str">
        <f t="shared" si="38"/>
        <v>janeiro 2026</v>
      </c>
      <c r="J945">
        <f t="shared" si="37"/>
        <v>2026</v>
      </c>
      <c r="K945" t="str">
        <f>VLOOKUP(G945,METRICS!C:D,2,0)</f>
        <v>Taxas Financeiras Diversas</v>
      </c>
      <c r="L945" t="str">
        <f>VLOOKUP(K945,METRICS!D:E,2,0)</f>
        <v>TAXAS CARTÃO DE CRÉDITO</v>
      </c>
    </row>
    <row r="946" spans="1:12" ht="15" hidden="1">
      <c r="A946" t="s">
        <v>1028</v>
      </c>
      <c r="B946" t="s">
        <v>689</v>
      </c>
      <c r="C946" t="s">
        <v>690</v>
      </c>
      <c r="D946" t="s">
        <v>743</v>
      </c>
      <c r="E946" t="s">
        <v>734</v>
      </c>
      <c r="F946" t="s">
        <v>1272</v>
      </c>
      <c r="G946" t="s">
        <v>665</v>
      </c>
      <c r="H946" s="595">
        <v>-9.1300000000000008</v>
      </c>
      <c r="I946" t="str">
        <f t="shared" si="38"/>
        <v>janeiro 2026</v>
      </c>
      <c r="J946">
        <f t="shared" si="37"/>
        <v>2026</v>
      </c>
      <c r="K946" t="str">
        <f>VLOOKUP(G946,METRICS!C:D,2,0)</f>
        <v>Taxas Financeiras Diversas</v>
      </c>
      <c r="L946" t="str">
        <f>VLOOKUP(K946,METRICS!D:E,2,0)</f>
        <v>TAXAS CARTÃO DE CRÉDITO</v>
      </c>
    </row>
    <row r="947" spans="1:12" ht="15" hidden="1">
      <c r="A947" t="s">
        <v>1028</v>
      </c>
      <c r="B947" t="s">
        <v>689</v>
      </c>
      <c r="C947" t="s">
        <v>690</v>
      </c>
      <c r="D947" t="s">
        <v>733</v>
      </c>
      <c r="E947" t="s">
        <v>734</v>
      </c>
      <c r="F947" t="s">
        <v>1272</v>
      </c>
      <c r="G947" t="s">
        <v>665</v>
      </c>
      <c r="H947" s="595">
        <v>-6.25</v>
      </c>
      <c r="I947" t="str">
        <f t="shared" si="38"/>
        <v>janeiro 2026</v>
      </c>
      <c r="J947">
        <f t="shared" si="37"/>
        <v>2026</v>
      </c>
      <c r="K947" t="str">
        <f>VLOOKUP(G947,METRICS!C:D,2,0)</f>
        <v>Taxas Financeiras Diversas</v>
      </c>
      <c r="L947" t="str">
        <f>VLOOKUP(K947,METRICS!D:E,2,0)</f>
        <v>TAXAS CARTÃO DE CRÉDITO</v>
      </c>
    </row>
    <row r="948" spans="1:12" ht="15" hidden="1">
      <c r="A948" t="s">
        <v>1028</v>
      </c>
      <c r="B948" t="s">
        <v>689</v>
      </c>
      <c r="C948" t="s">
        <v>690</v>
      </c>
      <c r="D948" t="s">
        <v>733</v>
      </c>
      <c r="E948" t="s">
        <v>734</v>
      </c>
      <c r="F948" t="s">
        <v>1272</v>
      </c>
      <c r="G948" t="s">
        <v>665</v>
      </c>
      <c r="H948" s="595">
        <v>-2.36</v>
      </c>
      <c r="I948" t="str">
        <f t="shared" si="38"/>
        <v>janeiro 2026</v>
      </c>
      <c r="J948">
        <f t="shared" si="37"/>
        <v>2026</v>
      </c>
      <c r="K948" t="str">
        <f>VLOOKUP(G948,METRICS!C:D,2,0)</f>
        <v>Taxas Financeiras Diversas</v>
      </c>
      <c r="L948" t="str">
        <f>VLOOKUP(K948,METRICS!D:E,2,0)</f>
        <v>TAXAS CARTÃO DE CRÉDITO</v>
      </c>
    </row>
    <row r="949" spans="1:12" ht="15" hidden="1">
      <c r="A949" t="s">
        <v>1028</v>
      </c>
      <c r="B949" t="s">
        <v>689</v>
      </c>
      <c r="C949" t="s">
        <v>690</v>
      </c>
      <c r="D949" t="s">
        <v>743</v>
      </c>
      <c r="E949" t="s">
        <v>734</v>
      </c>
      <c r="F949" t="s">
        <v>1272</v>
      </c>
      <c r="G949" t="s">
        <v>665</v>
      </c>
      <c r="H949" s="595">
        <v>-3.17</v>
      </c>
      <c r="I949" t="str">
        <f t="shared" si="38"/>
        <v>janeiro 2026</v>
      </c>
      <c r="J949">
        <f t="shared" si="37"/>
        <v>2026</v>
      </c>
      <c r="K949" t="str">
        <f>VLOOKUP(G949,METRICS!C:D,2,0)</f>
        <v>Taxas Financeiras Diversas</v>
      </c>
      <c r="L949" t="str">
        <f>VLOOKUP(K949,METRICS!D:E,2,0)</f>
        <v>TAXAS CARTÃO DE CRÉDITO</v>
      </c>
    </row>
    <row r="950" spans="1:12" ht="15" hidden="1">
      <c r="A950" t="s">
        <v>1028</v>
      </c>
      <c r="B950" t="s">
        <v>689</v>
      </c>
      <c r="C950" t="s">
        <v>690</v>
      </c>
      <c r="D950" t="s">
        <v>733</v>
      </c>
      <c r="E950" t="s">
        <v>734</v>
      </c>
      <c r="F950" t="s">
        <v>1272</v>
      </c>
      <c r="G950" t="s">
        <v>665</v>
      </c>
      <c r="H950" s="595">
        <v>-3.53</v>
      </c>
      <c r="I950" t="str">
        <f t="shared" si="38"/>
        <v>janeiro 2026</v>
      </c>
      <c r="J950">
        <f t="shared" ref="J950:J1013" si="39">YEAR(A950)</f>
        <v>2026</v>
      </c>
      <c r="K950" t="str">
        <f>VLOOKUP(G950,METRICS!C:D,2,0)</f>
        <v>Taxas Financeiras Diversas</v>
      </c>
      <c r="L950" t="str">
        <f>VLOOKUP(K950,METRICS!D:E,2,0)</f>
        <v>TAXAS CARTÃO DE CRÉDITO</v>
      </c>
    </row>
    <row r="951" spans="1:12" ht="15" hidden="1">
      <c r="A951" t="s">
        <v>1028</v>
      </c>
      <c r="B951" t="s">
        <v>689</v>
      </c>
      <c r="C951" t="s">
        <v>690</v>
      </c>
      <c r="D951" t="s">
        <v>733</v>
      </c>
      <c r="E951" t="s">
        <v>734</v>
      </c>
      <c r="F951" t="s">
        <v>1272</v>
      </c>
      <c r="G951" t="s">
        <v>665</v>
      </c>
      <c r="H951" s="595">
        <v>-0.57999999999999996</v>
      </c>
      <c r="I951" t="str">
        <f t="shared" si="38"/>
        <v>janeiro 2026</v>
      </c>
      <c r="J951">
        <f t="shared" si="39"/>
        <v>2026</v>
      </c>
      <c r="K951" t="str">
        <f>VLOOKUP(G951,METRICS!C:D,2,0)</f>
        <v>Taxas Financeiras Diversas</v>
      </c>
      <c r="L951" t="str">
        <f>VLOOKUP(K951,METRICS!D:E,2,0)</f>
        <v>TAXAS CARTÃO DE CRÉDITO</v>
      </c>
    </row>
    <row r="952" spans="1:12" ht="15" hidden="1">
      <c r="A952" t="s">
        <v>1028</v>
      </c>
      <c r="B952" t="s">
        <v>689</v>
      </c>
      <c r="C952" t="s">
        <v>690</v>
      </c>
      <c r="D952" t="s">
        <v>743</v>
      </c>
      <c r="E952" t="s">
        <v>734</v>
      </c>
      <c r="F952" t="s">
        <v>1272</v>
      </c>
      <c r="G952" t="s">
        <v>665</v>
      </c>
      <c r="H952" s="595">
        <v>-8.58</v>
      </c>
      <c r="I952" t="str">
        <f t="shared" si="38"/>
        <v>janeiro 2026</v>
      </c>
      <c r="J952">
        <f t="shared" si="39"/>
        <v>2026</v>
      </c>
      <c r="K952" t="str">
        <f>VLOOKUP(G952,METRICS!C:D,2,0)</f>
        <v>Taxas Financeiras Diversas</v>
      </c>
      <c r="L952" t="str">
        <f>VLOOKUP(K952,METRICS!D:E,2,0)</f>
        <v>TAXAS CARTÃO DE CRÉDITO</v>
      </c>
    </row>
    <row r="953" spans="1:12" ht="15" hidden="1">
      <c r="A953" t="s">
        <v>1028</v>
      </c>
      <c r="B953" t="s">
        <v>689</v>
      </c>
      <c r="C953" t="s">
        <v>690</v>
      </c>
      <c r="D953" t="s">
        <v>753</v>
      </c>
      <c r="E953" t="s">
        <v>734</v>
      </c>
      <c r="F953" t="s">
        <v>1272</v>
      </c>
      <c r="G953" t="s">
        <v>665</v>
      </c>
      <c r="H953" s="595">
        <v>-24</v>
      </c>
      <c r="I953" t="str">
        <f t="shared" si="38"/>
        <v>janeiro 2026</v>
      </c>
      <c r="J953">
        <f t="shared" si="39"/>
        <v>2026</v>
      </c>
      <c r="K953" t="str">
        <f>VLOOKUP(G953,METRICS!C:D,2,0)</f>
        <v>Taxas Financeiras Diversas</v>
      </c>
      <c r="L953" t="str">
        <f>VLOOKUP(K953,METRICS!D:E,2,0)</f>
        <v>TAXAS CARTÃO DE CRÉDITO</v>
      </c>
    </row>
    <row r="954" spans="1:12" ht="15" hidden="1">
      <c r="A954" t="s">
        <v>1028</v>
      </c>
      <c r="B954" t="s">
        <v>689</v>
      </c>
      <c r="C954" t="s">
        <v>690</v>
      </c>
      <c r="D954" t="s">
        <v>743</v>
      </c>
      <c r="E954" t="s">
        <v>734</v>
      </c>
      <c r="F954" t="s">
        <v>1272</v>
      </c>
      <c r="G954" t="s">
        <v>665</v>
      </c>
      <c r="H954" s="595">
        <v>-2.61</v>
      </c>
      <c r="I954" t="str">
        <f t="shared" ref="I954:I991" si="40">TEXT(A954, "mmmm aaaa")</f>
        <v>janeiro 2026</v>
      </c>
      <c r="J954">
        <f t="shared" si="39"/>
        <v>2026</v>
      </c>
      <c r="K954" t="str">
        <f>VLOOKUP(G954,METRICS!C:D,2,0)</f>
        <v>Taxas Financeiras Diversas</v>
      </c>
      <c r="L954" t="str">
        <f>VLOOKUP(K954,METRICS!D:E,2,0)</f>
        <v>TAXAS CARTÃO DE CRÉDITO</v>
      </c>
    </row>
    <row r="955" spans="1:12" ht="15" hidden="1">
      <c r="A955" t="s">
        <v>1028</v>
      </c>
      <c r="B955" t="s">
        <v>689</v>
      </c>
      <c r="C955" t="s">
        <v>690</v>
      </c>
      <c r="D955" t="s">
        <v>733</v>
      </c>
      <c r="E955" t="s">
        <v>734</v>
      </c>
      <c r="F955" t="s">
        <v>1272</v>
      </c>
      <c r="G955" t="s">
        <v>665</v>
      </c>
      <c r="H955" s="595">
        <v>-5.68</v>
      </c>
      <c r="I955" t="str">
        <f t="shared" si="40"/>
        <v>janeiro 2026</v>
      </c>
      <c r="J955">
        <f t="shared" si="39"/>
        <v>2026</v>
      </c>
      <c r="K955" t="str">
        <f>VLOOKUP(G955,METRICS!C:D,2,0)</f>
        <v>Taxas Financeiras Diversas</v>
      </c>
      <c r="L955" t="str">
        <f>VLOOKUP(K955,METRICS!D:E,2,0)</f>
        <v>TAXAS CARTÃO DE CRÉDITO</v>
      </c>
    </row>
    <row r="956" spans="1:12" ht="15" hidden="1">
      <c r="A956" t="s">
        <v>1028</v>
      </c>
      <c r="B956" t="s">
        <v>689</v>
      </c>
      <c r="C956" t="s">
        <v>690</v>
      </c>
      <c r="D956" t="s">
        <v>743</v>
      </c>
      <c r="E956" t="s">
        <v>734</v>
      </c>
      <c r="F956" t="s">
        <v>1272</v>
      </c>
      <c r="G956" t="s">
        <v>665</v>
      </c>
      <c r="H956" s="595">
        <v>-1.1599999999999999</v>
      </c>
      <c r="I956" t="str">
        <f t="shared" si="40"/>
        <v>janeiro 2026</v>
      </c>
      <c r="J956">
        <f t="shared" si="39"/>
        <v>2026</v>
      </c>
      <c r="K956" t="str">
        <f>VLOOKUP(G956,METRICS!C:D,2,0)</f>
        <v>Taxas Financeiras Diversas</v>
      </c>
      <c r="L956" t="str">
        <f>VLOOKUP(K956,METRICS!D:E,2,0)</f>
        <v>TAXAS CARTÃO DE CRÉDITO</v>
      </c>
    </row>
    <row r="957" spans="1:12" ht="15" hidden="1">
      <c r="A957" t="s">
        <v>1028</v>
      </c>
      <c r="B957" t="s">
        <v>689</v>
      </c>
      <c r="C957" t="s">
        <v>690</v>
      </c>
      <c r="D957" t="s">
        <v>1029</v>
      </c>
      <c r="E957" s="155" t="s">
        <v>544</v>
      </c>
      <c r="F957" t="s">
        <v>1272</v>
      </c>
      <c r="G957" t="s">
        <v>664</v>
      </c>
      <c r="H957" s="595">
        <v>-393.94</v>
      </c>
      <c r="I957" t="str">
        <f t="shared" si="40"/>
        <v>janeiro 2026</v>
      </c>
      <c r="J957">
        <f t="shared" si="39"/>
        <v>2026</v>
      </c>
      <c r="K957" t="str">
        <f>VLOOKUP(G957,METRICS!C:D,2,0)</f>
        <v>Colaborador Extra</v>
      </c>
      <c r="L957" t="str">
        <f>VLOOKUP(K957,METRICS!D:E,2,0)</f>
        <v>PESSOAL</v>
      </c>
    </row>
    <row r="958" spans="1:12" ht="15" hidden="1">
      <c r="A958" t="s">
        <v>1028</v>
      </c>
      <c r="B958" t="s">
        <v>689</v>
      </c>
      <c r="C958" t="s">
        <v>690</v>
      </c>
      <c r="D958" t="s">
        <v>743</v>
      </c>
      <c r="E958" t="s">
        <v>734</v>
      </c>
      <c r="F958" t="s">
        <v>1272</v>
      </c>
      <c r="G958" t="s">
        <v>665</v>
      </c>
      <c r="H958" s="595">
        <v>-8.52</v>
      </c>
      <c r="I958" t="str">
        <f t="shared" si="40"/>
        <v>janeiro 2026</v>
      </c>
      <c r="J958">
        <f t="shared" si="39"/>
        <v>2026</v>
      </c>
      <c r="K958" t="str">
        <f>VLOOKUP(G958,METRICS!C:D,2,0)</f>
        <v>Taxas Financeiras Diversas</v>
      </c>
      <c r="L958" t="str">
        <f>VLOOKUP(K958,METRICS!D:E,2,0)</f>
        <v>TAXAS CARTÃO DE CRÉDITO</v>
      </c>
    </row>
    <row r="959" spans="1:12" ht="15" hidden="1">
      <c r="A959" t="s">
        <v>1028</v>
      </c>
      <c r="B959" t="s">
        <v>689</v>
      </c>
      <c r="C959" t="s">
        <v>690</v>
      </c>
      <c r="D959" t="s">
        <v>733</v>
      </c>
      <c r="E959" t="s">
        <v>734</v>
      </c>
      <c r="F959" t="s">
        <v>1272</v>
      </c>
      <c r="G959" t="s">
        <v>665</v>
      </c>
      <c r="H959" s="595">
        <v>-1.54</v>
      </c>
      <c r="I959" t="str">
        <f t="shared" si="40"/>
        <v>janeiro 2026</v>
      </c>
      <c r="J959">
        <f t="shared" si="39"/>
        <v>2026</v>
      </c>
      <c r="K959" t="str">
        <f>VLOOKUP(G959,METRICS!C:D,2,0)</f>
        <v>Taxas Financeiras Diversas</v>
      </c>
      <c r="L959" t="str">
        <f>VLOOKUP(K959,METRICS!D:E,2,0)</f>
        <v>TAXAS CARTÃO DE CRÉDITO</v>
      </c>
    </row>
    <row r="960" spans="1:12" ht="15" hidden="1">
      <c r="A960" t="s">
        <v>1028</v>
      </c>
      <c r="B960" t="s">
        <v>689</v>
      </c>
      <c r="C960" t="s">
        <v>690</v>
      </c>
      <c r="D960" t="s">
        <v>733</v>
      </c>
      <c r="E960" t="s">
        <v>734</v>
      </c>
      <c r="F960" t="s">
        <v>1272</v>
      </c>
      <c r="G960" t="s">
        <v>665</v>
      </c>
      <c r="H960" s="595">
        <v>-4.91</v>
      </c>
      <c r="I960" t="str">
        <f t="shared" si="40"/>
        <v>janeiro 2026</v>
      </c>
      <c r="J960">
        <f t="shared" si="39"/>
        <v>2026</v>
      </c>
      <c r="K960" t="str">
        <f>VLOOKUP(G960,METRICS!C:D,2,0)</f>
        <v>Taxas Financeiras Diversas</v>
      </c>
      <c r="L960" t="str">
        <f>VLOOKUP(K960,METRICS!D:E,2,0)</f>
        <v>TAXAS CARTÃO DE CRÉDITO</v>
      </c>
    </row>
    <row r="961" spans="1:12" ht="15" hidden="1">
      <c r="A961" t="s">
        <v>1028</v>
      </c>
      <c r="B961" t="s">
        <v>689</v>
      </c>
      <c r="C961" t="s">
        <v>690</v>
      </c>
      <c r="D961" t="s">
        <v>743</v>
      </c>
      <c r="E961" t="s">
        <v>734</v>
      </c>
      <c r="F961" t="s">
        <v>1272</v>
      </c>
      <c r="G961" t="s">
        <v>665</v>
      </c>
      <c r="H961" s="595">
        <v>-4.53</v>
      </c>
      <c r="I961" t="str">
        <f t="shared" si="40"/>
        <v>janeiro 2026</v>
      </c>
      <c r="J961">
        <f t="shared" si="39"/>
        <v>2026</v>
      </c>
      <c r="K961" t="str">
        <f>VLOOKUP(G961,METRICS!C:D,2,0)</f>
        <v>Taxas Financeiras Diversas</v>
      </c>
      <c r="L961" t="str">
        <f>VLOOKUP(K961,METRICS!D:E,2,0)</f>
        <v>TAXAS CARTÃO DE CRÉDITO</v>
      </c>
    </row>
    <row r="962" spans="1:12" ht="15" hidden="1">
      <c r="A962" t="s">
        <v>1028</v>
      </c>
      <c r="B962" t="s">
        <v>689</v>
      </c>
      <c r="C962" t="s">
        <v>690</v>
      </c>
      <c r="D962" t="s">
        <v>733</v>
      </c>
      <c r="E962" t="s">
        <v>734</v>
      </c>
      <c r="F962" t="s">
        <v>1272</v>
      </c>
      <c r="G962" t="s">
        <v>665</v>
      </c>
      <c r="H962" s="595">
        <v>-7.36</v>
      </c>
      <c r="I962" t="str">
        <f t="shared" si="40"/>
        <v>janeiro 2026</v>
      </c>
      <c r="J962">
        <f t="shared" si="39"/>
        <v>2026</v>
      </c>
      <c r="K962" t="str">
        <f>VLOOKUP(G962,METRICS!C:D,2,0)</f>
        <v>Taxas Financeiras Diversas</v>
      </c>
      <c r="L962" t="str">
        <f>VLOOKUP(K962,METRICS!D:E,2,0)</f>
        <v>TAXAS CARTÃO DE CRÉDITO</v>
      </c>
    </row>
    <row r="963" spans="1:12" ht="15" hidden="1">
      <c r="A963" t="s">
        <v>1028</v>
      </c>
      <c r="B963" t="s">
        <v>689</v>
      </c>
      <c r="C963" t="s">
        <v>690</v>
      </c>
      <c r="D963" t="s">
        <v>743</v>
      </c>
      <c r="E963" t="s">
        <v>734</v>
      </c>
      <c r="F963" t="s">
        <v>1272</v>
      </c>
      <c r="G963" t="s">
        <v>665</v>
      </c>
      <c r="H963" s="595">
        <v>-11.47</v>
      </c>
      <c r="I963" t="str">
        <f t="shared" si="40"/>
        <v>janeiro 2026</v>
      </c>
      <c r="J963">
        <f t="shared" si="39"/>
        <v>2026</v>
      </c>
      <c r="K963" t="str">
        <f>VLOOKUP(G963,METRICS!C:D,2,0)</f>
        <v>Taxas Financeiras Diversas</v>
      </c>
      <c r="L963" t="str">
        <f>VLOOKUP(K963,METRICS!D:E,2,0)</f>
        <v>TAXAS CARTÃO DE CRÉDITO</v>
      </c>
    </row>
    <row r="964" spans="1:12" ht="15" hidden="1">
      <c r="A964" t="s">
        <v>1028</v>
      </c>
      <c r="B964" t="s">
        <v>689</v>
      </c>
      <c r="C964" t="s">
        <v>690</v>
      </c>
      <c r="D964" t="s">
        <v>733</v>
      </c>
      <c r="E964" t="s">
        <v>734</v>
      </c>
      <c r="F964" t="s">
        <v>1272</v>
      </c>
      <c r="G964" t="s">
        <v>665</v>
      </c>
      <c r="H964" s="595">
        <v>-3.03</v>
      </c>
      <c r="I964" t="str">
        <f t="shared" si="40"/>
        <v>janeiro 2026</v>
      </c>
      <c r="J964">
        <f t="shared" si="39"/>
        <v>2026</v>
      </c>
      <c r="K964" t="str">
        <f>VLOOKUP(G964,METRICS!C:D,2,0)</f>
        <v>Taxas Financeiras Diversas</v>
      </c>
      <c r="L964" t="str">
        <f>VLOOKUP(K964,METRICS!D:E,2,0)</f>
        <v>TAXAS CARTÃO DE CRÉDITO</v>
      </c>
    </row>
    <row r="965" spans="1:12" ht="15" hidden="1">
      <c r="A965" t="s">
        <v>1028</v>
      </c>
      <c r="B965" t="s">
        <v>689</v>
      </c>
      <c r="C965" t="s">
        <v>690</v>
      </c>
      <c r="D965" t="s">
        <v>860</v>
      </c>
      <c r="E965" t="s">
        <v>734</v>
      </c>
      <c r="F965" t="s">
        <v>1272</v>
      </c>
      <c r="G965" t="s">
        <v>665</v>
      </c>
      <c r="H965" s="595">
        <v>-2.5</v>
      </c>
      <c r="I965" t="str">
        <f t="shared" si="40"/>
        <v>janeiro 2026</v>
      </c>
      <c r="J965">
        <f t="shared" si="39"/>
        <v>2026</v>
      </c>
      <c r="K965" t="str">
        <f>VLOOKUP(G965,METRICS!C:D,2,0)</f>
        <v>Taxas Financeiras Diversas</v>
      </c>
      <c r="L965" t="str">
        <f>VLOOKUP(K965,METRICS!D:E,2,0)</f>
        <v>TAXAS CARTÃO DE CRÉDITO</v>
      </c>
    </row>
    <row r="966" spans="1:12" ht="15" hidden="1">
      <c r="A966" t="s">
        <v>1028</v>
      </c>
      <c r="B966" t="s">
        <v>689</v>
      </c>
      <c r="C966" t="s">
        <v>690</v>
      </c>
      <c r="D966" t="s">
        <v>733</v>
      </c>
      <c r="E966" t="s">
        <v>734</v>
      </c>
      <c r="F966" t="s">
        <v>1272</v>
      </c>
      <c r="G966" t="s">
        <v>665</v>
      </c>
      <c r="H966" s="595">
        <v>-9.36</v>
      </c>
      <c r="I966" t="str">
        <f t="shared" si="40"/>
        <v>janeiro 2026</v>
      </c>
      <c r="J966">
        <f t="shared" si="39"/>
        <v>2026</v>
      </c>
      <c r="K966" t="str">
        <f>VLOOKUP(G966,METRICS!C:D,2,0)</f>
        <v>Taxas Financeiras Diversas</v>
      </c>
      <c r="L966" t="str">
        <f>VLOOKUP(K966,METRICS!D:E,2,0)</f>
        <v>TAXAS CARTÃO DE CRÉDITO</v>
      </c>
    </row>
    <row r="967" spans="1:12" ht="15" hidden="1">
      <c r="A967" t="s">
        <v>1028</v>
      </c>
      <c r="B967" t="s">
        <v>689</v>
      </c>
      <c r="C967" t="s">
        <v>690</v>
      </c>
      <c r="D967" t="s">
        <v>743</v>
      </c>
      <c r="E967" t="s">
        <v>734</v>
      </c>
      <c r="F967" t="s">
        <v>1272</v>
      </c>
      <c r="G967" t="s">
        <v>665</v>
      </c>
      <c r="H967" s="595">
        <v>-5.3</v>
      </c>
      <c r="I967" t="str">
        <f t="shared" si="40"/>
        <v>janeiro 2026</v>
      </c>
      <c r="J967">
        <f t="shared" si="39"/>
        <v>2026</v>
      </c>
      <c r="K967" t="str">
        <f>VLOOKUP(G967,METRICS!C:D,2,0)</f>
        <v>Taxas Financeiras Diversas</v>
      </c>
      <c r="L967" t="str">
        <f>VLOOKUP(K967,METRICS!D:E,2,0)</f>
        <v>TAXAS CARTÃO DE CRÉDITO</v>
      </c>
    </row>
    <row r="968" spans="1:12" ht="15" hidden="1">
      <c r="A968" t="s">
        <v>1028</v>
      </c>
      <c r="B968" t="s">
        <v>689</v>
      </c>
      <c r="C968" t="s">
        <v>690</v>
      </c>
      <c r="D968" t="s">
        <v>733</v>
      </c>
      <c r="E968" t="s">
        <v>734</v>
      </c>
      <c r="F968" t="s">
        <v>1272</v>
      </c>
      <c r="G968" t="s">
        <v>665</v>
      </c>
      <c r="H968" s="595">
        <v>-7.83</v>
      </c>
      <c r="I968" t="str">
        <f t="shared" si="40"/>
        <v>janeiro 2026</v>
      </c>
      <c r="J968">
        <f t="shared" si="39"/>
        <v>2026</v>
      </c>
      <c r="K968" t="str">
        <f>VLOOKUP(G968,METRICS!C:D,2,0)</f>
        <v>Taxas Financeiras Diversas</v>
      </c>
      <c r="L968" t="str">
        <f>VLOOKUP(K968,METRICS!D:E,2,0)</f>
        <v>TAXAS CARTÃO DE CRÉDITO</v>
      </c>
    </row>
    <row r="969" spans="1:12" ht="15" hidden="1">
      <c r="A969" t="s">
        <v>1028</v>
      </c>
      <c r="B969" t="s">
        <v>689</v>
      </c>
      <c r="C969" t="s">
        <v>690</v>
      </c>
      <c r="D969" t="s">
        <v>733</v>
      </c>
      <c r="E969" t="s">
        <v>734</v>
      </c>
      <c r="F969" t="s">
        <v>1272</v>
      </c>
      <c r="G969" t="s">
        <v>665</v>
      </c>
      <c r="H969" s="595">
        <v>-21.45</v>
      </c>
      <c r="I969" t="str">
        <f t="shared" si="40"/>
        <v>janeiro 2026</v>
      </c>
      <c r="J969">
        <f t="shared" si="39"/>
        <v>2026</v>
      </c>
      <c r="K969" t="str">
        <f>VLOOKUP(G969,METRICS!C:D,2,0)</f>
        <v>Taxas Financeiras Diversas</v>
      </c>
      <c r="L969" t="str">
        <f>VLOOKUP(K969,METRICS!D:E,2,0)</f>
        <v>TAXAS CARTÃO DE CRÉDITO</v>
      </c>
    </row>
    <row r="970" spans="1:12" ht="15" hidden="1">
      <c r="A970" t="s">
        <v>1028</v>
      </c>
      <c r="B970" t="s">
        <v>689</v>
      </c>
      <c r="C970" t="s">
        <v>690</v>
      </c>
      <c r="D970" t="s">
        <v>733</v>
      </c>
      <c r="E970" t="s">
        <v>734</v>
      </c>
      <c r="F970" t="s">
        <v>1272</v>
      </c>
      <c r="G970" t="s">
        <v>665</v>
      </c>
      <c r="H970" s="595">
        <v>-10.31</v>
      </c>
      <c r="I970" t="str">
        <f t="shared" si="40"/>
        <v>janeiro 2026</v>
      </c>
      <c r="J970">
        <f t="shared" si="39"/>
        <v>2026</v>
      </c>
      <c r="K970" t="str">
        <f>VLOOKUP(G970,METRICS!C:D,2,0)</f>
        <v>Taxas Financeiras Diversas</v>
      </c>
      <c r="L970" t="str">
        <f>VLOOKUP(K970,METRICS!D:E,2,0)</f>
        <v>TAXAS CARTÃO DE CRÉDITO</v>
      </c>
    </row>
    <row r="971" spans="1:12" ht="15" hidden="1">
      <c r="A971" t="s">
        <v>1028</v>
      </c>
      <c r="B971" t="s">
        <v>689</v>
      </c>
      <c r="C971" t="s">
        <v>690</v>
      </c>
      <c r="D971" t="s">
        <v>743</v>
      </c>
      <c r="E971" t="s">
        <v>734</v>
      </c>
      <c r="F971" t="s">
        <v>1272</v>
      </c>
      <c r="G971" t="s">
        <v>665</v>
      </c>
      <c r="H971" s="595">
        <v>-8.0500000000000007</v>
      </c>
      <c r="I971" t="str">
        <f t="shared" si="40"/>
        <v>janeiro 2026</v>
      </c>
      <c r="J971">
        <f t="shared" si="39"/>
        <v>2026</v>
      </c>
      <c r="K971" t="str">
        <f>VLOOKUP(G971,METRICS!C:D,2,0)</f>
        <v>Taxas Financeiras Diversas</v>
      </c>
      <c r="L971" t="str">
        <f>VLOOKUP(K971,METRICS!D:E,2,0)</f>
        <v>TAXAS CARTÃO DE CRÉDITO</v>
      </c>
    </row>
    <row r="972" spans="1:12" ht="15" hidden="1">
      <c r="A972" t="s">
        <v>1028</v>
      </c>
      <c r="B972" t="s">
        <v>689</v>
      </c>
      <c r="C972" t="s">
        <v>690</v>
      </c>
      <c r="D972" t="s">
        <v>733</v>
      </c>
      <c r="E972" t="s">
        <v>734</v>
      </c>
      <c r="F972" t="s">
        <v>1272</v>
      </c>
      <c r="G972" t="s">
        <v>665</v>
      </c>
      <c r="H972" s="595">
        <v>-5.53</v>
      </c>
      <c r="I972" t="str">
        <f t="shared" si="40"/>
        <v>janeiro 2026</v>
      </c>
      <c r="J972">
        <f t="shared" si="39"/>
        <v>2026</v>
      </c>
      <c r="K972" t="str">
        <f>VLOOKUP(G972,METRICS!C:D,2,0)</f>
        <v>Taxas Financeiras Diversas</v>
      </c>
      <c r="L972" t="str">
        <f>VLOOKUP(K972,METRICS!D:E,2,0)</f>
        <v>TAXAS CARTÃO DE CRÉDITO</v>
      </c>
    </row>
    <row r="973" spans="1:12" ht="15" hidden="1">
      <c r="A973" t="s">
        <v>1028</v>
      </c>
      <c r="B973" t="s">
        <v>689</v>
      </c>
      <c r="C973" t="s">
        <v>690</v>
      </c>
      <c r="D973" t="s">
        <v>743</v>
      </c>
      <c r="E973" t="s">
        <v>734</v>
      </c>
      <c r="F973" t="s">
        <v>1272</v>
      </c>
      <c r="G973" t="s">
        <v>665</v>
      </c>
      <c r="H973" s="595">
        <v>-5.94</v>
      </c>
      <c r="I973" t="str">
        <f t="shared" si="40"/>
        <v>janeiro 2026</v>
      </c>
      <c r="J973">
        <f t="shared" si="39"/>
        <v>2026</v>
      </c>
      <c r="K973" t="str">
        <f>VLOOKUP(G973,METRICS!C:D,2,0)</f>
        <v>Taxas Financeiras Diversas</v>
      </c>
      <c r="L973" t="str">
        <f>VLOOKUP(K973,METRICS!D:E,2,0)</f>
        <v>TAXAS CARTÃO DE CRÉDITO</v>
      </c>
    </row>
    <row r="974" spans="1:12" ht="15" hidden="1">
      <c r="A974" t="s">
        <v>1028</v>
      </c>
      <c r="B974" t="s">
        <v>689</v>
      </c>
      <c r="C974" t="s">
        <v>690</v>
      </c>
      <c r="D974" t="s">
        <v>743</v>
      </c>
      <c r="E974" t="s">
        <v>734</v>
      </c>
      <c r="F974" t="s">
        <v>1272</v>
      </c>
      <c r="G974" t="s">
        <v>665</v>
      </c>
      <c r="H974" s="595">
        <v>-4.0199999999999996</v>
      </c>
      <c r="I974" t="str">
        <f t="shared" si="40"/>
        <v>janeiro 2026</v>
      </c>
      <c r="J974">
        <f t="shared" si="39"/>
        <v>2026</v>
      </c>
      <c r="K974" t="str">
        <f>VLOOKUP(G974,METRICS!C:D,2,0)</f>
        <v>Taxas Financeiras Diversas</v>
      </c>
      <c r="L974" t="str">
        <f>VLOOKUP(K974,METRICS!D:E,2,0)</f>
        <v>TAXAS CARTÃO DE CRÉDITO</v>
      </c>
    </row>
    <row r="975" spans="1:12" ht="15" hidden="1">
      <c r="A975" t="s">
        <v>1028</v>
      </c>
      <c r="B975" t="s">
        <v>689</v>
      </c>
      <c r="C975" t="s">
        <v>690</v>
      </c>
      <c r="D975" t="s">
        <v>733</v>
      </c>
      <c r="E975" t="s">
        <v>734</v>
      </c>
      <c r="F975" t="s">
        <v>1272</v>
      </c>
      <c r="G975" t="s">
        <v>665</v>
      </c>
      <c r="H975" s="595">
        <v>-1.61</v>
      </c>
      <c r="I975" t="str">
        <f t="shared" si="40"/>
        <v>janeiro 2026</v>
      </c>
      <c r="J975">
        <f t="shared" si="39"/>
        <v>2026</v>
      </c>
      <c r="K975" t="str">
        <f>VLOOKUP(G975,METRICS!C:D,2,0)</f>
        <v>Taxas Financeiras Diversas</v>
      </c>
      <c r="L975" t="str">
        <f>VLOOKUP(K975,METRICS!D:E,2,0)</f>
        <v>TAXAS CARTÃO DE CRÉDITO</v>
      </c>
    </row>
    <row r="976" spans="1:12" ht="15" hidden="1">
      <c r="A976" t="s">
        <v>1028</v>
      </c>
      <c r="B976" t="s">
        <v>689</v>
      </c>
      <c r="C976" t="s">
        <v>690</v>
      </c>
      <c r="D976" t="s">
        <v>733</v>
      </c>
      <c r="E976" t="s">
        <v>734</v>
      </c>
      <c r="F976" t="s">
        <v>1272</v>
      </c>
      <c r="G976" t="s">
        <v>665</v>
      </c>
      <c r="H976" s="595">
        <v>-1.1499999999999999</v>
      </c>
      <c r="I976" t="str">
        <f t="shared" si="40"/>
        <v>janeiro 2026</v>
      </c>
      <c r="J976">
        <f t="shared" si="39"/>
        <v>2026</v>
      </c>
      <c r="K976" t="str">
        <f>VLOOKUP(G976,METRICS!C:D,2,0)</f>
        <v>Taxas Financeiras Diversas</v>
      </c>
      <c r="L976" t="str">
        <f>VLOOKUP(K976,METRICS!D:E,2,0)</f>
        <v>TAXAS CARTÃO DE CRÉDITO</v>
      </c>
    </row>
    <row r="977" spans="1:12" ht="15" hidden="1">
      <c r="A977" t="s">
        <v>1028</v>
      </c>
      <c r="B977" t="s">
        <v>689</v>
      </c>
      <c r="C977" t="s">
        <v>690</v>
      </c>
      <c r="D977" t="s">
        <v>743</v>
      </c>
      <c r="E977" t="s">
        <v>734</v>
      </c>
      <c r="F977" t="s">
        <v>1272</v>
      </c>
      <c r="G977" t="s">
        <v>665</v>
      </c>
      <c r="H977" s="595">
        <v>-8.4499999999999993</v>
      </c>
      <c r="I977" t="str">
        <f t="shared" si="40"/>
        <v>janeiro 2026</v>
      </c>
      <c r="J977">
        <f t="shared" si="39"/>
        <v>2026</v>
      </c>
      <c r="K977" t="str">
        <f>VLOOKUP(G977,METRICS!C:D,2,0)</f>
        <v>Taxas Financeiras Diversas</v>
      </c>
      <c r="L977" t="str">
        <f>VLOOKUP(K977,METRICS!D:E,2,0)</f>
        <v>TAXAS CARTÃO DE CRÉDITO</v>
      </c>
    </row>
    <row r="978" spans="1:12" ht="15" hidden="1">
      <c r="A978" t="s">
        <v>1028</v>
      </c>
      <c r="B978" t="s">
        <v>689</v>
      </c>
      <c r="C978" t="s">
        <v>690</v>
      </c>
      <c r="D978" t="s">
        <v>733</v>
      </c>
      <c r="E978" t="s">
        <v>734</v>
      </c>
      <c r="F978" t="s">
        <v>1272</v>
      </c>
      <c r="G978" t="s">
        <v>665</v>
      </c>
      <c r="H978" s="595">
        <v>-4</v>
      </c>
      <c r="I978" t="str">
        <f t="shared" si="40"/>
        <v>janeiro 2026</v>
      </c>
      <c r="J978">
        <f t="shared" si="39"/>
        <v>2026</v>
      </c>
      <c r="K978" t="str">
        <f>VLOOKUP(G978,METRICS!C:D,2,0)</f>
        <v>Taxas Financeiras Diversas</v>
      </c>
      <c r="L978" t="str">
        <f>VLOOKUP(K978,METRICS!D:E,2,0)</f>
        <v>TAXAS CARTÃO DE CRÉDITO</v>
      </c>
    </row>
    <row r="979" spans="1:12" ht="15" hidden="1">
      <c r="A979" t="s">
        <v>1028</v>
      </c>
      <c r="B979" t="s">
        <v>689</v>
      </c>
      <c r="C979" t="s">
        <v>690</v>
      </c>
      <c r="D979" t="s">
        <v>743</v>
      </c>
      <c r="E979" t="s">
        <v>734</v>
      </c>
      <c r="F979" t="s">
        <v>1272</v>
      </c>
      <c r="G979" t="s">
        <v>665</v>
      </c>
      <c r="H979" s="595">
        <v>-2.29</v>
      </c>
      <c r="I979" t="str">
        <f t="shared" si="40"/>
        <v>janeiro 2026</v>
      </c>
      <c r="J979">
        <f t="shared" si="39"/>
        <v>2026</v>
      </c>
      <c r="K979" t="str">
        <f>VLOOKUP(G979,METRICS!C:D,2,0)</f>
        <v>Taxas Financeiras Diversas</v>
      </c>
      <c r="L979" t="str">
        <f>VLOOKUP(K979,METRICS!D:E,2,0)</f>
        <v>TAXAS CARTÃO DE CRÉDITO</v>
      </c>
    </row>
    <row r="980" spans="1:12" ht="15" hidden="1">
      <c r="A980" t="s">
        <v>1028</v>
      </c>
      <c r="B980" t="s">
        <v>689</v>
      </c>
      <c r="C980" t="s">
        <v>690</v>
      </c>
      <c r="D980" t="s">
        <v>743</v>
      </c>
      <c r="E980" t="s">
        <v>734</v>
      </c>
      <c r="F980" t="s">
        <v>1272</v>
      </c>
      <c r="G980" t="s">
        <v>665</v>
      </c>
      <c r="H980" s="595">
        <v>-8.5</v>
      </c>
      <c r="I980" t="str">
        <f t="shared" si="40"/>
        <v>janeiro 2026</v>
      </c>
      <c r="J980">
        <f t="shared" si="39"/>
        <v>2026</v>
      </c>
      <c r="K980" t="str">
        <f>VLOOKUP(G980,METRICS!C:D,2,0)</f>
        <v>Taxas Financeiras Diversas</v>
      </c>
      <c r="L980" t="str">
        <f>VLOOKUP(K980,METRICS!D:E,2,0)</f>
        <v>TAXAS CARTÃO DE CRÉDITO</v>
      </c>
    </row>
    <row r="981" spans="1:12" ht="15" hidden="1">
      <c r="A981" t="s">
        <v>1028</v>
      </c>
      <c r="B981" t="s">
        <v>689</v>
      </c>
      <c r="C981" t="s">
        <v>690</v>
      </c>
      <c r="D981" t="s">
        <v>743</v>
      </c>
      <c r="E981" t="s">
        <v>734</v>
      </c>
      <c r="F981" t="s">
        <v>1272</v>
      </c>
      <c r="G981" t="s">
        <v>665</v>
      </c>
      <c r="H981" s="595">
        <v>-4.9000000000000004</v>
      </c>
      <c r="I981" t="str">
        <f t="shared" si="40"/>
        <v>janeiro 2026</v>
      </c>
      <c r="J981">
        <f t="shared" si="39"/>
        <v>2026</v>
      </c>
      <c r="K981" t="str">
        <f>VLOOKUP(G981,METRICS!C:D,2,0)</f>
        <v>Taxas Financeiras Diversas</v>
      </c>
      <c r="L981" t="str">
        <f>VLOOKUP(K981,METRICS!D:E,2,0)</f>
        <v>TAXAS CARTÃO DE CRÉDITO</v>
      </c>
    </row>
    <row r="982" spans="1:12" ht="15" hidden="1">
      <c r="A982" t="s">
        <v>1028</v>
      </c>
      <c r="B982" t="s">
        <v>689</v>
      </c>
      <c r="C982" t="s">
        <v>690</v>
      </c>
      <c r="D982" t="s">
        <v>733</v>
      </c>
      <c r="E982" t="s">
        <v>734</v>
      </c>
      <c r="F982" t="s">
        <v>1272</v>
      </c>
      <c r="G982" t="s">
        <v>665</v>
      </c>
      <c r="H982" s="595">
        <v>-4.09</v>
      </c>
      <c r="I982" t="str">
        <f t="shared" si="40"/>
        <v>janeiro 2026</v>
      </c>
      <c r="J982">
        <f t="shared" si="39"/>
        <v>2026</v>
      </c>
      <c r="K982" t="str">
        <f>VLOOKUP(G982,METRICS!C:D,2,0)</f>
        <v>Taxas Financeiras Diversas</v>
      </c>
      <c r="L982" t="str">
        <f>VLOOKUP(K982,METRICS!D:E,2,0)</f>
        <v>TAXAS CARTÃO DE CRÉDITO</v>
      </c>
    </row>
    <row r="983" spans="1:12" ht="15" hidden="1">
      <c r="A983" t="s">
        <v>1028</v>
      </c>
      <c r="B983" t="s">
        <v>689</v>
      </c>
      <c r="C983" t="s">
        <v>690</v>
      </c>
      <c r="D983" t="s">
        <v>743</v>
      </c>
      <c r="E983" t="s">
        <v>734</v>
      </c>
      <c r="F983" t="s">
        <v>1272</v>
      </c>
      <c r="G983" t="s">
        <v>665</v>
      </c>
      <c r="H983" s="595">
        <v>-8.81</v>
      </c>
      <c r="I983" t="str">
        <f t="shared" si="40"/>
        <v>janeiro 2026</v>
      </c>
      <c r="J983">
        <f t="shared" si="39"/>
        <v>2026</v>
      </c>
      <c r="K983" t="str">
        <f>VLOOKUP(G983,METRICS!C:D,2,0)</f>
        <v>Taxas Financeiras Diversas</v>
      </c>
      <c r="L983" t="str">
        <f>VLOOKUP(K983,METRICS!D:E,2,0)</f>
        <v>TAXAS CARTÃO DE CRÉDITO</v>
      </c>
    </row>
    <row r="984" spans="1:12" ht="15" hidden="1">
      <c r="A984" t="s">
        <v>1028</v>
      </c>
      <c r="B984" t="s">
        <v>689</v>
      </c>
      <c r="C984" t="s">
        <v>690</v>
      </c>
      <c r="D984" t="s">
        <v>733</v>
      </c>
      <c r="E984" t="s">
        <v>734</v>
      </c>
      <c r="F984" t="s">
        <v>1272</v>
      </c>
      <c r="G984" t="s">
        <v>665</v>
      </c>
      <c r="H984" s="595">
        <v>-21.57</v>
      </c>
      <c r="I984" t="str">
        <f t="shared" si="40"/>
        <v>janeiro 2026</v>
      </c>
      <c r="J984">
        <f t="shared" si="39"/>
        <v>2026</v>
      </c>
      <c r="K984" t="str">
        <f>VLOOKUP(G984,METRICS!C:D,2,0)</f>
        <v>Taxas Financeiras Diversas</v>
      </c>
      <c r="L984" t="str">
        <f>VLOOKUP(K984,METRICS!D:E,2,0)</f>
        <v>TAXAS CARTÃO DE CRÉDITO</v>
      </c>
    </row>
    <row r="985" spans="1:12" ht="15" hidden="1">
      <c r="A985" t="s">
        <v>1028</v>
      </c>
      <c r="B985" t="s">
        <v>689</v>
      </c>
      <c r="C985" t="s">
        <v>690</v>
      </c>
      <c r="D985" t="s">
        <v>733</v>
      </c>
      <c r="E985" t="s">
        <v>734</v>
      </c>
      <c r="F985" t="s">
        <v>1272</v>
      </c>
      <c r="G985" t="s">
        <v>665</v>
      </c>
      <c r="H985" s="595">
        <v>-2.72</v>
      </c>
      <c r="I985" t="str">
        <f t="shared" si="40"/>
        <v>janeiro 2026</v>
      </c>
      <c r="J985">
        <f t="shared" si="39"/>
        <v>2026</v>
      </c>
      <c r="K985" t="str">
        <f>VLOOKUP(G985,METRICS!C:D,2,0)</f>
        <v>Taxas Financeiras Diversas</v>
      </c>
      <c r="L985" t="str">
        <f>VLOOKUP(K985,METRICS!D:E,2,0)</f>
        <v>TAXAS CARTÃO DE CRÉDITO</v>
      </c>
    </row>
    <row r="986" spans="1:12" ht="15" hidden="1">
      <c r="A986" t="s">
        <v>1028</v>
      </c>
      <c r="B986" t="s">
        <v>689</v>
      </c>
      <c r="C986" t="s">
        <v>690</v>
      </c>
      <c r="D986" t="s">
        <v>733</v>
      </c>
      <c r="E986" t="s">
        <v>734</v>
      </c>
      <c r="F986" t="s">
        <v>1272</v>
      </c>
      <c r="G986" t="s">
        <v>665</v>
      </c>
      <c r="H986" s="595">
        <v>-7.21</v>
      </c>
      <c r="I986" t="str">
        <f t="shared" si="40"/>
        <v>janeiro 2026</v>
      </c>
      <c r="J986">
        <f t="shared" si="39"/>
        <v>2026</v>
      </c>
      <c r="K986" t="str">
        <f>VLOOKUP(G986,METRICS!C:D,2,0)</f>
        <v>Taxas Financeiras Diversas</v>
      </c>
      <c r="L986" t="str">
        <f>VLOOKUP(K986,METRICS!D:E,2,0)</f>
        <v>TAXAS CARTÃO DE CRÉDITO</v>
      </c>
    </row>
    <row r="987" spans="1:12" ht="15" hidden="1">
      <c r="A987" t="s">
        <v>1028</v>
      </c>
      <c r="B987" t="s">
        <v>689</v>
      </c>
      <c r="C987" t="s">
        <v>690</v>
      </c>
      <c r="D987" t="s">
        <v>743</v>
      </c>
      <c r="E987" t="s">
        <v>734</v>
      </c>
      <c r="F987" t="s">
        <v>1272</v>
      </c>
      <c r="G987" t="s">
        <v>665</v>
      </c>
      <c r="H987" s="595">
        <v>-21.45</v>
      </c>
      <c r="I987" t="str">
        <f t="shared" si="40"/>
        <v>janeiro 2026</v>
      </c>
      <c r="J987">
        <f t="shared" si="39"/>
        <v>2026</v>
      </c>
      <c r="K987" t="str">
        <f>VLOOKUP(G987,METRICS!C:D,2,0)</f>
        <v>Taxas Financeiras Diversas</v>
      </c>
      <c r="L987" t="str">
        <f>VLOOKUP(K987,METRICS!D:E,2,0)</f>
        <v>TAXAS CARTÃO DE CRÉDITO</v>
      </c>
    </row>
    <row r="988" spans="1:12" ht="15" hidden="1">
      <c r="A988" t="s">
        <v>1028</v>
      </c>
      <c r="B988" t="s">
        <v>689</v>
      </c>
      <c r="C988" t="s">
        <v>690</v>
      </c>
      <c r="D988" t="s">
        <v>733</v>
      </c>
      <c r="E988" t="s">
        <v>734</v>
      </c>
      <c r="F988" t="s">
        <v>1272</v>
      </c>
      <c r="G988" t="s">
        <v>665</v>
      </c>
      <c r="H988" s="595">
        <v>-5.25</v>
      </c>
      <c r="I988" t="str">
        <f t="shared" si="40"/>
        <v>janeiro 2026</v>
      </c>
      <c r="J988">
        <f t="shared" si="39"/>
        <v>2026</v>
      </c>
      <c r="K988" t="str">
        <f>VLOOKUP(G988,METRICS!C:D,2,0)</f>
        <v>Taxas Financeiras Diversas</v>
      </c>
      <c r="L988" t="str">
        <f>VLOOKUP(K988,METRICS!D:E,2,0)</f>
        <v>TAXAS CARTÃO DE CRÉDITO</v>
      </c>
    </row>
    <row r="989" spans="1:12" ht="15" hidden="1">
      <c r="A989" t="s">
        <v>1028</v>
      </c>
      <c r="B989" t="s">
        <v>689</v>
      </c>
      <c r="C989" t="s">
        <v>690</v>
      </c>
      <c r="D989" t="s">
        <v>733</v>
      </c>
      <c r="E989" t="s">
        <v>734</v>
      </c>
      <c r="F989" t="s">
        <v>1272</v>
      </c>
      <c r="G989" t="s">
        <v>665</v>
      </c>
      <c r="H989" s="595">
        <v>-5.24</v>
      </c>
      <c r="I989" t="str">
        <f t="shared" si="40"/>
        <v>janeiro 2026</v>
      </c>
      <c r="J989">
        <f t="shared" si="39"/>
        <v>2026</v>
      </c>
      <c r="K989" t="str">
        <f>VLOOKUP(G989,METRICS!C:D,2,0)</f>
        <v>Taxas Financeiras Diversas</v>
      </c>
      <c r="L989" t="str">
        <f>VLOOKUP(K989,METRICS!D:E,2,0)</f>
        <v>TAXAS CARTÃO DE CRÉDITO</v>
      </c>
    </row>
    <row r="990" spans="1:12" ht="15" hidden="1">
      <c r="A990" t="s">
        <v>1028</v>
      </c>
      <c r="B990" t="s">
        <v>689</v>
      </c>
      <c r="C990" t="s">
        <v>690</v>
      </c>
      <c r="D990" t="s">
        <v>743</v>
      </c>
      <c r="E990" t="s">
        <v>734</v>
      </c>
      <c r="F990" t="s">
        <v>1272</v>
      </c>
      <c r="G990" t="s">
        <v>665</v>
      </c>
      <c r="H990" s="595">
        <v>-3.49</v>
      </c>
      <c r="I990" t="str">
        <f t="shared" si="40"/>
        <v>janeiro 2026</v>
      </c>
      <c r="J990">
        <f t="shared" si="39"/>
        <v>2026</v>
      </c>
      <c r="K990" t="str">
        <f>VLOOKUP(G990,METRICS!C:D,2,0)</f>
        <v>Taxas Financeiras Diversas</v>
      </c>
      <c r="L990" t="str">
        <f>VLOOKUP(K990,METRICS!D:E,2,0)</f>
        <v>TAXAS CARTÃO DE CRÉDITO</v>
      </c>
    </row>
    <row r="991" spans="1:12" ht="15" hidden="1">
      <c r="A991" t="s">
        <v>1028</v>
      </c>
      <c r="B991" t="s">
        <v>689</v>
      </c>
      <c r="C991" t="s">
        <v>690</v>
      </c>
      <c r="D991" t="s">
        <v>743</v>
      </c>
      <c r="E991" t="s">
        <v>734</v>
      </c>
      <c r="F991" t="s">
        <v>1272</v>
      </c>
      <c r="G991" t="s">
        <v>665</v>
      </c>
      <c r="H991" s="595">
        <v>-6.92</v>
      </c>
      <c r="I991" t="str">
        <f t="shared" si="40"/>
        <v>janeiro 2026</v>
      </c>
      <c r="J991">
        <f t="shared" si="39"/>
        <v>2026</v>
      </c>
      <c r="K991" t="str">
        <f>VLOOKUP(G991,METRICS!C:D,2,0)</f>
        <v>Taxas Financeiras Diversas</v>
      </c>
      <c r="L991" t="str">
        <f>VLOOKUP(K991,METRICS!D:E,2,0)</f>
        <v>TAXAS CARTÃO DE CRÉDITO</v>
      </c>
    </row>
    <row r="992" spans="1:12" ht="15" hidden="1">
      <c r="A992" t="s">
        <v>1028</v>
      </c>
      <c r="B992" t="s">
        <v>689</v>
      </c>
      <c r="C992" t="s">
        <v>690</v>
      </c>
      <c r="D992" t="s">
        <v>743</v>
      </c>
      <c r="E992" t="s">
        <v>734</v>
      </c>
      <c r="F992" t="s">
        <v>1272</v>
      </c>
      <c r="G992" t="s">
        <v>665</v>
      </c>
      <c r="H992" s="595">
        <v>-0.57999999999999996</v>
      </c>
      <c r="I992" t="str">
        <f t="shared" ref="I992:I1027" si="41">TEXT(A992, "mmmm aaaa")</f>
        <v>janeiro 2026</v>
      </c>
      <c r="J992">
        <f t="shared" si="39"/>
        <v>2026</v>
      </c>
      <c r="K992" t="str">
        <f>VLOOKUP(G992,METRICS!C:D,2,0)</f>
        <v>Taxas Financeiras Diversas</v>
      </c>
      <c r="L992" t="str">
        <f>VLOOKUP(K992,METRICS!D:E,2,0)</f>
        <v>TAXAS CARTÃO DE CRÉDITO</v>
      </c>
    </row>
    <row r="993" spans="1:12" ht="15" hidden="1">
      <c r="A993" t="s">
        <v>1028</v>
      </c>
      <c r="B993" t="s">
        <v>689</v>
      </c>
      <c r="C993" t="s">
        <v>690</v>
      </c>
      <c r="D993" t="s">
        <v>733</v>
      </c>
      <c r="E993" t="s">
        <v>734</v>
      </c>
      <c r="F993" t="s">
        <v>1272</v>
      </c>
      <c r="G993" t="s">
        <v>665</v>
      </c>
      <c r="H993" s="595">
        <v>-1.02</v>
      </c>
      <c r="I993" t="str">
        <f t="shared" si="41"/>
        <v>janeiro 2026</v>
      </c>
      <c r="J993">
        <f t="shared" si="39"/>
        <v>2026</v>
      </c>
      <c r="K993" t="str">
        <f>VLOOKUP(G993,METRICS!C:D,2,0)</f>
        <v>Taxas Financeiras Diversas</v>
      </c>
      <c r="L993" t="str">
        <f>VLOOKUP(K993,METRICS!D:E,2,0)</f>
        <v>TAXAS CARTÃO DE CRÉDITO</v>
      </c>
    </row>
    <row r="994" spans="1:12" ht="15" hidden="1">
      <c r="A994" t="s">
        <v>1028</v>
      </c>
      <c r="B994" t="s">
        <v>689</v>
      </c>
      <c r="C994" t="s">
        <v>690</v>
      </c>
      <c r="D994" t="s">
        <v>743</v>
      </c>
      <c r="E994" t="s">
        <v>734</v>
      </c>
      <c r="F994" t="s">
        <v>1272</v>
      </c>
      <c r="G994" t="s">
        <v>665</v>
      </c>
      <c r="H994" s="595">
        <v>-0.87</v>
      </c>
      <c r="I994" t="str">
        <f t="shared" si="41"/>
        <v>janeiro 2026</v>
      </c>
      <c r="J994">
        <f t="shared" si="39"/>
        <v>2026</v>
      </c>
      <c r="K994" t="str">
        <f>VLOOKUP(G994,METRICS!C:D,2,0)</f>
        <v>Taxas Financeiras Diversas</v>
      </c>
      <c r="L994" t="str">
        <f>VLOOKUP(K994,METRICS!D:E,2,0)</f>
        <v>TAXAS CARTÃO DE CRÉDITO</v>
      </c>
    </row>
    <row r="995" spans="1:12" ht="15" hidden="1">
      <c r="A995" t="s">
        <v>1028</v>
      </c>
      <c r="B995" t="s">
        <v>689</v>
      </c>
      <c r="C995" t="s">
        <v>690</v>
      </c>
      <c r="D995" t="s">
        <v>743</v>
      </c>
      <c r="E995" t="s">
        <v>734</v>
      </c>
      <c r="F995" t="s">
        <v>1272</v>
      </c>
      <c r="G995" t="s">
        <v>665</v>
      </c>
      <c r="H995" s="595">
        <v>-2.99</v>
      </c>
      <c r="I995" t="str">
        <f t="shared" si="41"/>
        <v>janeiro 2026</v>
      </c>
      <c r="J995">
        <f t="shared" si="39"/>
        <v>2026</v>
      </c>
      <c r="K995" t="str">
        <f>VLOOKUP(G995,METRICS!C:D,2,0)</f>
        <v>Taxas Financeiras Diversas</v>
      </c>
      <c r="L995" t="str">
        <f>VLOOKUP(K995,METRICS!D:E,2,0)</f>
        <v>TAXAS CARTÃO DE CRÉDITO</v>
      </c>
    </row>
    <row r="996" spans="1:12" ht="15" hidden="1">
      <c r="A996" t="s">
        <v>1028</v>
      </c>
      <c r="B996" t="s">
        <v>689</v>
      </c>
      <c r="C996" t="s">
        <v>690</v>
      </c>
      <c r="D996" t="s">
        <v>733</v>
      </c>
      <c r="E996" t="s">
        <v>734</v>
      </c>
      <c r="F996" t="s">
        <v>1272</v>
      </c>
      <c r="G996" t="s">
        <v>665</v>
      </c>
      <c r="H996" s="595">
        <v>-1.36</v>
      </c>
      <c r="I996" t="str">
        <f t="shared" si="41"/>
        <v>janeiro 2026</v>
      </c>
      <c r="J996">
        <f t="shared" si="39"/>
        <v>2026</v>
      </c>
      <c r="K996" t="str">
        <f>VLOOKUP(G996,METRICS!C:D,2,0)</f>
        <v>Taxas Financeiras Diversas</v>
      </c>
      <c r="L996" t="str">
        <f>VLOOKUP(K996,METRICS!D:E,2,0)</f>
        <v>TAXAS CARTÃO DE CRÉDITO</v>
      </c>
    </row>
    <row r="997" spans="1:12" ht="15" hidden="1">
      <c r="A997" t="s">
        <v>1028</v>
      </c>
      <c r="B997" t="s">
        <v>689</v>
      </c>
      <c r="C997" t="s">
        <v>690</v>
      </c>
      <c r="D997" t="s">
        <v>743</v>
      </c>
      <c r="E997" t="s">
        <v>734</v>
      </c>
      <c r="F997" t="s">
        <v>1272</v>
      </c>
      <c r="G997" t="s">
        <v>665</v>
      </c>
      <c r="H997" s="595">
        <v>-2.19</v>
      </c>
      <c r="I997" t="str">
        <f t="shared" si="41"/>
        <v>janeiro 2026</v>
      </c>
      <c r="J997">
        <f t="shared" si="39"/>
        <v>2026</v>
      </c>
      <c r="K997" t="str">
        <f>VLOOKUP(G997,METRICS!C:D,2,0)</f>
        <v>Taxas Financeiras Diversas</v>
      </c>
      <c r="L997" t="str">
        <f>VLOOKUP(K997,METRICS!D:E,2,0)</f>
        <v>TAXAS CARTÃO DE CRÉDITO</v>
      </c>
    </row>
    <row r="998" spans="1:12" ht="15" hidden="1">
      <c r="A998" t="s">
        <v>1028</v>
      </c>
      <c r="B998" t="s">
        <v>689</v>
      </c>
      <c r="C998" t="s">
        <v>690</v>
      </c>
      <c r="D998" t="s">
        <v>733</v>
      </c>
      <c r="E998" t="s">
        <v>734</v>
      </c>
      <c r="F998" t="s">
        <v>1272</v>
      </c>
      <c r="G998" t="s">
        <v>665</v>
      </c>
      <c r="H998" s="595">
        <v>-2.73</v>
      </c>
      <c r="I998" t="str">
        <f t="shared" si="41"/>
        <v>janeiro 2026</v>
      </c>
      <c r="J998">
        <f t="shared" si="39"/>
        <v>2026</v>
      </c>
      <c r="K998" t="str">
        <f>VLOOKUP(G998,METRICS!C:D,2,0)</f>
        <v>Taxas Financeiras Diversas</v>
      </c>
      <c r="L998" t="str">
        <f>VLOOKUP(K998,METRICS!D:E,2,0)</f>
        <v>TAXAS CARTÃO DE CRÉDITO</v>
      </c>
    </row>
    <row r="999" spans="1:12" ht="15" hidden="1">
      <c r="A999" t="s">
        <v>1028</v>
      </c>
      <c r="B999" t="s">
        <v>689</v>
      </c>
      <c r="C999" t="s">
        <v>690</v>
      </c>
      <c r="D999" t="s">
        <v>743</v>
      </c>
      <c r="E999" t="s">
        <v>734</v>
      </c>
      <c r="F999" t="s">
        <v>1272</v>
      </c>
      <c r="G999" t="s">
        <v>665</v>
      </c>
      <c r="H999" s="595">
        <v>-8.06</v>
      </c>
      <c r="I999" t="str">
        <f t="shared" si="41"/>
        <v>janeiro 2026</v>
      </c>
      <c r="J999">
        <f t="shared" si="39"/>
        <v>2026</v>
      </c>
      <c r="K999" t="str">
        <f>VLOOKUP(G999,METRICS!C:D,2,0)</f>
        <v>Taxas Financeiras Diversas</v>
      </c>
      <c r="L999" t="str">
        <f>VLOOKUP(K999,METRICS!D:E,2,0)</f>
        <v>TAXAS CARTÃO DE CRÉDITO</v>
      </c>
    </row>
    <row r="1000" spans="1:12" ht="15" hidden="1">
      <c r="A1000" t="s">
        <v>1028</v>
      </c>
      <c r="B1000" t="s">
        <v>689</v>
      </c>
      <c r="C1000" t="s">
        <v>690</v>
      </c>
      <c r="D1000" t="s">
        <v>733</v>
      </c>
      <c r="E1000" t="s">
        <v>734</v>
      </c>
      <c r="F1000" t="s">
        <v>1272</v>
      </c>
      <c r="G1000" t="s">
        <v>665</v>
      </c>
      <c r="H1000" s="595">
        <v>-2.97</v>
      </c>
      <c r="I1000" t="str">
        <f t="shared" si="41"/>
        <v>janeiro 2026</v>
      </c>
      <c r="J1000">
        <f t="shared" si="39"/>
        <v>2026</v>
      </c>
      <c r="K1000" t="str">
        <f>VLOOKUP(G1000,METRICS!C:D,2,0)</f>
        <v>Taxas Financeiras Diversas</v>
      </c>
      <c r="L1000" t="str">
        <f>VLOOKUP(K1000,METRICS!D:E,2,0)</f>
        <v>TAXAS CARTÃO DE CRÉDITO</v>
      </c>
    </row>
    <row r="1001" spans="1:12" ht="15" hidden="1">
      <c r="A1001" t="s">
        <v>1028</v>
      </c>
      <c r="B1001" t="s">
        <v>689</v>
      </c>
      <c r="C1001" t="s">
        <v>690</v>
      </c>
      <c r="D1001" t="s">
        <v>733</v>
      </c>
      <c r="E1001" t="s">
        <v>734</v>
      </c>
      <c r="F1001" t="s">
        <v>1272</v>
      </c>
      <c r="G1001" t="s">
        <v>665</v>
      </c>
      <c r="H1001" s="595">
        <v>-1.89</v>
      </c>
      <c r="I1001" t="str">
        <f t="shared" si="41"/>
        <v>janeiro 2026</v>
      </c>
      <c r="J1001">
        <f t="shared" si="39"/>
        <v>2026</v>
      </c>
      <c r="K1001" t="str">
        <f>VLOOKUP(G1001,METRICS!C:D,2,0)</f>
        <v>Taxas Financeiras Diversas</v>
      </c>
      <c r="L1001" t="str">
        <f>VLOOKUP(K1001,METRICS!D:E,2,0)</f>
        <v>TAXAS CARTÃO DE CRÉDITO</v>
      </c>
    </row>
    <row r="1002" spans="1:12" ht="15" hidden="1">
      <c r="A1002" t="s">
        <v>1028</v>
      </c>
      <c r="B1002" t="s">
        <v>689</v>
      </c>
      <c r="C1002" t="s">
        <v>690</v>
      </c>
      <c r="D1002" t="s">
        <v>733</v>
      </c>
      <c r="E1002" t="s">
        <v>734</v>
      </c>
      <c r="F1002" t="s">
        <v>1272</v>
      </c>
      <c r="G1002" t="s">
        <v>665</v>
      </c>
      <c r="H1002" s="595">
        <v>-1.39</v>
      </c>
      <c r="I1002" t="str">
        <f t="shared" si="41"/>
        <v>janeiro 2026</v>
      </c>
      <c r="J1002">
        <f t="shared" si="39"/>
        <v>2026</v>
      </c>
      <c r="K1002" t="str">
        <f>VLOOKUP(G1002,METRICS!C:D,2,0)</f>
        <v>Taxas Financeiras Diversas</v>
      </c>
      <c r="L1002" t="str">
        <f>VLOOKUP(K1002,METRICS!D:E,2,0)</f>
        <v>TAXAS CARTÃO DE CRÉDITO</v>
      </c>
    </row>
    <row r="1003" spans="1:12" ht="15" hidden="1">
      <c r="A1003" t="s">
        <v>1028</v>
      </c>
      <c r="B1003" t="s">
        <v>689</v>
      </c>
      <c r="C1003" t="s">
        <v>690</v>
      </c>
      <c r="D1003" t="s">
        <v>733</v>
      </c>
      <c r="E1003" t="s">
        <v>734</v>
      </c>
      <c r="F1003" t="s">
        <v>1272</v>
      </c>
      <c r="G1003" t="s">
        <v>665</v>
      </c>
      <c r="H1003" s="595">
        <v>-6.11</v>
      </c>
      <c r="I1003" t="str">
        <f t="shared" si="41"/>
        <v>janeiro 2026</v>
      </c>
      <c r="J1003">
        <f t="shared" si="39"/>
        <v>2026</v>
      </c>
      <c r="K1003" t="str">
        <f>VLOOKUP(G1003,METRICS!C:D,2,0)</f>
        <v>Taxas Financeiras Diversas</v>
      </c>
      <c r="L1003" t="str">
        <f>VLOOKUP(K1003,METRICS!D:E,2,0)</f>
        <v>TAXAS CARTÃO DE CRÉDITO</v>
      </c>
    </row>
    <row r="1004" spans="1:12" ht="15" hidden="1">
      <c r="A1004" t="s">
        <v>1028</v>
      </c>
      <c r="B1004" t="s">
        <v>689</v>
      </c>
      <c r="C1004" t="s">
        <v>690</v>
      </c>
      <c r="D1004" t="s">
        <v>733</v>
      </c>
      <c r="E1004" t="s">
        <v>734</v>
      </c>
      <c r="F1004" t="s">
        <v>1272</v>
      </c>
      <c r="G1004" t="s">
        <v>665</v>
      </c>
      <c r="H1004" s="595">
        <v>-2.56</v>
      </c>
      <c r="I1004" t="str">
        <f t="shared" si="41"/>
        <v>janeiro 2026</v>
      </c>
      <c r="J1004">
        <f t="shared" si="39"/>
        <v>2026</v>
      </c>
      <c r="K1004" t="str">
        <f>VLOOKUP(G1004,METRICS!C:D,2,0)</f>
        <v>Taxas Financeiras Diversas</v>
      </c>
      <c r="L1004" t="str">
        <f>VLOOKUP(K1004,METRICS!D:E,2,0)</f>
        <v>TAXAS CARTÃO DE CRÉDITO</v>
      </c>
    </row>
    <row r="1005" spans="1:12" ht="15" hidden="1">
      <c r="A1005" t="s">
        <v>1028</v>
      </c>
      <c r="B1005" t="s">
        <v>689</v>
      </c>
      <c r="C1005" t="s">
        <v>690</v>
      </c>
      <c r="D1005" t="s">
        <v>733</v>
      </c>
      <c r="E1005" t="s">
        <v>734</v>
      </c>
      <c r="F1005" t="s">
        <v>1272</v>
      </c>
      <c r="G1005" t="s">
        <v>665</v>
      </c>
      <c r="H1005" s="595">
        <v>-2.64</v>
      </c>
      <c r="I1005" t="str">
        <f t="shared" si="41"/>
        <v>janeiro 2026</v>
      </c>
      <c r="J1005">
        <f t="shared" si="39"/>
        <v>2026</v>
      </c>
      <c r="K1005" t="str">
        <f>VLOOKUP(G1005,METRICS!C:D,2,0)</f>
        <v>Taxas Financeiras Diversas</v>
      </c>
      <c r="L1005" t="str">
        <f>VLOOKUP(K1005,METRICS!D:E,2,0)</f>
        <v>TAXAS CARTÃO DE CRÉDITO</v>
      </c>
    </row>
    <row r="1006" spans="1:12" ht="15" hidden="1">
      <c r="A1006" t="s">
        <v>1028</v>
      </c>
      <c r="B1006" t="s">
        <v>689</v>
      </c>
      <c r="C1006" t="s">
        <v>690</v>
      </c>
      <c r="D1006" t="s">
        <v>743</v>
      </c>
      <c r="E1006" t="s">
        <v>734</v>
      </c>
      <c r="F1006" t="s">
        <v>1272</v>
      </c>
      <c r="G1006" t="s">
        <v>665</v>
      </c>
      <c r="H1006" s="595">
        <v>-0.37</v>
      </c>
      <c r="I1006" t="str">
        <f t="shared" si="41"/>
        <v>janeiro 2026</v>
      </c>
      <c r="J1006">
        <f t="shared" si="39"/>
        <v>2026</v>
      </c>
      <c r="K1006" t="str">
        <f>VLOOKUP(G1006,METRICS!C:D,2,0)</f>
        <v>Taxas Financeiras Diversas</v>
      </c>
      <c r="L1006" t="str">
        <f>VLOOKUP(K1006,METRICS!D:E,2,0)</f>
        <v>TAXAS CARTÃO DE CRÉDITO</v>
      </c>
    </row>
    <row r="1007" spans="1:12" ht="15" hidden="1">
      <c r="A1007" t="s">
        <v>1028</v>
      </c>
      <c r="B1007" t="s">
        <v>689</v>
      </c>
      <c r="C1007" t="s">
        <v>690</v>
      </c>
      <c r="D1007" t="s">
        <v>743</v>
      </c>
      <c r="E1007" t="s">
        <v>734</v>
      </c>
      <c r="F1007" t="s">
        <v>1272</v>
      </c>
      <c r="G1007" t="s">
        <v>665</v>
      </c>
      <c r="H1007" s="595">
        <v>-13.07</v>
      </c>
      <c r="I1007" t="str">
        <f t="shared" si="41"/>
        <v>janeiro 2026</v>
      </c>
      <c r="J1007">
        <f t="shared" si="39"/>
        <v>2026</v>
      </c>
      <c r="K1007" t="str">
        <f>VLOOKUP(G1007,METRICS!C:D,2,0)</f>
        <v>Taxas Financeiras Diversas</v>
      </c>
      <c r="L1007" t="str">
        <f>VLOOKUP(K1007,METRICS!D:E,2,0)</f>
        <v>TAXAS CARTÃO DE CRÉDITO</v>
      </c>
    </row>
    <row r="1008" spans="1:12" ht="15" hidden="1">
      <c r="A1008" t="s">
        <v>1028</v>
      </c>
      <c r="B1008" t="s">
        <v>689</v>
      </c>
      <c r="C1008" t="s">
        <v>690</v>
      </c>
      <c r="D1008" t="s">
        <v>733</v>
      </c>
      <c r="E1008" t="s">
        <v>734</v>
      </c>
      <c r="F1008" t="s">
        <v>1272</v>
      </c>
      <c r="G1008" t="s">
        <v>665</v>
      </c>
      <c r="H1008" s="595">
        <v>-1.43</v>
      </c>
      <c r="I1008" t="str">
        <f t="shared" si="41"/>
        <v>janeiro 2026</v>
      </c>
      <c r="J1008">
        <f t="shared" si="39"/>
        <v>2026</v>
      </c>
      <c r="K1008" t="str">
        <f>VLOOKUP(G1008,METRICS!C:D,2,0)</f>
        <v>Taxas Financeiras Diversas</v>
      </c>
      <c r="L1008" t="str">
        <f>VLOOKUP(K1008,METRICS!D:E,2,0)</f>
        <v>TAXAS CARTÃO DE CRÉDITO</v>
      </c>
    </row>
    <row r="1009" spans="1:12" ht="15" hidden="1">
      <c r="A1009" t="s">
        <v>1028</v>
      </c>
      <c r="B1009" t="s">
        <v>689</v>
      </c>
      <c r="C1009" t="s">
        <v>690</v>
      </c>
      <c r="D1009" t="s">
        <v>743</v>
      </c>
      <c r="E1009" t="s">
        <v>734</v>
      </c>
      <c r="F1009" t="s">
        <v>1272</v>
      </c>
      <c r="G1009" t="s">
        <v>665</v>
      </c>
      <c r="H1009" s="595">
        <v>-26.57</v>
      </c>
      <c r="I1009" t="str">
        <f t="shared" si="41"/>
        <v>janeiro 2026</v>
      </c>
      <c r="J1009">
        <f t="shared" si="39"/>
        <v>2026</v>
      </c>
      <c r="K1009" t="str">
        <f>VLOOKUP(G1009,METRICS!C:D,2,0)</f>
        <v>Taxas Financeiras Diversas</v>
      </c>
      <c r="L1009" t="str">
        <f>VLOOKUP(K1009,METRICS!D:E,2,0)</f>
        <v>TAXAS CARTÃO DE CRÉDITO</v>
      </c>
    </row>
    <row r="1010" spans="1:12" ht="15" hidden="1">
      <c r="A1010" t="s">
        <v>1028</v>
      </c>
      <c r="B1010" t="s">
        <v>689</v>
      </c>
      <c r="C1010" t="s">
        <v>690</v>
      </c>
      <c r="D1010" t="s">
        <v>733</v>
      </c>
      <c r="E1010" t="s">
        <v>734</v>
      </c>
      <c r="F1010" t="s">
        <v>1272</v>
      </c>
      <c r="G1010" t="s">
        <v>665</v>
      </c>
      <c r="H1010" s="595">
        <v>-0.38</v>
      </c>
      <c r="I1010" t="str">
        <f t="shared" si="41"/>
        <v>janeiro 2026</v>
      </c>
      <c r="J1010">
        <f t="shared" si="39"/>
        <v>2026</v>
      </c>
      <c r="K1010" t="str">
        <f>VLOOKUP(G1010,METRICS!C:D,2,0)</f>
        <v>Taxas Financeiras Diversas</v>
      </c>
      <c r="L1010" t="str">
        <f>VLOOKUP(K1010,METRICS!D:E,2,0)</f>
        <v>TAXAS CARTÃO DE CRÉDITO</v>
      </c>
    </row>
    <row r="1011" spans="1:12" ht="15" hidden="1">
      <c r="A1011" t="s">
        <v>1028</v>
      </c>
      <c r="B1011" t="s">
        <v>689</v>
      </c>
      <c r="C1011" t="s">
        <v>690</v>
      </c>
      <c r="D1011" t="s">
        <v>733</v>
      </c>
      <c r="E1011" t="s">
        <v>734</v>
      </c>
      <c r="F1011" t="s">
        <v>1272</v>
      </c>
      <c r="G1011" t="s">
        <v>665</v>
      </c>
      <c r="H1011" s="595">
        <v>-12.15</v>
      </c>
      <c r="I1011" t="str">
        <f t="shared" si="41"/>
        <v>janeiro 2026</v>
      </c>
      <c r="J1011">
        <f t="shared" si="39"/>
        <v>2026</v>
      </c>
      <c r="K1011" t="str">
        <f>VLOOKUP(G1011,METRICS!C:D,2,0)</f>
        <v>Taxas Financeiras Diversas</v>
      </c>
      <c r="L1011" t="str">
        <f>VLOOKUP(K1011,METRICS!D:E,2,0)</f>
        <v>TAXAS CARTÃO DE CRÉDITO</v>
      </c>
    </row>
    <row r="1012" spans="1:12" ht="15" hidden="1">
      <c r="A1012" t="s">
        <v>1028</v>
      </c>
      <c r="B1012" t="s">
        <v>689</v>
      </c>
      <c r="C1012" t="s">
        <v>690</v>
      </c>
      <c r="D1012" t="s">
        <v>860</v>
      </c>
      <c r="E1012" t="s">
        <v>734</v>
      </c>
      <c r="F1012" t="s">
        <v>1272</v>
      </c>
      <c r="G1012" t="s">
        <v>665</v>
      </c>
      <c r="H1012" s="595">
        <v>-1.33</v>
      </c>
      <c r="I1012" t="str">
        <f t="shared" si="41"/>
        <v>janeiro 2026</v>
      </c>
      <c r="J1012">
        <f t="shared" si="39"/>
        <v>2026</v>
      </c>
      <c r="K1012" t="str">
        <f>VLOOKUP(G1012,METRICS!C:D,2,0)</f>
        <v>Taxas Financeiras Diversas</v>
      </c>
      <c r="L1012" t="str">
        <f>VLOOKUP(K1012,METRICS!D:E,2,0)</f>
        <v>TAXAS CARTÃO DE CRÉDITO</v>
      </c>
    </row>
    <row r="1013" spans="1:12" ht="15" hidden="1">
      <c r="A1013" t="s">
        <v>1028</v>
      </c>
      <c r="B1013" t="s">
        <v>689</v>
      </c>
      <c r="C1013" t="s">
        <v>690</v>
      </c>
      <c r="D1013" t="s">
        <v>733</v>
      </c>
      <c r="E1013" t="s">
        <v>734</v>
      </c>
      <c r="F1013" t="s">
        <v>1272</v>
      </c>
      <c r="G1013" t="s">
        <v>665</v>
      </c>
      <c r="H1013" s="595">
        <v>-6.42</v>
      </c>
      <c r="I1013" t="str">
        <f t="shared" si="41"/>
        <v>janeiro 2026</v>
      </c>
      <c r="J1013">
        <f t="shared" si="39"/>
        <v>2026</v>
      </c>
      <c r="K1013" t="str">
        <f>VLOOKUP(G1013,METRICS!C:D,2,0)</f>
        <v>Taxas Financeiras Diversas</v>
      </c>
      <c r="L1013" t="str">
        <f>VLOOKUP(K1013,METRICS!D:E,2,0)</f>
        <v>TAXAS CARTÃO DE CRÉDITO</v>
      </c>
    </row>
    <row r="1014" spans="1:12" ht="15" hidden="1">
      <c r="A1014" t="s">
        <v>1028</v>
      </c>
      <c r="B1014" t="s">
        <v>689</v>
      </c>
      <c r="C1014" t="s">
        <v>690</v>
      </c>
      <c r="D1014" t="s">
        <v>733</v>
      </c>
      <c r="E1014" t="s">
        <v>734</v>
      </c>
      <c r="F1014" t="s">
        <v>1272</v>
      </c>
      <c r="G1014" t="s">
        <v>665</v>
      </c>
      <c r="H1014" s="595">
        <v>-1.17</v>
      </c>
      <c r="I1014" t="str">
        <f t="shared" si="41"/>
        <v>janeiro 2026</v>
      </c>
      <c r="J1014">
        <f t="shared" ref="J1014:J1077" si="42">YEAR(A1014)</f>
        <v>2026</v>
      </c>
      <c r="K1014" t="str">
        <f>VLOOKUP(G1014,METRICS!C:D,2,0)</f>
        <v>Taxas Financeiras Diversas</v>
      </c>
      <c r="L1014" t="str">
        <f>VLOOKUP(K1014,METRICS!D:E,2,0)</f>
        <v>TAXAS CARTÃO DE CRÉDITO</v>
      </c>
    </row>
    <row r="1015" spans="1:12" ht="15" hidden="1">
      <c r="A1015" t="s">
        <v>1028</v>
      </c>
      <c r="B1015" t="s">
        <v>689</v>
      </c>
      <c r="C1015" t="s">
        <v>690</v>
      </c>
      <c r="D1015" t="s">
        <v>733</v>
      </c>
      <c r="E1015" t="s">
        <v>734</v>
      </c>
      <c r="F1015" t="s">
        <v>1272</v>
      </c>
      <c r="G1015" t="s">
        <v>665</v>
      </c>
      <c r="H1015" s="595">
        <v>-0.68</v>
      </c>
      <c r="I1015" t="str">
        <f t="shared" si="41"/>
        <v>janeiro 2026</v>
      </c>
      <c r="J1015">
        <f t="shared" si="42"/>
        <v>2026</v>
      </c>
      <c r="K1015" t="str">
        <f>VLOOKUP(G1015,METRICS!C:D,2,0)</f>
        <v>Taxas Financeiras Diversas</v>
      </c>
      <c r="L1015" t="str">
        <f>VLOOKUP(K1015,METRICS!D:E,2,0)</f>
        <v>TAXAS CARTÃO DE CRÉDITO</v>
      </c>
    </row>
    <row r="1016" spans="1:12" ht="15" hidden="1">
      <c r="A1016" t="s">
        <v>1028</v>
      </c>
      <c r="B1016" t="s">
        <v>689</v>
      </c>
      <c r="C1016" t="s">
        <v>690</v>
      </c>
      <c r="D1016" t="s">
        <v>733</v>
      </c>
      <c r="E1016" t="s">
        <v>734</v>
      </c>
      <c r="F1016" t="s">
        <v>1272</v>
      </c>
      <c r="G1016" t="s">
        <v>665</v>
      </c>
      <c r="H1016" s="595">
        <v>-14.53</v>
      </c>
      <c r="I1016" t="str">
        <f t="shared" si="41"/>
        <v>janeiro 2026</v>
      </c>
      <c r="J1016">
        <f t="shared" si="42"/>
        <v>2026</v>
      </c>
      <c r="K1016" t="str">
        <f>VLOOKUP(G1016,METRICS!C:D,2,0)</f>
        <v>Taxas Financeiras Diversas</v>
      </c>
      <c r="L1016" t="str">
        <f>VLOOKUP(K1016,METRICS!D:E,2,0)</f>
        <v>TAXAS CARTÃO DE CRÉDITO</v>
      </c>
    </row>
    <row r="1017" spans="1:12" ht="15" hidden="1">
      <c r="A1017" t="s">
        <v>1028</v>
      </c>
      <c r="B1017" t="s">
        <v>689</v>
      </c>
      <c r="C1017" t="s">
        <v>690</v>
      </c>
      <c r="D1017" t="s">
        <v>733</v>
      </c>
      <c r="E1017" t="s">
        <v>734</v>
      </c>
      <c r="F1017" t="s">
        <v>1272</v>
      </c>
      <c r="G1017" t="s">
        <v>665</v>
      </c>
      <c r="H1017" s="595">
        <v>-11.75</v>
      </c>
      <c r="I1017" t="str">
        <f t="shared" si="41"/>
        <v>janeiro 2026</v>
      </c>
      <c r="J1017">
        <f t="shared" si="42"/>
        <v>2026</v>
      </c>
      <c r="K1017" t="str">
        <f>VLOOKUP(G1017,METRICS!C:D,2,0)</f>
        <v>Taxas Financeiras Diversas</v>
      </c>
      <c r="L1017" t="str">
        <f>VLOOKUP(K1017,METRICS!D:E,2,0)</f>
        <v>TAXAS CARTÃO DE CRÉDITO</v>
      </c>
    </row>
    <row r="1018" spans="1:12" ht="15" hidden="1">
      <c r="A1018" t="s">
        <v>1028</v>
      </c>
      <c r="B1018" t="s">
        <v>689</v>
      </c>
      <c r="C1018" t="s">
        <v>690</v>
      </c>
      <c r="D1018" t="s">
        <v>733</v>
      </c>
      <c r="E1018" t="s">
        <v>734</v>
      </c>
      <c r="F1018" t="s">
        <v>1272</v>
      </c>
      <c r="G1018" t="s">
        <v>665</v>
      </c>
      <c r="H1018" s="595">
        <v>-24.16</v>
      </c>
      <c r="I1018" t="str">
        <f t="shared" si="41"/>
        <v>janeiro 2026</v>
      </c>
      <c r="J1018">
        <f t="shared" si="42"/>
        <v>2026</v>
      </c>
      <c r="K1018" t="str">
        <f>VLOOKUP(G1018,METRICS!C:D,2,0)</f>
        <v>Taxas Financeiras Diversas</v>
      </c>
      <c r="L1018" t="str">
        <f>VLOOKUP(K1018,METRICS!D:E,2,0)</f>
        <v>TAXAS CARTÃO DE CRÉDITO</v>
      </c>
    </row>
    <row r="1019" spans="1:12" ht="15" hidden="1">
      <c r="A1019" t="s">
        <v>1028</v>
      </c>
      <c r="B1019" t="s">
        <v>689</v>
      </c>
      <c r="C1019" t="s">
        <v>690</v>
      </c>
      <c r="D1019" t="s">
        <v>733</v>
      </c>
      <c r="E1019" t="s">
        <v>734</v>
      </c>
      <c r="F1019" t="s">
        <v>1272</v>
      </c>
      <c r="G1019" t="s">
        <v>665</v>
      </c>
      <c r="H1019" s="595">
        <v>-2.54</v>
      </c>
      <c r="I1019" t="str">
        <f t="shared" si="41"/>
        <v>janeiro 2026</v>
      </c>
      <c r="J1019">
        <f t="shared" si="42"/>
        <v>2026</v>
      </c>
      <c r="K1019" t="str">
        <f>VLOOKUP(G1019,METRICS!C:D,2,0)</f>
        <v>Taxas Financeiras Diversas</v>
      </c>
      <c r="L1019" t="str">
        <f>VLOOKUP(K1019,METRICS!D:E,2,0)</f>
        <v>TAXAS CARTÃO DE CRÉDITO</v>
      </c>
    </row>
    <row r="1020" spans="1:12" ht="15" hidden="1">
      <c r="A1020" t="s">
        <v>1028</v>
      </c>
      <c r="B1020" t="s">
        <v>689</v>
      </c>
      <c r="C1020" t="s">
        <v>690</v>
      </c>
      <c r="D1020" t="s">
        <v>733</v>
      </c>
      <c r="E1020" t="s">
        <v>734</v>
      </c>
      <c r="F1020" t="s">
        <v>1272</v>
      </c>
      <c r="G1020" t="s">
        <v>665</v>
      </c>
      <c r="H1020" s="595">
        <v>-7.3</v>
      </c>
      <c r="I1020" t="str">
        <f t="shared" si="41"/>
        <v>janeiro 2026</v>
      </c>
      <c r="J1020">
        <f t="shared" si="42"/>
        <v>2026</v>
      </c>
      <c r="K1020" t="str">
        <f>VLOOKUP(G1020,METRICS!C:D,2,0)</f>
        <v>Taxas Financeiras Diversas</v>
      </c>
      <c r="L1020" t="str">
        <f>VLOOKUP(K1020,METRICS!D:E,2,0)</f>
        <v>TAXAS CARTÃO DE CRÉDITO</v>
      </c>
    </row>
    <row r="1021" spans="1:12" ht="15" hidden="1">
      <c r="A1021" t="s">
        <v>1028</v>
      </c>
      <c r="B1021" t="s">
        <v>689</v>
      </c>
      <c r="C1021" t="s">
        <v>690</v>
      </c>
      <c r="D1021" t="s">
        <v>733</v>
      </c>
      <c r="E1021" t="s">
        <v>734</v>
      </c>
      <c r="F1021" t="s">
        <v>1272</v>
      </c>
      <c r="G1021" t="s">
        <v>665</v>
      </c>
      <c r="H1021" s="595">
        <v>-1.43</v>
      </c>
      <c r="I1021" t="str">
        <f t="shared" si="41"/>
        <v>janeiro 2026</v>
      </c>
      <c r="J1021">
        <f t="shared" si="42"/>
        <v>2026</v>
      </c>
      <c r="K1021" t="str">
        <f>VLOOKUP(G1021,METRICS!C:D,2,0)</f>
        <v>Taxas Financeiras Diversas</v>
      </c>
      <c r="L1021" t="str">
        <f>VLOOKUP(K1021,METRICS!D:E,2,0)</f>
        <v>TAXAS CARTÃO DE CRÉDITO</v>
      </c>
    </row>
    <row r="1022" spans="1:12" ht="15" hidden="1">
      <c r="A1022" t="s">
        <v>1028</v>
      </c>
      <c r="B1022" t="s">
        <v>689</v>
      </c>
      <c r="C1022" t="s">
        <v>690</v>
      </c>
      <c r="D1022" t="s">
        <v>743</v>
      </c>
      <c r="E1022" t="s">
        <v>734</v>
      </c>
      <c r="F1022" t="s">
        <v>1272</v>
      </c>
      <c r="G1022" t="s">
        <v>665</v>
      </c>
      <c r="H1022" s="595">
        <v>-1.1399999999999999</v>
      </c>
      <c r="I1022" t="str">
        <f t="shared" si="41"/>
        <v>janeiro 2026</v>
      </c>
      <c r="J1022">
        <f t="shared" si="42"/>
        <v>2026</v>
      </c>
      <c r="K1022" t="str">
        <f>VLOOKUP(G1022,METRICS!C:D,2,0)</f>
        <v>Taxas Financeiras Diversas</v>
      </c>
      <c r="L1022" t="str">
        <f>VLOOKUP(K1022,METRICS!D:E,2,0)</f>
        <v>TAXAS CARTÃO DE CRÉDITO</v>
      </c>
    </row>
    <row r="1023" spans="1:12" ht="15" hidden="1">
      <c r="A1023" t="s">
        <v>1028</v>
      </c>
      <c r="B1023" t="s">
        <v>689</v>
      </c>
      <c r="C1023" t="s">
        <v>690</v>
      </c>
      <c r="D1023" t="s">
        <v>733</v>
      </c>
      <c r="E1023" t="s">
        <v>734</v>
      </c>
      <c r="F1023" t="s">
        <v>1272</v>
      </c>
      <c r="G1023" t="s">
        <v>665</v>
      </c>
      <c r="H1023" s="595">
        <v>-0.74</v>
      </c>
      <c r="I1023" t="str">
        <f t="shared" si="41"/>
        <v>janeiro 2026</v>
      </c>
      <c r="J1023">
        <f t="shared" si="42"/>
        <v>2026</v>
      </c>
      <c r="K1023" t="str">
        <f>VLOOKUP(G1023,METRICS!C:D,2,0)</f>
        <v>Taxas Financeiras Diversas</v>
      </c>
      <c r="L1023" t="str">
        <f>VLOOKUP(K1023,METRICS!D:E,2,0)</f>
        <v>TAXAS CARTÃO DE CRÉDITO</v>
      </c>
    </row>
    <row r="1024" spans="1:12" ht="15" hidden="1">
      <c r="A1024" t="s">
        <v>1028</v>
      </c>
      <c r="B1024" t="s">
        <v>689</v>
      </c>
      <c r="C1024" t="s">
        <v>690</v>
      </c>
      <c r="D1024" t="s">
        <v>743</v>
      </c>
      <c r="E1024" t="s">
        <v>734</v>
      </c>
      <c r="F1024" t="s">
        <v>1272</v>
      </c>
      <c r="G1024" t="s">
        <v>665</v>
      </c>
      <c r="H1024" s="595">
        <v>-10.24</v>
      </c>
      <c r="I1024" t="str">
        <f t="shared" si="41"/>
        <v>janeiro 2026</v>
      </c>
      <c r="J1024">
        <f t="shared" si="42"/>
        <v>2026</v>
      </c>
      <c r="K1024" t="str">
        <f>VLOOKUP(G1024,METRICS!C:D,2,0)</f>
        <v>Taxas Financeiras Diversas</v>
      </c>
      <c r="L1024" t="str">
        <f>VLOOKUP(K1024,METRICS!D:E,2,0)</f>
        <v>TAXAS CARTÃO DE CRÉDITO</v>
      </c>
    </row>
    <row r="1025" spans="1:12" ht="15" hidden="1">
      <c r="A1025" t="s">
        <v>1028</v>
      </c>
      <c r="B1025" t="s">
        <v>689</v>
      </c>
      <c r="C1025" t="s">
        <v>690</v>
      </c>
      <c r="D1025" t="s">
        <v>743</v>
      </c>
      <c r="E1025" t="s">
        <v>734</v>
      </c>
      <c r="F1025" t="s">
        <v>1272</v>
      </c>
      <c r="G1025" t="s">
        <v>665</v>
      </c>
      <c r="H1025" s="595">
        <v>-6.64</v>
      </c>
      <c r="I1025" t="str">
        <f t="shared" si="41"/>
        <v>janeiro 2026</v>
      </c>
      <c r="J1025">
        <f t="shared" si="42"/>
        <v>2026</v>
      </c>
      <c r="K1025" t="str">
        <f>VLOOKUP(G1025,METRICS!C:D,2,0)</f>
        <v>Taxas Financeiras Diversas</v>
      </c>
      <c r="L1025" t="str">
        <f>VLOOKUP(K1025,METRICS!D:E,2,0)</f>
        <v>TAXAS CARTÃO DE CRÉDITO</v>
      </c>
    </row>
    <row r="1026" spans="1:12" ht="15" hidden="1">
      <c r="A1026" t="s">
        <v>1028</v>
      </c>
      <c r="B1026" t="s">
        <v>689</v>
      </c>
      <c r="C1026" t="s">
        <v>690</v>
      </c>
      <c r="D1026" t="s">
        <v>743</v>
      </c>
      <c r="E1026" t="s">
        <v>734</v>
      </c>
      <c r="F1026" t="s">
        <v>1272</v>
      </c>
      <c r="G1026" t="s">
        <v>665</v>
      </c>
      <c r="H1026" s="595">
        <v>-9.7899999999999991</v>
      </c>
      <c r="I1026" t="str">
        <f t="shared" si="41"/>
        <v>janeiro 2026</v>
      </c>
      <c r="J1026">
        <f t="shared" si="42"/>
        <v>2026</v>
      </c>
      <c r="K1026" t="str">
        <f>VLOOKUP(G1026,METRICS!C:D,2,0)</f>
        <v>Taxas Financeiras Diversas</v>
      </c>
      <c r="L1026" t="str">
        <f>VLOOKUP(K1026,METRICS!D:E,2,0)</f>
        <v>TAXAS CARTÃO DE CRÉDITO</v>
      </c>
    </row>
    <row r="1027" spans="1:12" ht="15" hidden="1">
      <c r="A1027" t="s">
        <v>1028</v>
      </c>
      <c r="B1027" t="s">
        <v>689</v>
      </c>
      <c r="C1027" t="s">
        <v>690</v>
      </c>
      <c r="D1027" t="s">
        <v>743</v>
      </c>
      <c r="E1027" t="s">
        <v>734</v>
      </c>
      <c r="F1027" t="s">
        <v>1272</v>
      </c>
      <c r="G1027" t="s">
        <v>665</v>
      </c>
      <c r="H1027" s="595">
        <v>-1.43</v>
      </c>
      <c r="I1027" t="str">
        <f t="shared" si="41"/>
        <v>janeiro 2026</v>
      </c>
      <c r="J1027">
        <f t="shared" si="42"/>
        <v>2026</v>
      </c>
      <c r="K1027" t="str">
        <f>VLOOKUP(G1027,METRICS!C:D,2,0)</f>
        <v>Taxas Financeiras Diversas</v>
      </c>
      <c r="L1027" t="str">
        <f>VLOOKUP(K1027,METRICS!D:E,2,0)</f>
        <v>TAXAS CARTÃO DE CRÉDITO</v>
      </c>
    </row>
    <row r="1028" spans="1:12" ht="15" hidden="1">
      <c r="A1028" t="s">
        <v>1028</v>
      </c>
      <c r="B1028" t="s">
        <v>689</v>
      </c>
      <c r="C1028" t="s">
        <v>690</v>
      </c>
      <c r="D1028" t="s">
        <v>733</v>
      </c>
      <c r="E1028" t="s">
        <v>734</v>
      </c>
      <c r="F1028" t="s">
        <v>1272</v>
      </c>
      <c r="G1028" t="s">
        <v>665</v>
      </c>
      <c r="H1028" s="595">
        <v>-9.16</v>
      </c>
      <c r="I1028" t="str">
        <f t="shared" ref="I1028:I1065" si="43">TEXT(A1028, "mmmm aaaa")</f>
        <v>janeiro 2026</v>
      </c>
      <c r="J1028">
        <f t="shared" si="42"/>
        <v>2026</v>
      </c>
      <c r="K1028" t="str">
        <f>VLOOKUP(G1028,METRICS!C:D,2,0)</f>
        <v>Taxas Financeiras Diversas</v>
      </c>
      <c r="L1028" t="str">
        <f>VLOOKUP(K1028,METRICS!D:E,2,0)</f>
        <v>TAXAS CARTÃO DE CRÉDITO</v>
      </c>
    </row>
    <row r="1029" spans="1:12" ht="15" hidden="1">
      <c r="A1029" t="s">
        <v>1028</v>
      </c>
      <c r="B1029" t="s">
        <v>689</v>
      </c>
      <c r="C1029" t="s">
        <v>690</v>
      </c>
      <c r="D1029" t="s">
        <v>743</v>
      </c>
      <c r="E1029" t="s">
        <v>734</v>
      </c>
      <c r="F1029" t="s">
        <v>1272</v>
      </c>
      <c r="G1029" t="s">
        <v>665</v>
      </c>
      <c r="H1029" s="595">
        <v>-14.2</v>
      </c>
      <c r="I1029" t="str">
        <f t="shared" si="43"/>
        <v>janeiro 2026</v>
      </c>
      <c r="J1029">
        <f t="shared" si="42"/>
        <v>2026</v>
      </c>
      <c r="K1029" t="str">
        <f>VLOOKUP(G1029,METRICS!C:D,2,0)</f>
        <v>Taxas Financeiras Diversas</v>
      </c>
      <c r="L1029" t="str">
        <f>VLOOKUP(K1029,METRICS!D:E,2,0)</f>
        <v>TAXAS CARTÃO DE CRÉDITO</v>
      </c>
    </row>
    <row r="1030" spans="1:12" ht="15" hidden="1">
      <c r="A1030" t="s">
        <v>1028</v>
      </c>
      <c r="B1030" t="s">
        <v>689</v>
      </c>
      <c r="C1030" t="s">
        <v>690</v>
      </c>
      <c r="D1030" t="s">
        <v>733</v>
      </c>
      <c r="E1030" t="s">
        <v>734</v>
      </c>
      <c r="F1030" t="s">
        <v>1272</v>
      </c>
      <c r="G1030" t="s">
        <v>665</v>
      </c>
      <c r="H1030" s="595">
        <v>-2.72</v>
      </c>
      <c r="I1030" t="str">
        <f t="shared" si="43"/>
        <v>janeiro 2026</v>
      </c>
      <c r="J1030">
        <f t="shared" si="42"/>
        <v>2026</v>
      </c>
      <c r="K1030" t="str">
        <f>VLOOKUP(G1030,METRICS!C:D,2,0)</f>
        <v>Taxas Financeiras Diversas</v>
      </c>
      <c r="L1030" t="str">
        <f>VLOOKUP(K1030,METRICS!D:E,2,0)</f>
        <v>TAXAS CARTÃO DE CRÉDITO</v>
      </c>
    </row>
    <row r="1031" spans="1:12" ht="15" hidden="1">
      <c r="A1031" t="s">
        <v>1028</v>
      </c>
      <c r="B1031" t="s">
        <v>689</v>
      </c>
      <c r="C1031" t="s">
        <v>690</v>
      </c>
      <c r="D1031" t="s">
        <v>733</v>
      </c>
      <c r="E1031" t="s">
        <v>734</v>
      </c>
      <c r="F1031" t="s">
        <v>1272</v>
      </c>
      <c r="G1031" t="s">
        <v>665</v>
      </c>
      <c r="H1031" s="595">
        <v>-2.5499999999999998</v>
      </c>
      <c r="I1031" t="str">
        <f t="shared" si="43"/>
        <v>janeiro 2026</v>
      </c>
      <c r="J1031">
        <f t="shared" si="42"/>
        <v>2026</v>
      </c>
      <c r="K1031" t="str">
        <f>VLOOKUP(G1031,METRICS!C:D,2,0)</f>
        <v>Taxas Financeiras Diversas</v>
      </c>
      <c r="L1031" t="str">
        <f>VLOOKUP(K1031,METRICS!D:E,2,0)</f>
        <v>TAXAS CARTÃO DE CRÉDITO</v>
      </c>
    </row>
    <row r="1032" spans="1:12" ht="15" hidden="1">
      <c r="A1032" t="s">
        <v>1028</v>
      </c>
      <c r="B1032" t="s">
        <v>689</v>
      </c>
      <c r="C1032" t="s">
        <v>690</v>
      </c>
      <c r="D1032" t="s">
        <v>733</v>
      </c>
      <c r="E1032" t="s">
        <v>734</v>
      </c>
      <c r="F1032" t="s">
        <v>1272</v>
      </c>
      <c r="G1032" t="s">
        <v>665</v>
      </c>
      <c r="H1032" s="595">
        <v>-8.11</v>
      </c>
      <c r="I1032" t="str">
        <f t="shared" si="43"/>
        <v>janeiro 2026</v>
      </c>
      <c r="J1032">
        <f t="shared" si="42"/>
        <v>2026</v>
      </c>
      <c r="K1032" t="str">
        <f>VLOOKUP(G1032,METRICS!C:D,2,0)</f>
        <v>Taxas Financeiras Diversas</v>
      </c>
      <c r="L1032" t="str">
        <f>VLOOKUP(K1032,METRICS!D:E,2,0)</f>
        <v>TAXAS CARTÃO DE CRÉDITO</v>
      </c>
    </row>
    <row r="1033" spans="1:12" ht="15" hidden="1">
      <c r="A1033" t="s">
        <v>1028</v>
      </c>
      <c r="B1033" t="s">
        <v>689</v>
      </c>
      <c r="C1033" t="s">
        <v>690</v>
      </c>
      <c r="D1033" t="s">
        <v>733</v>
      </c>
      <c r="E1033" t="s">
        <v>734</v>
      </c>
      <c r="F1033" t="s">
        <v>1272</v>
      </c>
      <c r="G1033" t="s">
        <v>665</v>
      </c>
      <c r="H1033" s="595">
        <v>-5.67</v>
      </c>
      <c r="I1033" t="str">
        <f t="shared" si="43"/>
        <v>janeiro 2026</v>
      </c>
      <c r="J1033">
        <f t="shared" si="42"/>
        <v>2026</v>
      </c>
      <c r="K1033" t="str">
        <f>VLOOKUP(G1033,METRICS!C:D,2,0)</f>
        <v>Taxas Financeiras Diversas</v>
      </c>
      <c r="L1033" t="str">
        <f>VLOOKUP(K1033,METRICS!D:E,2,0)</f>
        <v>TAXAS CARTÃO DE CRÉDITO</v>
      </c>
    </row>
    <row r="1034" spans="1:12" ht="15" hidden="1">
      <c r="A1034" t="s">
        <v>1028</v>
      </c>
      <c r="B1034" t="s">
        <v>689</v>
      </c>
      <c r="C1034" t="s">
        <v>690</v>
      </c>
      <c r="D1034" t="s">
        <v>733</v>
      </c>
      <c r="E1034" t="s">
        <v>734</v>
      </c>
      <c r="F1034" t="s">
        <v>1272</v>
      </c>
      <c r="G1034" t="s">
        <v>665</v>
      </c>
      <c r="H1034" s="595">
        <v>-3.58</v>
      </c>
      <c r="I1034" t="str">
        <f t="shared" si="43"/>
        <v>janeiro 2026</v>
      </c>
      <c r="J1034">
        <f t="shared" si="42"/>
        <v>2026</v>
      </c>
      <c r="K1034" t="str">
        <f>VLOOKUP(G1034,METRICS!C:D,2,0)</f>
        <v>Taxas Financeiras Diversas</v>
      </c>
      <c r="L1034" t="str">
        <f>VLOOKUP(K1034,METRICS!D:E,2,0)</f>
        <v>TAXAS CARTÃO DE CRÉDITO</v>
      </c>
    </row>
    <row r="1035" spans="1:12" ht="15" hidden="1">
      <c r="A1035" t="s">
        <v>1028</v>
      </c>
      <c r="B1035" t="s">
        <v>689</v>
      </c>
      <c r="C1035" t="s">
        <v>690</v>
      </c>
      <c r="D1035" t="s">
        <v>733</v>
      </c>
      <c r="E1035" t="s">
        <v>734</v>
      </c>
      <c r="F1035" t="s">
        <v>1272</v>
      </c>
      <c r="G1035" t="s">
        <v>665</v>
      </c>
      <c r="H1035" s="595">
        <v>-10.42</v>
      </c>
      <c r="I1035" t="str">
        <f t="shared" si="43"/>
        <v>janeiro 2026</v>
      </c>
      <c r="J1035">
        <f t="shared" si="42"/>
        <v>2026</v>
      </c>
      <c r="K1035" t="str">
        <f>VLOOKUP(G1035,METRICS!C:D,2,0)</f>
        <v>Taxas Financeiras Diversas</v>
      </c>
      <c r="L1035" t="str">
        <f>VLOOKUP(K1035,METRICS!D:E,2,0)</f>
        <v>TAXAS CARTÃO DE CRÉDITO</v>
      </c>
    </row>
    <row r="1036" spans="1:12" ht="15" hidden="1">
      <c r="A1036" t="s">
        <v>1028</v>
      </c>
      <c r="B1036" t="s">
        <v>689</v>
      </c>
      <c r="C1036" t="s">
        <v>690</v>
      </c>
      <c r="D1036" t="s">
        <v>733</v>
      </c>
      <c r="E1036" t="s">
        <v>734</v>
      </c>
      <c r="F1036" t="s">
        <v>1272</v>
      </c>
      <c r="G1036" t="s">
        <v>665</v>
      </c>
      <c r="H1036" s="595">
        <v>-6.36</v>
      </c>
      <c r="I1036" t="str">
        <f t="shared" si="43"/>
        <v>janeiro 2026</v>
      </c>
      <c r="J1036">
        <f t="shared" si="42"/>
        <v>2026</v>
      </c>
      <c r="K1036" t="str">
        <f>VLOOKUP(G1036,METRICS!C:D,2,0)</f>
        <v>Taxas Financeiras Diversas</v>
      </c>
      <c r="L1036" t="str">
        <f>VLOOKUP(K1036,METRICS!D:E,2,0)</f>
        <v>TAXAS CARTÃO DE CRÉDITO</v>
      </c>
    </row>
    <row r="1037" spans="1:12" ht="15" hidden="1">
      <c r="A1037" t="s">
        <v>1028</v>
      </c>
      <c r="B1037" t="s">
        <v>689</v>
      </c>
      <c r="C1037" t="s">
        <v>690</v>
      </c>
      <c r="D1037" t="s">
        <v>733</v>
      </c>
      <c r="E1037" t="s">
        <v>734</v>
      </c>
      <c r="F1037" t="s">
        <v>1272</v>
      </c>
      <c r="G1037" t="s">
        <v>665</v>
      </c>
      <c r="H1037" s="595">
        <v>-3.85</v>
      </c>
      <c r="I1037" t="str">
        <f t="shared" si="43"/>
        <v>janeiro 2026</v>
      </c>
      <c r="J1037">
        <f t="shared" si="42"/>
        <v>2026</v>
      </c>
      <c r="K1037" t="str">
        <f>VLOOKUP(G1037,METRICS!C:D,2,0)</f>
        <v>Taxas Financeiras Diversas</v>
      </c>
      <c r="L1037" t="str">
        <f>VLOOKUP(K1037,METRICS!D:E,2,0)</f>
        <v>TAXAS CARTÃO DE CRÉDITO</v>
      </c>
    </row>
    <row r="1038" spans="1:12" ht="15" hidden="1">
      <c r="A1038" t="s">
        <v>1028</v>
      </c>
      <c r="B1038" t="s">
        <v>689</v>
      </c>
      <c r="C1038" t="s">
        <v>690</v>
      </c>
      <c r="D1038" t="s">
        <v>733</v>
      </c>
      <c r="E1038" t="s">
        <v>734</v>
      </c>
      <c r="F1038" t="s">
        <v>1272</v>
      </c>
      <c r="G1038" t="s">
        <v>665</v>
      </c>
      <c r="H1038" s="595">
        <v>-6.19</v>
      </c>
      <c r="I1038" t="str">
        <f t="shared" si="43"/>
        <v>janeiro 2026</v>
      </c>
      <c r="J1038">
        <f t="shared" si="42"/>
        <v>2026</v>
      </c>
      <c r="K1038" t="str">
        <f>VLOOKUP(G1038,METRICS!C:D,2,0)</f>
        <v>Taxas Financeiras Diversas</v>
      </c>
      <c r="L1038" t="str">
        <f>VLOOKUP(K1038,METRICS!D:E,2,0)</f>
        <v>TAXAS CARTÃO DE CRÉDITO</v>
      </c>
    </row>
    <row r="1039" spans="1:12" ht="15" hidden="1">
      <c r="A1039" t="s">
        <v>1028</v>
      </c>
      <c r="B1039" t="s">
        <v>689</v>
      </c>
      <c r="C1039" t="s">
        <v>690</v>
      </c>
      <c r="D1039" t="s">
        <v>733</v>
      </c>
      <c r="E1039" t="s">
        <v>734</v>
      </c>
      <c r="F1039" t="s">
        <v>1272</v>
      </c>
      <c r="G1039" t="s">
        <v>665</v>
      </c>
      <c r="H1039" s="595">
        <v>-4.2300000000000004</v>
      </c>
      <c r="I1039" t="str">
        <f t="shared" si="43"/>
        <v>janeiro 2026</v>
      </c>
      <c r="J1039">
        <f t="shared" si="42"/>
        <v>2026</v>
      </c>
      <c r="K1039" t="str">
        <f>VLOOKUP(G1039,METRICS!C:D,2,0)</f>
        <v>Taxas Financeiras Diversas</v>
      </c>
      <c r="L1039" t="str">
        <f>VLOOKUP(K1039,METRICS!D:E,2,0)</f>
        <v>TAXAS CARTÃO DE CRÉDITO</v>
      </c>
    </row>
    <row r="1040" spans="1:12" ht="15" hidden="1">
      <c r="A1040" t="s">
        <v>1028</v>
      </c>
      <c r="B1040" t="s">
        <v>689</v>
      </c>
      <c r="C1040" t="s">
        <v>690</v>
      </c>
      <c r="D1040" t="s">
        <v>733</v>
      </c>
      <c r="E1040" t="s">
        <v>734</v>
      </c>
      <c r="F1040" t="s">
        <v>1272</v>
      </c>
      <c r="G1040" t="s">
        <v>665</v>
      </c>
      <c r="H1040" s="595">
        <v>-0.31</v>
      </c>
      <c r="I1040" t="str">
        <f t="shared" si="43"/>
        <v>janeiro 2026</v>
      </c>
      <c r="J1040">
        <f t="shared" si="42"/>
        <v>2026</v>
      </c>
      <c r="K1040" t="str">
        <f>VLOOKUP(G1040,METRICS!C:D,2,0)</f>
        <v>Taxas Financeiras Diversas</v>
      </c>
      <c r="L1040" t="str">
        <f>VLOOKUP(K1040,METRICS!D:E,2,0)</f>
        <v>TAXAS CARTÃO DE CRÉDITO</v>
      </c>
    </row>
    <row r="1041" spans="1:12" ht="15" hidden="1">
      <c r="A1041" t="s">
        <v>1028</v>
      </c>
      <c r="B1041" t="s">
        <v>689</v>
      </c>
      <c r="C1041" t="s">
        <v>690</v>
      </c>
      <c r="D1041" t="s">
        <v>733</v>
      </c>
      <c r="E1041" t="s">
        <v>734</v>
      </c>
      <c r="F1041" t="s">
        <v>1272</v>
      </c>
      <c r="G1041" t="s">
        <v>665</v>
      </c>
      <c r="H1041" s="595">
        <v>-0.86</v>
      </c>
      <c r="I1041" t="str">
        <f t="shared" si="43"/>
        <v>janeiro 2026</v>
      </c>
      <c r="J1041">
        <f t="shared" si="42"/>
        <v>2026</v>
      </c>
      <c r="K1041" t="str">
        <f>VLOOKUP(G1041,METRICS!C:D,2,0)</f>
        <v>Taxas Financeiras Diversas</v>
      </c>
      <c r="L1041" t="str">
        <f>VLOOKUP(K1041,METRICS!D:E,2,0)</f>
        <v>TAXAS CARTÃO DE CRÉDITO</v>
      </c>
    </row>
    <row r="1042" spans="1:12" ht="15" hidden="1">
      <c r="A1042" t="s">
        <v>1028</v>
      </c>
      <c r="B1042" t="s">
        <v>689</v>
      </c>
      <c r="C1042" t="s">
        <v>690</v>
      </c>
      <c r="D1042" t="s">
        <v>733</v>
      </c>
      <c r="E1042" t="s">
        <v>734</v>
      </c>
      <c r="F1042" t="s">
        <v>1272</v>
      </c>
      <c r="G1042" t="s">
        <v>665</v>
      </c>
      <c r="H1042" s="595">
        <v>-5.57</v>
      </c>
      <c r="I1042" t="str">
        <f t="shared" si="43"/>
        <v>janeiro 2026</v>
      </c>
      <c r="J1042">
        <f t="shared" si="42"/>
        <v>2026</v>
      </c>
      <c r="K1042" t="str">
        <f>VLOOKUP(G1042,METRICS!C:D,2,0)</f>
        <v>Taxas Financeiras Diversas</v>
      </c>
      <c r="L1042" t="str">
        <f>VLOOKUP(K1042,METRICS!D:E,2,0)</f>
        <v>TAXAS CARTÃO DE CRÉDITO</v>
      </c>
    </row>
    <row r="1043" spans="1:12" ht="15" hidden="1">
      <c r="A1043" t="s">
        <v>1028</v>
      </c>
      <c r="B1043" t="s">
        <v>689</v>
      </c>
      <c r="C1043" t="s">
        <v>690</v>
      </c>
      <c r="D1043" t="s">
        <v>733</v>
      </c>
      <c r="E1043" t="s">
        <v>734</v>
      </c>
      <c r="F1043" t="s">
        <v>1272</v>
      </c>
      <c r="G1043" t="s">
        <v>665</v>
      </c>
      <c r="H1043" s="595">
        <v>-2.71</v>
      </c>
      <c r="I1043" t="str">
        <f t="shared" si="43"/>
        <v>janeiro 2026</v>
      </c>
      <c r="J1043">
        <f t="shared" si="42"/>
        <v>2026</v>
      </c>
      <c r="K1043" t="str">
        <f>VLOOKUP(G1043,METRICS!C:D,2,0)</f>
        <v>Taxas Financeiras Diversas</v>
      </c>
      <c r="L1043" t="str">
        <f>VLOOKUP(K1043,METRICS!D:E,2,0)</f>
        <v>TAXAS CARTÃO DE CRÉDITO</v>
      </c>
    </row>
    <row r="1044" spans="1:12" ht="15" hidden="1">
      <c r="A1044" t="s">
        <v>1028</v>
      </c>
      <c r="B1044" t="s">
        <v>689</v>
      </c>
      <c r="C1044" t="s">
        <v>690</v>
      </c>
      <c r="D1044" t="s">
        <v>733</v>
      </c>
      <c r="E1044" t="s">
        <v>734</v>
      </c>
      <c r="F1044" t="s">
        <v>1272</v>
      </c>
      <c r="G1044" t="s">
        <v>665</v>
      </c>
      <c r="H1044" s="595">
        <v>-10.55</v>
      </c>
      <c r="I1044" t="str">
        <f t="shared" si="43"/>
        <v>janeiro 2026</v>
      </c>
      <c r="J1044">
        <f t="shared" si="42"/>
        <v>2026</v>
      </c>
      <c r="K1044" t="str">
        <f>VLOOKUP(G1044,METRICS!C:D,2,0)</f>
        <v>Taxas Financeiras Diversas</v>
      </c>
      <c r="L1044" t="str">
        <f>VLOOKUP(K1044,METRICS!D:E,2,0)</f>
        <v>TAXAS CARTÃO DE CRÉDITO</v>
      </c>
    </row>
    <row r="1045" spans="1:12" ht="15" hidden="1">
      <c r="A1045" t="s">
        <v>1028</v>
      </c>
      <c r="B1045" t="s">
        <v>689</v>
      </c>
      <c r="C1045" t="s">
        <v>690</v>
      </c>
      <c r="D1045" t="s">
        <v>733</v>
      </c>
      <c r="E1045" t="s">
        <v>734</v>
      </c>
      <c r="F1045" t="s">
        <v>1272</v>
      </c>
      <c r="G1045" t="s">
        <v>665</v>
      </c>
      <c r="H1045" s="595">
        <v>-4.87</v>
      </c>
      <c r="I1045" t="str">
        <f t="shared" si="43"/>
        <v>janeiro 2026</v>
      </c>
      <c r="J1045">
        <f t="shared" si="42"/>
        <v>2026</v>
      </c>
      <c r="K1045" t="str">
        <f>VLOOKUP(G1045,METRICS!C:D,2,0)</f>
        <v>Taxas Financeiras Diversas</v>
      </c>
      <c r="L1045" t="str">
        <f>VLOOKUP(K1045,METRICS!D:E,2,0)</f>
        <v>TAXAS CARTÃO DE CRÉDITO</v>
      </c>
    </row>
    <row r="1046" spans="1:12" ht="15" hidden="1">
      <c r="A1046" t="s">
        <v>1028</v>
      </c>
      <c r="B1046" t="s">
        <v>689</v>
      </c>
      <c r="C1046" t="s">
        <v>690</v>
      </c>
      <c r="D1046" t="s">
        <v>733</v>
      </c>
      <c r="E1046" t="s">
        <v>734</v>
      </c>
      <c r="F1046" t="s">
        <v>1272</v>
      </c>
      <c r="G1046" t="s">
        <v>665</v>
      </c>
      <c r="H1046" s="595">
        <v>-19.37</v>
      </c>
      <c r="I1046" t="str">
        <f t="shared" si="43"/>
        <v>janeiro 2026</v>
      </c>
      <c r="J1046">
        <f t="shared" si="42"/>
        <v>2026</v>
      </c>
      <c r="K1046" t="str">
        <f>VLOOKUP(G1046,METRICS!C:D,2,0)</f>
        <v>Taxas Financeiras Diversas</v>
      </c>
      <c r="L1046" t="str">
        <f>VLOOKUP(K1046,METRICS!D:E,2,0)</f>
        <v>TAXAS CARTÃO DE CRÉDITO</v>
      </c>
    </row>
    <row r="1047" spans="1:12" ht="15" hidden="1">
      <c r="A1047" t="s">
        <v>1028</v>
      </c>
      <c r="B1047" t="s">
        <v>689</v>
      </c>
      <c r="C1047" t="s">
        <v>690</v>
      </c>
      <c r="D1047" t="s">
        <v>743</v>
      </c>
      <c r="E1047" t="s">
        <v>734</v>
      </c>
      <c r="F1047" t="s">
        <v>1272</v>
      </c>
      <c r="G1047" t="s">
        <v>665</v>
      </c>
      <c r="H1047" s="595">
        <v>-10.72</v>
      </c>
      <c r="I1047" t="str">
        <f t="shared" si="43"/>
        <v>janeiro 2026</v>
      </c>
      <c r="J1047">
        <f t="shared" si="42"/>
        <v>2026</v>
      </c>
      <c r="K1047" t="str">
        <f>VLOOKUP(G1047,METRICS!C:D,2,0)</f>
        <v>Taxas Financeiras Diversas</v>
      </c>
      <c r="L1047" t="str">
        <f>VLOOKUP(K1047,METRICS!D:E,2,0)</f>
        <v>TAXAS CARTÃO DE CRÉDITO</v>
      </c>
    </row>
    <row r="1048" spans="1:12" ht="15" hidden="1">
      <c r="A1048" t="s">
        <v>1028</v>
      </c>
      <c r="B1048" t="s">
        <v>689</v>
      </c>
      <c r="C1048" t="s">
        <v>690</v>
      </c>
      <c r="D1048" t="s">
        <v>733</v>
      </c>
      <c r="E1048" t="s">
        <v>734</v>
      </c>
      <c r="F1048" t="s">
        <v>1272</v>
      </c>
      <c r="G1048" t="s">
        <v>665</v>
      </c>
      <c r="H1048" s="595">
        <v>-1.22</v>
      </c>
      <c r="I1048" t="str">
        <f t="shared" si="43"/>
        <v>janeiro 2026</v>
      </c>
      <c r="J1048">
        <f t="shared" si="42"/>
        <v>2026</v>
      </c>
      <c r="K1048" t="str">
        <f>VLOOKUP(G1048,METRICS!C:D,2,0)</f>
        <v>Taxas Financeiras Diversas</v>
      </c>
      <c r="L1048" t="str">
        <f>VLOOKUP(K1048,METRICS!D:E,2,0)</f>
        <v>TAXAS CARTÃO DE CRÉDITO</v>
      </c>
    </row>
    <row r="1049" spans="1:12" ht="15" hidden="1">
      <c r="A1049" t="s">
        <v>1028</v>
      </c>
      <c r="B1049" t="s">
        <v>689</v>
      </c>
      <c r="C1049" t="s">
        <v>690</v>
      </c>
      <c r="D1049" t="s">
        <v>743</v>
      </c>
      <c r="E1049" t="s">
        <v>734</v>
      </c>
      <c r="F1049" t="s">
        <v>1272</v>
      </c>
      <c r="G1049" t="s">
        <v>665</v>
      </c>
      <c r="H1049" s="595">
        <v>-8.01</v>
      </c>
      <c r="I1049" t="str">
        <f t="shared" si="43"/>
        <v>janeiro 2026</v>
      </c>
      <c r="J1049">
        <f t="shared" si="42"/>
        <v>2026</v>
      </c>
      <c r="K1049" t="str">
        <f>VLOOKUP(G1049,METRICS!C:D,2,0)</f>
        <v>Taxas Financeiras Diversas</v>
      </c>
      <c r="L1049" t="str">
        <f>VLOOKUP(K1049,METRICS!D:E,2,0)</f>
        <v>TAXAS CARTÃO DE CRÉDITO</v>
      </c>
    </row>
    <row r="1050" spans="1:12" ht="15" hidden="1">
      <c r="A1050" t="s">
        <v>1028</v>
      </c>
      <c r="B1050" t="s">
        <v>689</v>
      </c>
      <c r="C1050" t="s">
        <v>690</v>
      </c>
      <c r="D1050" t="s">
        <v>733</v>
      </c>
      <c r="E1050" t="s">
        <v>734</v>
      </c>
      <c r="F1050" t="s">
        <v>1272</v>
      </c>
      <c r="G1050" t="s">
        <v>665</v>
      </c>
      <c r="H1050" s="595">
        <v>-0.28999999999999998</v>
      </c>
      <c r="I1050" t="str">
        <f t="shared" si="43"/>
        <v>janeiro 2026</v>
      </c>
      <c r="J1050">
        <f t="shared" si="42"/>
        <v>2026</v>
      </c>
      <c r="K1050" t="str">
        <f>VLOOKUP(G1050,METRICS!C:D,2,0)</f>
        <v>Taxas Financeiras Diversas</v>
      </c>
      <c r="L1050" t="str">
        <f>VLOOKUP(K1050,METRICS!D:E,2,0)</f>
        <v>TAXAS CARTÃO DE CRÉDITO</v>
      </c>
    </row>
    <row r="1051" spans="1:12" ht="15" hidden="1">
      <c r="A1051" t="s">
        <v>1028</v>
      </c>
      <c r="B1051" t="s">
        <v>689</v>
      </c>
      <c r="C1051" t="s">
        <v>690</v>
      </c>
      <c r="D1051" t="s">
        <v>743</v>
      </c>
      <c r="E1051" t="s">
        <v>734</v>
      </c>
      <c r="F1051" t="s">
        <v>1272</v>
      </c>
      <c r="G1051" t="s">
        <v>665</v>
      </c>
      <c r="H1051" s="595">
        <v>-4.5</v>
      </c>
      <c r="I1051" t="str">
        <f t="shared" si="43"/>
        <v>janeiro 2026</v>
      </c>
      <c r="J1051">
        <f t="shared" si="42"/>
        <v>2026</v>
      </c>
      <c r="K1051" t="str">
        <f>VLOOKUP(G1051,METRICS!C:D,2,0)</f>
        <v>Taxas Financeiras Diversas</v>
      </c>
      <c r="L1051" t="str">
        <f>VLOOKUP(K1051,METRICS!D:E,2,0)</f>
        <v>TAXAS CARTÃO DE CRÉDITO</v>
      </c>
    </row>
    <row r="1052" spans="1:12" ht="15" hidden="1">
      <c r="A1052" t="s">
        <v>1028</v>
      </c>
      <c r="B1052" t="s">
        <v>689</v>
      </c>
      <c r="C1052" t="s">
        <v>690</v>
      </c>
      <c r="D1052" t="s">
        <v>733</v>
      </c>
      <c r="E1052" t="s">
        <v>734</v>
      </c>
      <c r="F1052" t="s">
        <v>1272</v>
      </c>
      <c r="G1052" t="s">
        <v>665</v>
      </c>
      <c r="H1052" s="595">
        <v>-14.66</v>
      </c>
      <c r="I1052" t="str">
        <f t="shared" si="43"/>
        <v>janeiro 2026</v>
      </c>
      <c r="J1052">
        <f t="shared" si="42"/>
        <v>2026</v>
      </c>
      <c r="K1052" t="str">
        <f>VLOOKUP(G1052,METRICS!C:D,2,0)</f>
        <v>Taxas Financeiras Diversas</v>
      </c>
      <c r="L1052" t="str">
        <f>VLOOKUP(K1052,METRICS!D:E,2,0)</f>
        <v>TAXAS CARTÃO DE CRÉDITO</v>
      </c>
    </row>
    <row r="1053" spans="1:12" ht="15" hidden="1">
      <c r="A1053" t="s">
        <v>1028</v>
      </c>
      <c r="B1053" t="s">
        <v>689</v>
      </c>
      <c r="C1053" t="s">
        <v>690</v>
      </c>
      <c r="D1053" t="s">
        <v>733</v>
      </c>
      <c r="E1053" t="s">
        <v>734</v>
      </c>
      <c r="F1053" t="s">
        <v>1272</v>
      </c>
      <c r="G1053" t="s">
        <v>665</v>
      </c>
      <c r="H1053" s="595">
        <v>-2.19</v>
      </c>
      <c r="I1053" t="str">
        <f t="shared" si="43"/>
        <v>janeiro 2026</v>
      </c>
      <c r="J1053">
        <f t="shared" si="42"/>
        <v>2026</v>
      </c>
      <c r="K1053" t="str">
        <f>VLOOKUP(G1053,METRICS!C:D,2,0)</f>
        <v>Taxas Financeiras Diversas</v>
      </c>
      <c r="L1053" t="str">
        <f>VLOOKUP(K1053,METRICS!D:E,2,0)</f>
        <v>TAXAS CARTÃO DE CRÉDITO</v>
      </c>
    </row>
    <row r="1054" spans="1:12" ht="15" hidden="1">
      <c r="A1054" t="s">
        <v>1028</v>
      </c>
      <c r="B1054" t="s">
        <v>689</v>
      </c>
      <c r="C1054" t="s">
        <v>690</v>
      </c>
      <c r="D1054" t="s">
        <v>733</v>
      </c>
      <c r="E1054" t="s">
        <v>734</v>
      </c>
      <c r="F1054" t="s">
        <v>1272</v>
      </c>
      <c r="G1054" t="s">
        <v>665</v>
      </c>
      <c r="H1054" s="595">
        <v>-0.2</v>
      </c>
      <c r="I1054" t="str">
        <f t="shared" si="43"/>
        <v>janeiro 2026</v>
      </c>
      <c r="J1054">
        <f t="shared" si="42"/>
        <v>2026</v>
      </c>
      <c r="K1054" t="str">
        <f>VLOOKUP(G1054,METRICS!C:D,2,0)</f>
        <v>Taxas Financeiras Diversas</v>
      </c>
      <c r="L1054" t="str">
        <f>VLOOKUP(K1054,METRICS!D:E,2,0)</f>
        <v>TAXAS CARTÃO DE CRÉDITO</v>
      </c>
    </row>
    <row r="1055" spans="1:12" ht="15" hidden="1">
      <c r="A1055" t="s">
        <v>1028</v>
      </c>
      <c r="B1055" t="s">
        <v>689</v>
      </c>
      <c r="C1055" t="s">
        <v>690</v>
      </c>
      <c r="D1055" t="s">
        <v>733</v>
      </c>
      <c r="E1055" t="s">
        <v>734</v>
      </c>
      <c r="F1055" t="s">
        <v>1272</v>
      </c>
      <c r="G1055" t="s">
        <v>665</v>
      </c>
      <c r="H1055" s="595">
        <v>-20.51</v>
      </c>
      <c r="I1055" t="str">
        <f t="shared" si="43"/>
        <v>janeiro 2026</v>
      </c>
      <c r="J1055">
        <f t="shared" si="42"/>
        <v>2026</v>
      </c>
      <c r="K1055" t="str">
        <f>VLOOKUP(G1055,METRICS!C:D,2,0)</f>
        <v>Taxas Financeiras Diversas</v>
      </c>
      <c r="L1055" t="str">
        <f>VLOOKUP(K1055,METRICS!D:E,2,0)</f>
        <v>TAXAS CARTÃO DE CRÉDITO</v>
      </c>
    </row>
    <row r="1056" spans="1:12" ht="15" hidden="1">
      <c r="A1056" t="s">
        <v>1028</v>
      </c>
      <c r="B1056" t="s">
        <v>689</v>
      </c>
      <c r="C1056" t="s">
        <v>690</v>
      </c>
      <c r="D1056" t="s">
        <v>733</v>
      </c>
      <c r="E1056" t="s">
        <v>734</v>
      </c>
      <c r="F1056" t="s">
        <v>1272</v>
      </c>
      <c r="G1056" t="s">
        <v>665</v>
      </c>
      <c r="H1056" s="595">
        <v>-3.95</v>
      </c>
      <c r="I1056" t="str">
        <f t="shared" si="43"/>
        <v>janeiro 2026</v>
      </c>
      <c r="J1056">
        <f t="shared" si="42"/>
        <v>2026</v>
      </c>
      <c r="K1056" t="str">
        <f>VLOOKUP(G1056,METRICS!C:D,2,0)</f>
        <v>Taxas Financeiras Diversas</v>
      </c>
      <c r="L1056" t="str">
        <f>VLOOKUP(K1056,METRICS!D:E,2,0)</f>
        <v>TAXAS CARTÃO DE CRÉDITO</v>
      </c>
    </row>
    <row r="1057" spans="1:12" ht="15" hidden="1">
      <c r="A1057" t="s">
        <v>1028</v>
      </c>
      <c r="B1057" t="s">
        <v>689</v>
      </c>
      <c r="C1057" t="s">
        <v>690</v>
      </c>
      <c r="D1057" t="s">
        <v>743</v>
      </c>
      <c r="E1057" t="s">
        <v>734</v>
      </c>
      <c r="F1057" t="s">
        <v>1272</v>
      </c>
      <c r="G1057" t="s">
        <v>665</v>
      </c>
      <c r="H1057" s="595">
        <v>-1.99</v>
      </c>
      <c r="I1057" t="str">
        <f t="shared" si="43"/>
        <v>janeiro 2026</v>
      </c>
      <c r="J1057">
        <f t="shared" si="42"/>
        <v>2026</v>
      </c>
      <c r="K1057" t="str">
        <f>VLOOKUP(G1057,METRICS!C:D,2,0)</f>
        <v>Taxas Financeiras Diversas</v>
      </c>
      <c r="L1057" t="str">
        <f>VLOOKUP(K1057,METRICS!D:E,2,0)</f>
        <v>TAXAS CARTÃO DE CRÉDITO</v>
      </c>
    </row>
    <row r="1058" spans="1:12" ht="15" hidden="1">
      <c r="A1058" t="s">
        <v>1028</v>
      </c>
      <c r="B1058" t="s">
        <v>689</v>
      </c>
      <c r="C1058" t="s">
        <v>690</v>
      </c>
      <c r="D1058" t="s">
        <v>733</v>
      </c>
      <c r="E1058" t="s">
        <v>734</v>
      </c>
      <c r="F1058" t="s">
        <v>1272</v>
      </c>
      <c r="G1058" t="s">
        <v>665</v>
      </c>
      <c r="H1058" s="595">
        <v>-1.87</v>
      </c>
      <c r="I1058" t="str">
        <f t="shared" si="43"/>
        <v>janeiro 2026</v>
      </c>
      <c r="J1058">
        <f t="shared" si="42"/>
        <v>2026</v>
      </c>
      <c r="K1058" t="str">
        <f>VLOOKUP(G1058,METRICS!C:D,2,0)</f>
        <v>Taxas Financeiras Diversas</v>
      </c>
      <c r="L1058" t="str">
        <f>VLOOKUP(K1058,METRICS!D:E,2,0)</f>
        <v>TAXAS CARTÃO DE CRÉDITO</v>
      </c>
    </row>
    <row r="1059" spans="1:12" ht="15" hidden="1">
      <c r="A1059" t="s">
        <v>1028</v>
      </c>
      <c r="B1059" t="s">
        <v>689</v>
      </c>
      <c r="C1059" t="s">
        <v>690</v>
      </c>
      <c r="D1059" t="s">
        <v>733</v>
      </c>
      <c r="E1059" t="s">
        <v>734</v>
      </c>
      <c r="F1059" t="s">
        <v>1272</v>
      </c>
      <c r="G1059" t="s">
        <v>665</v>
      </c>
      <c r="H1059" s="595">
        <v>-10.84</v>
      </c>
      <c r="I1059" t="str">
        <f t="shared" si="43"/>
        <v>janeiro 2026</v>
      </c>
      <c r="J1059">
        <f t="shared" si="42"/>
        <v>2026</v>
      </c>
      <c r="K1059" t="str">
        <f>VLOOKUP(G1059,METRICS!C:D,2,0)</f>
        <v>Taxas Financeiras Diversas</v>
      </c>
      <c r="L1059" t="str">
        <f>VLOOKUP(K1059,METRICS!D:E,2,0)</f>
        <v>TAXAS CARTÃO DE CRÉDITO</v>
      </c>
    </row>
    <row r="1060" spans="1:12" ht="15" hidden="1">
      <c r="A1060" t="s">
        <v>1028</v>
      </c>
      <c r="B1060" t="s">
        <v>689</v>
      </c>
      <c r="C1060" t="s">
        <v>690</v>
      </c>
      <c r="D1060" t="s">
        <v>733</v>
      </c>
      <c r="E1060" t="s">
        <v>734</v>
      </c>
      <c r="F1060" t="s">
        <v>1272</v>
      </c>
      <c r="G1060" t="s">
        <v>665</v>
      </c>
      <c r="H1060" s="595">
        <v>-19.309999999999999</v>
      </c>
      <c r="I1060" t="str">
        <f t="shared" si="43"/>
        <v>janeiro 2026</v>
      </c>
      <c r="J1060">
        <f t="shared" si="42"/>
        <v>2026</v>
      </c>
      <c r="K1060" t="str">
        <f>VLOOKUP(G1060,METRICS!C:D,2,0)</f>
        <v>Taxas Financeiras Diversas</v>
      </c>
      <c r="L1060" t="str">
        <f>VLOOKUP(K1060,METRICS!D:E,2,0)</f>
        <v>TAXAS CARTÃO DE CRÉDITO</v>
      </c>
    </row>
    <row r="1061" spans="1:12" ht="15" hidden="1">
      <c r="A1061" t="s">
        <v>1030</v>
      </c>
      <c r="B1061" t="s">
        <v>689</v>
      </c>
      <c r="C1061" t="s">
        <v>690</v>
      </c>
      <c r="D1061" t="s">
        <v>743</v>
      </c>
      <c r="E1061" t="s">
        <v>734</v>
      </c>
      <c r="F1061" t="s">
        <v>1272</v>
      </c>
      <c r="G1061" t="s">
        <v>665</v>
      </c>
      <c r="H1061" s="595">
        <v>-13.67</v>
      </c>
      <c r="I1061" t="str">
        <f t="shared" si="43"/>
        <v>janeiro 2026</v>
      </c>
      <c r="J1061">
        <f t="shared" si="42"/>
        <v>2026</v>
      </c>
      <c r="K1061" t="str">
        <f>VLOOKUP(G1061,METRICS!C:D,2,0)</f>
        <v>Taxas Financeiras Diversas</v>
      </c>
      <c r="L1061" t="str">
        <f>VLOOKUP(K1061,METRICS!D:E,2,0)</f>
        <v>TAXAS CARTÃO DE CRÉDITO</v>
      </c>
    </row>
    <row r="1062" spans="1:12" ht="15" hidden="1">
      <c r="A1062" t="s">
        <v>1030</v>
      </c>
      <c r="B1062" t="s">
        <v>689</v>
      </c>
      <c r="C1062" t="s">
        <v>690</v>
      </c>
      <c r="D1062" t="s">
        <v>733</v>
      </c>
      <c r="E1062" t="s">
        <v>734</v>
      </c>
      <c r="F1062" t="s">
        <v>1272</v>
      </c>
      <c r="G1062" t="s">
        <v>665</v>
      </c>
      <c r="H1062" s="595">
        <v>-3.07</v>
      </c>
      <c r="I1062" t="str">
        <f t="shared" si="43"/>
        <v>janeiro 2026</v>
      </c>
      <c r="J1062">
        <f t="shared" si="42"/>
        <v>2026</v>
      </c>
      <c r="K1062" t="str">
        <f>VLOOKUP(G1062,METRICS!C:D,2,0)</f>
        <v>Taxas Financeiras Diversas</v>
      </c>
      <c r="L1062" t="str">
        <f>VLOOKUP(K1062,METRICS!D:E,2,0)</f>
        <v>TAXAS CARTÃO DE CRÉDITO</v>
      </c>
    </row>
    <row r="1063" spans="1:12" ht="15" hidden="1">
      <c r="A1063" t="s">
        <v>1030</v>
      </c>
      <c r="B1063" t="s">
        <v>689</v>
      </c>
      <c r="C1063" t="s">
        <v>690</v>
      </c>
      <c r="D1063" t="s">
        <v>733</v>
      </c>
      <c r="E1063" t="s">
        <v>734</v>
      </c>
      <c r="F1063" t="s">
        <v>1272</v>
      </c>
      <c r="G1063" t="s">
        <v>665</v>
      </c>
      <c r="H1063" s="595">
        <v>-1.78</v>
      </c>
      <c r="I1063" t="str">
        <f t="shared" si="43"/>
        <v>janeiro 2026</v>
      </c>
      <c r="J1063">
        <f t="shared" si="42"/>
        <v>2026</v>
      </c>
      <c r="K1063" t="str">
        <f>VLOOKUP(G1063,METRICS!C:D,2,0)</f>
        <v>Taxas Financeiras Diversas</v>
      </c>
      <c r="L1063" t="str">
        <f>VLOOKUP(K1063,METRICS!D:E,2,0)</f>
        <v>TAXAS CARTÃO DE CRÉDITO</v>
      </c>
    </row>
    <row r="1064" spans="1:12" ht="15" hidden="1">
      <c r="A1064" t="s">
        <v>1030</v>
      </c>
      <c r="B1064" t="s">
        <v>689</v>
      </c>
      <c r="C1064" t="s">
        <v>690</v>
      </c>
      <c r="D1064" t="s">
        <v>733</v>
      </c>
      <c r="E1064" t="s">
        <v>734</v>
      </c>
      <c r="F1064" t="s">
        <v>1272</v>
      </c>
      <c r="G1064" t="s">
        <v>665</v>
      </c>
      <c r="H1064" s="595">
        <v>-7.12</v>
      </c>
      <c r="I1064" t="str">
        <f t="shared" si="43"/>
        <v>janeiro 2026</v>
      </c>
      <c r="J1064">
        <f t="shared" si="42"/>
        <v>2026</v>
      </c>
      <c r="K1064" t="str">
        <f>VLOOKUP(G1064,METRICS!C:D,2,0)</f>
        <v>Taxas Financeiras Diversas</v>
      </c>
      <c r="L1064" t="str">
        <f>VLOOKUP(K1064,METRICS!D:E,2,0)</f>
        <v>TAXAS CARTÃO DE CRÉDITO</v>
      </c>
    </row>
    <row r="1065" spans="1:12" ht="15" hidden="1">
      <c r="A1065" t="s">
        <v>1030</v>
      </c>
      <c r="B1065" t="s">
        <v>689</v>
      </c>
      <c r="C1065" t="s">
        <v>690</v>
      </c>
      <c r="D1065" t="s">
        <v>743</v>
      </c>
      <c r="E1065" t="s">
        <v>734</v>
      </c>
      <c r="F1065" t="s">
        <v>1272</v>
      </c>
      <c r="G1065" t="s">
        <v>665</v>
      </c>
      <c r="H1065" s="595">
        <v>-1.49</v>
      </c>
      <c r="I1065" t="str">
        <f t="shared" si="43"/>
        <v>janeiro 2026</v>
      </c>
      <c r="J1065">
        <f t="shared" si="42"/>
        <v>2026</v>
      </c>
      <c r="K1065" t="str">
        <f>VLOOKUP(G1065,METRICS!C:D,2,0)</f>
        <v>Taxas Financeiras Diversas</v>
      </c>
      <c r="L1065" t="str">
        <f>VLOOKUP(K1065,METRICS!D:E,2,0)</f>
        <v>TAXAS CARTÃO DE CRÉDITO</v>
      </c>
    </row>
    <row r="1066" spans="1:12" ht="15" hidden="1">
      <c r="A1066" t="s">
        <v>1030</v>
      </c>
      <c r="B1066" t="s">
        <v>689</v>
      </c>
      <c r="C1066" t="s">
        <v>690</v>
      </c>
      <c r="D1066" t="s">
        <v>753</v>
      </c>
      <c r="E1066" t="s">
        <v>734</v>
      </c>
      <c r="F1066" t="s">
        <v>1272</v>
      </c>
      <c r="G1066" t="s">
        <v>665</v>
      </c>
      <c r="H1066" s="595">
        <v>-42.11</v>
      </c>
      <c r="I1066" t="str">
        <f t="shared" ref="I1066:I1104" si="44">TEXT(A1066, "mmmm aaaa")</f>
        <v>janeiro 2026</v>
      </c>
      <c r="J1066">
        <f t="shared" si="42"/>
        <v>2026</v>
      </c>
      <c r="K1066" t="str">
        <f>VLOOKUP(G1066,METRICS!C:D,2,0)</f>
        <v>Taxas Financeiras Diversas</v>
      </c>
      <c r="L1066" t="str">
        <f>VLOOKUP(K1066,METRICS!D:E,2,0)</f>
        <v>TAXAS CARTÃO DE CRÉDITO</v>
      </c>
    </row>
    <row r="1067" spans="1:12" ht="15" hidden="1">
      <c r="A1067" t="s">
        <v>1030</v>
      </c>
      <c r="B1067" t="s">
        <v>689</v>
      </c>
      <c r="C1067" t="s">
        <v>690</v>
      </c>
      <c r="D1067" t="s">
        <v>733</v>
      </c>
      <c r="E1067" t="s">
        <v>734</v>
      </c>
      <c r="F1067" t="s">
        <v>1272</v>
      </c>
      <c r="G1067" t="s">
        <v>665</v>
      </c>
      <c r="H1067" s="595">
        <v>-4.2300000000000004</v>
      </c>
      <c r="I1067" t="str">
        <f t="shared" si="44"/>
        <v>janeiro 2026</v>
      </c>
      <c r="J1067">
        <f t="shared" si="42"/>
        <v>2026</v>
      </c>
      <c r="K1067" t="str">
        <f>VLOOKUP(G1067,METRICS!C:D,2,0)</f>
        <v>Taxas Financeiras Diversas</v>
      </c>
      <c r="L1067" t="str">
        <f>VLOOKUP(K1067,METRICS!D:E,2,0)</f>
        <v>TAXAS CARTÃO DE CRÉDITO</v>
      </c>
    </row>
    <row r="1068" spans="1:12" ht="15" hidden="1">
      <c r="A1068" t="s">
        <v>1030</v>
      </c>
      <c r="B1068" t="s">
        <v>689</v>
      </c>
      <c r="C1068" t="s">
        <v>690</v>
      </c>
      <c r="D1068" t="s">
        <v>743</v>
      </c>
      <c r="E1068" t="s">
        <v>734</v>
      </c>
      <c r="F1068" t="s">
        <v>1272</v>
      </c>
      <c r="G1068" t="s">
        <v>665</v>
      </c>
      <c r="H1068" s="595">
        <v>-8.81</v>
      </c>
      <c r="I1068" t="str">
        <f t="shared" si="44"/>
        <v>janeiro 2026</v>
      </c>
      <c r="J1068">
        <f t="shared" si="42"/>
        <v>2026</v>
      </c>
      <c r="K1068" t="str">
        <f>VLOOKUP(G1068,METRICS!C:D,2,0)</f>
        <v>Taxas Financeiras Diversas</v>
      </c>
      <c r="L1068" t="str">
        <f>VLOOKUP(K1068,METRICS!D:E,2,0)</f>
        <v>TAXAS CARTÃO DE CRÉDITO</v>
      </c>
    </row>
    <row r="1069" spans="1:12" ht="15" hidden="1">
      <c r="A1069" t="s">
        <v>1030</v>
      </c>
      <c r="B1069" t="s">
        <v>689</v>
      </c>
      <c r="C1069" t="s">
        <v>690</v>
      </c>
      <c r="D1069" t="s">
        <v>743</v>
      </c>
      <c r="E1069" t="s">
        <v>734</v>
      </c>
      <c r="F1069" t="s">
        <v>1272</v>
      </c>
      <c r="G1069" t="s">
        <v>665</v>
      </c>
      <c r="H1069" s="595">
        <v>-3.18</v>
      </c>
      <c r="I1069" t="str">
        <f t="shared" si="44"/>
        <v>janeiro 2026</v>
      </c>
      <c r="J1069">
        <f t="shared" si="42"/>
        <v>2026</v>
      </c>
      <c r="K1069" t="str">
        <f>VLOOKUP(G1069,METRICS!C:D,2,0)</f>
        <v>Taxas Financeiras Diversas</v>
      </c>
      <c r="L1069" t="str">
        <f>VLOOKUP(K1069,METRICS!D:E,2,0)</f>
        <v>TAXAS CARTÃO DE CRÉDITO</v>
      </c>
    </row>
    <row r="1070" spans="1:12" ht="15" hidden="1">
      <c r="A1070" t="s">
        <v>1030</v>
      </c>
      <c r="B1070" t="s">
        <v>689</v>
      </c>
      <c r="C1070" t="s">
        <v>690</v>
      </c>
      <c r="D1070" t="s">
        <v>733</v>
      </c>
      <c r="E1070" t="s">
        <v>734</v>
      </c>
      <c r="F1070" t="s">
        <v>1272</v>
      </c>
      <c r="G1070" t="s">
        <v>665</v>
      </c>
      <c r="H1070" s="595">
        <v>-15.91</v>
      </c>
      <c r="I1070" t="str">
        <f t="shared" si="44"/>
        <v>janeiro 2026</v>
      </c>
      <c r="J1070">
        <f t="shared" si="42"/>
        <v>2026</v>
      </c>
      <c r="K1070" t="str">
        <f>VLOOKUP(G1070,METRICS!C:D,2,0)</f>
        <v>Taxas Financeiras Diversas</v>
      </c>
      <c r="L1070" t="str">
        <f>VLOOKUP(K1070,METRICS!D:E,2,0)</f>
        <v>TAXAS CARTÃO DE CRÉDITO</v>
      </c>
    </row>
    <row r="1071" spans="1:12" ht="15" hidden="1">
      <c r="A1071" t="s">
        <v>1030</v>
      </c>
      <c r="B1071" t="s">
        <v>689</v>
      </c>
      <c r="C1071" t="s">
        <v>690</v>
      </c>
      <c r="D1071" t="s">
        <v>733</v>
      </c>
      <c r="E1071" t="s">
        <v>734</v>
      </c>
      <c r="F1071" t="s">
        <v>1272</v>
      </c>
      <c r="G1071" t="s">
        <v>665</v>
      </c>
      <c r="H1071" s="595">
        <v>-18.829999999999998</v>
      </c>
      <c r="I1071" t="str">
        <f t="shared" si="44"/>
        <v>janeiro 2026</v>
      </c>
      <c r="J1071">
        <f t="shared" si="42"/>
        <v>2026</v>
      </c>
      <c r="K1071" t="str">
        <f>VLOOKUP(G1071,METRICS!C:D,2,0)</f>
        <v>Taxas Financeiras Diversas</v>
      </c>
      <c r="L1071" t="str">
        <f>VLOOKUP(K1071,METRICS!D:E,2,0)</f>
        <v>TAXAS CARTÃO DE CRÉDITO</v>
      </c>
    </row>
    <row r="1072" spans="1:12" ht="15" hidden="1">
      <c r="A1072" t="s">
        <v>1030</v>
      </c>
      <c r="B1072" t="s">
        <v>689</v>
      </c>
      <c r="C1072" t="s">
        <v>690</v>
      </c>
      <c r="D1072" t="s">
        <v>733</v>
      </c>
      <c r="E1072" t="s">
        <v>734</v>
      </c>
      <c r="F1072" t="s">
        <v>1272</v>
      </c>
      <c r="G1072" t="s">
        <v>665</v>
      </c>
      <c r="H1072" s="595">
        <v>-10.15</v>
      </c>
      <c r="I1072" t="str">
        <f t="shared" si="44"/>
        <v>janeiro 2026</v>
      </c>
      <c r="J1072">
        <f t="shared" si="42"/>
        <v>2026</v>
      </c>
      <c r="K1072" t="str">
        <f>VLOOKUP(G1072,METRICS!C:D,2,0)</f>
        <v>Taxas Financeiras Diversas</v>
      </c>
      <c r="L1072" t="str">
        <f>VLOOKUP(K1072,METRICS!D:E,2,0)</f>
        <v>TAXAS CARTÃO DE CRÉDITO</v>
      </c>
    </row>
    <row r="1073" spans="1:12" ht="15" hidden="1">
      <c r="A1073" t="s">
        <v>1030</v>
      </c>
      <c r="B1073" t="s">
        <v>689</v>
      </c>
      <c r="C1073" t="s">
        <v>690</v>
      </c>
      <c r="D1073" t="s">
        <v>733</v>
      </c>
      <c r="E1073" t="s">
        <v>734</v>
      </c>
      <c r="F1073" t="s">
        <v>1272</v>
      </c>
      <c r="G1073" t="s">
        <v>665</v>
      </c>
      <c r="H1073" s="595">
        <v>-0.92</v>
      </c>
      <c r="I1073" t="str">
        <f t="shared" si="44"/>
        <v>janeiro 2026</v>
      </c>
      <c r="J1073">
        <f t="shared" si="42"/>
        <v>2026</v>
      </c>
      <c r="K1073" t="str">
        <f>VLOOKUP(G1073,METRICS!C:D,2,0)</f>
        <v>Taxas Financeiras Diversas</v>
      </c>
      <c r="L1073" t="str">
        <f>VLOOKUP(K1073,METRICS!D:E,2,0)</f>
        <v>TAXAS CARTÃO DE CRÉDITO</v>
      </c>
    </row>
    <row r="1074" spans="1:12" ht="15" hidden="1">
      <c r="A1074" t="s">
        <v>1030</v>
      </c>
      <c r="B1074" t="s">
        <v>689</v>
      </c>
      <c r="C1074" t="s">
        <v>690</v>
      </c>
      <c r="D1074" t="s">
        <v>733</v>
      </c>
      <c r="E1074" t="s">
        <v>734</v>
      </c>
      <c r="F1074" t="s">
        <v>1272</v>
      </c>
      <c r="G1074" t="s">
        <v>665</v>
      </c>
      <c r="H1074" s="595">
        <v>-14.85</v>
      </c>
      <c r="I1074" t="str">
        <f t="shared" si="44"/>
        <v>janeiro 2026</v>
      </c>
      <c r="J1074">
        <f t="shared" si="42"/>
        <v>2026</v>
      </c>
      <c r="K1074" t="str">
        <f>VLOOKUP(G1074,METRICS!C:D,2,0)</f>
        <v>Taxas Financeiras Diversas</v>
      </c>
      <c r="L1074" t="str">
        <f>VLOOKUP(K1074,METRICS!D:E,2,0)</f>
        <v>TAXAS CARTÃO DE CRÉDITO</v>
      </c>
    </row>
    <row r="1075" spans="1:12" ht="15" hidden="1">
      <c r="A1075" t="s">
        <v>1030</v>
      </c>
      <c r="B1075" t="s">
        <v>689</v>
      </c>
      <c r="C1075" t="s">
        <v>690</v>
      </c>
      <c r="D1075" t="s">
        <v>743</v>
      </c>
      <c r="E1075" t="s">
        <v>734</v>
      </c>
      <c r="F1075" t="s">
        <v>1272</v>
      </c>
      <c r="G1075" t="s">
        <v>665</v>
      </c>
      <c r="H1075" s="595">
        <v>-20.69</v>
      </c>
      <c r="I1075" t="str">
        <f t="shared" si="44"/>
        <v>janeiro 2026</v>
      </c>
      <c r="J1075">
        <f t="shared" si="42"/>
        <v>2026</v>
      </c>
      <c r="K1075" t="str">
        <f>VLOOKUP(G1075,METRICS!C:D,2,0)</f>
        <v>Taxas Financeiras Diversas</v>
      </c>
      <c r="L1075" t="str">
        <f>VLOOKUP(K1075,METRICS!D:E,2,0)</f>
        <v>TAXAS CARTÃO DE CRÉDITO</v>
      </c>
    </row>
    <row r="1076" spans="1:12" ht="15" hidden="1">
      <c r="A1076" t="s">
        <v>1030</v>
      </c>
      <c r="B1076" t="s">
        <v>689</v>
      </c>
      <c r="C1076" t="s">
        <v>690</v>
      </c>
      <c r="D1076" t="s">
        <v>753</v>
      </c>
      <c r="E1076" t="s">
        <v>734</v>
      </c>
      <c r="F1076" t="s">
        <v>1272</v>
      </c>
      <c r="G1076" t="s">
        <v>665</v>
      </c>
      <c r="H1076" s="595">
        <v>-0.36</v>
      </c>
      <c r="I1076" t="str">
        <f t="shared" si="44"/>
        <v>janeiro 2026</v>
      </c>
      <c r="J1076">
        <f t="shared" si="42"/>
        <v>2026</v>
      </c>
      <c r="K1076" t="str">
        <f>VLOOKUP(G1076,METRICS!C:D,2,0)</f>
        <v>Taxas Financeiras Diversas</v>
      </c>
      <c r="L1076" t="str">
        <f>VLOOKUP(K1076,METRICS!D:E,2,0)</f>
        <v>TAXAS CARTÃO DE CRÉDITO</v>
      </c>
    </row>
    <row r="1077" spans="1:12" ht="15" hidden="1">
      <c r="A1077" t="s">
        <v>1030</v>
      </c>
      <c r="B1077" t="s">
        <v>689</v>
      </c>
      <c r="C1077" t="s">
        <v>690</v>
      </c>
      <c r="D1077" t="s">
        <v>733</v>
      </c>
      <c r="E1077" t="s">
        <v>734</v>
      </c>
      <c r="F1077" t="s">
        <v>1272</v>
      </c>
      <c r="G1077" t="s">
        <v>665</v>
      </c>
      <c r="H1077" s="595">
        <v>-7.56</v>
      </c>
      <c r="I1077" t="str">
        <f t="shared" si="44"/>
        <v>janeiro 2026</v>
      </c>
      <c r="J1077">
        <f t="shared" si="42"/>
        <v>2026</v>
      </c>
      <c r="K1077" t="str">
        <f>VLOOKUP(G1077,METRICS!C:D,2,0)</f>
        <v>Taxas Financeiras Diversas</v>
      </c>
      <c r="L1077" t="str">
        <f>VLOOKUP(K1077,METRICS!D:E,2,0)</f>
        <v>TAXAS CARTÃO DE CRÉDITO</v>
      </c>
    </row>
    <row r="1078" spans="1:12" ht="15" hidden="1">
      <c r="A1078" t="s">
        <v>1030</v>
      </c>
      <c r="B1078" t="s">
        <v>689</v>
      </c>
      <c r="C1078" t="s">
        <v>690</v>
      </c>
      <c r="D1078" t="s">
        <v>743</v>
      </c>
      <c r="E1078" t="s">
        <v>734</v>
      </c>
      <c r="F1078" t="s">
        <v>1272</v>
      </c>
      <c r="G1078" t="s">
        <v>665</v>
      </c>
      <c r="H1078" s="595">
        <v>-1.45</v>
      </c>
      <c r="I1078" t="str">
        <f t="shared" si="44"/>
        <v>janeiro 2026</v>
      </c>
      <c r="J1078">
        <f t="shared" ref="J1078:J1141" si="45">YEAR(A1078)</f>
        <v>2026</v>
      </c>
      <c r="K1078" t="str">
        <f>VLOOKUP(G1078,METRICS!C:D,2,0)</f>
        <v>Taxas Financeiras Diversas</v>
      </c>
      <c r="L1078" t="str">
        <f>VLOOKUP(K1078,METRICS!D:E,2,0)</f>
        <v>TAXAS CARTÃO DE CRÉDITO</v>
      </c>
    </row>
    <row r="1079" spans="1:12" ht="15" hidden="1">
      <c r="A1079" t="s">
        <v>1030</v>
      </c>
      <c r="B1079" t="s">
        <v>689</v>
      </c>
      <c r="C1079" t="s">
        <v>690</v>
      </c>
      <c r="D1079" t="s">
        <v>733</v>
      </c>
      <c r="E1079" t="s">
        <v>734</v>
      </c>
      <c r="F1079" t="s">
        <v>1272</v>
      </c>
      <c r="G1079" t="s">
        <v>665</v>
      </c>
      <c r="H1079" s="595">
        <v>-2.81</v>
      </c>
      <c r="I1079" t="str">
        <f t="shared" si="44"/>
        <v>janeiro 2026</v>
      </c>
      <c r="J1079">
        <f t="shared" si="45"/>
        <v>2026</v>
      </c>
      <c r="K1079" t="str">
        <f>VLOOKUP(G1079,METRICS!C:D,2,0)</f>
        <v>Taxas Financeiras Diversas</v>
      </c>
      <c r="L1079" t="str">
        <f>VLOOKUP(K1079,METRICS!D:E,2,0)</f>
        <v>TAXAS CARTÃO DE CRÉDITO</v>
      </c>
    </row>
    <row r="1080" spans="1:12" ht="15" hidden="1">
      <c r="A1080" t="s">
        <v>1030</v>
      </c>
      <c r="B1080" t="s">
        <v>689</v>
      </c>
      <c r="C1080" t="s">
        <v>690</v>
      </c>
      <c r="D1080" t="s">
        <v>733</v>
      </c>
      <c r="E1080" t="s">
        <v>734</v>
      </c>
      <c r="F1080" t="s">
        <v>1272</v>
      </c>
      <c r="G1080" t="s">
        <v>665</v>
      </c>
      <c r="H1080" s="595">
        <v>-3.3</v>
      </c>
      <c r="I1080" t="str">
        <f t="shared" si="44"/>
        <v>janeiro 2026</v>
      </c>
      <c r="J1080">
        <f t="shared" si="45"/>
        <v>2026</v>
      </c>
      <c r="K1080" t="str">
        <f>VLOOKUP(G1080,METRICS!C:D,2,0)</f>
        <v>Taxas Financeiras Diversas</v>
      </c>
      <c r="L1080" t="str">
        <f>VLOOKUP(K1080,METRICS!D:E,2,0)</f>
        <v>TAXAS CARTÃO DE CRÉDITO</v>
      </c>
    </row>
    <row r="1081" spans="1:12" ht="15" hidden="1">
      <c r="A1081" t="s">
        <v>1030</v>
      </c>
      <c r="B1081" t="s">
        <v>689</v>
      </c>
      <c r="C1081" t="s">
        <v>690</v>
      </c>
      <c r="D1081" t="s">
        <v>733</v>
      </c>
      <c r="E1081" t="s">
        <v>734</v>
      </c>
      <c r="F1081" t="s">
        <v>1272</v>
      </c>
      <c r="G1081" t="s">
        <v>665</v>
      </c>
      <c r="H1081" s="595">
        <v>-14.96</v>
      </c>
      <c r="I1081" t="str">
        <f t="shared" si="44"/>
        <v>janeiro 2026</v>
      </c>
      <c r="J1081">
        <f t="shared" si="45"/>
        <v>2026</v>
      </c>
      <c r="K1081" t="str">
        <f>VLOOKUP(G1081,METRICS!C:D,2,0)</f>
        <v>Taxas Financeiras Diversas</v>
      </c>
      <c r="L1081" t="str">
        <f>VLOOKUP(K1081,METRICS!D:E,2,0)</f>
        <v>TAXAS CARTÃO DE CRÉDITO</v>
      </c>
    </row>
    <row r="1082" spans="1:12" ht="15" hidden="1">
      <c r="A1082" t="s">
        <v>1030</v>
      </c>
      <c r="B1082" t="s">
        <v>689</v>
      </c>
      <c r="C1082" t="s">
        <v>690</v>
      </c>
      <c r="D1082" t="s">
        <v>743</v>
      </c>
      <c r="E1082" t="s">
        <v>734</v>
      </c>
      <c r="F1082" t="s">
        <v>1272</v>
      </c>
      <c r="G1082" t="s">
        <v>665</v>
      </c>
      <c r="H1082" s="595">
        <v>-7.84</v>
      </c>
      <c r="I1082" t="str">
        <f t="shared" si="44"/>
        <v>janeiro 2026</v>
      </c>
      <c r="J1082">
        <f t="shared" si="45"/>
        <v>2026</v>
      </c>
      <c r="K1082" t="str">
        <f>VLOOKUP(G1082,METRICS!C:D,2,0)</f>
        <v>Taxas Financeiras Diversas</v>
      </c>
      <c r="L1082" t="str">
        <f>VLOOKUP(K1082,METRICS!D:E,2,0)</f>
        <v>TAXAS CARTÃO DE CRÉDITO</v>
      </c>
    </row>
    <row r="1083" spans="1:12" ht="15" hidden="1">
      <c r="A1083" t="s">
        <v>1030</v>
      </c>
      <c r="B1083" t="s">
        <v>689</v>
      </c>
      <c r="C1083" t="s">
        <v>690</v>
      </c>
      <c r="D1083" t="s">
        <v>743</v>
      </c>
      <c r="E1083" t="s">
        <v>734</v>
      </c>
      <c r="F1083" t="s">
        <v>1272</v>
      </c>
      <c r="G1083" t="s">
        <v>665</v>
      </c>
      <c r="H1083" s="595">
        <v>-3.77</v>
      </c>
      <c r="I1083" t="str">
        <f t="shared" si="44"/>
        <v>janeiro 2026</v>
      </c>
      <c r="J1083">
        <f t="shared" si="45"/>
        <v>2026</v>
      </c>
      <c r="K1083" t="str">
        <f>VLOOKUP(G1083,METRICS!C:D,2,0)</f>
        <v>Taxas Financeiras Diversas</v>
      </c>
      <c r="L1083" t="str">
        <f>VLOOKUP(K1083,METRICS!D:E,2,0)</f>
        <v>TAXAS CARTÃO DE CRÉDITO</v>
      </c>
    </row>
    <row r="1084" spans="1:12" ht="15" hidden="1">
      <c r="A1084" t="s">
        <v>1030</v>
      </c>
      <c r="B1084" t="s">
        <v>689</v>
      </c>
      <c r="C1084" t="s">
        <v>690</v>
      </c>
      <c r="D1084" t="s">
        <v>733</v>
      </c>
      <c r="E1084" t="s">
        <v>734</v>
      </c>
      <c r="F1084" t="s">
        <v>1272</v>
      </c>
      <c r="G1084" t="s">
        <v>665</v>
      </c>
      <c r="H1084" s="595">
        <v>-1.78</v>
      </c>
      <c r="I1084" t="str">
        <f t="shared" si="44"/>
        <v>janeiro 2026</v>
      </c>
      <c r="J1084">
        <f t="shared" si="45"/>
        <v>2026</v>
      </c>
      <c r="K1084" t="str">
        <f>VLOOKUP(G1084,METRICS!C:D,2,0)</f>
        <v>Taxas Financeiras Diversas</v>
      </c>
      <c r="L1084" t="str">
        <f>VLOOKUP(K1084,METRICS!D:E,2,0)</f>
        <v>TAXAS CARTÃO DE CRÉDITO</v>
      </c>
    </row>
    <row r="1085" spans="1:12" ht="15" hidden="1">
      <c r="A1085" t="s">
        <v>1030</v>
      </c>
      <c r="B1085" t="s">
        <v>689</v>
      </c>
      <c r="C1085" t="s">
        <v>690</v>
      </c>
      <c r="D1085" t="s">
        <v>733</v>
      </c>
      <c r="E1085" t="s">
        <v>734</v>
      </c>
      <c r="F1085" t="s">
        <v>1272</v>
      </c>
      <c r="G1085" t="s">
        <v>665</v>
      </c>
      <c r="H1085" s="595">
        <v>-10.5</v>
      </c>
      <c r="I1085" t="str">
        <f t="shared" si="44"/>
        <v>janeiro 2026</v>
      </c>
      <c r="J1085">
        <f t="shared" si="45"/>
        <v>2026</v>
      </c>
      <c r="K1085" t="str">
        <f>VLOOKUP(G1085,METRICS!C:D,2,0)</f>
        <v>Taxas Financeiras Diversas</v>
      </c>
      <c r="L1085" t="str">
        <f>VLOOKUP(K1085,METRICS!D:E,2,0)</f>
        <v>TAXAS CARTÃO DE CRÉDITO</v>
      </c>
    </row>
    <row r="1086" spans="1:12" ht="15" hidden="1">
      <c r="A1086" t="s">
        <v>1030</v>
      </c>
      <c r="B1086" t="s">
        <v>689</v>
      </c>
      <c r="C1086" t="s">
        <v>690</v>
      </c>
      <c r="D1086" t="s">
        <v>733</v>
      </c>
      <c r="E1086" t="s">
        <v>734</v>
      </c>
      <c r="F1086" t="s">
        <v>1272</v>
      </c>
      <c r="G1086" t="s">
        <v>665</v>
      </c>
      <c r="H1086" s="595">
        <v>-1.19</v>
      </c>
      <c r="I1086" t="str">
        <f t="shared" si="44"/>
        <v>janeiro 2026</v>
      </c>
      <c r="J1086">
        <f t="shared" si="45"/>
        <v>2026</v>
      </c>
      <c r="K1086" t="str">
        <f>VLOOKUP(G1086,METRICS!C:D,2,0)</f>
        <v>Taxas Financeiras Diversas</v>
      </c>
      <c r="L1086" t="str">
        <f>VLOOKUP(K1086,METRICS!D:E,2,0)</f>
        <v>TAXAS CARTÃO DE CRÉDITO</v>
      </c>
    </row>
    <row r="1087" spans="1:12" ht="15" hidden="1">
      <c r="A1087" t="s">
        <v>1030</v>
      </c>
      <c r="B1087" t="s">
        <v>689</v>
      </c>
      <c r="C1087" t="s">
        <v>690</v>
      </c>
      <c r="D1087" t="s">
        <v>733</v>
      </c>
      <c r="E1087" t="s">
        <v>734</v>
      </c>
      <c r="F1087" t="s">
        <v>1272</v>
      </c>
      <c r="G1087" t="s">
        <v>665</v>
      </c>
      <c r="H1087" s="595">
        <v>-4.2300000000000004</v>
      </c>
      <c r="I1087" t="str">
        <f t="shared" si="44"/>
        <v>janeiro 2026</v>
      </c>
      <c r="J1087">
        <f t="shared" si="45"/>
        <v>2026</v>
      </c>
      <c r="K1087" t="str">
        <f>VLOOKUP(G1087,METRICS!C:D,2,0)</f>
        <v>Taxas Financeiras Diversas</v>
      </c>
      <c r="L1087" t="str">
        <f>VLOOKUP(K1087,METRICS!D:E,2,0)</f>
        <v>TAXAS CARTÃO DE CRÉDITO</v>
      </c>
    </row>
    <row r="1088" spans="1:12" ht="15" hidden="1">
      <c r="A1088" t="s">
        <v>1030</v>
      </c>
      <c r="B1088" t="s">
        <v>689</v>
      </c>
      <c r="C1088" t="s">
        <v>690</v>
      </c>
      <c r="D1088" t="s">
        <v>743</v>
      </c>
      <c r="E1088" t="s">
        <v>734</v>
      </c>
      <c r="F1088" t="s">
        <v>1272</v>
      </c>
      <c r="G1088" t="s">
        <v>665</v>
      </c>
      <c r="H1088" s="595">
        <v>-3.7</v>
      </c>
      <c r="I1088" t="str">
        <f t="shared" si="44"/>
        <v>janeiro 2026</v>
      </c>
      <c r="J1088">
        <f t="shared" si="45"/>
        <v>2026</v>
      </c>
      <c r="K1088" t="str">
        <f>VLOOKUP(G1088,METRICS!C:D,2,0)</f>
        <v>Taxas Financeiras Diversas</v>
      </c>
      <c r="L1088" t="str">
        <f>VLOOKUP(K1088,METRICS!D:E,2,0)</f>
        <v>TAXAS CARTÃO DE CRÉDITO</v>
      </c>
    </row>
    <row r="1089" spans="1:12" ht="15" hidden="1">
      <c r="A1089" t="s">
        <v>1030</v>
      </c>
      <c r="B1089" t="s">
        <v>689</v>
      </c>
      <c r="C1089" t="s">
        <v>690</v>
      </c>
      <c r="D1089" t="s">
        <v>733</v>
      </c>
      <c r="E1089" t="s">
        <v>734</v>
      </c>
      <c r="F1089" t="s">
        <v>1272</v>
      </c>
      <c r="G1089" t="s">
        <v>665</v>
      </c>
      <c r="H1089" s="595">
        <v>-16.84</v>
      </c>
      <c r="I1089" t="str">
        <f t="shared" si="44"/>
        <v>janeiro 2026</v>
      </c>
      <c r="J1089">
        <f t="shared" si="45"/>
        <v>2026</v>
      </c>
      <c r="K1089" t="str">
        <f>VLOOKUP(G1089,METRICS!C:D,2,0)</f>
        <v>Taxas Financeiras Diversas</v>
      </c>
      <c r="L1089" t="str">
        <f>VLOOKUP(K1089,METRICS!D:E,2,0)</f>
        <v>TAXAS CARTÃO DE CRÉDITO</v>
      </c>
    </row>
    <row r="1090" spans="1:12" ht="15" hidden="1">
      <c r="A1090" t="s">
        <v>1030</v>
      </c>
      <c r="B1090" t="s">
        <v>689</v>
      </c>
      <c r="C1090" t="s">
        <v>690</v>
      </c>
      <c r="D1090" t="s">
        <v>733</v>
      </c>
      <c r="E1090" t="s">
        <v>734</v>
      </c>
      <c r="F1090" t="s">
        <v>1272</v>
      </c>
      <c r="G1090" t="s">
        <v>665</v>
      </c>
      <c r="H1090" s="595">
        <v>-5.44</v>
      </c>
      <c r="I1090" t="str">
        <f t="shared" si="44"/>
        <v>janeiro 2026</v>
      </c>
      <c r="J1090">
        <f t="shared" si="45"/>
        <v>2026</v>
      </c>
      <c r="K1090" t="str">
        <f>VLOOKUP(G1090,METRICS!C:D,2,0)</f>
        <v>Taxas Financeiras Diversas</v>
      </c>
      <c r="L1090" t="str">
        <f>VLOOKUP(K1090,METRICS!D:E,2,0)</f>
        <v>TAXAS CARTÃO DE CRÉDITO</v>
      </c>
    </row>
    <row r="1091" spans="1:12" ht="15" hidden="1">
      <c r="A1091" t="s">
        <v>1030</v>
      </c>
      <c r="B1091" t="s">
        <v>689</v>
      </c>
      <c r="C1091" t="s">
        <v>690</v>
      </c>
      <c r="D1091" t="s">
        <v>743</v>
      </c>
      <c r="E1091" t="s">
        <v>734</v>
      </c>
      <c r="F1091" t="s">
        <v>1272</v>
      </c>
      <c r="G1091" t="s">
        <v>665</v>
      </c>
      <c r="H1091" s="595">
        <v>-1.92</v>
      </c>
      <c r="I1091" t="str">
        <f t="shared" si="44"/>
        <v>janeiro 2026</v>
      </c>
      <c r="J1091">
        <f t="shared" si="45"/>
        <v>2026</v>
      </c>
      <c r="K1091" t="str">
        <f>VLOOKUP(G1091,METRICS!C:D,2,0)</f>
        <v>Taxas Financeiras Diversas</v>
      </c>
      <c r="L1091" t="str">
        <f>VLOOKUP(K1091,METRICS!D:E,2,0)</f>
        <v>TAXAS CARTÃO DE CRÉDITO</v>
      </c>
    </row>
    <row r="1092" spans="1:12" ht="15" hidden="1">
      <c r="A1092" t="s">
        <v>1030</v>
      </c>
      <c r="B1092" t="s">
        <v>689</v>
      </c>
      <c r="C1092" t="s">
        <v>690</v>
      </c>
      <c r="D1092" t="s">
        <v>733</v>
      </c>
      <c r="E1092" t="s">
        <v>734</v>
      </c>
      <c r="F1092" t="s">
        <v>1272</v>
      </c>
      <c r="G1092" t="s">
        <v>665</v>
      </c>
      <c r="H1092" s="595">
        <v>-1.82</v>
      </c>
      <c r="I1092" t="str">
        <f t="shared" si="44"/>
        <v>janeiro 2026</v>
      </c>
      <c r="J1092">
        <f t="shared" si="45"/>
        <v>2026</v>
      </c>
      <c r="K1092" t="str">
        <f>VLOOKUP(G1092,METRICS!C:D,2,0)</f>
        <v>Taxas Financeiras Diversas</v>
      </c>
      <c r="L1092" t="str">
        <f>VLOOKUP(K1092,METRICS!D:E,2,0)</f>
        <v>TAXAS CARTÃO DE CRÉDITO</v>
      </c>
    </row>
    <row r="1093" spans="1:12" ht="15" hidden="1">
      <c r="A1093" t="s">
        <v>1030</v>
      </c>
      <c r="B1093" t="s">
        <v>689</v>
      </c>
      <c r="C1093" t="s">
        <v>690</v>
      </c>
      <c r="D1093" t="s">
        <v>733</v>
      </c>
      <c r="E1093" t="s">
        <v>734</v>
      </c>
      <c r="F1093" t="s">
        <v>1272</v>
      </c>
      <c r="G1093" t="s">
        <v>665</v>
      </c>
      <c r="H1093" s="595">
        <v>-1.79</v>
      </c>
      <c r="I1093" t="str">
        <f t="shared" si="44"/>
        <v>janeiro 2026</v>
      </c>
      <c r="J1093">
        <f t="shared" si="45"/>
        <v>2026</v>
      </c>
      <c r="K1093" t="str">
        <f>VLOOKUP(G1093,METRICS!C:D,2,0)</f>
        <v>Taxas Financeiras Diversas</v>
      </c>
      <c r="L1093" t="str">
        <f>VLOOKUP(K1093,METRICS!D:E,2,0)</f>
        <v>TAXAS CARTÃO DE CRÉDITO</v>
      </c>
    </row>
    <row r="1094" spans="1:12" ht="15" hidden="1">
      <c r="A1094" t="s">
        <v>1030</v>
      </c>
      <c r="B1094" t="s">
        <v>689</v>
      </c>
      <c r="C1094" t="s">
        <v>690</v>
      </c>
      <c r="D1094" t="s">
        <v>733</v>
      </c>
      <c r="E1094" t="s">
        <v>734</v>
      </c>
      <c r="F1094" t="s">
        <v>1272</v>
      </c>
      <c r="G1094" t="s">
        <v>665</v>
      </c>
      <c r="H1094" s="595">
        <v>-7.45</v>
      </c>
      <c r="I1094" t="str">
        <f t="shared" si="44"/>
        <v>janeiro 2026</v>
      </c>
      <c r="J1094">
        <f t="shared" si="45"/>
        <v>2026</v>
      </c>
      <c r="K1094" t="str">
        <f>VLOOKUP(G1094,METRICS!C:D,2,0)</f>
        <v>Taxas Financeiras Diversas</v>
      </c>
      <c r="L1094" t="str">
        <f>VLOOKUP(K1094,METRICS!D:E,2,0)</f>
        <v>TAXAS CARTÃO DE CRÉDITO</v>
      </c>
    </row>
    <row r="1095" spans="1:12" ht="15" hidden="1">
      <c r="A1095" t="s">
        <v>1030</v>
      </c>
      <c r="B1095" t="s">
        <v>689</v>
      </c>
      <c r="C1095" t="s">
        <v>690</v>
      </c>
      <c r="D1095" t="s">
        <v>733</v>
      </c>
      <c r="E1095" t="s">
        <v>734</v>
      </c>
      <c r="F1095" t="s">
        <v>1272</v>
      </c>
      <c r="G1095" t="s">
        <v>665</v>
      </c>
      <c r="H1095" s="595">
        <v>-13.67</v>
      </c>
      <c r="I1095" t="str">
        <f t="shared" si="44"/>
        <v>janeiro 2026</v>
      </c>
      <c r="J1095">
        <f t="shared" si="45"/>
        <v>2026</v>
      </c>
      <c r="K1095" t="str">
        <f>VLOOKUP(G1095,METRICS!C:D,2,0)</f>
        <v>Taxas Financeiras Diversas</v>
      </c>
      <c r="L1095" t="str">
        <f>VLOOKUP(K1095,METRICS!D:E,2,0)</f>
        <v>TAXAS CARTÃO DE CRÉDITO</v>
      </c>
    </row>
    <row r="1096" spans="1:12" ht="15" hidden="1">
      <c r="A1096" t="s">
        <v>1030</v>
      </c>
      <c r="B1096" t="s">
        <v>689</v>
      </c>
      <c r="C1096" t="s">
        <v>690</v>
      </c>
      <c r="D1096" t="s">
        <v>743</v>
      </c>
      <c r="E1096" t="s">
        <v>734</v>
      </c>
      <c r="F1096" t="s">
        <v>1272</v>
      </c>
      <c r="G1096" t="s">
        <v>665</v>
      </c>
      <c r="H1096" s="595">
        <v>-5.0999999999999996</v>
      </c>
      <c r="I1096" t="str">
        <f t="shared" si="44"/>
        <v>janeiro 2026</v>
      </c>
      <c r="J1096">
        <f t="shared" si="45"/>
        <v>2026</v>
      </c>
      <c r="K1096" t="str">
        <f>VLOOKUP(G1096,METRICS!C:D,2,0)</f>
        <v>Taxas Financeiras Diversas</v>
      </c>
      <c r="L1096" t="str">
        <f>VLOOKUP(K1096,METRICS!D:E,2,0)</f>
        <v>TAXAS CARTÃO DE CRÉDITO</v>
      </c>
    </row>
    <row r="1097" spans="1:12" ht="15" hidden="1">
      <c r="A1097" t="s">
        <v>1030</v>
      </c>
      <c r="B1097" t="s">
        <v>689</v>
      </c>
      <c r="C1097" t="s">
        <v>690</v>
      </c>
      <c r="D1097" t="s">
        <v>733</v>
      </c>
      <c r="E1097" t="s">
        <v>734</v>
      </c>
      <c r="F1097" t="s">
        <v>1272</v>
      </c>
      <c r="G1097" t="s">
        <v>665</v>
      </c>
      <c r="H1097" s="595">
        <v>-4.22</v>
      </c>
      <c r="I1097" t="str">
        <f t="shared" si="44"/>
        <v>janeiro 2026</v>
      </c>
      <c r="J1097">
        <f t="shared" si="45"/>
        <v>2026</v>
      </c>
      <c r="K1097" t="str">
        <f>VLOOKUP(G1097,METRICS!C:D,2,0)</f>
        <v>Taxas Financeiras Diversas</v>
      </c>
      <c r="L1097" t="str">
        <f>VLOOKUP(K1097,METRICS!D:E,2,0)</f>
        <v>TAXAS CARTÃO DE CRÉDITO</v>
      </c>
    </row>
    <row r="1098" spans="1:12" ht="15" hidden="1">
      <c r="A1098" t="s">
        <v>1030</v>
      </c>
      <c r="B1098" t="s">
        <v>689</v>
      </c>
      <c r="C1098" t="s">
        <v>690</v>
      </c>
      <c r="D1098" t="s">
        <v>733</v>
      </c>
      <c r="E1098" t="s">
        <v>734</v>
      </c>
      <c r="F1098" t="s">
        <v>1272</v>
      </c>
      <c r="G1098" t="s">
        <v>665</v>
      </c>
      <c r="H1098" s="595">
        <v>-2.21</v>
      </c>
      <c r="I1098" t="str">
        <f t="shared" si="44"/>
        <v>janeiro 2026</v>
      </c>
      <c r="J1098">
        <f t="shared" si="45"/>
        <v>2026</v>
      </c>
      <c r="K1098" t="str">
        <f>VLOOKUP(G1098,METRICS!C:D,2,0)</f>
        <v>Taxas Financeiras Diversas</v>
      </c>
      <c r="L1098" t="str">
        <f>VLOOKUP(K1098,METRICS!D:E,2,0)</f>
        <v>TAXAS CARTÃO DE CRÉDITO</v>
      </c>
    </row>
    <row r="1099" spans="1:12" ht="15" hidden="1">
      <c r="A1099" t="s">
        <v>1030</v>
      </c>
      <c r="B1099" t="s">
        <v>689</v>
      </c>
      <c r="C1099" t="s">
        <v>690</v>
      </c>
      <c r="D1099" t="s">
        <v>743</v>
      </c>
      <c r="E1099" t="s">
        <v>734</v>
      </c>
      <c r="F1099" t="s">
        <v>1272</v>
      </c>
      <c r="G1099" t="s">
        <v>665</v>
      </c>
      <c r="H1099" s="595">
        <v>-5.44</v>
      </c>
      <c r="I1099" t="str">
        <f t="shared" si="44"/>
        <v>janeiro 2026</v>
      </c>
      <c r="J1099">
        <f t="shared" si="45"/>
        <v>2026</v>
      </c>
      <c r="K1099" t="str">
        <f>VLOOKUP(G1099,METRICS!C:D,2,0)</f>
        <v>Taxas Financeiras Diversas</v>
      </c>
      <c r="L1099" t="str">
        <f>VLOOKUP(K1099,METRICS!D:E,2,0)</f>
        <v>TAXAS CARTÃO DE CRÉDITO</v>
      </c>
    </row>
    <row r="1100" spans="1:12" ht="15" hidden="1">
      <c r="A1100" t="s">
        <v>1030</v>
      </c>
      <c r="B1100" t="s">
        <v>689</v>
      </c>
      <c r="C1100" t="s">
        <v>690</v>
      </c>
      <c r="D1100" t="s">
        <v>743</v>
      </c>
      <c r="E1100" t="s">
        <v>734</v>
      </c>
      <c r="F1100" t="s">
        <v>1272</v>
      </c>
      <c r="G1100" t="s">
        <v>665</v>
      </c>
      <c r="H1100" s="595">
        <v>-8.9700000000000006</v>
      </c>
      <c r="I1100" t="str">
        <f t="shared" si="44"/>
        <v>janeiro 2026</v>
      </c>
      <c r="J1100">
        <f t="shared" si="45"/>
        <v>2026</v>
      </c>
      <c r="K1100" t="str">
        <f>VLOOKUP(G1100,METRICS!C:D,2,0)</f>
        <v>Taxas Financeiras Diversas</v>
      </c>
      <c r="L1100" t="str">
        <f>VLOOKUP(K1100,METRICS!D:E,2,0)</f>
        <v>TAXAS CARTÃO DE CRÉDITO</v>
      </c>
    </row>
    <row r="1101" spans="1:12" ht="15" hidden="1">
      <c r="A1101" t="s">
        <v>1030</v>
      </c>
      <c r="B1101" t="s">
        <v>689</v>
      </c>
      <c r="C1101" t="s">
        <v>690</v>
      </c>
      <c r="D1101" t="s">
        <v>733</v>
      </c>
      <c r="E1101" t="s">
        <v>734</v>
      </c>
      <c r="F1101" t="s">
        <v>1272</v>
      </c>
      <c r="G1101" t="s">
        <v>665</v>
      </c>
      <c r="H1101" s="595">
        <v>-9.57</v>
      </c>
      <c r="I1101" t="str">
        <f t="shared" si="44"/>
        <v>janeiro 2026</v>
      </c>
      <c r="J1101">
        <f t="shared" si="45"/>
        <v>2026</v>
      </c>
      <c r="K1101" t="str">
        <f>VLOOKUP(G1101,METRICS!C:D,2,0)</f>
        <v>Taxas Financeiras Diversas</v>
      </c>
      <c r="L1101" t="str">
        <f>VLOOKUP(K1101,METRICS!D:E,2,0)</f>
        <v>TAXAS CARTÃO DE CRÉDITO</v>
      </c>
    </row>
    <row r="1102" spans="1:12" ht="15" hidden="1">
      <c r="A1102" t="s">
        <v>1030</v>
      </c>
      <c r="B1102" t="s">
        <v>689</v>
      </c>
      <c r="C1102" t="s">
        <v>690</v>
      </c>
      <c r="D1102" t="s">
        <v>743</v>
      </c>
      <c r="E1102" t="s">
        <v>734</v>
      </c>
      <c r="F1102" t="s">
        <v>1272</v>
      </c>
      <c r="G1102" t="s">
        <v>665</v>
      </c>
      <c r="H1102" s="595">
        <v>-5.3</v>
      </c>
      <c r="I1102" t="str">
        <f t="shared" si="44"/>
        <v>janeiro 2026</v>
      </c>
      <c r="J1102">
        <f t="shared" si="45"/>
        <v>2026</v>
      </c>
      <c r="K1102" t="str">
        <f>VLOOKUP(G1102,METRICS!C:D,2,0)</f>
        <v>Taxas Financeiras Diversas</v>
      </c>
      <c r="L1102" t="str">
        <f>VLOOKUP(K1102,METRICS!D:E,2,0)</f>
        <v>TAXAS CARTÃO DE CRÉDITO</v>
      </c>
    </row>
    <row r="1103" spans="1:12" ht="15" hidden="1">
      <c r="A1103" t="s">
        <v>1030</v>
      </c>
      <c r="B1103" t="s">
        <v>689</v>
      </c>
      <c r="C1103" t="s">
        <v>690</v>
      </c>
      <c r="D1103" t="s">
        <v>743</v>
      </c>
      <c r="E1103" t="s">
        <v>734</v>
      </c>
      <c r="F1103" t="s">
        <v>1272</v>
      </c>
      <c r="G1103" t="s">
        <v>665</v>
      </c>
      <c r="H1103" s="595">
        <v>-2.86</v>
      </c>
      <c r="I1103" t="str">
        <f t="shared" si="44"/>
        <v>janeiro 2026</v>
      </c>
      <c r="J1103">
        <f t="shared" si="45"/>
        <v>2026</v>
      </c>
      <c r="K1103" t="str">
        <f>VLOOKUP(G1103,METRICS!C:D,2,0)</f>
        <v>Taxas Financeiras Diversas</v>
      </c>
      <c r="L1103" t="str">
        <f>VLOOKUP(K1103,METRICS!D:E,2,0)</f>
        <v>TAXAS CARTÃO DE CRÉDITO</v>
      </c>
    </row>
    <row r="1104" spans="1:12" ht="15" hidden="1">
      <c r="A1104" t="s">
        <v>1030</v>
      </c>
      <c r="B1104" t="s">
        <v>689</v>
      </c>
      <c r="C1104" t="s">
        <v>690</v>
      </c>
      <c r="D1104" t="s">
        <v>733</v>
      </c>
      <c r="E1104" t="s">
        <v>734</v>
      </c>
      <c r="F1104" t="s">
        <v>1272</v>
      </c>
      <c r="G1104" t="s">
        <v>665</v>
      </c>
      <c r="H1104" s="595">
        <v>-5.97</v>
      </c>
      <c r="I1104" t="str">
        <f t="shared" si="44"/>
        <v>janeiro 2026</v>
      </c>
      <c r="J1104">
        <f t="shared" si="45"/>
        <v>2026</v>
      </c>
      <c r="K1104" t="str">
        <f>VLOOKUP(G1104,METRICS!C:D,2,0)</f>
        <v>Taxas Financeiras Diversas</v>
      </c>
      <c r="L1104" t="str">
        <f>VLOOKUP(K1104,METRICS!D:E,2,0)</f>
        <v>TAXAS CARTÃO DE CRÉDITO</v>
      </c>
    </row>
    <row r="1105" spans="1:12" ht="15" hidden="1">
      <c r="A1105" t="s">
        <v>1030</v>
      </c>
      <c r="B1105" t="s">
        <v>689</v>
      </c>
      <c r="C1105" t="s">
        <v>690</v>
      </c>
      <c r="D1105" t="s">
        <v>733</v>
      </c>
      <c r="E1105" t="s">
        <v>734</v>
      </c>
      <c r="F1105" t="s">
        <v>1272</v>
      </c>
      <c r="G1105" t="s">
        <v>665</v>
      </c>
      <c r="H1105" s="595">
        <v>-7.97</v>
      </c>
      <c r="I1105" t="str">
        <f t="shared" ref="I1105:I1140" si="46">TEXT(A1105, "mmmm aaaa")</f>
        <v>janeiro 2026</v>
      </c>
      <c r="J1105">
        <f t="shared" si="45"/>
        <v>2026</v>
      </c>
      <c r="K1105" t="str">
        <f>VLOOKUP(G1105,METRICS!C:D,2,0)</f>
        <v>Taxas Financeiras Diversas</v>
      </c>
      <c r="L1105" t="str">
        <f>VLOOKUP(K1105,METRICS!D:E,2,0)</f>
        <v>TAXAS CARTÃO DE CRÉDITO</v>
      </c>
    </row>
    <row r="1106" spans="1:12" ht="15" hidden="1">
      <c r="A1106" t="s">
        <v>1030</v>
      </c>
      <c r="B1106" t="s">
        <v>689</v>
      </c>
      <c r="C1106" t="s">
        <v>690</v>
      </c>
      <c r="D1106" t="s">
        <v>733</v>
      </c>
      <c r="E1106" t="s">
        <v>734</v>
      </c>
      <c r="F1106" t="s">
        <v>1272</v>
      </c>
      <c r="G1106" t="s">
        <v>665</v>
      </c>
      <c r="H1106" s="595">
        <v>-2.13</v>
      </c>
      <c r="I1106" t="str">
        <f t="shared" si="46"/>
        <v>janeiro 2026</v>
      </c>
      <c r="J1106">
        <f t="shared" si="45"/>
        <v>2026</v>
      </c>
      <c r="K1106" t="str">
        <f>VLOOKUP(G1106,METRICS!C:D,2,0)</f>
        <v>Taxas Financeiras Diversas</v>
      </c>
      <c r="L1106" t="str">
        <f>VLOOKUP(K1106,METRICS!D:E,2,0)</f>
        <v>TAXAS CARTÃO DE CRÉDITO</v>
      </c>
    </row>
    <row r="1107" spans="1:12" ht="15" hidden="1">
      <c r="A1107" t="s">
        <v>1030</v>
      </c>
      <c r="B1107" t="s">
        <v>689</v>
      </c>
      <c r="C1107" t="s">
        <v>690</v>
      </c>
      <c r="D1107" t="s">
        <v>733</v>
      </c>
      <c r="E1107" t="s">
        <v>734</v>
      </c>
      <c r="F1107" t="s">
        <v>1272</v>
      </c>
      <c r="G1107" t="s">
        <v>665</v>
      </c>
      <c r="H1107" s="595">
        <v>-5.44</v>
      </c>
      <c r="I1107" t="str">
        <f t="shared" si="46"/>
        <v>janeiro 2026</v>
      </c>
      <c r="J1107">
        <f t="shared" si="45"/>
        <v>2026</v>
      </c>
      <c r="K1107" t="str">
        <f>VLOOKUP(G1107,METRICS!C:D,2,0)</f>
        <v>Taxas Financeiras Diversas</v>
      </c>
      <c r="L1107" t="str">
        <f>VLOOKUP(K1107,METRICS!D:E,2,0)</f>
        <v>TAXAS CARTÃO DE CRÉDITO</v>
      </c>
    </row>
    <row r="1108" spans="1:12" ht="15" hidden="1">
      <c r="A1108" t="s">
        <v>1030</v>
      </c>
      <c r="B1108" t="s">
        <v>689</v>
      </c>
      <c r="C1108" t="s">
        <v>690</v>
      </c>
      <c r="D1108" t="s">
        <v>733</v>
      </c>
      <c r="E1108" t="s">
        <v>734</v>
      </c>
      <c r="F1108" t="s">
        <v>1272</v>
      </c>
      <c r="G1108" t="s">
        <v>665</v>
      </c>
      <c r="H1108" s="595">
        <v>-8.82</v>
      </c>
      <c r="I1108" t="str">
        <f t="shared" si="46"/>
        <v>janeiro 2026</v>
      </c>
      <c r="J1108">
        <f t="shared" si="45"/>
        <v>2026</v>
      </c>
      <c r="K1108" t="str">
        <f>VLOOKUP(G1108,METRICS!C:D,2,0)</f>
        <v>Taxas Financeiras Diversas</v>
      </c>
      <c r="L1108" t="str">
        <f>VLOOKUP(K1108,METRICS!D:E,2,0)</f>
        <v>TAXAS CARTÃO DE CRÉDITO</v>
      </c>
    </row>
    <row r="1109" spans="1:12" ht="15" hidden="1">
      <c r="A1109" t="s">
        <v>1030</v>
      </c>
      <c r="B1109" t="s">
        <v>689</v>
      </c>
      <c r="C1109" t="s">
        <v>690</v>
      </c>
      <c r="D1109" t="s">
        <v>743</v>
      </c>
      <c r="E1109" t="s">
        <v>734</v>
      </c>
      <c r="F1109" t="s">
        <v>1272</v>
      </c>
      <c r="G1109" t="s">
        <v>665</v>
      </c>
      <c r="H1109" s="595">
        <v>-0.82</v>
      </c>
      <c r="I1109" t="str">
        <f t="shared" si="46"/>
        <v>janeiro 2026</v>
      </c>
      <c r="J1109">
        <f t="shared" si="45"/>
        <v>2026</v>
      </c>
      <c r="K1109" t="str">
        <f>VLOOKUP(G1109,METRICS!C:D,2,0)</f>
        <v>Taxas Financeiras Diversas</v>
      </c>
      <c r="L1109" t="str">
        <f>VLOOKUP(K1109,METRICS!D:E,2,0)</f>
        <v>TAXAS CARTÃO DE CRÉDITO</v>
      </c>
    </row>
    <row r="1110" spans="1:12" ht="15" hidden="1">
      <c r="A1110" t="s">
        <v>1030</v>
      </c>
      <c r="B1110" t="s">
        <v>689</v>
      </c>
      <c r="C1110" t="s">
        <v>690</v>
      </c>
      <c r="D1110" t="s">
        <v>753</v>
      </c>
      <c r="E1110" t="s">
        <v>734</v>
      </c>
      <c r="F1110" t="s">
        <v>1272</v>
      </c>
      <c r="G1110" t="s">
        <v>665</v>
      </c>
      <c r="H1110" s="595">
        <v>-257.52</v>
      </c>
      <c r="I1110" t="str">
        <f t="shared" si="46"/>
        <v>janeiro 2026</v>
      </c>
      <c r="J1110">
        <f t="shared" si="45"/>
        <v>2026</v>
      </c>
      <c r="K1110" t="str">
        <f>VLOOKUP(G1110,METRICS!C:D,2,0)</f>
        <v>Taxas Financeiras Diversas</v>
      </c>
      <c r="L1110" t="str">
        <f>VLOOKUP(K1110,METRICS!D:E,2,0)</f>
        <v>TAXAS CARTÃO DE CRÉDITO</v>
      </c>
    </row>
    <row r="1111" spans="1:12" ht="15" hidden="1">
      <c r="A1111" t="s">
        <v>1030</v>
      </c>
      <c r="B1111" t="s">
        <v>689</v>
      </c>
      <c r="C1111" t="s">
        <v>690</v>
      </c>
      <c r="D1111" t="s">
        <v>733</v>
      </c>
      <c r="E1111" t="s">
        <v>734</v>
      </c>
      <c r="F1111" t="s">
        <v>1272</v>
      </c>
      <c r="G1111" t="s">
        <v>665</v>
      </c>
      <c r="H1111" s="595">
        <v>-1.81</v>
      </c>
      <c r="I1111" t="str">
        <f t="shared" si="46"/>
        <v>janeiro 2026</v>
      </c>
      <c r="J1111">
        <f t="shared" si="45"/>
        <v>2026</v>
      </c>
      <c r="K1111" t="str">
        <f>VLOOKUP(G1111,METRICS!C:D,2,0)</f>
        <v>Taxas Financeiras Diversas</v>
      </c>
      <c r="L1111" t="str">
        <f>VLOOKUP(K1111,METRICS!D:E,2,0)</f>
        <v>TAXAS CARTÃO DE CRÉDITO</v>
      </c>
    </row>
    <row r="1112" spans="1:12" ht="15" hidden="1">
      <c r="A1112" t="s">
        <v>1030</v>
      </c>
      <c r="B1112" t="s">
        <v>689</v>
      </c>
      <c r="C1112" t="s">
        <v>690</v>
      </c>
      <c r="D1112" t="s">
        <v>733</v>
      </c>
      <c r="E1112" t="s">
        <v>734</v>
      </c>
      <c r="F1112" t="s">
        <v>1272</v>
      </c>
      <c r="G1112" t="s">
        <v>665</v>
      </c>
      <c r="H1112" s="595">
        <v>-2.99</v>
      </c>
      <c r="I1112" t="str">
        <f t="shared" si="46"/>
        <v>janeiro 2026</v>
      </c>
      <c r="J1112">
        <f t="shared" si="45"/>
        <v>2026</v>
      </c>
      <c r="K1112" t="str">
        <f>VLOOKUP(G1112,METRICS!C:D,2,0)</f>
        <v>Taxas Financeiras Diversas</v>
      </c>
      <c r="L1112" t="str">
        <f>VLOOKUP(K1112,METRICS!D:E,2,0)</f>
        <v>TAXAS CARTÃO DE CRÉDITO</v>
      </c>
    </row>
    <row r="1113" spans="1:12" ht="15" hidden="1">
      <c r="A1113" t="s">
        <v>1030</v>
      </c>
      <c r="B1113" t="s">
        <v>689</v>
      </c>
      <c r="C1113" t="s">
        <v>690</v>
      </c>
      <c r="D1113" t="s">
        <v>733</v>
      </c>
      <c r="E1113" t="s">
        <v>734</v>
      </c>
      <c r="F1113" t="s">
        <v>1272</v>
      </c>
      <c r="G1113" t="s">
        <v>665</v>
      </c>
      <c r="H1113" s="595">
        <v>-7.84</v>
      </c>
      <c r="I1113" t="str">
        <f t="shared" si="46"/>
        <v>janeiro 2026</v>
      </c>
      <c r="J1113">
        <f t="shared" si="45"/>
        <v>2026</v>
      </c>
      <c r="K1113" t="str">
        <f>VLOOKUP(G1113,METRICS!C:D,2,0)</f>
        <v>Taxas Financeiras Diversas</v>
      </c>
      <c r="L1113" t="str">
        <f>VLOOKUP(K1113,METRICS!D:E,2,0)</f>
        <v>TAXAS CARTÃO DE CRÉDITO</v>
      </c>
    </row>
    <row r="1114" spans="1:12" ht="15" hidden="1">
      <c r="A1114" t="s">
        <v>1030</v>
      </c>
      <c r="B1114" t="s">
        <v>689</v>
      </c>
      <c r="C1114" t="s">
        <v>690</v>
      </c>
      <c r="D1114" t="s">
        <v>733</v>
      </c>
      <c r="E1114" t="s">
        <v>734</v>
      </c>
      <c r="F1114" t="s">
        <v>1272</v>
      </c>
      <c r="G1114" t="s">
        <v>665</v>
      </c>
      <c r="H1114" s="595">
        <v>-3.12</v>
      </c>
      <c r="I1114" t="str">
        <f t="shared" si="46"/>
        <v>janeiro 2026</v>
      </c>
      <c r="J1114">
        <f t="shared" si="45"/>
        <v>2026</v>
      </c>
      <c r="K1114" t="str">
        <f>VLOOKUP(G1114,METRICS!C:D,2,0)</f>
        <v>Taxas Financeiras Diversas</v>
      </c>
      <c r="L1114" t="str">
        <f>VLOOKUP(K1114,METRICS!D:E,2,0)</f>
        <v>TAXAS CARTÃO DE CRÉDITO</v>
      </c>
    </row>
    <row r="1115" spans="1:12" ht="15" hidden="1">
      <c r="A1115" t="s">
        <v>1030</v>
      </c>
      <c r="B1115" t="s">
        <v>689</v>
      </c>
      <c r="C1115" t="s">
        <v>690</v>
      </c>
      <c r="D1115" t="s">
        <v>733</v>
      </c>
      <c r="E1115" t="s">
        <v>734</v>
      </c>
      <c r="F1115" t="s">
        <v>1272</v>
      </c>
      <c r="G1115" t="s">
        <v>665</v>
      </c>
      <c r="H1115" s="595">
        <v>-12.2</v>
      </c>
      <c r="I1115" t="str">
        <f t="shared" si="46"/>
        <v>janeiro 2026</v>
      </c>
      <c r="J1115">
        <f t="shared" si="45"/>
        <v>2026</v>
      </c>
      <c r="K1115" t="str">
        <f>VLOOKUP(G1115,METRICS!C:D,2,0)</f>
        <v>Taxas Financeiras Diversas</v>
      </c>
      <c r="L1115" t="str">
        <f>VLOOKUP(K1115,METRICS!D:E,2,0)</f>
        <v>TAXAS CARTÃO DE CRÉDITO</v>
      </c>
    </row>
    <row r="1116" spans="1:12" ht="15" hidden="1">
      <c r="A1116" t="s">
        <v>1030</v>
      </c>
      <c r="B1116" t="s">
        <v>689</v>
      </c>
      <c r="C1116" t="s">
        <v>690</v>
      </c>
      <c r="D1116" t="s">
        <v>733</v>
      </c>
      <c r="E1116" t="s">
        <v>734</v>
      </c>
      <c r="F1116" t="s">
        <v>1272</v>
      </c>
      <c r="G1116" t="s">
        <v>665</v>
      </c>
      <c r="H1116" s="595">
        <v>-2.36</v>
      </c>
      <c r="I1116" t="str">
        <f t="shared" si="46"/>
        <v>janeiro 2026</v>
      </c>
      <c r="J1116">
        <f t="shared" si="45"/>
        <v>2026</v>
      </c>
      <c r="K1116" t="str">
        <f>VLOOKUP(G1116,METRICS!C:D,2,0)</f>
        <v>Taxas Financeiras Diversas</v>
      </c>
      <c r="L1116" t="str">
        <f>VLOOKUP(K1116,METRICS!D:E,2,0)</f>
        <v>TAXAS CARTÃO DE CRÉDITO</v>
      </c>
    </row>
    <row r="1117" spans="1:12" ht="15" hidden="1">
      <c r="A1117" t="s">
        <v>1030</v>
      </c>
      <c r="B1117" t="s">
        <v>689</v>
      </c>
      <c r="C1117" t="s">
        <v>690</v>
      </c>
      <c r="D1117" t="s">
        <v>743</v>
      </c>
      <c r="E1117" t="s">
        <v>734</v>
      </c>
      <c r="F1117" t="s">
        <v>1272</v>
      </c>
      <c r="G1117" t="s">
        <v>665</v>
      </c>
      <c r="H1117" s="595">
        <v>-14.04</v>
      </c>
      <c r="I1117" t="str">
        <f t="shared" si="46"/>
        <v>janeiro 2026</v>
      </c>
      <c r="J1117">
        <f t="shared" si="45"/>
        <v>2026</v>
      </c>
      <c r="K1117" t="str">
        <f>VLOOKUP(G1117,METRICS!C:D,2,0)</f>
        <v>Taxas Financeiras Diversas</v>
      </c>
      <c r="L1117" t="str">
        <f>VLOOKUP(K1117,METRICS!D:E,2,0)</f>
        <v>TAXAS CARTÃO DE CRÉDITO</v>
      </c>
    </row>
    <row r="1118" spans="1:12" ht="15" hidden="1">
      <c r="A1118" t="s">
        <v>1030</v>
      </c>
      <c r="B1118" t="s">
        <v>689</v>
      </c>
      <c r="C1118" t="s">
        <v>690</v>
      </c>
      <c r="D1118" t="s">
        <v>733</v>
      </c>
      <c r="E1118" t="s">
        <v>734</v>
      </c>
      <c r="F1118" t="s">
        <v>1272</v>
      </c>
      <c r="G1118" t="s">
        <v>665</v>
      </c>
      <c r="H1118" s="595">
        <v>-6.46</v>
      </c>
      <c r="I1118" t="str">
        <f t="shared" si="46"/>
        <v>janeiro 2026</v>
      </c>
      <c r="J1118">
        <f t="shared" si="45"/>
        <v>2026</v>
      </c>
      <c r="K1118" t="str">
        <f>VLOOKUP(G1118,METRICS!C:D,2,0)</f>
        <v>Taxas Financeiras Diversas</v>
      </c>
      <c r="L1118" t="str">
        <f>VLOOKUP(K1118,METRICS!D:E,2,0)</f>
        <v>TAXAS CARTÃO DE CRÉDITO</v>
      </c>
    </row>
    <row r="1119" spans="1:12" ht="15" hidden="1">
      <c r="A1119" t="s">
        <v>1030</v>
      </c>
      <c r="B1119" t="s">
        <v>689</v>
      </c>
      <c r="C1119" t="s">
        <v>690</v>
      </c>
      <c r="D1119" t="s">
        <v>743</v>
      </c>
      <c r="E1119" t="s">
        <v>734</v>
      </c>
      <c r="F1119" t="s">
        <v>1272</v>
      </c>
      <c r="G1119" t="s">
        <v>665</v>
      </c>
      <c r="H1119" s="595">
        <v>-4.2300000000000004</v>
      </c>
      <c r="I1119" t="str">
        <f t="shared" si="46"/>
        <v>janeiro 2026</v>
      </c>
      <c r="J1119">
        <f t="shared" si="45"/>
        <v>2026</v>
      </c>
      <c r="K1119" t="str">
        <f>VLOOKUP(G1119,METRICS!C:D,2,0)</f>
        <v>Taxas Financeiras Diversas</v>
      </c>
      <c r="L1119" t="str">
        <f>VLOOKUP(K1119,METRICS!D:E,2,0)</f>
        <v>TAXAS CARTÃO DE CRÉDITO</v>
      </c>
    </row>
    <row r="1120" spans="1:12" ht="15" hidden="1">
      <c r="A1120" t="s">
        <v>1030</v>
      </c>
      <c r="B1120" t="s">
        <v>689</v>
      </c>
      <c r="C1120" t="s">
        <v>690</v>
      </c>
      <c r="D1120" t="s">
        <v>733</v>
      </c>
      <c r="E1120" t="s">
        <v>734</v>
      </c>
      <c r="F1120" t="s">
        <v>1272</v>
      </c>
      <c r="G1120" t="s">
        <v>665</v>
      </c>
      <c r="H1120" s="595">
        <v>-3.18</v>
      </c>
      <c r="I1120" t="str">
        <f t="shared" si="46"/>
        <v>janeiro 2026</v>
      </c>
      <c r="J1120">
        <f t="shared" si="45"/>
        <v>2026</v>
      </c>
      <c r="K1120" t="str">
        <f>VLOOKUP(G1120,METRICS!C:D,2,0)</f>
        <v>Taxas Financeiras Diversas</v>
      </c>
      <c r="L1120" t="str">
        <f>VLOOKUP(K1120,METRICS!D:E,2,0)</f>
        <v>TAXAS CARTÃO DE CRÉDITO</v>
      </c>
    </row>
    <row r="1121" spans="1:12" ht="15" hidden="1">
      <c r="A1121" t="s">
        <v>1030</v>
      </c>
      <c r="B1121" t="s">
        <v>689</v>
      </c>
      <c r="C1121" t="s">
        <v>690</v>
      </c>
      <c r="D1121" t="s">
        <v>743</v>
      </c>
      <c r="E1121" t="s">
        <v>734</v>
      </c>
      <c r="F1121" t="s">
        <v>1272</v>
      </c>
      <c r="G1121" t="s">
        <v>665</v>
      </c>
      <c r="H1121" s="595">
        <v>-16.510000000000002</v>
      </c>
      <c r="I1121" t="str">
        <f t="shared" si="46"/>
        <v>janeiro 2026</v>
      </c>
      <c r="J1121">
        <f t="shared" si="45"/>
        <v>2026</v>
      </c>
      <c r="K1121" t="str">
        <f>VLOOKUP(G1121,METRICS!C:D,2,0)</f>
        <v>Taxas Financeiras Diversas</v>
      </c>
      <c r="L1121" t="str">
        <f>VLOOKUP(K1121,METRICS!D:E,2,0)</f>
        <v>TAXAS CARTÃO DE CRÉDITO</v>
      </c>
    </row>
    <row r="1122" spans="1:12" ht="15" hidden="1">
      <c r="A1122" t="s">
        <v>1030</v>
      </c>
      <c r="B1122" t="s">
        <v>689</v>
      </c>
      <c r="C1122" t="s">
        <v>690</v>
      </c>
      <c r="D1122" t="s">
        <v>743</v>
      </c>
      <c r="E1122" t="s">
        <v>734</v>
      </c>
      <c r="F1122" t="s">
        <v>1272</v>
      </c>
      <c r="G1122" t="s">
        <v>665</v>
      </c>
      <c r="H1122" s="595">
        <v>-9.84</v>
      </c>
      <c r="I1122" t="str">
        <f t="shared" si="46"/>
        <v>janeiro 2026</v>
      </c>
      <c r="J1122">
        <f t="shared" si="45"/>
        <v>2026</v>
      </c>
      <c r="K1122" t="str">
        <f>VLOOKUP(G1122,METRICS!C:D,2,0)</f>
        <v>Taxas Financeiras Diversas</v>
      </c>
      <c r="L1122" t="str">
        <f>VLOOKUP(K1122,METRICS!D:E,2,0)</f>
        <v>TAXAS CARTÃO DE CRÉDITO</v>
      </c>
    </row>
    <row r="1123" spans="1:12" ht="15" hidden="1">
      <c r="A1123" t="s">
        <v>1030</v>
      </c>
      <c r="B1123" t="s">
        <v>689</v>
      </c>
      <c r="C1123" t="s">
        <v>690</v>
      </c>
      <c r="D1123" t="s">
        <v>733</v>
      </c>
      <c r="E1123" t="s">
        <v>734</v>
      </c>
      <c r="F1123" t="s">
        <v>1272</v>
      </c>
      <c r="G1123" t="s">
        <v>665</v>
      </c>
      <c r="H1123" s="595">
        <v>-3.6</v>
      </c>
      <c r="I1123" t="str">
        <f t="shared" si="46"/>
        <v>janeiro 2026</v>
      </c>
      <c r="J1123">
        <f t="shared" si="45"/>
        <v>2026</v>
      </c>
      <c r="K1123" t="str">
        <f>VLOOKUP(G1123,METRICS!C:D,2,0)</f>
        <v>Taxas Financeiras Diversas</v>
      </c>
      <c r="L1123" t="str">
        <f>VLOOKUP(K1123,METRICS!D:E,2,0)</f>
        <v>TAXAS CARTÃO DE CRÉDITO</v>
      </c>
    </row>
    <row r="1124" spans="1:12" ht="15" hidden="1">
      <c r="A1124" t="s">
        <v>1030</v>
      </c>
      <c r="B1124" t="s">
        <v>689</v>
      </c>
      <c r="C1124" t="s">
        <v>690</v>
      </c>
      <c r="D1124" t="s">
        <v>733</v>
      </c>
      <c r="E1124" t="s">
        <v>734</v>
      </c>
      <c r="F1124" t="s">
        <v>1272</v>
      </c>
      <c r="G1124" t="s">
        <v>665</v>
      </c>
      <c r="H1124" s="595">
        <v>-1.62</v>
      </c>
      <c r="I1124" t="str">
        <f t="shared" si="46"/>
        <v>janeiro 2026</v>
      </c>
      <c r="J1124">
        <f t="shared" si="45"/>
        <v>2026</v>
      </c>
      <c r="K1124" t="str">
        <f>VLOOKUP(G1124,METRICS!C:D,2,0)</f>
        <v>Taxas Financeiras Diversas</v>
      </c>
      <c r="L1124" t="str">
        <f>VLOOKUP(K1124,METRICS!D:E,2,0)</f>
        <v>TAXAS CARTÃO DE CRÉDITO</v>
      </c>
    </row>
    <row r="1125" spans="1:12" ht="15" hidden="1">
      <c r="A1125" t="s">
        <v>1030</v>
      </c>
      <c r="B1125" t="s">
        <v>689</v>
      </c>
      <c r="C1125" t="s">
        <v>690</v>
      </c>
      <c r="D1125" t="s">
        <v>852</v>
      </c>
      <c r="E1125" s="155" t="s">
        <v>544</v>
      </c>
      <c r="F1125" t="s">
        <v>1272</v>
      </c>
      <c r="G1125" t="s">
        <v>664</v>
      </c>
      <c r="H1125" s="595">
        <v>-262.26</v>
      </c>
      <c r="I1125" t="str">
        <f t="shared" si="46"/>
        <v>janeiro 2026</v>
      </c>
      <c r="J1125">
        <f t="shared" si="45"/>
        <v>2026</v>
      </c>
      <c r="K1125" t="str">
        <f>VLOOKUP(G1125,METRICS!C:D,2,0)</f>
        <v>Colaborador Extra</v>
      </c>
      <c r="L1125" t="str">
        <f>VLOOKUP(K1125,METRICS!D:E,2,0)</f>
        <v>PESSOAL</v>
      </c>
    </row>
    <row r="1126" spans="1:12" ht="15" hidden="1">
      <c r="A1126" t="s">
        <v>1030</v>
      </c>
      <c r="B1126" t="s">
        <v>689</v>
      </c>
      <c r="C1126" t="s">
        <v>690</v>
      </c>
      <c r="D1126" t="s">
        <v>733</v>
      </c>
      <c r="E1126" t="s">
        <v>734</v>
      </c>
      <c r="F1126" t="s">
        <v>1272</v>
      </c>
      <c r="G1126" t="s">
        <v>665</v>
      </c>
      <c r="H1126" s="595">
        <v>-4.01</v>
      </c>
      <c r="I1126" t="str">
        <f t="shared" si="46"/>
        <v>janeiro 2026</v>
      </c>
      <c r="J1126">
        <f t="shared" si="45"/>
        <v>2026</v>
      </c>
      <c r="K1126" t="str">
        <f>VLOOKUP(G1126,METRICS!C:D,2,0)</f>
        <v>Taxas Financeiras Diversas</v>
      </c>
      <c r="L1126" t="str">
        <f>VLOOKUP(K1126,METRICS!D:E,2,0)</f>
        <v>TAXAS CARTÃO DE CRÉDITO</v>
      </c>
    </row>
    <row r="1127" spans="1:12" ht="15" hidden="1">
      <c r="A1127" t="s">
        <v>1030</v>
      </c>
      <c r="B1127" t="s">
        <v>689</v>
      </c>
      <c r="C1127" t="s">
        <v>690</v>
      </c>
      <c r="D1127" t="s">
        <v>743</v>
      </c>
      <c r="E1127" t="s">
        <v>734</v>
      </c>
      <c r="F1127" t="s">
        <v>1272</v>
      </c>
      <c r="G1127" t="s">
        <v>665</v>
      </c>
      <c r="H1127" s="595">
        <v>-5.28</v>
      </c>
      <c r="I1127" t="str">
        <f t="shared" si="46"/>
        <v>janeiro 2026</v>
      </c>
      <c r="J1127">
        <f t="shared" si="45"/>
        <v>2026</v>
      </c>
      <c r="K1127" t="str">
        <f>VLOOKUP(G1127,METRICS!C:D,2,0)</f>
        <v>Taxas Financeiras Diversas</v>
      </c>
      <c r="L1127" t="str">
        <f>VLOOKUP(K1127,METRICS!D:E,2,0)</f>
        <v>TAXAS CARTÃO DE CRÉDITO</v>
      </c>
    </row>
    <row r="1128" spans="1:12" ht="15" hidden="1">
      <c r="A1128" t="s">
        <v>1030</v>
      </c>
      <c r="B1128" t="s">
        <v>689</v>
      </c>
      <c r="C1128" t="s">
        <v>690</v>
      </c>
      <c r="D1128" t="s">
        <v>733</v>
      </c>
      <c r="E1128" t="s">
        <v>734</v>
      </c>
      <c r="F1128" t="s">
        <v>1272</v>
      </c>
      <c r="G1128" t="s">
        <v>665</v>
      </c>
      <c r="H1128" s="595">
        <v>-8.73</v>
      </c>
      <c r="I1128" t="str">
        <f t="shared" si="46"/>
        <v>janeiro 2026</v>
      </c>
      <c r="J1128">
        <f t="shared" si="45"/>
        <v>2026</v>
      </c>
      <c r="K1128" t="str">
        <f>VLOOKUP(G1128,METRICS!C:D,2,0)</f>
        <v>Taxas Financeiras Diversas</v>
      </c>
      <c r="L1128" t="str">
        <f>VLOOKUP(K1128,METRICS!D:E,2,0)</f>
        <v>TAXAS CARTÃO DE CRÉDITO</v>
      </c>
    </row>
    <row r="1129" spans="1:12" ht="15" hidden="1">
      <c r="A1129" t="s">
        <v>1030</v>
      </c>
      <c r="B1129" t="s">
        <v>689</v>
      </c>
      <c r="C1129" t="s">
        <v>690</v>
      </c>
      <c r="D1129" t="s">
        <v>733</v>
      </c>
      <c r="E1129" t="s">
        <v>734</v>
      </c>
      <c r="F1129" t="s">
        <v>1272</v>
      </c>
      <c r="G1129" t="s">
        <v>665</v>
      </c>
      <c r="H1129" s="595">
        <v>-10.73</v>
      </c>
      <c r="I1129" t="str">
        <f t="shared" si="46"/>
        <v>janeiro 2026</v>
      </c>
      <c r="J1129">
        <f t="shared" si="45"/>
        <v>2026</v>
      </c>
      <c r="K1129" t="str">
        <f>VLOOKUP(G1129,METRICS!C:D,2,0)</f>
        <v>Taxas Financeiras Diversas</v>
      </c>
      <c r="L1129" t="str">
        <f>VLOOKUP(K1129,METRICS!D:E,2,0)</f>
        <v>TAXAS CARTÃO DE CRÉDITO</v>
      </c>
    </row>
    <row r="1130" spans="1:12" ht="15" hidden="1">
      <c r="A1130" t="s">
        <v>1030</v>
      </c>
      <c r="B1130" t="s">
        <v>689</v>
      </c>
      <c r="C1130" t="s">
        <v>690</v>
      </c>
      <c r="D1130" t="s">
        <v>733</v>
      </c>
      <c r="E1130" t="s">
        <v>734</v>
      </c>
      <c r="F1130" t="s">
        <v>1272</v>
      </c>
      <c r="G1130" t="s">
        <v>665</v>
      </c>
      <c r="H1130" s="595">
        <v>-5.54</v>
      </c>
      <c r="I1130" t="str">
        <f t="shared" si="46"/>
        <v>janeiro 2026</v>
      </c>
      <c r="J1130">
        <f t="shared" si="45"/>
        <v>2026</v>
      </c>
      <c r="K1130" t="str">
        <f>VLOOKUP(G1130,METRICS!C:D,2,0)</f>
        <v>Taxas Financeiras Diversas</v>
      </c>
      <c r="L1130" t="str">
        <f>VLOOKUP(K1130,METRICS!D:E,2,0)</f>
        <v>TAXAS CARTÃO DE CRÉDITO</v>
      </c>
    </row>
    <row r="1131" spans="1:12" ht="15" hidden="1">
      <c r="A1131" t="s">
        <v>1030</v>
      </c>
      <c r="B1131" t="s">
        <v>689</v>
      </c>
      <c r="C1131" t="s">
        <v>690</v>
      </c>
      <c r="D1131" t="s">
        <v>733</v>
      </c>
      <c r="E1131" t="s">
        <v>734</v>
      </c>
      <c r="F1131" t="s">
        <v>1272</v>
      </c>
      <c r="G1131" t="s">
        <v>665</v>
      </c>
      <c r="H1131" s="595">
        <v>-1.78</v>
      </c>
      <c r="I1131" t="str">
        <f t="shared" si="46"/>
        <v>janeiro 2026</v>
      </c>
      <c r="J1131">
        <f t="shared" si="45"/>
        <v>2026</v>
      </c>
      <c r="K1131" t="str">
        <f>VLOOKUP(G1131,METRICS!C:D,2,0)</f>
        <v>Taxas Financeiras Diversas</v>
      </c>
      <c r="L1131" t="str">
        <f>VLOOKUP(K1131,METRICS!D:E,2,0)</f>
        <v>TAXAS CARTÃO DE CRÉDITO</v>
      </c>
    </row>
    <row r="1132" spans="1:12" ht="15" hidden="1">
      <c r="A1132" t="s">
        <v>1030</v>
      </c>
      <c r="B1132" t="s">
        <v>689</v>
      </c>
      <c r="C1132" t="s">
        <v>690</v>
      </c>
      <c r="D1132" t="s">
        <v>753</v>
      </c>
      <c r="E1132" t="s">
        <v>734</v>
      </c>
      <c r="F1132" t="s">
        <v>1272</v>
      </c>
      <c r="G1132" t="s">
        <v>665</v>
      </c>
      <c r="H1132" s="595">
        <v>-3.08</v>
      </c>
      <c r="I1132" t="str">
        <f t="shared" si="46"/>
        <v>janeiro 2026</v>
      </c>
      <c r="J1132">
        <f t="shared" si="45"/>
        <v>2026</v>
      </c>
      <c r="K1132" t="str">
        <f>VLOOKUP(G1132,METRICS!C:D,2,0)</f>
        <v>Taxas Financeiras Diversas</v>
      </c>
      <c r="L1132" t="str">
        <f>VLOOKUP(K1132,METRICS!D:E,2,0)</f>
        <v>TAXAS CARTÃO DE CRÉDITO</v>
      </c>
    </row>
    <row r="1133" spans="1:12" ht="15" hidden="1">
      <c r="A1133" t="s">
        <v>1030</v>
      </c>
      <c r="B1133" t="s">
        <v>689</v>
      </c>
      <c r="C1133" t="s">
        <v>690</v>
      </c>
      <c r="D1133" t="s">
        <v>733</v>
      </c>
      <c r="E1133" t="s">
        <v>734</v>
      </c>
      <c r="F1133" t="s">
        <v>1272</v>
      </c>
      <c r="G1133" t="s">
        <v>665</v>
      </c>
      <c r="H1133" s="595">
        <v>-20.28</v>
      </c>
      <c r="I1133" t="str">
        <f t="shared" si="46"/>
        <v>janeiro 2026</v>
      </c>
      <c r="J1133">
        <f t="shared" si="45"/>
        <v>2026</v>
      </c>
      <c r="K1133" t="str">
        <f>VLOOKUP(G1133,METRICS!C:D,2,0)</f>
        <v>Taxas Financeiras Diversas</v>
      </c>
      <c r="L1133" t="str">
        <f>VLOOKUP(K1133,METRICS!D:E,2,0)</f>
        <v>TAXAS CARTÃO DE CRÉDITO</v>
      </c>
    </row>
    <row r="1134" spans="1:12" ht="15" hidden="1">
      <c r="A1134" t="s">
        <v>1030</v>
      </c>
      <c r="B1134" t="s">
        <v>689</v>
      </c>
      <c r="C1134" t="s">
        <v>690</v>
      </c>
      <c r="D1134" t="s">
        <v>743</v>
      </c>
      <c r="E1134" t="s">
        <v>734</v>
      </c>
      <c r="F1134" t="s">
        <v>1272</v>
      </c>
      <c r="G1134" t="s">
        <v>665</v>
      </c>
      <c r="H1134" s="595">
        <v>-0.87</v>
      </c>
      <c r="I1134" t="str">
        <f t="shared" si="46"/>
        <v>janeiro 2026</v>
      </c>
      <c r="J1134">
        <f t="shared" si="45"/>
        <v>2026</v>
      </c>
      <c r="K1134" t="str">
        <f>VLOOKUP(G1134,METRICS!C:D,2,0)</f>
        <v>Taxas Financeiras Diversas</v>
      </c>
      <c r="L1134" t="str">
        <f>VLOOKUP(K1134,METRICS!D:E,2,0)</f>
        <v>TAXAS CARTÃO DE CRÉDITO</v>
      </c>
    </row>
    <row r="1135" spans="1:12" ht="15" hidden="1">
      <c r="A1135" t="s">
        <v>1030</v>
      </c>
      <c r="B1135" t="s">
        <v>689</v>
      </c>
      <c r="C1135" t="s">
        <v>690</v>
      </c>
      <c r="D1135" t="s">
        <v>743</v>
      </c>
      <c r="E1135" t="s">
        <v>734</v>
      </c>
      <c r="F1135" t="s">
        <v>1272</v>
      </c>
      <c r="G1135" t="s">
        <v>665</v>
      </c>
      <c r="H1135" s="595">
        <v>-10.5</v>
      </c>
      <c r="I1135" t="str">
        <f t="shared" si="46"/>
        <v>janeiro 2026</v>
      </c>
      <c r="J1135">
        <f t="shared" si="45"/>
        <v>2026</v>
      </c>
      <c r="K1135" t="str">
        <f>VLOOKUP(G1135,METRICS!C:D,2,0)</f>
        <v>Taxas Financeiras Diversas</v>
      </c>
      <c r="L1135" t="str">
        <f>VLOOKUP(K1135,METRICS!D:E,2,0)</f>
        <v>TAXAS CARTÃO DE CRÉDITO</v>
      </c>
    </row>
    <row r="1136" spans="1:12" ht="15" hidden="1">
      <c r="A1136" t="s">
        <v>1030</v>
      </c>
      <c r="B1136" t="s">
        <v>689</v>
      </c>
      <c r="C1136" t="s">
        <v>690</v>
      </c>
      <c r="D1136" t="s">
        <v>733</v>
      </c>
      <c r="E1136" t="s">
        <v>734</v>
      </c>
      <c r="F1136" t="s">
        <v>1272</v>
      </c>
      <c r="G1136" t="s">
        <v>665</v>
      </c>
      <c r="H1136" s="595">
        <v>-8.4600000000000009</v>
      </c>
      <c r="I1136" t="str">
        <f t="shared" si="46"/>
        <v>janeiro 2026</v>
      </c>
      <c r="J1136">
        <f t="shared" si="45"/>
        <v>2026</v>
      </c>
      <c r="K1136" t="str">
        <f>VLOOKUP(G1136,METRICS!C:D,2,0)</f>
        <v>Taxas Financeiras Diversas</v>
      </c>
      <c r="L1136" t="str">
        <f>VLOOKUP(K1136,METRICS!D:E,2,0)</f>
        <v>TAXAS CARTÃO DE CRÉDITO</v>
      </c>
    </row>
    <row r="1137" spans="1:12" ht="15" hidden="1">
      <c r="A1137" t="s">
        <v>1030</v>
      </c>
      <c r="B1137" t="s">
        <v>689</v>
      </c>
      <c r="C1137" t="s">
        <v>690</v>
      </c>
      <c r="D1137" t="s">
        <v>743</v>
      </c>
      <c r="E1137" t="s">
        <v>734</v>
      </c>
      <c r="F1137" t="s">
        <v>1272</v>
      </c>
      <c r="G1137" t="s">
        <v>665</v>
      </c>
      <c r="H1137" s="595">
        <v>-17.23</v>
      </c>
      <c r="I1137" t="str">
        <f t="shared" si="46"/>
        <v>janeiro 2026</v>
      </c>
      <c r="J1137">
        <f t="shared" si="45"/>
        <v>2026</v>
      </c>
      <c r="K1137" t="str">
        <f>VLOOKUP(G1137,METRICS!C:D,2,0)</f>
        <v>Taxas Financeiras Diversas</v>
      </c>
      <c r="L1137" t="str">
        <f>VLOOKUP(K1137,METRICS!D:E,2,0)</f>
        <v>TAXAS CARTÃO DE CRÉDITO</v>
      </c>
    </row>
    <row r="1138" spans="1:12" ht="15" hidden="1">
      <c r="A1138" t="s">
        <v>1030</v>
      </c>
      <c r="B1138" t="s">
        <v>689</v>
      </c>
      <c r="C1138" t="s">
        <v>690</v>
      </c>
      <c r="D1138" t="s">
        <v>753</v>
      </c>
      <c r="E1138" t="s">
        <v>734</v>
      </c>
      <c r="F1138" t="s">
        <v>1272</v>
      </c>
      <c r="G1138" t="s">
        <v>665</v>
      </c>
      <c r="H1138" s="595">
        <v>-19.239999999999998</v>
      </c>
      <c r="I1138" t="str">
        <f t="shared" si="46"/>
        <v>janeiro 2026</v>
      </c>
      <c r="J1138">
        <f t="shared" si="45"/>
        <v>2026</v>
      </c>
      <c r="K1138" t="str">
        <f>VLOOKUP(G1138,METRICS!C:D,2,0)</f>
        <v>Taxas Financeiras Diversas</v>
      </c>
      <c r="L1138" t="str">
        <f>VLOOKUP(K1138,METRICS!D:E,2,0)</f>
        <v>TAXAS CARTÃO DE CRÉDITO</v>
      </c>
    </row>
    <row r="1139" spans="1:12" ht="15" hidden="1">
      <c r="A1139" t="s">
        <v>1030</v>
      </c>
      <c r="B1139" t="s">
        <v>689</v>
      </c>
      <c r="C1139" t="s">
        <v>690</v>
      </c>
      <c r="D1139" t="s">
        <v>733</v>
      </c>
      <c r="E1139" t="s">
        <v>734</v>
      </c>
      <c r="F1139" t="s">
        <v>1272</v>
      </c>
      <c r="G1139" t="s">
        <v>665</v>
      </c>
      <c r="H1139" s="595">
        <v>-1.96</v>
      </c>
      <c r="I1139" t="str">
        <f t="shared" si="46"/>
        <v>janeiro 2026</v>
      </c>
      <c r="J1139">
        <f t="shared" si="45"/>
        <v>2026</v>
      </c>
      <c r="K1139" t="str">
        <f>VLOOKUP(G1139,METRICS!C:D,2,0)</f>
        <v>Taxas Financeiras Diversas</v>
      </c>
      <c r="L1139" t="str">
        <f>VLOOKUP(K1139,METRICS!D:E,2,0)</f>
        <v>TAXAS CARTÃO DE CRÉDITO</v>
      </c>
    </row>
    <row r="1140" spans="1:12" ht="15" hidden="1">
      <c r="A1140" t="s">
        <v>1030</v>
      </c>
      <c r="B1140" t="s">
        <v>689</v>
      </c>
      <c r="C1140" t="s">
        <v>690</v>
      </c>
      <c r="D1140" t="s">
        <v>733</v>
      </c>
      <c r="E1140" t="s">
        <v>734</v>
      </c>
      <c r="F1140" t="s">
        <v>1272</v>
      </c>
      <c r="G1140" t="s">
        <v>665</v>
      </c>
      <c r="H1140" s="595">
        <v>-10.01</v>
      </c>
      <c r="I1140" t="str">
        <f t="shared" si="46"/>
        <v>janeiro 2026</v>
      </c>
      <c r="J1140">
        <f t="shared" si="45"/>
        <v>2026</v>
      </c>
      <c r="K1140" t="str">
        <f>VLOOKUP(G1140,METRICS!C:D,2,0)</f>
        <v>Taxas Financeiras Diversas</v>
      </c>
      <c r="L1140" t="str">
        <f>VLOOKUP(K1140,METRICS!D:E,2,0)</f>
        <v>TAXAS CARTÃO DE CRÉDITO</v>
      </c>
    </row>
    <row r="1141" spans="1:12" ht="15" hidden="1">
      <c r="A1141" t="s">
        <v>1030</v>
      </c>
      <c r="B1141" t="s">
        <v>689</v>
      </c>
      <c r="C1141" t="s">
        <v>690</v>
      </c>
      <c r="D1141" t="s">
        <v>753</v>
      </c>
      <c r="E1141" t="s">
        <v>734</v>
      </c>
      <c r="F1141" t="s">
        <v>1272</v>
      </c>
      <c r="G1141" t="s">
        <v>665</v>
      </c>
      <c r="H1141" s="595">
        <v>-11.36</v>
      </c>
      <c r="I1141" t="str">
        <f t="shared" ref="I1141:I1180" si="47">TEXT(A1141, "mmmm aaaa")</f>
        <v>janeiro 2026</v>
      </c>
      <c r="J1141">
        <f t="shared" si="45"/>
        <v>2026</v>
      </c>
      <c r="K1141" t="str">
        <f>VLOOKUP(G1141,METRICS!C:D,2,0)</f>
        <v>Taxas Financeiras Diversas</v>
      </c>
      <c r="L1141" t="str">
        <f>VLOOKUP(K1141,METRICS!D:E,2,0)</f>
        <v>TAXAS CARTÃO DE CRÉDITO</v>
      </c>
    </row>
    <row r="1142" spans="1:12" ht="15" hidden="1">
      <c r="A1142" t="s">
        <v>1030</v>
      </c>
      <c r="B1142" t="s">
        <v>689</v>
      </c>
      <c r="C1142" t="s">
        <v>690</v>
      </c>
      <c r="D1142" t="s">
        <v>733</v>
      </c>
      <c r="E1142" t="s">
        <v>734</v>
      </c>
      <c r="F1142" t="s">
        <v>1272</v>
      </c>
      <c r="G1142" t="s">
        <v>665</v>
      </c>
      <c r="H1142" s="595">
        <v>-2.8</v>
      </c>
      <c r="I1142" t="str">
        <f t="shared" si="47"/>
        <v>janeiro 2026</v>
      </c>
      <c r="J1142">
        <f t="shared" ref="J1142:J1204" si="48">YEAR(A1142)</f>
        <v>2026</v>
      </c>
      <c r="K1142" t="str">
        <f>VLOOKUP(G1142,METRICS!C:D,2,0)</f>
        <v>Taxas Financeiras Diversas</v>
      </c>
      <c r="L1142" t="str">
        <f>VLOOKUP(K1142,METRICS!D:E,2,0)</f>
        <v>TAXAS CARTÃO DE CRÉDITO</v>
      </c>
    </row>
    <row r="1143" spans="1:12" ht="15" hidden="1">
      <c r="A1143" t="s">
        <v>1030</v>
      </c>
      <c r="B1143" t="s">
        <v>689</v>
      </c>
      <c r="C1143" t="s">
        <v>690</v>
      </c>
      <c r="D1143" t="s">
        <v>733</v>
      </c>
      <c r="E1143" t="s">
        <v>734</v>
      </c>
      <c r="F1143" t="s">
        <v>1272</v>
      </c>
      <c r="G1143" t="s">
        <v>665</v>
      </c>
      <c r="H1143" s="595">
        <v>-5.54</v>
      </c>
      <c r="I1143" t="str">
        <f t="shared" si="47"/>
        <v>janeiro 2026</v>
      </c>
      <c r="J1143">
        <f t="shared" si="48"/>
        <v>2026</v>
      </c>
      <c r="K1143" t="str">
        <f>VLOOKUP(G1143,METRICS!C:D,2,0)</f>
        <v>Taxas Financeiras Diversas</v>
      </c>
      <c r="L1143" t="str">
        <f>VLOOKUP(K1143,METRICS!D:E,2,0)</f>
        <v>TAXAS CARTÃO DE CRÉDITO</v>
      </c>
    </row>
    <row r="1144" spans="1:12" ht="15" hidden="1">
      <c r="A1144" t="s">
        <v>1030</v>
      </c>
      <c r="B1144" t="s">
        <v>689</v>
      </c>
      <c r="C1144" t="s">
        <v>690</v>
      </c>
      <c r="D1144" t="s">
        <v>733</v>
      </c>
      <c r="E1144" t="s">
        <v>734</v>
      </c>
      <c r="F1144" t="s">
        <v>1272</v>
      </c>
      <c r="G1144" t="s">
        <v>665</v>
      </c>
      <c r="H1144" s="595">
        <v>-17.34</v>
      </c>
      <c r="I1144" t="str">
        <f t="shared" si="47"/>
        <v>janeiro 2026</v>
      </c>
      <c r="J1144">
        <f t="shared" si="48"/>
        <v>2026</v>
      </c>
      <c r="K1144" t="str">
        <f>VLOOKUP(G1144,METRICS!C:D,2,0)</f>
        <v>Taxas Financeiras Diversas</v>
      </c>
      <c r="L1144" t="str">
        <f>VLOOKUP(K1144,METRICS!D:E,2,0)</f>
        <v>TAXAS CARTÃO DE CRÉDITO</v>
      </c>
    </row>
    <row r="1145" spans="1:12" ht="15" hidden="1">
      <c r="A1145" t="s">
        <v>1030</v>
      </c>
      <c r="B1145" t="s">
        <v>689</v>
      </c>
      <c r="C1145" t="s">
        <v>690</v>
      </c>
      <c r="D1145" t="s">
        <v>743</v>
      </c>
      <c r="E1145" t="s">
        <v>734</v>
      </c>
      <c r="F1145" t="s">
        <v>1272</v>
      </c>
      <c r="G1145" t="s">
        <v>665</v>
      </c>
      <c r="H1145" s="595">
        <v>-0.7</v>
      </c>
      <c r="I1145" t="str">
        <f t="shared" si="47"/>
        <v>janeiro 2026</v>
      </c>
      <c r="J1145">
        <f t="shared" si="48"/>
        <v>2026</v>
      </c>
      <c r="K1145" t="str">
        <f>VLOOKUP(G1145,METRICS!C:D,2,0)</f>
        <v>Taxas Financeiras Diversas</v>
      </c>
      <c r="L1145" t="str">
        <f>VLOOKUP(K1145,METRICS!D:E,2,0)</f>
        <v>TAXAS CARTÃO DE CRÉDITO</v>
      </c>
    </row>
    <row r="1146" spans="1:12" ht="15" hidden="1">
      <c r="A1146" t="s">
        <v>1030</v>
      </c>
      <c r="B1146" t="s">
        <v>689</v>
      </c>
      <c r="C1146" t="s">
        <v>690</v>
      </c>
      <c r="D1146" t="s">
        <v>733</v>
      </c>
      <c r="E1146" t="s">
        <v>734</v>
      </c>
      <c r="F1146" t="s">
        <v>1272</v>
      </c>
      <c r="G1146" t="s">
        <v>665</v>
      </c>
      <c r="H1146" s="595">
        <v>-4.2300000000000004</v>
      </c>
      <c r="I1146" t="str">
        <f t="shared" si="47"/>
        <v>janeiro 2026</v>
      </c>
      <c r="J1146">
        <f t="shared" si="48"/>
        <v>2026</v>
      </c>
      <c r="K1146" t="str">
        <f>VLOOKUP(G1146,METRICS!C:D,2,0)</f>
        <v>Taxas Financeiras Diversas</v>
      </c>
      <c r="L1146" t="str">
        <f>VLOOKUP(K1146,METRICS!D:E,2,0)</f>
        <v>TAXAS CARTÃO DE CRÉDITO</v>
      </c>
    </row>
    <row r="1147" spans="1:12" ht="15" hidden="1">
      <c r="A1147" t="s">
        <v>1030</v>
      </c>
      <c r="B1147" t="s">
        <v>689</v>
      </c>
      <c r="C1147" t="s">
        <v>690</v>
      </c>
      <c r="D1147" t="s">
        <v>733</v>
      </c>
      <c r="E1147" t="s">
        <v>734</v>
      </c>
      <c r="F1147" t="s">
        <v>1272</v>
      </c>
      <c r="G1147" t="s">
        <v>665</v>
      </c>
      <c r="H1147" s="595">
        <v>-0.88</v>
      </c>
      <c r="I1147" t="str">
        <f t="shared" si="47"/>
        <v>janeiro 2026</v>
      </c>
      <c r="J1147">
        <f t="shared" si="48"/>
        <v>2026</v>
      </c>
      <c r="K1147" t="str">
        <f>VLOOKUP(G1147,METRICS!C:D,2,0)</f>
        <v>Taxas Financeiras Diversas</v>
      </c>
      <c r="L1147" t="str">
        <f>VLOOKUP(K1147,METRICS!D:E,2,0)</f>
        <v>TAXAS CARTÃO DE CRÉDITO</v>
      </c>
    </row>
    <row r="1148" spans="1:12" ht="15" hidden="1">
      <c r="A1148" t="s">
        <v>1030</v>
      </c>
      <c r="B1148" t="s">
        <v>689</v>
      </c>
      <c r="C1148" t="s">
        <v>690</v>
      </c>
      <c r="D1148" t="s">
        <v>743</v>
      </c>
      <c r="E1148" t="s">
        <v>734</v>
      </c>
      <c r="F1148" t="s">
        <v>1272</v>
      </c>
      <c r="G1148" t="s">
        <v>665</v>
      </c>
      <c r="H1148" s="595">
        <v>-5.41</v>
      </c>
      <c r="I1148" t="str">
        <f t="shared" si="47"/>
        <v>janeiro 2026</v>
      </c>
      <c r="J1148">
        <f t="shared" si="48"/>
        <v>2026</v>
      </c>
      <c r="K1148" t="str">
        <f>VLOOKUP(G1148,METRICS!C:D,2,0)</f>
        <v>Taxas Financeiras Diversas</v>
      </c>
      <c r="L1148" t="str">
        <f>VLOOKUP(K1148,METRICS!D:E,2,0)</f>
        <v>TAXAS CARTÃO DE CRÉDITO</v>
      </c>
    </row>
    <row r="1149" spans="1:12" ht="15" hidden="1">
      <c r="A1149" t="s">
        <v>1030</v>
      </c>
      <c r="B1149" t="s">
        <v>689</v>
      </c>
      <c r="C1149" t="s">
        <v>690</v>
      </c>
      <c r="D1149" t="s">
        <v>743</v>
      </c>
      <c r="E1149" t="s">
        <v>734</v>
      </c>
      <c r="F1149" t="s">
        <v>1272</v>
      </c>
      <c r="G1149" t="s">
        <v>665</v>
      </c>
      <c r="H1149" s="595">
        <v>-15.91</v>
      </c>
      <c r="I1149" t="str">
        <f t="shared" si="47"/>
        <v>janeiro 2026</v>
      </c>
      <c r="J1149">
        <f t="shared" si="48"/>
        <v>2026</v>
      </c>
      <c r="K1149" t="str">
        <f>VLOOKUP(G1149,METRICS!C:D,2,0)</f>
        <v>Taxas Financeiras Diversas</v>
      </c>
      <c r="L1149" t="str">
        <f>VLOOKUP(K1149,METRICS!D:E,2,0)</f>
        <v>TAXAS CARTÃO DE CRÉDITO</v>
      </c>
    </row>
    <row r="1150" spans="1:12" ht="15" hidden="1">
      <c r="A1150" t="s">
        <v>1030</v>
      </c>
      <c r="B1150" t="s">
        <v>689</v>
      </c>
      <c r="C1150" t="s">
        <v>690</v>
      </c>
      <c r="D1150" t="s">
        <v>733</v>
      </c>
      <c r="E1150" t="s">
        <v>734</v>
      </c>
      <c r="F1150" t="s">
        <v>1272</v>
      </c>
      <c r="G1150" t="s">
        <v>665</v>
      </c>
      <c r="H1150" s="595">
        <v>-3.18</v>
      </c>
      <c r="I1150" t="str">
        <f t="shared" si="47"/>
        <v>janeiro 2026</v>
      </c>
      <c r="J1150">
        <f t="shared" si="48"/>
        <v>2026</v>
      </c>
      <c r="K1150" t="str">
        <f>VLOOKUP(G1150,METRICS!C:D,2,0)</f>
        <v>Taxas Financeiras Diversas</v>
      </c>
      <c r="L1150" t="str">
        <f>VLOOKUP(K1150,METRICS!D:E,2,0)</f>
        <v>TAXAS CARTÃO DE CRÉDITO</v>
      </c>
    </row>
    <row r="1151" spans="1:12" ht="15" hidden="1">
      <c r="A1151" t="s">
        <v>1030</v>
      </c>
      <c r="B1151" t="s">
        <v>689</v>
      </c>
      <c r="C1151" t="s">
        <v>690</v>
      </c>
      <c r="D1151" t="s">
        <v>733</v>
      </c>
      <c r="E1151" t="s">
        <v>734</v>
      </c>
      <c r="F1151" t="s">
        <v>1272</v>
      </c>
      <c r="G1151" t="s">
        <v>665</v>
      </c>
      <c r="H1151" s="595">
        <v>-10.86</v>
      </c>
      <c r="I1151" t="str">
        <f t="shared" si="47"/>
        <v>janeiro 2026</v>
      </c>
      <c r="J1151">
        <f t="shared" si="48"/>
        <v>2026</v>
      </c>
      <c r="K1151" t="str">
        <f>VLOOKUP(G1151,METRICS!C:D,2,0)</f>
        <v>Taxas Financeiras Diversas</v>
      </c>
      <c r="L1151" t="str">
        <f>VLOOKUP(K1151,METRICS!D:E,2,0)</f>
        <v>TAXAS CARTÃO DE CRÉDITO</v>
      </c>
    </row>
    <row r="1152" spans="1:12" ht="15" hidden="1">
      <c r="A1152" t="s">
        <v>1030</v>
      </c>
      <c r="B1152" t="s">
        <v>689</v>
      </c>
      <c r="C1152" t="s">
        <v>690</v>
      </c>
      <c r="D1152" t="s">
        <v>743</v>
      </c>
      <c r="E1152" t="s">
        <v>734</v>
      </c>
      <c r="F1152" t="s">
        <v>1272</v>
      </c>
      <c r="G1152" t="s">
        <v>665</v>
      </c>
      <c r="H1152" s="595">
        <v>-8.27</v>
      </c>
      <c r="I1152" t="str">
        <f t="shared" si="47"/>
        <v>janeiro 2026</v>
      </c>
      <c r="J1152">
        <f t="shared" si="48"/>
        <v>2026</v>
      </c>
      <c r="K1152" t="str">
        <f>VLOOKUP(G1152,METRICS!C:D,2,0)</f>
        <v>Taxas Financeiras Diversas</v>
      </c>
      <c r="L1152" t="str">
        <f>VLOOKUP(K1152,METRICS!D:E,2,0)</f>
        <v>TAXAS CARTÃO DE CRÉDITO</v>
      </c>
    </row>
    <row r="1153" spans="1:12" ht="15" hidden="1">
      <c r="A1153" t="s">
        <v>1030</v>
      </c>
      <c r="B1153" t="s">
        <v>689</v>
      </c>
      <c r="C1153" t="s">
        <v>690</v>
      </c>
      <c r="D1153" t="s">
        <v>733</v>
      </c>
      <c r="E1153" t="s">
        <v>734</v>
      </c>
      <c r="F1153" t="s">
        <v>1272</v>
      </c>
      <c r="G1153" t="s">
        <v>665</v>
      </c>
      <c r="H1153" s="595">
        <v>-1.87</v>
      </c>
      <c r="I1153" t="str">
        <f t="shared" si="47"/>
        <v>janeiro 2026</v>
      </c>
      <c r="J1153">
        <f t="shared" si="48"/>
        <v>2026</v>
      </c>
      <c r="K1153" t="str">
        <f>VLOOKUP(G1153,METRICS!C:D,2,0)</f>
        <v>Taxas Financeiras Diversas</v>
      </c>
      <c r="L1153" t="str">
        <f>VLOOKUP(K1153,METRICS!D:E,2,0)</f>
        <v>TAXAS CARTÃO DE CRÉDITO</v>
      </c>
    </row>
    <row r="1154" spans="1:12" ht="15" hidden="1">
      <c r="A1154" t="s">
        <v>1030</v>
      </c>
      <c r="B1154" t="s">
        <v>689</v>
      </c>
      <c r="C1154" t="s">
        <v>690</v>
      </c>
      <c r="D1154" t="s">
        <v>743</v>
      </c>
      <c r="E1154" t="s">
        <v>734</v>
      </c>
      <c r="F1154" t="s">
        <v>1272</v>
      </c>
      <c r="G1154" t="s">
        <v>665</v>
      </c>
      <c r="H1154" s="595">
        <v>-2.56</v>
      </c>
      <c r="I1154" t="str">
        <f t="shared" si="47"/>
        <v>janeiro 2026</v>
      </c>
      <c r="J1154">
        <f t="shared" si="48"/>
        <v>2026</v>
      </c>
      <c r="K1154" t="str">
        <f>VLOOKUP(G1154,METRICS!C:D,2,0)</f>
        <v>Taxas Financeiras Diversas</v>
      </c>
      <c r="L1154" t="str">
        <f>VLOOKUP(K1154,METRICS!D:E,2,0)</f>
        <v>TAXAS CARTÃO DE CRÉDITO</v>
      </c>
    </row>
    <row r="1155" spans="1:12" ht="15" hidden="1">
      <c r="A1155" t="s">
        <v>1030</v>
      </c>
      <c r="B1155" t="s">
        <v>689</v>
      </c>
      <c r="C1155" t="s">
        <v>690</v>
      </c>
      <c r="D1155" t="s">
        <v>753</v>
      </c>
      <c r="E1155" t="s">
        <v>734</v>
      </c>
      <c r="F1155" t="s">
        <v>1272</v>
      </c>
      <c r="G1155" t="s">
        <v>665</v>
      </c>
      <c r="H1155" s="595">
        <v>-17.71</v>
      </c>
      <c r="I1155" t="str">
        <f t="shared" si="47"/>
        <v>janeiro 2026</v>
      </c>
      <c r="J1155">
        <f t="shared" si="48"/>
        <v>2026</v>
      </c>
      <c r="K1155" t="str">
        <f>VLOOKUP(G1155,METRICS!C:D,2,0)</f>
        <v>Taxas Financeiras Diversas</v>
      </c>
      <c r="L1155" t="str">
        <f>VLOOKUP(K1155,METRICS!D:E,2,0)</f>
        <v>TAXAS CARTÃO DE CRÉDITO</v>
      </c>
    </row>
    <row r="1156" spans="1:12" ht="15" hidden="1">
      <c r="A1156" t="s">
        <v>1030</v>
      </c>
      <c r="B1156" t="s">
        <v>689</v>
      </c>
      <c r="C1156" t="s">
        <v>690</v>
      </c>
      <c r="D1156" t="s">
        <v>733</v>
      </c>
      <c r="E1156" t="s">
        <v>734</v>
      </c>
      <c r="F1156" t="s">
        <v>1272</v>
      </c>
      <c r="G1156" t="s">
        <v>665</v>
      </c>
      <c r="H1156" s="595">
        <v>-10.77</v>
      </c>
      <c r="I1156" t="str">
        <f t="shared" si="47"/>
        <v>janeiro 2026</v>
      </c>
      <c r="J1156">
        <f t="shared" si="48"/>
        <v>2026</v>
      </c>
      <c r="K1156" t="str">
        <f>VLOOKUP(G1156,METRICS!C:D,2,0)</f>
        <v>Taxas Financeiras Diversas</v>
      </c>
      <c r="L1156" t="str">
        <f>VLOOKUP(K1156,METRICS!D:E,2,0)</f>
        <v>TAXAS CARTÃO DE CRÉDITO</v>
      </c>
    </row>
    <row r="1157" spans="1:12" ht="15" hidden="1">
      <c r="A1157" t="s">
        <v>1030</v>
      </c>
      <c r="B1157" t="s">
        <v>689</v>
      </c>
      <c r="C1157" t="s">
        <v>690</v>
      </c>
      <c r="D1157" t="s">
        <v>733</v>
      </c>
      <c r="E1157" t="s">
        <v>734</v>
      </c>
      <c r="F1157" t="s">
        <v>1272</v>
      </c>
      <c r="G1157" t="s">
        <v>665</v>
      </c>
      <c r="H1157" s="595">
        <v>-7.11</v>
      </c>
      <c r="I1157" t="str">
        <f t="shared" si="47"/>
        <v>janeiro 2026</v>
      </c>
      <c r="J1157">
        <f t="shared" si="48"/>
        <v>2026</v>
      </c>
      <c r="K1157" t="str">
        <f>VLOOKUP(G1157,METRICS!C:D,2,0)</f>
        <v>Taxas Financeiras Diversas</v>
      </c>
      <c r="L1157" t="str">
        <f>VLOOKUP(K1157,METRICS!D:E,2,0)</f>
        <v>TAXAS CARTÃO DE CRÉDITO</v>
      </c>
    </row>
    <row r="1158" spans="1:12" ht="15" hidden="1">
      <c r="A1158" t="s">
        <v>1030</v>
      </c>
      <c r="B1158" t="s">
        <v>689</v>
      </c>
      <c r="C1158" t="s">
        <v>690</v>
      </c>
      <c r="D1158" t="s">
        <v>743</v>
      </c>
      <c r="E1158" t="s">
        <v>734</v>
      </c>
      <c r="F1158" t="s">
        <v>1272</v>
      </c>
      <c r="G1158" t="s">
        <v>665</v>
      </c>
      <c r="H1158" s="595">
        <v>-2.74</v>
      </c>
      <c r="I1158" t="str">
        <f t="shared" si="47"/>
        <v>janeiro 2026</v>
      </c>
      <c r="J1158">
        <f t="shared" si="48"/>
        <v>2026</v>
      </c>
      <c r="K1158" t="str">
        <f>VLOOKUP(G1158,METRICS!C:D,2,0)</f>
        <v>Taxas Financeiras Diversas</v>
      </c>
      <c r="L1158" t="str">
        <f>VLOOKUP(K1158,METRICS!D:E,2,0)</f>
        <v>TAXAS CARTÃO DE CRÉDITO</v>
      </c>
    </row>
    <row r="1159" spans="1:12" ht="15" hidden="1">
      <c r="A1159" t="s">
        <v>1030</v>
      </c>
      <c r="B1159" t="s">
        <v>689</v>
      </c>
      <c r="C1159" t="s">
        <v>690</v>
      </c>
      <c r="D1159" t="s">
        <v>733</v>
      </c>
      <c r="E1159" t="s">
        <v>734</v>
      </c>
      <c r="F1159" t="s">
        <v>1272</v>
      </c>
      <c r="G1159" t="s">
        <v>665</v>
      </c>
      <c r="H1159" s="595">
        <v>-13.67</v>
      </c>
      <c r="I1159" t="str">
        <f t="shared" si="47"/>
        <v>janeiro 2026</v>
      </c>
      <c r="J1159">
        <f t="shared" si="48"/>
        <v>2026</v>
      </c>
      <c r="K1159" t="str">
        <f>VLOOKUP(G1159,METRICS!C:D,2,0)</f>
        <v>Taxas Financeiras Diversas</v>
      </c>
      <c r="L1159" t="str">
        <f>VLOOKUP(K1159,METRICS!D:E,2,0)</f>
        <v>TAXAS CARTÃO DE CRÉDITO</v>
      </c>
    </row>
    <row r="1160" spans="1:12" ht="15" hidden="1">
      <c r="A1160" t="s">
        <v>1030</v>
      </c>
      <c r="B1160" t="s">
        <v>689</v>
      </c>
      <c r="C1160" t="s">
        <v>690</v>
      </c>
      <c r="D1160" t="s">
        <v>733</v>
      </c>
      <c r="E1160" t="s">
        <v>734</v>
      </c>
      <c r="F1160" t="s">
        <v>1272</v>
      </c>
      <c r="G1160" t="s">
        <v>665</v>
      </c>
      <c r="H1160" s="595">
        <v>-6.75</v>
      </c>
      <c r="I1160" t="str">
        <f t="shared" si="47"/>
        <v>janeiro 2026</v>
      </c>
      <c r="J1160">
        <f t="shared" si="48"/>
        <v>2026</v>
      </c>
      <c r="K1160" t="str">
        <f>VLOOKUP(G1160,METRICS!C:D,2,0)</f>
        <v>Taxas Financeiras Diversas</v>
      </c>
      <c r="L1160" t="str">
        <f>VLOOKUP(K1160,METRICS!D:E,2,0)</f>
        <v>TAXAS CARTÃO DE CRÉDITO</v>
      </c>
    </row>
    <row r="1161" spans="1:12" ht="15" hidden="1">
      <c r="A1161" t="s">
        <v>1031</v>
      </c>
      <c r="B1161" t="s">
        <v>689</v>
      </c>
      <c r="C1161" t="s">
        <v>690</v>
      </c>
      <c r="D1161" t="s">
        <v>733</v>
      </c>
      <c r="E1161" t="s">
        <v>734</v>
      </c>
      <c r="F1161" t="s">
        <v>1272</v>
      </c>
      <c r="G1161" t="s">
        <v>665</v>
      </c>
      <c r="H1161" s="595">
        <v>-16.45</v>
      </c>
      <c r="I1161" t="str">
        <f t="shared" si="47"/>
        <v>janeiro 2026</v>
      </c>
      <c r="J1161">
        <f t="shared" si="48"/>
        <v>2026</v>
      </c>
      <c r="K1161" t="str">
        <f>VLOOKUP(G1161,METRICS!C:D,2,0)</f>
        <v>Taxas Financeiras Diversas</v>
      </c>
      <c r="L1161" t="str">
        <f>VLOOKUP(K1161,METRICS!D:E,2,0)</f>
        <v>TAXAS CARTÃO DE CRÉDITO</v>
      </c>
    </row>
    <row r="1162" spans="1:12" ht="15" hidden="1">
      <c r="A1162" t="s">
        <v>1031</v>
      </c>
      <c r="B1162" t="s">
        <v>689</v>
      </c>
      <c r="C1162" t="s">
        <v>690</v>
      </c>
      <c r="D1162" t="s">
        <v>733</v>
      </c>
      <c r="E1162" t="s">
        <v>734</v>
      </c>
      <c r="F1162" t="s">
        <v>1272</v>
      </c>
      <c r="G1162" t="s">
        <v>665</v>
      </c>
      <c r="H1162" s="595">
        <v>-9.92</v>
      </c>
      <c r="I1162" t="str">
        <f t="shared" si="47"/>
        <v>janeiro 2026</v>
      </c>
      <c r="J1162">
        <f t="shared" si="48"/>
        <v>2026</v>
      </c>
      <c r="K1162" t="str">
        <f>VLOOKUP(G1162,METRICS!C:D,2,0)</f>
        <v>Taxas Financeiras Diversas</v>
      </c>
      <c r="L1162" t="str">
        <f>VLOOKUP(K1162,METRICS!D:E,2,0)</f>
        <v>TAXAS CARTÃO DE CRÉDITO</v>
      </c>
    </row>
    <row r="1163" spans="1:12" ht="15" hidden="1">
      <c r="A1163" t="s">
        <v>1031</v>
      </c>
      <c r="B1163" t="s">
        <v>612</v>
      </c>
      <c r="C1163" t="s">
        <v>690</v>
      </c>
      <c r="D1163" t="s">
        <v>1032</v>
      </c>
      <c r="E1163" t="s">
        <v>752</v>
      </c>
      <c r="F1163" t="s">
        <v>1272</v>
      </c>
      <c r="G1163" t="s">
        <v>605</v>
      </c>
      <c r="H1163" s="595">
        <v>-6787.57</v>
      </c>
      <c r="I1163" t="str">
        <f t="shared" si="47"/>
        <v>janeiro 2026</v>
      </c>
      <c r="J1163">
        <f t="shared" si="48"/>
        <v>2026</v>
      </c>
      <c r="K1163" t="str">
        <f>VLOOKUP(G1163,METRICS!C:D,2,0)</f>
        <v>Beneficios</v>
      </c>
      <c r="L1163" t="str">
        <f>VLOOKUP(K1163,METRICS!D:E,2,0)</f>
        <v>PESSOAL</v>
      </c>
    </row>
    <row r="1164" spans="1:12" ht="15" hidden="1">
      <c r="A1164" t="s">
        <v>1031</v>
      </c>
      <c r="B1164" t="s">
        <v>689</v>
      </c>
      <c r="C1164" t="s">
        <v>690</v>
      </c>
      <c r="D1164" t="s">
        <v>733</v>
      </c>
      <c r="E1164" t="s">
        <v>734</v>
      </c>
      <c r="F1164" t="s">
        <v>1272</v>
      </c>
      <c r="G1164" t="s">
        <v>665</v>
      </c>
      <c r="H1164" s="595">
        <v>-4.2699999999999996</v>
      </c>
      <c r="I1164" t="str">
        <f t="shared" si="47"/>
        <v>janeiro 2026</v>
      </c>
      <c r="J1164">
        <f t="shared" si="48"/>
        <v>2026</v>
      </c>
      <c r="K1164" t="str">
        <f>VLOOKUP(G1164,METRICS!C:D,2,0)</f>
        <v>Taxas Financeiras Diversas</v>
      </c>
      <c r="L1164" t="str">
        <f>VLOOKUP(K1164,METRICS!D:E,2,0)</f>
        <v>TAXAS CARTÃO DE CRÉDITO</v>
      </c>
    </row>
    <row r="1165" spans="1:12" ht="15" hidden="1">
      <c r="A1165" t="s">
        <v>1031</v>
      </c>
      <c r="B1165" t="s">
        <v>612</v>
      </c>
      <c r="C1165" t="s">
        <v>690</v>
      </c>
      <c r="D1165" t="s">
        <v>1033</v>
      </c>
      <c r="E1165" t="s">
        <v>898</v>
      </c>
      <c r="F1165" t="s">
        <v>1272</v>
      </c>
      <c r="G1165" t="s">
        <v>636</v>
      </c>
      <c r="H1165" s="595">
        <v>-1450</v>
      </c>
      <c r="I1165" t="str">
        <f t="shared" si="47"/>
        <v>janeiro 2026</v>
      </c>
      <c r="J1165">
        <f t="shared" si="48"/>
        <v>2026</v>
      </c>
      <c r="K1165" t="str">
        <f>VLOOKUP(G1165,METRICS!C:D,2,0)</f>
        <v>Secos - Mercearia</v>
      </c>
      <c r="L1165" t="str">
        <f>VLOOKUP(K1165,METRICS!D:E,2,0)</f>
        <v>CUSTOS DOS PRODUTOS VENDIDOS</v>
      </c>
    </row>
    <row r="1166" spans="1:12" ht="15" hidden="1">
      <c r="A1166" t="s">
        <v>1031</v>
      </c>
      <c r="B1166" t="s">
        <v>689</v>
      </c>
      <c r="C1166" t="s">
        <v>690</v>
      </c>
      <c r="D1166" t="s">
        <v>733</v>
      </c>
      <c r="E1166" t="s">
        <v>734</v>
      </c>
      <c r="F1166" t="s">
        <v>1272</v>
      </c>
      <c r="G1166" t="s">
        <v>665</v>
      </c>
      <c r="H1166" s="595">
        <v>-2.79</v>
      </c>
      <c r="I1166" t="str">
        <f t="shared" si="47"/>
        <v>janeiro 2026</v>
      </c>
      <c r="J1166">
        <f t="shared" si="48"/>
        <v>2026</v>
      </c>
      <c r="K1166" t="str">
        <f>VLOOKUP(G1166,METRICS!C:D,2,0)</f>
        <v>Taxas Financeiras Diversas</v>
      </c>
      <c r="L1166" t="str">
        <f>VLOOKUP(K1166,METRICS!D:E,2,0)</f>
        <v>TAXAS CARTÃO DE CRÉDITO</v>
      </c>
    </row>
    <row r="1167" spans="1:12" ht="15" hidden="1">
      <c r="A1167" t="s">
        <v>1031</v>
      </c>
      <c r="B1167" t="s">
        <v>612</v>
      </c>
      <c r="C1167" t="s">
        <v>690</v>
      </c>
      <c r="D1167" t="s">
        <v>1034</v>
      </c>
      <c r="E1167" t="s">
        <v>770</v>
      </c>
      <c r="F1167" t="s">
        <v>1272</v>
      </c>
      <c r="G1167" t="s">
        <v>630</v>
      </c>
      <c r="H1167" s="595">
        <v>-1694.41</v>
      </c>
      <c r="I1167" t="str">
        <f t="shared" si="47"/>
        <v>janeiro 2026</v>
      </c>
      <c r="J1167">
        <f t="shared" si="48"/>
        <v>2026</v>
      </c>
      <c r="K1167" t="str">
        <f>VLOOKUP(G1167,METRICS!C:D,2,0)</f>
        <v>Material de Copa e Limpeza</v>
      </c>
      <c r="L1167" t="str">
        <f>VLOOKUP(K1167,METRICS!D:E,2,0)</f>
        <v>ADMINISTRATIVA</v>
      </c>
    </row>
    <row r="1168" spans="1:12" ht="15" hidden="1">
      <c r="A1168" t="s">
        <v>1031</v>
      </c>
      <c r="B1168" t="s">
        <v>689</v>
      </c>
      <c r="C1168" t="s">
        <v>690</v>
      </c>
      <c r="D1168" t="s">
        <v>733</v>
      </c>
      <c r="E1168" t="s">
        <v>734</v>
      </c>
      <c r="F1168" t="s">
        <v>1272</v>
      </c>
      <c r="G1168" t="s">
        <v>665</v>
      </c>
      <c r="H1168" s="595">
        <v>-14.25</v>
      </c>
      <c r="I1168" t="str">
        <f t="shared" si="47"/>
        <v>janeiro 2026</v>
      </c>
      <c r="J1168">
        <f t="shared" si="48"/>
        <v>2026</v>
      </c>
      <c r="K1168" t="str">
        <f>VLOOKUP(G1168,METRICS!C:D,2,0)</f>
        <v>Taxas Financeiras Diversas</v>
      </c>
      <c r="L1168" t="str">
        <f>VLOOKUP(K1168,METRICS!D:E,2,0)</f>
        <v>TAXAS CARTÃO DE CRÉDITO</v>
      </c>
    </row>
    <row r="1169" spans="1:12" ht="15" hidden="1">
      <c r="A1169" t="s">
        <v>1031</v>
      </c>
      <c r="B1169" t="s">
        <v>689</v>
      </c>
      <c r="C1169" t="s">
        <v>690</v>
      </c>
      <c r="D1169" t="s">
        <v>733</v>
      </c>
      <c r="E1169" t="s">
        <v>734</v>
      </c>
      <c r="F1169" t="s">
        <v>1272</v>
      </c>
      <c r="G1169" t="s">
        <v>665</v>
      </c>
      <c r="H1169" s="595">
        <v>-0.92</v>
      </c>
      <c r="I1169" t="str">
        <f t="shared" si="47"/>
        <v>janeiro 2026</v>
      </c>
      <c r="J1169">
        <f t="shared" si="48"/>
        <v>2026</v>
      </c>
      <c r="K1169" t="str">
        <f>VLOOKUP(G1169,METRICS!C:D,2,0)</f>
        <v>Taxas Financeiras Diversas</v>
      </c>
      <c r="L1169" t="str">
        <f>VLOOKUP(K1169,METRICS!D:E,2,0)</f>
        <v>TAXAS CARTÃO DE CRÉDITO</v>
      </c>
    </row>
    <row r="1170" spans="1:12" ht="15" hidden="1">
      <c r="A1170" t="s">
        <v>1031</v>
      </c>
      <c r="B1170" t="s">
        <v>689</v>
      </c>
      <c r="C1170" t="s">
        <v>690</v>
      </c>
      <c r="D1170" t="s">
        <v>733</v>
      </c>
      <c r="E1170" t="s">
        <v>734</v>
      </c>
      <c r="F1170" t="s">
        <v>1272</v>
      </c>
      <c r="G1170" t="s">
        <v>665</v>
      </c>
      <c r="H1170" s="595">
        <v>-17.45</v>
      </c>
      <c r="I1170" t="str">
        <f t="shared" si="47"/>
        <v>janeiro 2026</v>
      </c>
      <c r="J1170">
        <f t="shared" si="48"/>
        <v>2026</v>
      </c>
      <c r="K1170" t="str">
        <f>VLOOKUP(G1170,METRICS!C:D,2,0)</f>
        <v>Taxas Financeiras Diversas</v>
      </c>
      <c r="L1170" t="str">
        <f>VLOOKUP(K1170,METRICS!D:E,2,0)</f>
        <v>TAXAS CARTÃO DE CRÉDITO</v>
      </c>
    </row>
    <row r="1171" spans="1:12" ht="15" hidden="1">
      <c r="A1171" t="s">
        <v>1031</v>
      </c>
      <c r="B1171" t="s">
        <v>689</v>
      </c>
      <c r="C1171" t="s">
        <v>690</v>
      </c>
      <c r="D1171" t="s">
        <v>733</v>
      </c>
      <c r="E1171" t="s">
        <v>734</v>
      </c>
      <c r="F1171" t="s">
        <v>1272</v>
      </c>
      <c r="G1171" t="s">
        <v>665</v>
      </c>
      <c r="H1171" s="595">
        <v>-5.64</v>
      </c>
      <c r="I1171" t="str">
        <f t="shared" si="47"/>
        <v>janeiro 2026</v>
      </c>
      <c r="J1171">
        <f t="shared" si="48"/>
        <v>2026</v>
      </c>
      <c r="K1171" t="str">
        <f>VLOOKUP(G1171,METRICS!C:D,2,0)</f>
        <v>Taxas Financeiras Diversas</v>
      </c>
      <c r="L1171" t="str">
        <f>VLOOKUP(K1171,METRICS!D:E,2,0)</f>
        <v>TAXAS CARTÃO DE CRÉDITO</v>
      </c>
    </row>
    <row r="1172" spans="1:12" ht="15" hidden="1">
      <c r="A1172" t="s">
        <v>1031</v>
      </c>
      <c r="B1172" t="s">
        <v>689</v>
      </c>
      <c r="C1172" t="s">
        <v>690</v>
      </c>
      <c r="D1172" t="s">
        <v>883</v>
      </c>
      <c r="E1172" t="s">
        <v>746</v>
      </c>
      <c r="F1172" t="s">
        <v>1272</v>
      </c>
      <c r="G1172" t="s">
        <v>669</v>
      </c>
      <c r="H1172" s="595">
        <v>-8.34</v>
      </c>
      <c r="I1172" t="str">
        <f t="shared" si="47"/>
        <v>janeiro 2026</v>
      </c>
      <c r="J1172">
        <f t="shared" si="48"/>
        <v>2026</v>
      </c>
      <c r="K1172" t="str">
        <f>VLOOKUP(G1172,METRICS!C:D,2,0)</f>
        <v>Taxas Financeiras Diversas</v>
      </c>
      <c r="L1172" t="str">
        <f>VLOOKUP(K1172,METRICS!D:E,2,0)</f>
        <v>TAXAS CARTÃO DE CRÉDITO</v>
      </c>
    </row>
    <row r="1173" spans="1:12" ht="15" hidden="1">
      <c r="A1173" t="s">
        <v>1031</v>
      </c>
      <c r="B1173" t="s">
        <v>689</v>
      </c>
      <c r="C1173" t="s">
        <v>690</v>
      </c>
      <c r="D1173" t="s">
        <v>733</v>
      </c>
      <c r="E1173" t="s">
        <v>734</v>
      </c>
      <c r="F1173" t="s">
        <v>1272</v>
      </c>
      <c r="G1173" t="s">
        <v>665</v>
      </c>
      <c r="H1173" s="595">
        <v>-40.4</v>
      </c>
      <c r="I1173" t="str">
        <f t="shared" si="47"/>
        <v>janeiro 2026</v>
      </c>
      <c r="J1173">
        <f t="shared" si="48"/>
        <v>2026</v>
      </c>
      <c r="K1173" t="str">
        <f>VLOOKUP(G1173,METRICS!C:D,2,0)</f>
        <v>Taxas Financeiras Diversas</v>
      </c>
      <c r="L1173" t="str">
        <f>VLOOKUP(K1173,METRICS!D:E,2,0)</f>
        <v>TAXAS CARTÃO DE CRÉDITO</v>
      </c>
    </row>
    <row r="1174" spans="1:12" ht="15" hidden="1">
      <c r="A1174" t="s">
        <v>1031</v>
      </c>
      <c r="B1174" t="s">
        <v>689</v>
      </c>
      <c r="C1174" t="s">
        <v>690</v>
      </c>
      <c r="D1174" t="s">
        <v>733</v>
      </c>
      <c r="E1174" t="s">
        <v>734</v>
      </c>
      <c r="F1174" t="s">
        <v>1272</v>
      </c>
      <c r="G1174" t="s">
        <v>665</v>
      </c>
      <c r="H1174" s="595">
        <v>-2.0499999999999998</v>
      </c>
      <c r="I1174" t="str">
        <f t="shared" si="47"/>
        <v>janeiro 2026</v>
      </c>
      <c r="J1174">
        <f t="shared" si="48"/>
        <v>2026</v>
      </c>
      <c r="K1174" t="str">
        <f>VLOOKUP(G1174,METRICS!C:D,2,0)</f>
        <v>Taxas Financeiras Diversas</v>
      </c>
      <c r="L1174" t="str">
        <f>VLOOKUP(K1174,METRICS!D:E,2,0)</f>
        <v>TAXAS CARTÃO DE CRÉDITO</v>
      </c>
    </row>
    <row r="1175" spans="1:12" ht="15" hidden="1">
      <c r="A1175" t="s">
        <v>1031</v>
      </c>
      <c r="B1175" t="s">
        <v>612</v>
      </c>
      <c r="C1175" t="s">
        <v>690</v>
      </c>
      <c r="D1175" t="s">
        <v>1035</v>
      </c>
      <c r="E1175" t="s">
        <v>1036</v>
      </c>
      <c r="F1175" t="s">
        <v>1272</v>
      </c>
      <c r="G1175" t="s">
        <v>1736</v>
      </c>
      <c r="H1175" s="595">
        <v>-2004.48</v>
      </c>
      <c r="I1175" t="str">
        <f t="shared" si="47"/>
        <v>janeiro 2026</v>
      </c>
      <c r="J1175">
        <f t="shared" si="48"/>
        <v>2026</v>
      </c>
      <c r="K1175" t="str">
        <f>VLOOKUP(G1175,METRICS!C:D,2,0)</f>
        <v>Sistema e Software OP</v>
      </c>
      <c r="L1175" t="str">
        <f>VLOOKUP(K1175,METRICS!D:E,2,0)</f>
        <v>OPERAÇÃO</v>
      </c>
    </row>
    <row r="1176" spans="1:12" ht="15" hidden="1">
      <c r="A1176" t="s">
        <v>1031</v>
      </c>
      <c r="B1176" t="s">
        <v>689</v>
      </c>
      <c r="C1176" t="s">
        <v>690</v>
      </c>
      <c r="D1176" t="s">
        <v>733</v>
      </c>
      <c r="E1176" t="s">
        <v>734</v>
      </c>
      <c r="F1176" t="s">
        <v>1272</v>
      </c>
      <c r="G1176" t="s">
        <v>665</v>
      </c>
      <c r="H1176" s="595">
        <v>-5.64</v>
      </c>
      <c r="I1176" t="str">
        <f t="shared" si="47"/>
        <v>janeiro 2026</v>
      </c>
      <c r="J1176">
        <f t="shared" si="48"/>
        <v>2026</v>
      </c>
      <c r="K1176" t="str">
        <f>VLOOKUP(G1176,METRICS!C:D,2,0)</f>
        <v>Taxas Financeiras Diversas</v>
      </c>
      <c r="L1176" t="str">
        <f>VLOOKUP(K1176,METRICS!D:E,2,0)</f>
        <v>TAXAS CARTÃO DE CRÉDITO</v>
      </c>
    </row>
    <row r="1177" spans="1:12" ht="15" hidden="1">
      <c r="A1177" t="s">
        <v>1031</v>
      </c>
      <c r="B1177" t="s">
        <v>612</v>
      </c>
      <c r="C1177" t="s">
        <v>690</v>
      </c>
      <c r="D1177" t="s">
        <v>1037</v>
      </c>
      <c r="E1177" t="s">
        <v>748</v>
      </c>
      <c r="F1177" t="s">
        <v>1272</v>
      </c>
      <c r="G1177" t="s">
        <v>620</v>
      </c>
      <c r="H1177" s="595">
        <v>-211.48</v>
      </c>
      <c r="I1177" t="str">
        <f t="shared" si="47"/>
        <v>janeiro 2026</v>
      </c>
      <c r="J1177">
        <f t="shared" si="48"/>
        <v>2026</v>
      </c>
      <c r="K1177" t="str">
        <f>VLOOKUP(G1177,METRICS!C:D,2,0)</f>
        <v>Hortifruti</v>
      </c>
      <c r="L1177" t="str">
        <f>VLOOKUP(K1177,METRICS!D:E,2,0)</f>
        <v>CUSTOS DOS PRODUTOS VENDIDOS</v>
      </c>
    </row>
    <row r="1178" spans="1:12" ht="15" hidden="1">
      <c r="A1178" t="s">
        <v>1031</v>
      </c>
      <c r="B1178" t="s">
        <v>689</v>
      </c>
      <c r="C1178" t="s">
        <v>690</v>
      </c>
      <c r="D1178" t="s">
        <v>753</v>
      </c>
      <c r="E1178" t="s">
        <v>734</v>
      </c>
      <c r="F1178" t="s">
        <v>1272</v>
      </c>
      <c r="G1178" t="s">
        <v>665</v>
      </c>
      <c r="H1178" s="595">
        <v>-7.72</v>
      </c>
      <c r="I1178" t="str">
        <f t="shared" si="47"/>
        <v>janeiro 2026</v>
      </c>
      <c r="J1178">
        <f t="shared" si="48"/>
        <v>2026</v>
      </c>
      <c r="K1178" t="str">
        <f>VLOOKUP(G1178,METRICS!C:D,2,0)</f>
        <v>Taxas Financeiras Diversas</v>
      </c>
      <c r="L1178" t="str">
        <f>VLOOKUP(K1178,METRICS!D:E,2,0)</f>
        <v>TAXAS CARTÃO DE CRÉDITO</v>
      </c>
    </row>
    <row r="1179" spans="1:12" ht="15" hidden="1">
      <c r="A1179" t="s">
        <v>1031</v>
      </c>
      <c r="B1179" t="s">
        <v>689</v>
      </c>
      <c r="C1179" t="s">
        <v>690</v>
      </c>
      <c r="D1179" t="s">
        <v>733</v>
      </c>
      <c r="E1179" t="s">
        <v>734</v>
      </c>
      <c r="F1179" t="s">
        <v>1272</v>
      </c>
      <c r="G1179" t="s">
        <v>665</v>
      </c>
      <c r="H1179" s="595">
        <v>-3.51</v>
      </c>
      <c r="I1179" t="str">
        <f t="shared" si="47"/>
        <v>janeiro 2026</v>
      </c>
      <c r="J1179">
        <f t="shared" si="48"/>
        <v>2026</v>
      </c>
      <c r="K1179" t="str">
        <f>VLOOKUP(G1179,METRICS!C:D,2,0)</f>
        <v>Taxas Financeiras Diversas</v>
      </c>
      <c r="L1179" t="str">
        <f>VLOOKUP(K1179,METRICS!D:E,2,0)</f>
        <v>TAXAS CARTÃO DE CRÉDITO</v>
      </c>
    </row>
    <row r="1180" spans="1:12" ht="15" hidden="1">
      <c r="A1180" t="s">
        <v>1031</v>
      </c>
      <c r="B1180" t="s">
        <v>689</v>
      </c>
      <c r="C1180" t="s">
        <v>690</v>
      </c>
      <c r="D1180" t="s">
        <v>756</v>
      </c>
      <c r="E1180" t="s">
        <v>757</v>
      </c>
      <c r="F1180" t="s">
        <v>1272</v>
      </c>
      <c r="G1180" t="s">
        <v>666</v>
      </c>
      <c r="H1180" s="595">
        <v>-49.5</v>
      </c>
      <c r="I1180" t="str">
        <f t="shared" si="47"/>
        <v>janeiro 2026</v>
      </c>
      <c r="J1180">
        <f t="shared" si="48"/>
        <v>2026</v>
      </c>
      <c r="K1180" t="str">
        <f>VLOOKUP(G1180,METRICS!C:D,2,0)</f>
        <v>Encargos Bancarios</v>
      </c>
      <c r="L1180" t="str">
        <f>VLOOKUP(K1180,METRICS!D:E,2,0)</f>
        <v>DESPESAS FINANCEIRAS</v>
      </c>
    </row>
    <row r="1181" spans="1:12" ht="15" hidden="1">
      <c r="A1181" t="s">
        <v>1031</v>
      </c>
      <c r="B1181" t="s">
        <v>612</v>
      </c>
      <c r="C1181" t="s">
        <v>690</v>
      </c>
      <c r="D1181" t="s">
        <v>1038</v>
      </c>
      <c r="E1181" t="s">
        <v>1039</v>
      </c>
      <c r="F1181" t="s">
        <v>1272</v>
      </c>
      <c r="G1181" t="s">
        <v>623</v>
      </c>
      <c r="H1181" s="595">
        <v>-463.94</v>
      </c>
      <c r="I1181" t="str">
        <f t="shared" ref="I1181:I1213" si="49">TEXT(A1181, "mmmm aaaa")</f>
        <v>janeiro 2026</v>
      </c>
      <c r="J1181">
        <f t="shared" si="48"/>
        <v>2026</v>
      </c>
      <c r="K1181" t="str">
        <f>VLOOKUP(G1181,METRICS!C:D,2,0)</f>
        <v>Secos - Mercearia</v>
      </c>
      <c r="L1181" t="str">
        <f>VLOOKUP(K1181,METRICS!D:E,2,0)</f>
        <v>CUSTOS DOS PRODUTOS VENDIDOS</v>
      </c>
    </row>
    <row r="1182" spans="1:12" ht="15" hidden="1">
      <c r="A1182" t="s">
        <v>1031</v>
      </c>
      <c r="B1182" t="s">
        <v>689</v>
      </c>
      <c r="C1182" t="s">
        <v>690</v>
      </c>
      <c r="D1182" t="s">
        <v>733</v>
      </c>
      <c r="E1182" t="s">
        <v>734</v>
      </c>
      <c r="F1182" t="s">
        <v>1272</v>
      </c>
      <c r="G1182" t="s">
        <v>665</v>
      </c>
      <c r="H1182" s="595">
        <v>-1.86</v>
      </c>
      <c r="I1182" t="str">
        <f t="shared" si="49"/>
        <v>janeiro 2026</v>
      </c>
      <c r="J1182">
        <f t="shared" si="48"/>
        <v>2026</v>
      </c>
      <c r="K1182" t="str">
        <f>VLOOKUP(G1182,METRICS!C:D,2,0)</f>
        <v>Taxas Financeiras Diversas</v>
      </c>
      <c r="L1182" t="str">
        <f>VLOOKUP(K1182,METRICS!D:E,2,0)</f>
        <v>TAXAS CARTÃO DE CRÉDITO</v>
      </c>
    </row>
    <row r="1183" spans="1:12" ht="15" hidden="1">
      <c r="A1183" t="s">
        <v>1031</v>
      </c>
      <c r="B1183" t="s">
        <v>689</v>
      </c>
      <c r="C1183" t="s">
        <v>690</v>
      </c>
      <c r="D1183" t="s">
        <v>733</v>
      </c>
      <c r="E1183" t="s">
        <v>734</v>
      </c>
      <c r="F1183" t="s">
        <v>1272</v>
      </c>
      <c r="G1183" t="s">
        <v>665</v>
      </c>
      <c r="H1183" s="595">
        <v>-4.3099999999999996</v>
      </c>
      <c r="I1183" t="str">
        <f t="shared" si="49"/>
        <v>janeiro 2026</v>
      </c>
      <c r="J1183">
        <f t="shared" si="48"/>
        <v>2026</v>
      </c>
      <c r="K1183" t="str">
        <f>VLOOKUP(G1183,METRICS!C:D,2,0)</f>
        <v>Taxas Financeiras Diversas</v>
      </c>
      <c r="L1183" t="str">
        <f>VLOOKUP(K1183,METRICS!D:E,2,0)</f>
        <v>TAXAS CARTÃO DE CRÉDITO</v>
      </c>
    </row>
    <row r="1184" spans="1:12" ht="15" hidden="1">
      <c r="A1184" t="s">
        <v>1031</v>
      </c>
      <c r="B1184" t="s">
        <v>689</v>
      </c>
      <c r="C1184" t="s">
        <v>690</v>
      </c>
      <c r="D1184" t="s">
        <v>743</v>
      </c>
      <c r="E1184" t="s">
        <v>734</v>
      </c>
      <c r="F1184" t="s">
        <v>1272</v>
      </c>
      <c r="G1184" t="s">
        <v>665</v>
      </c>
      <c r="H1184" s="595">
        <v>-7.58</v>
      </c>
      <c r="I1184" t="str">
        <f t="shared" si="49"/>
        <v>janeiro 2026</v>
      </c>
      <c r="J1184">
        <f t="shared" si="48"/>
        <v>2026</v>
      </c>
      <c r="K1184" t="str">
        <f>VLOOKUP(G1184,METRICS!C:D,2,0)</f>
        <v>Taxas Financeiras Diversas</v>
      </c>
      <c r="L1184" t="str">
        <f>VLOOKUP(K1184,METRICS!D:E,2,0)</f>
        <v>TAXAS CARTÃO DE CRÉDITO</v>
      </c>
    </row>
    <row r="1185" spans="1:12" ht="15" hidden="1">
      <c r="A1185" t="s">
        <v>1031</v>
      </c>
      <c r="B1185" t="s">
        <v>612</v>
      </c>
      <c r="C1185" t="s">
        <v>690</v>
      </c>
      <c r="D1185" t="s">
        <v>1040</v>
      </c>
      <c r="E1185" t="s">
        <v>765</v>
      </c>
      <c r="F1185" t="s">
        <v>1272</v>
      </c>
      <c r="G1185" t="s">
        <v>619</v>
      </c>
      <c r="H1185" s="595">
        <v>-509.6</v>
      </c>
      <c r="I1185" t="str">
        <f t="shared" si="49"/>
        <v>janeiro 2026</v>
      </c>
      <c r="J1185">
        <f t="shared" si="48"/>
        <v>2026</v>
      </c>
      <c r="K1185" t="str">
        <f>VLOOKUP(G1185,METRICS!C:D,2,0)</f>
        <v>Gelo</v>
      </c>
      <c r="L1185" t="str">
        <f>VLOOKUP(K1185,METRICS!D:E,2,0)</f>
        <v>CUSTOS DOS PRODUTOS VENDIDOS</v>
      </c>
    </row>
    <row r="1186" spans="1:12" ht="15" hidden="1">
      <c r="A1186" t="s">
        <v>1031</v>
      </c>
      <c r="B1186" t="s">
        <v>689</v>
      </c>
      <c r="C1186" t="s">
        <v>690</v>
      </c>
      <c r="D1186" t="s">
        <v>733</v>
      </c>
      <c r="E1186" t="s">
        <v>734</v>
      </c>
      <c r="F1186" t="s">
        <v>1272</v>
      </c>
      <c r="G1186" t="s">
        <v>665</v>
      </c>
      <c r="H1186" s="595">
        <v>-1.1499999999999999</v>
      </c>
      <c r="I1186" t="str">
        <f t="shared" si="49"/>
        <v>janeiro 2026</v>
      </c>
      <c r="J1186">
        <f t="shared" si="48"/>
        <v>2026</v>
      </c>
      <c r="K1186" t="str">
        <f>VLOOKUP(G1186,METRICS!C:D,2,0)</f>
        <v>Taxas Financeiras Diversas</v>
      </c>
      <c r="L1186" t="str">
        <f>VLOOKUP(K1186,METRICS!D:E,2,0)</f>
        <v>TAXAS CARTÃO DE CRÉDITO</v>
      </c>
    </row>
    <row r="1187" spans="1:12" ht="15" hidden="1">
      <c r="A1187" t="s">
        <v>1031</v>
      </c>
      <c r="B1187" t="s">
        <v>612</v>
      </c>
      <c r="C1187" t="s">
        <v>690</v>
      </c>
      <c r="D1187" t="s">
        <v>1041</v>
      </c>
      <c r="E1187" t="s">
        <v>832</v>
      </c>
      <c r="F1187" t="s">
        <v>1272</v>
      </c>
      <c r="G1187" t="s">
        <v>633</v>
      </c>
      <c r="H1187" s="595">
        <v>-231.35</v>
      </c>
      <c r="I1187" t="str">
        <f t="shared" si="49"/>
        <v>janeiro 2026</v>
      </c>
      <c r="J1187">
        <f t="shared" si="48"/>
        <v>2026</v>
      </c>
      <c r="K1187" t="str">
        <f>VLOOKUP(G1187,METRICS!C:D,2,0)</f>
        <v>Paes, Massas e Salgados</v>
      </c>
      <c r="L1187" t="str">
        <f>VLOOKUP(K1187,METRICS!D:E,2,0)</f>
        <v>CUSTOS DOS PRODUTOS VENDIDOS</v>
      </c>
    </row>
    <row r="1188" spans="1:12" ht="15" hidden="1">
      <c r="A1188" t="s">
        <v>1031</v>
      </c>
      <c r="B1188" t="s">
        <v>689</v>
      </c>
      <c r="C1188" t="s">
        <v>690</v>
      </c>
      <c r="D1188" t="s">
        <v>743</v>
      </c>
      <c r="E1188" t="s">
        <v>734</v>
      </c>
      <c r="F1188" t="s">
        <v>1272</v>
      </c>
      <c r="G1188" t="s">
        <v>665</v>
      </c>
      <c r="H1188" s="595">
        <v>-6.14</v>
      </c>
      <c r="I1188" t="str">
        <f t="shared" si="49"/>
        <v>janeiro 2026</v>
      </c>
      <c r="J1188">
        <f t="shared" si="48"/>
        <v>2026</v>
      </c>
      <c r="K1188" t="str">
        <f>VLOOKUP(G1188,METRICS!C:D,2,0)</f>
        <v>Taxas Financeiras Diversas</v>
      </c>
      <c r="L1188" t="str">
        <f>VLOOKUP(K1188,METRICS!D:E,2,0)</f>
        <v>TAXAS CARTÃO DE CRÉDITO</v>
      </c>
    </row>
    <row r="1189" spans="1:12" ht="15" hidden="1">
      <c r="A1189" t="s">
        <v>1031</v>
      </c>
      <c r="B1189" t="s">
        <v>612</v>
      </c>
      <c r="C1189" t="s">
        <v>690</v>
      </c>
      <c r="D1189" t="s">
        <v>1042</v>
      </c>
      <c r="E1189" t="s">
        <v>1012</v>
      </c>
      <c r="F1189" t="s">
        <v>1272</v>
      </c>
      <c r="G1189" t="s">
        <v>611</v>
      </c>
      <c r="H1189" s="595">
        <v>-1753.92</v>
      </c>
      <c r="I1189" t="str">
        <f t="shared" si="49"/>
        <v>janeiro 2026</v>
      </c>
      <c r="J1189">
        <f t="shared" si="48"/>
        <v>2026</v>
      </c>
      <c r="K1189" t="str">
        <f>VLOOKUP(G1189,METRICS!C:D,2,0)</f>
        <v>Bebidas Alcoólicas</v>
      </c>
      <c r="L1189" t="str">
        <f>VLOOKUP(K1189,METRICS!D:E,2,0)</f>
        <v>CUSTOS DOS PRODUTOS VENDIDOS</v>
      </c>
    </row>
    <row r="1190" spans="1:12" ht="15" hidden="1">
      <c r="A1190" t="s">
        <v>1031</v>
      </c>
      <c r="B1190" t="s">
        <v>689</v>
      </c>
      <c r="C1190" t="s">
        <v>690</v>
      </c>
      <c r="D1190" t="s">
        <v>733</v>
      </c>
      <c r="E1190" t="s">
        <v>734</v>
      </c>
      <c r="F1190" t="s">
        <v>1272</v>
      </c>
      <c r="G1190" t="s">
        <v>665</v>
      </c>
      <c r="H1190" s="595">
        <v>-1.0900000000000001</v>
      </c>
      <c r="I1190" t="str">
        <f t="shared" si="49"/>
        <v>janeiro 2026</v>
      </c>
      <c r="J1190">
        <f t="shared" si="48"/>
        <v>2026</v>
      </c>
      <c r="K1190" t="str">
        <f>VLOOKUP(G1190,METRICS!C:D,2,0)</f>
        <v>Taxas Financeiras Diversas</v>
      </c>
      <c r="L1190" t="str">
        <f>VLOOKUP(K1190,METRICS!D:E,2,0)</f>
        <v>TAXAS CARTÃO DE CRÉDITO</v>
      </c>
    </row>
    <row r="1191" spans="1:12" ht="15" hidden="1">
      <c r="A1191" t="s">
        <v>1031</v>
      </c>
      <c r="B1191" t="s">
        <v>612</v>
      </c>
      <c r="C1191" t="s">
        <v>690</v>
      </c>
      <c r="D1191" t="s">
        <v>1043</v>
      </c>
      <c r="E1191" t="s">
        <v>752</v>
      </c>
      <c r="F1191" t="s">
        <v>1272</v>
      </c>
      <c r="G1191" t="s">
        <v>605</v>
      </c>
      <c r="H1191" s="595">
        <v>-702.39</v>
      </c>
      <c r="I1191" t="str">
        <f t="shared" si="49"/>
        <v>janeiro 2026</v>
      </c>
      <c r="J1191">
        <f t="shared" si="48"/>
        <v>2026</v>
      </c>
      <c r="K1191" t="str">
        <f>VLOOKUP(G1191,METRICS!C:D,2,0)</f>
        <v>Beneficios</v>
      </c>
      <c r="L1191" t="str">
        <f>VLOOKUP(K1191,METRICS!D:E,2,0)</f>
        <v>PESSOAL</v>
      </c>
    </row>
    <row r="1192" spans="1:12" ht="15" hidden="1">
      <c r="A1192" t="s">
        <v>1031</v>
      </c>
      <c r="B1192" t="s">
        <v>689</v>
      </c>
      <c r="C1192" t="s">
        <v>690</v>
      </c>
      <c r="D1192" t="s">
        <v>753</v>
      </c>
      <c r="E1192" t="s">
        <v>734</v>
      </c>
      <c r="F1192" t="s">
        <v>1272</v>
      </c>
      <c r="G1192" t="s">
        <v>665</v>
      </c>
      <c r="H1192" s="595">
        <v>-19.27</v>
      </c>
      <c r="I1192" t="str">
        <f t="shared" si="49"/>
        <v>janeiro 2026</v>
      </c>
      <c r="J1192">
        <f t="shared" si="48"/>
        <v>2026</v>
      </c>
      <c r="K1192" t="str">
        <f>VLOOKUP(G1192,METRICS!C:D,2,0)</f>
        <v>Taxas Financeiras Diversas</v>
      </c>
      <c r="L1192" t="str">
        <f>VLOOKUP(K1192,METRICS!D:E,2,0)</f>
        <v>TAXAS CARTÃO DE CRÉDITO</v>
      </c>
    </row>
    <row r="1193" spans="1:12" ht="15" hidden="1">
      <c r="A1193" t="s">
        <v>1031</v>
      </c>
      <c r="B1193" t="s">
        <v>689</v>
      </c>
      <c r="C1193" t="s">
        <v>690</v>
      </c>
      <c r="D1193" t="s">
        <v>733</v>
      </c>
      <c r="E1193" t="s">
        <v>734</v>
      </c>
      <c r="F1193" t="s">
        <v>1272</v>
      </c>
      <c r="G1193" t="s">
        <v>665</v>
      </c>
      <c r="H1193" s="595">
        <v>-1.83</v>
      </c>
      <c r="I1193" t="str">
        <f t="shared" si="49"/>
        <v>janeiro 2026</v>
      </c>
      <c r="J1193">
        <f t="shared" si="48"/>
        <v>2026</v>
      </c>
      <c r="K1193" t="str">
        <f>VLOOKUP(G1193,METRICS!C:D,2,0)</f>
        <v>Taxas Financeiras Diversas</v>
      </c>
      <c r="L1193" t="str">
        <f>VLOOKUP(K1193,METRICS!D:E,2,0)</f>
        <v>TAXAS CARTÃO DE CRÉDITO</v>
      </c>
    </row>
    <row r="1194" spans="1:12" ht="15" hidden="1">
      <c r="A1194" t="s">
        <v>1031</v>
      </c>
      <c r="B1194" t="s">
        <v>689</v>
      </c>
      <c r="C1194" t="s">
        <v>690</v>
      </c>
      <c r="D1194" t="s">
        <v>733</v>
      </c>
      <c r="E1194" t="s">
        <v>734</v>
      </c>
      <c r="F1194" t="s">
        <v>1272</v>
      </c>
      <c r="G1194" t="s">
        <v>665</v>
      </c>
      <c r="H1194" s="595">
        <v>-4.05</v>
      </c>
      <c r="I1194" t="str">
        <f t="shared" si="49"/>
        <v>janeiro 2026</v>
      </c>
      <c r="J1194">
        <f t="shared" si="48"/>
        <v>2026</v>
      </c>
      <c r="K1194" t="str">
        <f>VLOOKUP(G1194,METRICS!C:D,2,0)</f>
        <v>Taxas Financeiras Diversas</v>
      </c>
      <c r="L1194" t="str">
        <f>VLOOKUP(K1194,METRICS!D:E,2,0)</f>
        <v>TAXAS CARTÃO DE CRÉDITO</v>
      </c>
    </row>
    <row r="1195" spans="1:12" ht="15" hidden="1">
      <c r="A1195" t="s">
        <v>1031</v>
      </c>
      <c r="B1195" t="s">
        <v>612</v>
      </c>
      <c r="C1195" t="s">
        <v>690</v>
      </c>
      <c r="D1195" t="s">
        <v>1044</v>
      </c>
      <c r="E1195" t="s">
        <v>1005</v>
      </c>
      <c r="F1195" t="s">
        <v>1272</v>
      </c>
      <c r="G1195" t="s">
        <v>608</v>
      </c>
      <c r="H1195" s="595">
        <v>-2880</v>
      </c>
      <c r="I1195" t="str">
        <f t="shared" si="49"/>
        <v>janeiro 2026</v>
      </c>
      <c r="J1195">
        <f t="shared" si="48"/>
        <v>2026</v>
      </c>
      <c r="K1195" t="str">
        <f>VLOOKUP(G1195,METRICS!C:D,2,0)</f>
        <v>Bebidas não Alcoolicas</v>
      </c>
      <c r="L1195" t="str">
        <f>VLOOKUP(K1195,METRICS!D:E,2,0)</f>
        <v>CUSTOS DOS PRODUTOS VENDIDOS</v>
      </c>
    </row>
    <row r="1196" spans="1:12" ht="15" hidden="1">
      <c r="A1196" t="s">
        <v>1031</v>
      </c>
      <c r="B1196" t="s">
        <v>689</v>
      </c>
      <c r="C1196" t="s">
        <v>690</v>
      </c>
      <c r="D1196" t="s">
        <v>753</v>
      </c>
      <c r="E1196" t="s">
        <v>734</v>
      </c>
      <c r="F1196" t="s">
        <v>1272</v>
      </c>
      <c r="G1196" t="s">
        <v>665</v>
      </c>
      <c r="H1196" s="595">
        <v>-23.07</v>
      </c>
      <c r="I1196" t="str">
        <f t="shared" si="49"/>
        <v>janeiro 2026</v>
      </c>
      <c r="J1196">
        <f t="shared" si="48"/>
        <v>2026</v>
      </c>
      <c r="K1196" t="str">
        <f>VLOOKUP(G1196,METRICS!C:D,2,0)</f>
        <v>Taxas Financeiras Diversas</v>
      </c>
      <c r="L1196" t="str">
        <f>VLOOKUP(K1196,METRICS!D:E,2,0)</f>
        <v>TAXAS CARTÃO DE CRÉDITO</v>
      </c>
    </row>
    <row r="1197" spans="1:12" ht="15" hidden="1">
      <c r="A1197" t="s">
        <v>1031</v>
      </c>
      <c r="B1197" t="s">
        <v>612</v>
      </c>
      <c r="C1197" t="s">
        <v>690</v>
      </c>
      <c r="D1197" t="s">
        <v>1045</v>
      </c>
      <c r="E1197" t="s">
        <v>1046</v>
      </c>
      <c r="F1197" t="s">
        <v>1272</v>
      </c>
      <c r="G1197" t="s">
        <v>623</v>
      </c>
      <c r="H1197" s="595">
        <v>-570</v>
      </c>
      <c r="I1197" t="str">
        <f t="shared" si="49"/>
        <v>janeiro 2026</v>
      </c>
      <c r="J1197">
        <f t="shared" si="48"/>
        <v>2026</v>
      </c>
      <c r="K1197" t="str">
        <f>VLOOKUP(G1197,METRICS!C:D,2,0)</f>
        <v>Secos - Mercearia</v>
      </c>
      <c r="L1197" t="str">
        <f>VLOOKUP(K1197,METRICS!D:E,2,0)</f>
        <v>CUSTOS DOS PRODUTOS VENDIDOS</v>
      </c>
    </row>
    <row r="1198" spans="1:12" ht="15" hidden="1">
      <c r="A1198" t="s">
        <v>1031</v>
      </c>
      <c r="B1198" t="s">
        <v>689</v>
      </c>
      <c r="C1198" t="s">
        <v>690</v>
      </c>
      <c r="D1198" t="s">
        <v>733</v>
      </c>
      <c r="E1198" t="s">
        <v>734</v>
      </c>
      <c r="F1198" t="s">
        <v>1272</v>
      </c>
      <c r="G1198" t="s">
        <v>665</v>
      </c>
      <c r="H1198" s="595">
        <v>-1.61</v>
      </c>
      <c r="I1198" t="str">
        <f t="shared" si="49"/>
        <v>janeiro 2026</v>
      </c>
      <c r="J1198">
        <f t="shared" si="48"/>
        <v>2026</v>
      </c>
      <c r="K1198" t="str">
        <f>VLOOKUP(G1198,METRICS!C:D,2,0)</f>
        <v>Taxas Financeiras Diversas</v>
      </c>
      <c r="L1198" t="str">
        <f>VLOOKUP(K1198,METRICS!D:E,2,0)</f>
        <v>TAXAS CARTÃO DE CRÉDITO</v>
      </c>
    </row>
    <row r="1199" spans="1:12" ht="15" hidden="1">
      <c r="A1199" t="s">
        <v>1031</v>
      </c>
      <c r="B1199" t="s">
        <v>612</v>
      </c>
      <c r="C1199" t="s">
        <v>690</v>
      </c>
      <c r="D1199" t="s">
        <v>1047</v>
      </c>
      <c r="E1199" t="s">
        <v>727</v>
      </c>
      <c r="F1199" t="s">
        <v>1272</v>
      </c>
      <c r="G1199" t="s">
        <v>620</v>
      </c>
      <c r="H1199" s="595">
        <v>-4648.32</v>
      </c>
      <c r="I1199" t="str">
        <f t="shared" si="49"/>
        <v>janeiro 2026</v>
      </c>
      <c r="J1199">
        <f t="shared" si="48"/>
        <v>2026</v>
      </c>
      <c r="K1199" t="str">
        <f>VLOOKUP(G1199,METRICS!C:D,2,0)</f>
        <v>Hortifruti</v>
      </c>
      <c r="L1199" t="str">
        <f>VLOOKUP(K1199,METRICS!D:E,2,0)</f>
        <v>CUSTOS DOS PRODUTOS VENDIDOS</v>
      </c>
    </row>
    <row r="1200" spans="1:12" ht="15" hidden="1">
      <c r="A1200" t="s">
        <v>1031</v>
      </c>
      <c r="B1200" t="s">
        <v>689</v>
      </c>
      <c r="C1200" t="s">
        <v>690</v>
      </c>
      <c r="D1200" t="s">
        <v>733</v>
      </c>
      <c r="E1200" t="s">
        <v>734</v>
      </c>
      <c r="F1200" t="s">
        <v>1272</v>
      </c>
      <c r="G1200" t="s">
        <v>665</v>
      </c>
      <c r="H1200" s="595">
        <v>-2.79</v>
      </c>
      <c r="I1200" t="str">
        <f t="shared" si="49"/>
        <v>janeiro 2026</v>
      </c>
      <c r="J1200">
        <f t="shared" si="48"/>
        <v>2026</v>
      </c>
      <c r="K1200" t="str">
        <f>VLOOKUP(G1200,METRICS!C:D,2,0)</f>
        <v>Taxas Financeiras Diversas</v>
      </c>
      <c r="L1200" t="str">
        <f>VLOOKUP(K1200,METRICS!D:E,2,0)</f>
        <v>TAXAS CARTÃO DE CRÉDITO</v>
      </c>
    </row>
    <row r="1201" spans="1:12" ht="15" hidden="1">
      <c r="A1201" t="s">
        <v>1031</v>
      </c>
      <c r="B1201" t="s">
        <v>689</v>
      </c>
      <c r="C1201" t="s">
        <v>690</v>
      </c>
      <c r="D1201" t="s">
        <v>733</v>
      </c>
      <c r="E1201" t="s">
        <v>734</v>
      </c>
      <c r="F1201" t="s">
        <v>1272</v>
      </c>
      <c r="G1201" t="s">
        <v>665</v>
      </c>
      <c r="H1201" s="595">
        <v>-1.54</v>
      </c>
      <c r="I1201" t="str">
        <f t="shared" si="49"/>
        <v>janeiro 2026</v>
      </c>
      <c r="J1201">
        <f t="shared" si="48"/>
        <v>2026</v>
      </c>
      <c r="K1201" t="str">
        <f>VLOOKUP(G1201,METRICS!C:D,2,0)</f>
        <v>Taxas Financeiras Diversas</v>
      </c>
      <c r="L1201" t="str">
        <f>VLOOKUP(K1201,METRICS!D:E,2,0)</f>
        <v>TAXAS CARTÃO DE CRÉDITO</v>
      </c>
    </row>
    <row r="1202" spans="1:12" ht="15" hidden="1">
      <c r="A1202" t="s">
        <v>1031</v>
      </c>
      <c r="B1202" t="s">
        <v>689</v>
      </c>
      <c r="C1202" t="s">
        <v>690</v>
      </c>
      <c r="D1202" t="s">
        <v>733</v>
      </c>
      <c r="E1202" t="s">
        <v>734</v>
      </c>
      <c r="F1202" t="s">
        <v>1272</v>
      </c>
      <c r="G1202" t="s">
        <v>665</v>
      </c>
      <c r="H1202" s="595">
        <v>-4.05</v>
      </c>
      <c r="I1202" t="str">
        <f t="shared" si="49"/>
        <v>janeiro 2026</v>
      </c>
      <c r="J1202">
        <f t="shared" si="48"/>
        <v>2026</v>
      </c>
      <c r="K1202" t="str">
        <f>VLOOKUP(G1202,METRICS!C:D,2,0)</f>
        <v>Taxas Financeiras Diversas</v>
      </c>
      <c r="L1202" t="str">
        <f>VLOOKUP(K1202,METRICS!D:E,2,0)</f>
        <v>TAXAS CARTÃO DE CRÉDITO</v>
      </c>
    </row>
    <row r="1203" spans="1:12" ht="15" hidden="1">
      <c r="A1203" t="s">
        <v>1031</v>
      </c>
      <c r="B1203" t="s">
        <v>689</v>
      </c>
      <c r="C1203" t="s">
        <v>690</v>
      </c>
      <c r="D1203" t="s">
        <v>753</v>
      </c>
      <c r="E1203" t="s">
        <v>734</v>
      </c>
      <c r="F1203" t="s">
        <v>1272</v>
      </c>
      <c r="G1203" t="s">
        <v>665</v>
      </c>
      <c r="H1203" s="595">
        <v>-7.69</v>
      </c>
      <c r="I1203" t="str">
        <f t="shared" si="49"/>
        <v>janeiro 2026</v>
      </c>
      <c r="J1203">
        <f t="shared" si="48"/>
        <v>2026</v>
      </c>
      <c r="K1203" t="str">
        <f>VLOOKUP(G1203,METRICS!C:D,2,0)</f>
        <v>Taxas Financeiras Diversas</v>
      </c>
      <c r="L1203" t="str">
        <f>VLOOKUP(K1203,METRICS!D:E,2,0)</f>
        <v>TAXAS CARTÃO DE CRÉDITO</v>
      </c>
    </row>
    <row r="1204" spans="1:12" ht="15" hidden="1">
      <c r="A1204" t="s">
        <v>1031</v>
      </c>
      <c r="B1204" t="s">
        <v>689</v>
      </c>
      <c r="C1204" t="s">
        <v>690</v>
      </c>
      <c r="D1204" t="s">
        <v>733</v>
      </c>
      <c r="E1204" t="s">
        <v>734</v>
      </c>
      <c r="F1204" t="s">
        <v>1272</v>
      </c>
      <c r="G1204" t="s">
        <v>665</v>
      </c>
      <c r="H1204" s="595">
        <v>-8.32</v>
      </c>
      <c r="I1204" t="str">
        <f t="shared" si="49"/>
        <v>janeiro 2026</v>
      </c>
      <c r="J1204">
        <f t="shared" si="48"/>
        <v>2026</v>
      </c>
      <c r="K1204" t="str">
        <f>VLOOKUP(G1204,METRICS!C:D,2,0)</f>
        <v>Taxas Financeiras Diversas</v>
      </c>
      <c r="L1204" t="str">
        <f>VLOOKUP(K1204,METRICS!D:E,2,0)</f>
        <v>TAXAS CARTÃO DE CRÉDITO</v>
      </c>
    </row>
    <row r="1205" spans="1:12" ht="15" hidden="1">
      <c r="A1205" t="s">
        <v>1031</v>
      </c>
      <c r="B1205" t="s">
        <v>612</v>
      </c>
      <c r="C1205" t="s">
        <v>690</v>
      </c>
      <c r="D1205" t="s">
        <v>1050</v>
      </c>
      <c r="E1205" t="s">
        <v>745</v>
      </c>
      <c r="F1205" t="s">
        <v>1272</v>
      </c>
      <c r="G1205" t="s">
        <v>620</v>
      </c>
      <c r="H1205" s="595">
        <v>-364.6</v>
      </c>
      <c r="I1205" t="str">
        <f t="shared" si="49"/>
        <v>janeiro 2026</v>
      </c>
      <c r="J1205">
        <f t="shared" ref="J1205:J1271" si="50">YEAR(A1205)</f>
        <v>2026</v>
      </c>
      <c r="K1205" t="str">
        <f>VLOOKUP(G1205,METRICS!C:D,2,0)</f>
        <v>Hortifruti</v>
      </c>
      <c r="L1205" t="str">
        <f>VLOOKUP(K1205,METRICS!D:E,2,0)</f>
        <v>CUSTOS DOS PRODUTOS VENDIDOS</v>
      </c>
    </row>
    <row r="1206" spans="1:12" ht="15" hidden="1">
      <c r="A1206" t="s">
        <v>1031</v>
      </c>
      <c r="B1206" t="s">
        <v>689</v>
      </c>
      <c r="C1206" t="s">
        <v>690</v>
      </c>
      <c r="D1206" t="s">
        <v>733</v>
      </c>
      <c r="E1206" t="s">
        <v>734</v>
      </c>
      <c r="F1206" t="s">
        <v>1272</v>
      </c>
      <c r="G1206" t="s">
        <v>665</v>
      </c>
      <c r="H1206" s="595">
        <v>-0.97</v>
      </c>
      <c r="I1206" t="str">
        <f t="shared" si="49"/>
        <v>janeiro 2026</v>
      </c>
      <c r="J1206">
        <f t="shared" si="50"/>
        <v>2026</v>
      </c>
      <c r="K1206" t="str">
        <f>VLOOKUP(G1206,METRICS!C:D,2,0)</f>
        <v>Taxas Financeiras Diversas</v>
      </c>
      <c r="L1206" t="str">
        <f>VLOOKUP(K1206,METRICS!D:E,2,0)</f>
        <v>TAXAS CARTÃO DE CRÉDITO</v>
      </c>
    </row>
    <row r="1207" spans="1:12" ht="15" hidden="1">
      <c r="A1207" t="s">
        <v>1031</v>
      </c>
      <c r="B1207" t="s">
        <v>689</v>
      </c>
      <c r="C1207" t="s">
        <v>690</v>
      </c>
      <c r="D1207" t="s">
        <v>733</v>
      </c>
      <c r="E1207" t="s">
        <v>734</v>
      </c>
      <c r="F1207" t="s">
        <v>1272</v>
      </c>
      <c r="G1207" t="s">
        <v>665</v>
      </c>
      <c r="H1207" s="595">
        <v>-3.22</v>
      </c>
      <c r="I1207" t="str">
        <f t="shared" si="49"/>
        <v>janeiro 2026</v>
      </c>
      <c r="J1207">
        <f t="shared" si="50"/>
        <v>2026</v>
      </c>
      <c r="K1207" t="str">
        <f>VLOOKUP(G1207,METRICS!C:D,2,0)</f>
        <v>Taxas Financeiras Diversas</v>
      </c>
      <c r="L1207" t="str">
        <f>VLOOKUP(K1207,METRICS!D:E,2,0)</f>
        <v>TAXAS CARTÃO DE CRÉDITO</v>
      </c>
    </row>
    <row r="1208" spans="1:12" ht="15" hidden="1">
      <c r="A1208" t="s">
        <v>1031</v>
      </c>
      <c r="B1208" t="s">
        <v>612</v>
      </c>
      <c r="C1208" t="s">
        <v>690</v>
      </c>
      <c r="D1208" t="s">
        <v>1051</v>
      </c>
      <c r="E1208" t="s">
        <v>857</v>
      </c>
      <c r="F1208" t="s">
        <v>1272</v>
      </c>
      <c r="G1208" t="s">
        <v>413</v>
      </c>
      <c r="H1208" s="595">
        <v>-165</v>
      </c>
      <c r="I1208" t="str">
        <f t="shared" si="49"/>
        <v>janeiro 2026</v>
      </c>
      <c r="J1208">
        <f t="shared" si="50"/>
        <v>2026</v>
      </c>
      <c r="K1208" t="str">
        <f>VLOOKUP(G1208,METRICS!C:D,2,0)</f>
        <v>Pescados</v>
      </c>
      <c r="L1208" t="str">
        <f>VLOOKUP(K1208,METRICS!D:E,2,0)</f>
        <v>CUSTOS DOS PRODUTOS VENDIDOS</v>
      </c>
    </row>
    <row r="1209" spans="1:12" ht="15" hidden="1">
      <c r="A1209" t="s">
        <v>1031</v>
      </c>
      <c r="B1209" t="s">
        <v>612</v>
      </c>
      <c r="C1209" t="s">
        <v>690</v>
      </c>
      <c r="D1209" t="s">
        <v>1052</v>
      </c>
      <c r="E1209" t="s">
        <v>752</v>
      </c>
      <c r="F1209" t="s">
        <v>1272</v>
      </c>
      <c r="G1209" t="s">
        <v>609</v>
      </c>
      <c r="H1209" s="595">
        <v>-4771.47</v>
      </c>
      <c r="I1209" t="str">
        <f t="shared" si="49"/>
        <v>janeiro 2026</v>
      </c>
      <c r="J1209">
        <f t="shared" si="50"/>
        <v>2026</v>
      </c>
      <c r="K1209" t="str">
        <f>VLOOKUP(G1209,METRICS!C:D,2,0)</f>
        <v>Carnes e Aves</v>
      </c>
      <c r="L1209" t="str">
        <f>VLOOKUP(K1209,METRICS!D:E,2,0)</f>
        <v>CUSTOS DOS PRODUTOS VENDIDOS</v>
      </c>
    </row>
    <row r="1210" spans="1:12" ht="15" hidden="1">
      <c r="A1210" t="s">
        <v>1031</v>
      </c>
      <c r="B1210" t="s">
        <v>689</v>
      </c>
      <c r="C1210" t="s">
        <v>690</v>
      </c>
      <c r="D1210" t="s">
        <v>733</v>
      </c>
      <c r="E1210" t="s">
        <v>734</v>
      </c>
      <c r="F1210" t="s">
        <v>1272</v>
      </c>
      <c r="G1210" t="s">
        <v>665</v>
      </c>
      <c r="H1210" s="595">
        <v>-3.22</v>
      </c>
      <c r="I1210" t="str">
        <f t="shared" si="49"/>
        <v>janeiro 2026</v>
      </c>
      <c r="J1210">
        <f t="shared" si="50"/>
        <v>2026</v>
      </c>
      <c r="K1210" t="str">
        <f>VLOOKUP(G1210,METRICS!C:D,2,0)</f>
        <v>Taxas Financeiras Diversas</v>
      </c>
      <c r="L1210" t="str">
        <f>VLOOKUP(K1210,METRICS!D:E,2,0)</f>
        <v>TAXAS CARTÃO DE CRÉDITO</v>
      </c>
    </row>
    <row r="1211" spans="1:12" ht="15" hidden="1">
      <c r="A1211" t="s">
        <v>1031</v>
      </c>
      <c r="B1211" t="s">
        <v>612</v>
      </c>
      <c r="C1211" t="s">
        <v>690</v>
      </c>
      <c r="D1211" t="s">
        <v>1053</v>
      </c>
      <c r="E1211" t="s">
        <v>774</v>
      </c>
      <c r="F1211" t="s">
        <v>1272</v>
      </c>
      <c r="G1211" t="s">
        <v>629</v>
      </c>
      <c r="H1211" s="595">
        <v>-1328.24</v>
      </c>
      <c r="I1211" t="str">
        <f t="shared" si="49"/>
        <v>janeiro 2026</v>
      </c>
      <c r="J1211">
        <f t="shared" si="50"/>
        <v>2026</v>
      </c>
      <c r="K1211" t="str">
        <f>VLOOKUP(G1211,METRICS!C:D,2,0)</f>
        <v>Material de limpeza</v>
      </c>
      <c r="L1211" t="str">
        <f>VLOOKUP(K1211,METRICS!D:E,2,0)</f>
        <v>OPERAÇÃO</v>
      </c>
    </row>
    <row r="1212" spans="1:12" ht="15" hidden="1">
      <c r="A1212" t="s">
        <v>1031</v>
      </c>
      <c r="B1212" t="s">
        <v>689</v>
      </c>
      <c r="C1212" t="s">
        <v>690</v>
      </c>
      <c r="D1212" t="s">
        <v>733</v>
      </c>
      <c r="E1212" t="s">
        <v>734</v>
      </c>
      <c r="F1212" t="s">
        <v>1272</v>
      </c>
      <c r="G1212" t="s">
        <v>665</v>
      </c>
      <c r="H1212" s="595">
        <v>-1.24</v>
      </c>
      <c r="I1212" t="str">
        <f t="shared" si="49"/>
        <v>janeiro 2026</v>
      </c>
      <c r="J1212">
        <f t="shared" si="50"/>
        <v>2026</v>
      </c>
      <c r="K1212" t="str">
        <f>VLOOKUP(G1212,METRICS!C:D,2,0)</f>
        <v>Taxas Financeiras Diversas</v>
      </c>
      <c r="L1212" t="str">
        <f>VLOOKUP(K1212,METRICS!D:E,2,0)</f>
        <v>TAXAS CARTÃO DE CRÉDITO</v>
      </c>
    </row>
    <row r="1213" spans="1:12" ht="15" hidden="1">
      <c r="A1213" t="s">
        <v>1031</v>
      </c>
      <c r="B1213" t="s">
        <v>689</v>
      </c>
      <c r="C1213" t="s">
        <v>690</v>
      </c>
      <c r="D1213" t="s">
        <v>860</v>
      </c>
      <c r="E1213" t="s">
        <v>734</v>
      </c>
      <c r="F1213" t="s">
        <v>1272</v>
      </c>
      <c r="G1213" t="s">
        <v>665</v>
      </c>
      <c r="H1213" s="595">
        <v>-2.67</v>
      </c>
      <c r="I1213" t="str">
        <f t="shared" si="49"/>
        <v>janeiro 2026</v>
      </c>
      <c r="J1213">
        <f t="shared" si="50"/>
        <v>2026</v>
      </c>
      <c r="K1213" t="str">
        <f>VLOOKUP(G1213,METRICS!C:D,2,0)</f>
        <v>Taxas Financeiras Diversas</v>
      </c>
      <c r="L1213" t="str">
        <f>VLOOKUP(K1213,METRICS!D:E,2,0)</f>
        <v>TAXAS CARTÃO DE CRÉDITO</v>
      </c>
    </row>
    <row r="1214" spans="1:12" ht="15" hidden="1">
      <c r="A1214" t="s">
        <v>1031</v>
      </c>
      <c r="B1214" t="s">
        <v>689</v>
      </c>
      <c r="C1214" t="s">
        <v>690</v>
      </c>
      <c r="D1214" t="s">
        <v>753</v>
      </c>
      <c r="E1214" t="s">
        <v>734</v>
      </c>
      <c r="F1214" t="s">
        <v>1272</v>
      </c>
      <c r="G1214" s="518" t="s">
        <v>665</v>
      </c>
      <c r="H1214" s="595">
        <v>-7.69</v>
      </c>
      <c r="I1214" t="str">
        <f t="shared" ref="I1214:I1255" si="51">TEXT(A1214, "mmmm aaaa")</f>
        <v>janeiro 2026</v>
      </c>
      <c r="J1214">
        <f t="shared" si="50"/>
        <v>2026</v>
      </c>
      <c r="K1214" t="str">
        <f>VLOOKUP(G1214,METRICS!C:D,2,0)</f>
        <v>Taxas Financeiras Diversas</v>
      </c>
      <c r="L1214" t="str">
        <f>VLOOKUP(K1214,METRICS!D:E,2,0)</f>
        <v>TAXAS CARTÃO DE CRÉDITO</v>
      </c>
    </row>
    <row r="1215" spans="1:12" ht="15" hidden="1">
      <c r="A1215" t="s">
        <v>1031</v>
      </c>
      <c r="B1215" t="s">
        <v>689</v>
      </c>
      <c r="C1215" t="s">
        <v>690</v>
      </c>
      <c r="D1215" t="s">
        <v>743</v>
      </c>
      <c r="E1215" t="s">
        <v>734</v>
      </c>
      <c r="F1215" t="s">
        <v>1272</v>
      </c>
      <c r="G1215" t="s">
        <v>665</v>
      </c>
      <c r="H1215" s="595">
        <v>-7.06</v>
      </c>
      <c r="I1215" t="str">
        <f t="shared" si="51"/>
        <v>janeiro 2026</v>
      </c>
      <c r="J1215">
        <f t="shared" si="50"/>
        <v>2026</v>
      </c>
      <c r="K1215" t="str">
        <f>VLOOKUP(G1215,METRICS!C:D,2,0)</f>
        <v>Taxas Financeiras Diversas</v>
      </c>
      <c r="L1215" t="str">
        <f>VLOOKUP(K1215,METRICS!D:E,2,0)</f>
        <v>TAXAS CARTÃO DE CRÉDITO</v>
      </c>
    </row>
    <row r="1216" spans="1:12" ht="15" hidden="1">
      <c r="A1216" t="s">
        <v>1031</v>
      </c>
      <c r="B1216" t="s">
        <v>689</v>
      </c>
      <c r="C1216" t="s">
        <v>690</v>
      </c>
      <c r="D1216" t="s">
        <v>743</v>
      </c>
      <c r="E1216" t="s">
        <v>734</v>
      </c>
      <c r="F1216" t="s">
        <v>1272</v>
      </c>
      <c r="G1216" t="s">
        <v>665</v>
      </c>
      <c r="H1216" s="595">
        <v>-3.22</v>
      </c>
      <c r="I1216" t="str">
        <f t="shared" si="51"/>
        <v>janeiro 2026</v>
      </c>
      <c r="J1216">
        <f t="shared" si="50"/>
        <v>2026</v>
      </c>
      <c r="K1216" t="str">
        <f>VLOOKUP(G1216,METRICS!C:D,2,0)</f>
        <v>Taxas Financeiras Diversas</v>
      </c>
      <c r="L1216" t="str">
        <f>VLOOKUP(K1216,METRICS!D:E,2,0)</f>
        <v>TAXAS CARTÃO DE CRÉDITO</v>
      </c>
    </row>
    <row r="1217" spans="1:12" ht="15" hidden="1">
      <c r="A1217" t="s">
        <v>1031</v>
      </c>
      <c r="B1217" t="s">
        <v>689</v>
      </c>
      <c r="C1217" t="s">
        <v>690</v>
      </c>
      <c r="D1217" t="s">
        <v>860</v>
      </c>
      <c r="E1217" t="s">
        <v>734</v>
      </c>
      <c r="F1217" t="s">
        <v>1272</v>
      </c>
      <c r="G1217" t="s">
        <v>665</v>
      </c>
      <c r="H1217" s="595">
        <v>-21.8</v>
      </c>
      <c r="I1217" t="str">
        <f t="shared" si="51"/>
        <v>janeiro 2026</v>
      </c>
      <c r="J1217">
        <f t="shared" si="50"/>
        <v>2026</v>
      </c>
      <c r="K1217" t="str">
        <f>VLOOKUP(G1217,METRICS!C:D,2,0)</f>
        <v>Taxas Financeiras Diversas</v>
      </c>
      <c r="L1217" t="str">
        <f>VLOOKUP(K1217,METRICS!D:E,2,0)</f>
        <v>TAXAS CARTÃO DE CRÉDITO</v>
      </c>
    </row>
    <row r="1218" spans="1:12" ht="15" hidden="1">
      <c r="A1218" t="s">
        <v>1031</v>
      </c>
      <c r="B1218" t="s">
        <v>689</v>
      </c>
      <c r="C1218" t="s">
        <v>690</v>
      </c>
      <c r="D1218" t="s">
        <v>733</v>
      </c>
      <c r="E1218" t="s">
        <v>734</v>
      </c>
      <c r="F1218" t="s">
        <v>1272</v>
      </c>
      <c r="G1218" t="s">
        <v>665</v>
      </c>
      <c r="H1218" s="595">
        <v>-1.88</v>
      </c>
      <c r="I1218" t="str">
        <f t="shared" si="51"/>
        <v>janeiro 2026</v>
      </c>
      <c r="J1218">
        <f t="shared" si="50"/>
        <v>2026</v>
      </c>
      <c r="K1218" t="str">
        <f>VLOOKUP(G1218,METRICS!C:D,2,0)</f>
        <v>Taxas Financeiras Diversas</v>
      </c>
      <c r="L1218" t="str">
        <f>VLOOKUP(K1218,METRICS!D:E,2,0)</f>
        <v>TAXAS CARTÃO DE CRÉDITO</v>
      </c>
    </row>
    <row r="1219" spans="1:12" ht="15" hidden="1">
      <c r="A1219" t="s">
        <v>1031</v>
      </c>
      <c r="B1219" t="s">
        <v>612</v>
      </c>
      <c r="C1219" t="s">
        <v>690</v>
      </c>
      <c r="D1219" t="s">
        <v>1054</v>
      </c>
      <c r="E1219" t="s">
        <v>936</v>
      </c>
      <c r="F1219" t="s">
        <v>1272</v>
      </c>
      <c r="G1219" t="s">
        <v>283</v>
      </c>
      <c r="H1219" s="595">
        <v>-2794</v>
      </c>
      <c r="I1219" t="str">
        <f t="shared" si="51"/>
        <v>janeiro 2026</v>
      </c>
      <c r="J1219">
        <f t="shared" si="50"/>
        <v>2026</v>
      </c>
      <c r="K1219" t="str">
        <f>VLOOKUP(G1219,METRICS!C:D,2,0)</f>
        <v>Hostess</v>
      </c>
      <c r="L1219" t="str">
        <f>VLOOKUP(K1219,METRICS!D:E,2,0)</f>
        <v>OPERAÇÃO</v>
      </c>
    </row>
    <row r="1220" spans="1:12" ht="15" hidden="1">
      <c r="A1220" t="s">
        <v>1031</v>
      </c>
      <c r="B1220" t="s">
        <v>689</v>
      </c>
      <c r="C1220" t="s">
        <v>690</v>
      </c>
      <c r="D1220" t="s">
        <v>743</v>
      </c>
      <c r="E1220" t="s">
        <v>734</v>
      </c>
      <c r="F1220" t="s">
        <v>1272</v>
      </c>
      <c r="G1220" t="s">
        <v>665</v>
      </c>
      <c r="H1220" s="595">
        <v>-16.95</v>
      </c>
      <c r="I1220" t="str">
        <f t="shared" si="51"/>
        <v>janeiro 2026</v>
      </c>
      <c r="J1220">
        <f t="shared" si="50"/>
        <v>2026</v>
      </c>
      <c r="K1220" t="str">
        <f>VLOOKUP(G1220,METRICS!C:D,2,0)</f>
        <v>Taxas Financeiras Diversas</v>
      </c>
      <c r="L1220" t="str">
        <f>VLOOKUP(K1220,METRICS!D:E,2,0)</f>
        <v>TAXAS CARTÃO DE CRÉDITO</v>
      </c>
    </row>
    <row r="1221" spans="1:12" ht="15" hidden="1">
      <c r="A1221" t="s">
        <v>1031</v>
      </c>
      <c r="B1221" t="s">
        <v>689</v>
      </c>
      <c r="C1221" t="s">
        <v>690</v>
      </c>
      <c r="D1221" t="s">
        <v>733</v>
      </c>
      <c r="E1221" t="s">
        <v>734</v>
      </c>
      <c r="F1221" t="s">
        <v>1272</v>
      </c>
      <c r="G1221" t="s">
        <v>665</v>
      </c>
      <c r="H1221" s="595">
        <v>-34.78</v>
      </c>
      <c r="I1221" t="str">
        <f t="shared" si="51"/>
        <v>janeiro 2026</v>
      </c>
      <c r="J1221">
        <f t="shared" si="50"/>
        <v>2026</v>
      </c>
      <c r="K1221" t="str">
        <f>VLOOKUP(G1221,METRICS!C:D,2,0)</f>
        <v>Taxas Financeiras Diversas</v>
      </c>
      <c r="L1221" t="str">
        <f>VLOOKUP(K1221,METRICS!D:E,2,0)</f>
        <v>TAXAS CARTÃO DE CRÉDITO</v>
      </c>
    </row>
    <row r="1222" spans="1:12" ht="15" hidden="1">
      <c r="A1222" t="s">
        <v>1031</v>
      </c>
      <c r="B1222" t="s">
        <v>689</v>
      </c>
      <c r="C1222" t="s">
        <v>690</v>
      </c>
      <c r="D1222" t="s">
        <v>753</v>
      </c>
      <c r="E1222" t="s">
        <v>734</v>
      </c>
      <c r="F1222" t="s">
        <v>1272</v>
      </c>
      <c r="G1222" t="s">
        <v>665</v>
      </c>
      <c r="H1222" s="595">
        <v>-23.07</v>
      </c>
      <c r="I1222" t="str">
        <f t="shared" si="51"/>
        <v>janeiro 2026</v>
      </c>
      <c r="J1222">
        <f t="shared" si="50"/>
        <v>2026</v>
      </c>
      <c r="K1222" t="str">
        <f>VLOOKUP(G1222,METRICS!C:D,2,0)</f>
        <v>Taxas Financeiras Diversas</v>
      </c>
      <c r="L1222" t="str">
        <f>VLOOKUP(K1222,METRICS!D:E,2,0)</f>
        <v>TAXAS CARTÃO DE CRÉDITO</v>
      </c>
    </row>
    <row r="1223" spans="1:12" ht="15" hidden="1">
      <c r="A1223" t="s">
        <v>1031</v>
      </c>
      <c r="B1223" t="s">
        <v>689</v>
      </c>
      <c r="C1223" t="s">
        <v>690</v>
      </c>
      <c r="D1223" t="s">
        <v>733</v>
      </c>
      <c r="E1223" t="s">
        <v>734</v>
      </c>
      <c r="F1223" t="s">
        <v>1272</v>
      </c>
      <c r="G1223" t="s">
        <v>665</v>
      </c>
      <c r="H1223" s="595">
        <v>-6.44</v>
      </c>
      <c r="I1223" t="str">
        <f t="shared" si="51"/>
        <v>janeiro 2026</v>
      </c>
      <c r="J1223">
        <f t="shared" si="50"/>
        <v>2026</v>
      </c>
      <c r="K1223" t="str">
        <f>VLOOKUP(G1223,METRICS!C:D,2,0)</f>
        <v>Taxas Financeiras Diversas</v>
      </c>
      <c r="L1223" t="str">
        <f>VLOOKUP(K1223,METRICS!D:E,2,0)</f>
        <v>TAXAS CARTÃO DE CRÉDITO</v>
      </c>
    </row>
    <row r="1224" spans="1:12" ht="15" hidden="1">
      <c r="A1224" t="s">
        <v>1031</v>
      </c>
      <c r="B1224" t="s">
        <v>689</v>
      </c>
      <c r="C1224" t="s">
        <v>690</v>
      </c>
      <c r="D1224" t="s">
        <v>743</v>
      </c>
      <c r="E1224" t="s">
        <v>734</v>
      </c>
      <c r="F1224" t="s">
        <v>1272</v>
      </c>
      <c r="G1224" t="s">
        <v>665</v>
      </c>
      <c r="H1224" s="595">
        <v>-5.25</v>
      </c>
      <c r="I1224" t="str">
        <f t="shared" si="51"/>
        <v>janeiro 2026</v>
      </c>
      <c r="J1224">
        <f t="shared" si="50"/>
        <v>2026</v>
      </c>
      <c r="K1224" t="str">
        <f>VLOOKUP(G1224,METRICS!C:D,2,0)</f>
        <v>Taxas Financeiras Diversas</v>
      </c>
      <c r="L1224" t="str">
        <f>VLOOKUP(K1224,METRICS!D:E,2,0)</f>
        <v>TAXAS CARTÃO DE CRÉDITO</v>
      </c>
    </row>
    <row r="1225" spans="1:12" ht="15" hidden="1">
      <c r="A1225" t="s">
        <v>1031</v>
      </c>
      <c r="B1225" t="s">
        <v>689</v>
      </c>
      <c r="C1225" t="s">
        <v>690</v>
      </c>
      <c r="D1225" t="s">
        <v>743</v>
      </c>
      <c r="E1225" t="s">
        <v>734</v>
      </c>
      <c r="F1225" t="s">
        <v>1272</v>
      </c>
      <c r="G1225" t="s">
        <v>665</v>
      </c>
      <c r="H1225" s="595">
        <v>-2.0499999999999998</v>
      </c>
      <c r="I1225" t="str">
        <f t="shared" si="51"/>
        <v>janeiro 2026</v>
      </c>
      <c r="J1225">
        <f t="shared" si="50"/>
        <v>2026</v>
      </c>
      <c r="K1225" t="str">
        <f>VLOOKUP(G1225,METRICS!C:D,2,0)</f>
        <v>Taxas Financeiras Diversas</v>
      </c>
      <c r="L1225" t="str">
        <f>VLOOKUP(K1225,METRICS!D:E,2,0)</f>
        <v>TAXAS CARTÃO DE CRÉDITO</v>
      </c>
    </row>
    <row r="1226" spans="1:12" ht="15" hidden="1">
      <c r="A1226" t="s">
        <v>1031</v>
      </c>
      <c r="B1226" t="s">
        <v>612</v>
      </c>
      <c r="C1226" t="s">
        <v>690</v>
      </c>
      <c r="D1226" t="s">
        <v>1055</v>
      </c>
      <c r="E1226" t="s">
        <v>738</v>
      </c>
      <c r="F1226" t="s">
        <v>1272</v>
      </c>
      <c r="G1226" t="s">
        <v>623</v>
      </c>
      <c r="H1226" s="595">
        <v>-4311.22</v>
      </c>
      <c r="I1226" t="str">
        <f t="shared" si="51"/>
        <v>janeiro 2026</v>
      </c>
      <c r="J1226">
        <f t="shared" si="50"/>
        <v>2026</v>
      </c>
      <c r="K1226" t="str">
        <f>VLOOKUP(G1226,METRICS!C:D,2,0)</f>
        <v>Secos - Mercearia</v>
      </c>
      <c r="L1226" t="str">
        <f>VLOOKUP(K1226,METRICS!D:E,2,0)</f>
        <v>CUSTOS DOS PRODUTOS VENDIDOS</v>
      </c>
    </row>
    <row r="1227" spans="1:12" ht="15" hidden="1">
      <c r="A1227" t="s">
        <v>1031</v>
      </c>
      <c r="B1227" t="s">
        <v>689</v>
      </c>
      <c r="C1227" t="s">
        <v>690</v>
      </c>
      <c r="D1227" t="s">
        <v>753</v>
      </c>
      <c r="E1227" t="s">
        <v>734</v>
      </c>
      <c r="F1227" t="s">
        <v>1272</v>
      </c>
      <c r="G1227" t="s">
        <v>665</v>
      </c>
      <c r="H1227" s="595">
        <v>-8.3000000000000007</v>
      </c>
      <c r="I1227" t="str">
        <f t="shared" si="51"/>
        <v>janeiro 2026</v>
      </c>
      <c r="J1227">
        <f t="shared" si="50"/>
        <v>2026</v>
      </c>
      <c r="K1227" t="str">
        <f>VLOOKUP(G1227,METRICS!C:D,2,0)</f>
        <v>Taxas Financeiras Diversas</v>
      </c>
      <c r="L1227" t="str">
        <f>VLOOKUP(K1227,METRICS!D:E,2,0)</f>
        <v>TAXAS CARTÃO DE CRÉDITO</v>
      </c>
    </row>
    <row r="1228" spans="1:12" ht="15" hidden="1">
      <c r="A1228" t="s">
        <v>1031</v>
      </c>
      <c r="B1228" t="s">
        <v>689</v>
      </c>
      <c r="C1228" t="s">
        <v>690</v>
      </c>
      <c r="D1228" t="s">
        <v>743</v>
      </c>
      <c r="E1228" t="s">
        <v>734</v>
      </c>
      <c r="F1228" t="s">
        <v>1272</v>
      </c>
      <c r="G1228" t="s">
        <v>665</v>
      </c>
      <c r="H1228" s="595">
        <v>-1.61</v>
      </c>
      <c r="I1228" t="str">
        <f t="shared" si="51"/>
        <v>janeiro 2026</v>
      </c>
      <c r="J1228">
        <f t="shared" si="50"/>
        <v>2026</v>
      </c>
      <c r="K1228" t="str">
        <f>VLOOKUP(G1228,METRICS!C:D,2,0)</f>
        <v>Taxas Financeiras Diversas</v>
      </c>
      <c r="L1228" t="str">
        <f>VLOOKUP(K1228,METRICS!D:E,2,0)</f>
        <v>TAXAS CARTÃO DE CRÉDITO</v>
      </c>
    </row>
    <row r="1229" spans="1:12" ht="15" hidden="1">
      <c r="A1229" t="s">
        <v>1031</v>
      </c>
      <c r="B1229" t="s">
        <v>689</v>
      </c>
      <c r="C1229" t="s">
        <v>690</v>
      </c>
      <c r="D1229" t="s">
        <v>817</v>
      </c>
      <c r="E1229" s="155" t="s">
        <v>544</v>
      </c>
      <c r="F1229" t="s">
        <v>1272</v>
      </c>
      <c r="G1229" t="s">
        <v>664</v>
      </c>
      <c r="H1229" s="595">
        <v>-120</v>
      </c>
      <c r="I1229" t="str">
        <f t="shared" si="51"/>
        <v>janeiro 2026</v>
      </c>
      <c r="J1229">
        <f t="shared" si="50"/>
        <v>2026</v>
      </c>
      <c r="K1229" t="str">
        <f>VLOOKUP(G1229,METRICS!C:D,2,0)</f>
        <v>Colaborador Extra</v>
      </c>
      <c r="L1229" t="str">
        <f>VLOOKUP(K1229,METRICS!D:E,2,0)</f>
        <v>PESSOAL</v>
      </c>
    </row>
    <row r="1230" spans="1:12" ht="15" hidden="1">
      <c r="A1230" s="518" t="s">
        <v>1031</v>
      </c>
      <c r="B1230" s="518" t="s">
        <v>689</v>
      </c>
      <c r="C1230" s="518" t="s">
        <v>690</v>
      </c>
      <c r="D1230" s="518" t="s">
        <v>1048</v>
      </c>
      <c r="E1230" s="518" t="s">
        <v>1049</v>
      </c>
      <c r="F1230" s="518" t="s">
        <v>1272</v>
      </c>
      <c r="G1230" s="518" t="s">
        <v>674</v>
      </c>
      <c r="H1230" s="595">
        <v>-4855.3599999999997</v>
      </c>
      <c r="I1230" s="518" t="str">
        <f t="shared" si="51"/>
        <v>janeiro 2026</v>
      </c>
      <c r="J1230" s="518">
        <f t="shared" si="50"/>
        <v>2026</v>
      </c>
      <c r="K1230" s="518" t="str">
        <f>VLOOKUP(G1230,METRICS!C:D,2,0)</f>
        <v>Energia Elétrica</v>
      </c>
      <c r="L1230" s="518" t="str">
        <f>VLOOKUP(K1230,METRICS!D:E,2,0)</f>
        <v>OPERAÇÃO</v>
      </c>
    </row>
    <row r="1231" spans="1:12" ht="15" hidden="1">
      <c r="A1231" s="518" t="s">
        <v>1031</v>
      </c>
      <c r="B1231" s="518" t="s">
        <v>689</v>
      </c>
      <c r="C1231" s="518" t="s">
        <v>690</v>
      </c>
      <c r="D1231" t="s">
        <v>2125</v>
      </c>
      <c r="E1231" s="518" t="s">
        <v>1049</v>
      </c>
      <c r="F1231" s="518" t="s">
        <v>1272</v>
      </c>
      <c r="G1231" s="518" t="s">
        <v>674</v>
      </c>
      <c r="H1231" s="595">
        <v>-26519.05</v>
      </c>
      <c r="I1231" s="518" t="str">
        <f t="shared" ref="I1231" si="52">TEXT(A1231, "mmmm aaaa")</f>
        <v>janeiro 2026</v>
      </c>
      <c r="J1231" s="518">
        <f t="shared" ref="J1231" si="53">YEAR(A1231)</f>
        <v>2026</v>
      </c>
      <c r="K1231" s="518" t="str">
        <f>VLOOKUP(G1231,METRICS!C:D,2,0)</f>
        <v>Energia Elétrica</v>
      </c>
      <c r="L1231" s="518" t="str">
        <f>VLOOKUP(K1231,METRICS!D:E,2,0)</f>
        <v>OPERAÇÃO</v>
      </c>
    </row>
    <row r="1232" spans="1:12" ht="15" hidden="1">
      <c r="A1232" s="591" t="s">
        <v>1031</v>
      </c>
      <c r="B1232" s="591" t="s">
        <v>689</v>
      </c>
      <c r="C1232" s="591" t="s">
        <v>690</v>
      </c>
      <c r="D1232" s="591" t="s">
        <v>1056</v>
      </c>
      <c r="E1232" s="591" t="s">
        <v>1057</v>
      </c>
      <c r="F1232" t="s">
        <v>1272</v>
      </c>
      <c r="G1232" t="s">
        <v>618</v>
      </c>
      <c r="H1232" s="595">
        <v>-1431.65</v>
      </c>
      <c r="I1232" t="str">
        <f t="shared" si="51"/>
        <v>janeiro 2026</v>
      </c>
      <c r="J1232">
        <f t="shared" si="50"/>
        <v>2026</v>
      </c>
      <c r="K1232" t="str">
        <f>VLOOKUP(G1232,METRICS!C:D,2,0)</f>
        <v>Gás Encanado</v>
      </c>
      <c r="L1232" t="str">
        <f>VLOOKUP(K1232,METRICS!D:E,2,0)</f>
        <v>OPERAÇÃO</v>
      </c>
    </row>
    <row r="1233" spans="1:12" ht="15" hidden="1">
      <c r="A1233" s="591" t="s">
        <v>1031</v>
      </c>
      <c r="B1233" s="591" t="s">
        <v>689</v>
      </c>
      <c r="C1233" s="591" t="s">
        <v>690</v>
      </c>
      <c r="D1233" s="591" t="s">
        <v>1056</v>
      </c>
      <c r="E1233" s="591" t="s">
        <v>1057</v>
      </c>
      <c r="F1233" t="s">
        <v>1272</v>
      </c>
      <c r="G1233" t="s">
        <v>618</v>
      </c>
      <c r="H1233" s="595">
        <v>-6083.73</v>
      </c>
      <c r="I1233" t="str">
        <f t="shared" ref="I1233" si="54">TEXT(A1233, "mmmm aaaa")</f>
        <v>janeiro 2026</v>
      </c>
      <c r="J1233">
        <f t="shared" ref="J1233" si="55">YEAR(A1233)</f>
        <v>2026</v>
      </c>
      <c r="K1233" t="str">
        <f>VLOOKUP(G1233,METRICS!C:D,2,0)</f>
        <v>Gás Encanado</v>
      </c>
      <c r="L1233" t="str">
        <f>VLOOKUP(K1233,METRICS!D:E,2,0)</f>
        <v>OPERAÇÃO</v>
      </c>
    </row>
    <row r="1234" spans="1:12" ht="15" hidden="1">
      <c r="A1234" t="s">
        <v>1031</v>
      </c>
      <c r="B1234" t="s">
        <v>689</v>
      </c>
      <c r="C1234" t="s">
        <v>690</v>
      </c>
      <c r="D1234" t="s">
        <v>733</v>
      </c>
      <c r="E1234" t="s">
        <v>734</v>
      </c>
      <c r="F1234" t="s">
        <v>1272</v>
      </c>
      <c r="G1234" t="s">
        <v>665</v>
      </c>
      <c r="H1234" s="595">
        <v>-0.97</v>
      </c>
      <c r="I1234" t="str">
        <f t="shared" si="51"/>
        <v>janeiro 2026</v>
      </c>
      <c r="J1234">
        <f t="shared" si="50"/>
        <v>2026</v>
      </c>
      <c r="K1234" t="str">
        <f>VLOOKUP(G1234,METRICS!C:D,2,0)</f>
        <v>Taxas Financeiras Diversas</v>
      </c>
      <c r="L1234" t="str">
        <f>VLOOKUP(K1234,METRICS!D:E,2,0)</f>
        <v>TAXAS CARTÃO DE CRÉDITO</v>
      </c>
    </row>
    <row r="1235" spans="1:12" ht="15" hidden="1">
      <c r="A1235" t="s">
        <v>1031</v>
      </c>
      <c r="B1235" t="s">
        <v>689</v>
      </c>
      <c r="C1235" t="s">
        <v>690</v>
      </c>
      <c r="D1235" t="s">
        <v>743</v>
      </c>
      <c r="E1235" t="s">
        <v>734</v>
      </c>
      <c r="F1235" t="s">
        <v>1272</v>
      </c>
      <c r="G1235" t="s">
        <v>665</v>
      </c>
      <c r="H1235" s="595">
        <v>-0.5</v>
      </c>
      <c r="I1235" t="str">
        <f t="shared" si="51"/>
        <v>janeiro 2026</v>
      </c>
      <c r="J1235">
        <f t="shared" si="50"/>
        <v>2026</v>
      </c>
      <c r="K1235" t="str">
        <f>VLOOKUP(G1235,METRICS!C:D,2,0)</f>
        <v>Taxas Financeiras Diversas</v>
      </c>
      <c r="L1235" t="str">
        <f>VLOOKUP(K1235,METRICS!D:E,2,0)</f>
        <v>TAXAS CARTÃO DE CRÉDITO</v>
      </c>
    </row>
    <row r="1236" spans="1:12" ht="15" hidden="1">
      <c r="A1236" t="s">
        <v>1031</v>
      </c>
      <c r="B1236" t="s">
        <v>689</v>
      </c>
      <c r="C1236" t="s">
        <v>690</v>
      </c>
      <c r="D1236" t="s">
        <v>733</v>
      </c>
      <c r="E1236" t="s">
        <v>734</v>
      </c>
      <c r="F1236" t="s">
        <v>1272</v>
      </c>
      <c r="G1236" t="s">
        <v>665</v>
      </c>
      <c r="H1236" s="595">
        <v>-0.74</v>
      </c>
      <c r="I1236" t="str">
        <f t="shared" si="51"/>
        <v>janeiro 2026</v>
      </c>
      <c r="J1236">
        <f t="shared" si="50"/>
        <v>2026</v>
      </c>
      <c r="K1236" t="str">
        <f>VLOOKUP(G1236,METRICS!C:D,2,0)</f>
        <v>Taxas Financeiras Diversas</v>
      </c>
      <c r="L1236" t="str">
        <f>VLOOKUP(K1236,METRICS!D:E,2,0)</f>
        <v>TAXAS CARTÃO DE CRÉDITO</v>
      </c>
    </row>
    <row r="1237" spans="1:12" ht="15" hidden="1">
      <c r="A1237" t="s">
        <v>1058</v>
      </c>
      <c r="B1237" t="s">
        <v>689</v>
      </c>
      <c r="C1237" t="s">
        <v>690</v>
      </c>
      <c r="D1237" t="s">
        <v>733</v>
      </c>
      <c r="E1237" t="s">
        <v>734</v>
      </c>
      <c r="F1237" t="s">
        <v>1272</v>
      </c>
      <c r="G1237" t="s">
        <v>665</v>
      </c>
      <c r="H1237" s="595">
        <v>-4.22</v>
      </c>
      <c r="I1237" t="str">
        <f t="shared" si="51"/>
        <v>janeiro 2026</v>
      </c>
      <c r="J1237">
        <f t="shared" si="50"/>
        <v>2026</v>
      </c>
      <c r="K1237" t="str">
        <f>VLOOKUP(G1237,METRICS!C:D,2,0)</f>
        <v>Taxas Financeiras Diversas</v>
      </c>
      <c r="L1237" t="str">
        <f>VLOOKUP(K1237,METRICS!D:E,2,0)</f>
        <v>TAXAS CARTÃO DE CRÉDITO</v>
      </c>
    </row>
    <row r="1238" spans="1:12" ht="15" hidden="1">
      <c r="A1238" t="s">
        <v>1058</v>
      </c>
      <c r="B1238" t="s">
        <v>689</v>
      </c>
      <c r="C1238" t="s">
        <v>690</v>
      </c>
      <c r="D1238" t="s">
        <v>733</v>
      </c>
      <c r="E1238" t="s">
        <v>734</v>
      </c>
      <c r="F1238" t="s">
        <v>1272</v>
      </c>
      <c r="G1238" t="s">
        <v>665</v>
      </c>
      <c r="H1238" s="595">
        <v>-1.24</v>
      </c>
      <c r="I1238" t="str">
        <f t="shared" si="51"/>
        <v>janeiro 2026</v>
      </c>
      <c r="J1238">
        <f t="shared" si="50"/>
        <v>2026</v>
      </c>
      <c r="K1238" t="str">
        <f>VLOOKUP(G1238,METRICS!C:D,2,0)</f>
        <v>Taxas Financeiras Diversas</v>
      </c>
      <c r="L1238" t="str">
        <f>VLOOKUP(K1238,METRICS!D:E,2,0)</f>
        <v>TAXAS CARTÃO DE CRÉDITO</v>
      </c>
    </row>
    <row r="1239" spans="1:12" ht="15" hidden="1">
      <c r="A1239" t="s">
        <v>1058</v>
      </c>
      <c r="B1239" t="s">
        <v>689</v>
      </c>
      <c r="C1239" t="s">
        <v>690</v>
      </c>
      <c r="D1239" t="s">
        <v>733</v>
      </c>
      <c r="E1239" t="s">
        <v>734</v>
      </c>
      <c r="F1239" t="s">
        <v>1272</v>
      </c>
      <c r="G1239" t="s">
        <v>665</v>
      </c>
      <c r="H1239" s="595">
        <v>-2.96</v>
      </c>
      <c r="I1239" t="str">
        <f t="shared" si="51"/>
        <v>janeiro 2026</v>
      </c>
      <c r="J1239">
        <f t="shared" si="50"/>
        <v>2026</v>
      </c>
      <c r="K1239" t="str">
        <f>VLOOKUP(G1239,METRICS!C:D,2,0)</f>
        <v>Taxas Financeiras Diversas</v>
      </c>
      <c r="L1239" t="str">
        <f>VLOOKUP(K1239,METRICS!D:E,2,0)</f>
        <v>TAXAS CARTÃO DE CRÉDITO</v>
      </c>
    </row>
    <row r="1240" spans="1:12" ht="15" hidden="1">
      <c r="A1240" t="s">
        <v>1058</v>
      </c>
      <c r="B1240" t="s">
        <v>689</v>
      </c>
      <c r="C1240" t="s">
        <v>690</v>
      </c>
      <c r="D1240" t="s">
        <v>756</v>
      </c>
      <c r="E1240" t="s">
        <v>757</v>
      </c>
      <c r="F1240" t="s">
        <v>1272</v>
      </c>
      <c r="G1240" t="s">
        <v>666</v>
      </c>
      <c r="H1240" s="595">
        <v>-59.4</v>
      </c>
      <c r="I1240" t="str">
        <f t="shared" si="51"/>
        <v>janeiro 2026</v>
      </c>
      <c r="J1240">
        <f t="shared" si="50"/>
        <v>2026</v>
      </c>
      <c r="K1240" t="str">
        <f>VLOOKUP(G1240,METRICS!C:D,2,0)</f>
        <v>Encargos Bancarios</v>
      </c>
      <c r="L1240" t="str">
        <f>VLOOKUP(K1240,METRICS!D:E,2,0)</f>
        <v>DESPESAS FINANCEIRAS</v>
      </c>
    </row>
    <row r="1241" spans="1:12" ht="15" hidden="1">
      <c r="A1241" t="s">
        <v>1058</v>
      </c>
      <c r="B1241" t="s">
        <v>612</v>
      </c>
      <c r="C1241" t="s">
        <v>690</v>
      </c>
      <c r="D1241" t="s">
        <v>1059</v>
      </c>
      <c r="E1241" t="s">
        <v>830</v>
      </c>
      <c r="F1241" t="s">
        <v>1272</v>
      </c>
      <c r="G1241" t="s">
        <v>623</v>
      </c>
      <c r="H1241" s="595">
        <v>-203.5</v>
      </c>
      <c r="I1241" t="str">
        <f t="shared" si="51"/>
        <v>janeiro 2026</v>
      </c>
      <c r="J1241">
        <f t="shared" si="50"/>
        <v>2026</v>
      </c>
      <c r="K1241" t="str">
        <f>VLOOKUP(G1241,METRICS!C:D,2,0)</f>
        <v>Secos - Mercearia</v>
      </c>
      <c r="L1241" t="str">
        <f>VLOOKUP(K1241,METRICS!D:E,2,0)</f>
        <v>CUSTOS DOS PRODUTOS VENDIDOS</v>
      </c>
    </row>
    <row r="1242" spans="1:12" ht="15" hidden="1">
      <c r="A1242" t="s">
        <v>1058</v>
      </c>
      <c r="B1242" t="s">
        <v>689</v>
      </c>
      <c r="C1242" t="s">
        <v>690</v>
      </c>
      <c r="D1242" t="s">
        <v>733</v>
      </c>
      <c r="E1242" t="s">
        <v>734</v>
      </c>
      <c r="F1242" t="s">
        <v>1272</v>
      </c>
      <c r="G1242" t="s">
        <v>665</v>
      </c>
      <c r="H1242" s="595">
        <v>-1.58</v>
      </c>
      <c r="I1242" t="str">
        <f t="shared" si="51"/>
        <v>janeiro 2026</v>
      </c>
      <c r="J1242">
        <f t="shared" si="50"/>
        <v>2026</v>
      </c>
      <c r="K1242" t="str">
        <f>VLOOKUP(G1242,METRICS!C:D,2,0)</f>
        <v>Taxas Financeiras Diversas</v>
      </c>
      <c r="L1242" t="str">
        <f>VLOOKUP(K1242,METRICS!D:E,2,0)</f>
        <v>TAXAS CARTÃO DE CRÉDITO</v>
      </c>
    </row>
    <row r="1243" spans="1:12" ht="15" hidden="1">
      <c r="A1243" t="s">
        <v>1058</v>
      </c>
      <c r="B1243" t="s">
        <v>689</v>
      </c>
      <c r="C1243" t="s">
        <v>690</v>
      </c>
      <c r="D1243" t="s">
        <v>743</v>
      </c>
      <c r="E1243" t="s">
        <v>734</v>
      </c>
      <c r="F1243" t="s">
        <v>1272</v>
      </c>
      <c r="G1243" t="s">
        <v>665</v>
      </c>
      <c r="H1243" s="595">
        <v>-2.75</v>
      </c>
      <c r="I1243" t="str">
        <f t="shared" si="51"/>
        <v>janeiro 2026</v>
      </c>
      <c r="J1243">
        <f t="shared" si="50"/>
        <v>2026</v>
      </c>
      <c r="K1243" t="str">
        <f>VLOOKUP(G1243,METRICS!C:D,2,0)</f>
        <v>Taxas Financeiras Diversas</v>
      </c>
      <c r="L1243" t="str">
        <f>VLOOKUP(K1243,METRICS!D:E,2,0)</f>
        <v>TAXAS CARTÃO DE CRÉDITO</v>
      </c>
    </row>
    <row r="1244" spans="1:12" ht="15" hidden="1">
      <c r="A1244" t="s">
        <v>1058</v>
      </c>
      <c r="B1244" t="s">
        <v>689</v>
      </c>
      <c r="C1244" t="s">
        <v>690</v>
      </c>
      <c r="D1244" t="s">
        <v>733</v>
      </c>
      <c r="E1244" t="s">
        <v>734</v>
      </c>
      <c r="F1244" t="s">
        <v>1272</v>
      </c>
      <c r="G1244" t="s">
        <v>665</v>
      </c>
      <c r="H1244" s="595">
        <v>-0.49</v>
      </c>
      <c r="I1244" t="str">
        <f t="shared" si="51"/>
        <v>janeiro 2026</v>
      </c>
      <c r="J1244">
        <f t="shared" si="50"/>
        <v>2026</v>
      </c>
      <c r="K1244" t="str">
        <f>VLOOKUP(G1244,METRICS!C:D,2,0)</f>
        <v>Taxas Financeiras Diversas</v>
      </c>
      <c r="L1244" t="str">
        <f>VLOOKUP(K1244,METRICS!D:E,2,0)</f>
        <v>TAXAS CARTÃO DE CRÉDITO</v>
      </c>
    </row>
    <row r="1245" spans="1:12" ht="15" hidden="1">
      <c r="A1245" t="s">
        <v>1058</v>
      </c>
      <c r="B1245" t="s">
        <v>689</v>
      </c>
      <c r="C1245" t="s">
        <v>690</v>
      </c>
      <c r="D1245" t="s">
        <v>733</v>
      </c>
      <c r="E1245" t="s">
        <v>734</v>
      </c>
      <c r="F1245" t="s">
        <v>1272</v>
      </c>
      <c r="G1245" t="s">
        <v>665</v>
      </c>
      <c r="H1245" s="595">
        <v>-12.83</v>
      </c>
      <c r="I1245" t="str">
        <f t="shared" si="51"/>
        <v>janeiro 2026</v>
      </c>
      <c r="J1245">
        <f t="shared" si="50"/>
        <v>2026</v>
      </c>
      <c r="K1245" t="str">
        <f>VLOOKUP(G1245,METRICS!C:D,2,0)</f>
        <v>Taxas Financeiras Diversas</v>
      </c>
      <c r="L1245" t="str">
        <f>VLOOKUP(K1245,METRICS!D:E,2,0)</f>
        <v>TAXAS CARTÃO DE CRÉDITO</v>
      </c>
    </row>
    <row r="1246" spans="1:12" ht="15" hidden="1">
      <c r="A1246" t="s">
        <v>1058</v>
      </c>
      <c r="B1246" t="s">
        <v>689</v>
      </c>
      <c r="C1246" t="s">
        <v>690</v>
      </c>
      <c r="D1246" t="s">
        <v>733</v>
      </c>
      <c r="E1246" t="s">
        <v>734</v>
      </c>
      <c r="F1246" t="s">
        <v>1272</v>
      </c>
      <c r="G1246" t="s">
        <v>665</v>
      </c>
      <c r="H1246" s="595">
        <v>-4.7699999999999996</v>
      </c>
      <c r="I1246" t="str">
        <f t="shared" si="51"/>
        <v>janeiro 2026</v>
      </c>
      <c r="J1246">
        <f t="shared" si="50"/>
        <v>2026</v>
      </c>
      <c r="K1246" t="str">
        <f>VLOOKUP(G1246,METRICS!C:D,2,0)</f>
        <v>Taxas Financeiras Diversas</v>
      </c>
      <c r="L1246" t="str">
        <f>VLOOKUP(K1246,METRICS!D:E,2,0)</f>
        <v>TAXAS CARTÃO DE CRÉDITO</v>
      </c>
    </row>
    <row r="1247" spans="1:12" ht="15" hidden="1">
      <c r="A1247" t="s">
        <v>1058</v>
      </c>
      <c r="B1247" t="s">
        <v>612</v>
      </c>
      <c r="C1247" t="s">
        <v>690</v>
      </c>
      <c r="D1247" t="s">
        <v>1060</v>
      </c>
      <c r="E1247" t="s">
        <v>964</v>
      </c>
      <c r="F1247" t="s">
        <v>1272</v>
      </c>
      <c r="G1247" t="s">
        <v>608</v>
      </c>
      <c r="H1247" s="595">
        <v>-450</v>
      </c>
      <c r="I1247" t="str">
        <f t="shared" si="51"/>
        <v>janeiro 2026</v>
      </c>
      <c r="J1247">
        <f t="shared" si="50"/>
        <v>2026</v>
      </c>
      <c r="K1247" t="str">
        <f>VLOOKUP(G1247,METRICS!C:D,2,0)</f>
        <v>Bebidas não Alcoolicas</v>
      </c>
      <c r="L1247" t="str">
        <f>VLOOKUP(K1247,METRICS!D:E,2,0)</f>
        <v>CUSTOS DOS PRODUTOS VENDIDOS</v>
      </c>
    </row>
    <row r="1248" spans="1:12" ht="15" hidden="1">
      <c r="A1248" t="s">
        <v>1058</v>
      </c>
      <c r="B1248" t="s">
        <v>689</v>
      </c>
      <c r="C1248" t="s">
        <v>690</v>
      </c>
      <c r="D1248" t="s">
        <v>743</v>
      </c>
      <c r="E1248" t="s">
        <v>734</v>
      </c>
      <c r="F1248" t="s">
        <v>1272</v>
      </c>
      <c r="G1248" t="s">
        <v>665</v>
      </c>
      <c r="H1248" s="595">
        <v>-26.44</v>
      </c>
      <c r="I1248" t="str">
        <f t="shared" si="51"/>
        <v>janeiro 2026</v>
      </c>
      <c r="J1248">
        <f t="shared" si="50"/>
        <v>2026</v>
      </c>
      <c r="K1248" t="str">
        <f>VLOOKUP(G1248,METRICS!C:D,2,0)</f>
        <v>Taxas Financeiras Diversas</v>
      </c>
      <c r="L1248" t="str">
        <f>VLOOKUP(K1248,METRICS!D:E,2,0)</f>
        <v>TAXAS CARTÃO DE CRÉDITO</v>
      </c>
    </row>
    <row r="1249" spans="1:13" ht="15" hidden="1">
      <c r="A1249" t="s">
        <v>1058</v>
      </c>
      <c r="B1249" t="s">
        <v>689</v>
      </c>
      <c r="C1249" t="s">
        <v>690</v>
      </c>
      <c r="D1249" t="s">
        <v>733</v>
      </c>
      <c r="E1249" t="s">
        <v>734</v>
      </c>
      <c r="F1249" t="s">
        <v>1272</v>
      </c>
      <c r="G1249" t="s">
        <v>665</v>
      </c>
      <c r="H1249" s="595">
        <v>-0.51</v>
      </c>
      <c r="I1249" t="str">
        <f t="shared" si="51"/>
        <v>janeiro 2026</v>
      </c>
      <c r="J1249">
        <f t="shared" si="50"/>
        <v>2026</v>
      </c>
      <c r="K1249" t="str">
        <f>VLOOKUP(G1249,METRICS!C:D,2,0)</f>
        <v>Taxas Financeiras Diversas</v>
      </c>
      <c r="L1249" t="str">
        <f>VLOOKUP(K1249,METRICS!D:E,2,0)</f>
        <v>TAXAS CARTÃO DE CRÉDITO</v>
      </c>
    </row>
    <row r="1250" spans="1:13" ht="15" hidden="1">
      <c r="A1250" t="s">
        <v>1058</v>
      </c>
      <c r="B1250" t="s">
        <v>689</v>
      </c>
      <c r="C1250" t="s">
        <v>690</v>
      </c>
      <c r="D1250" t="s">
        <v>733</v>
      </c>
      <c r="E1250" t="s">
        <v>734</v>
      </c>
      <c r="F1250" t="s">
        <v>1272</v>
      </c>
      <c r="G1250" t="s">
        <v>665</v>
      </c>
      <c r="H1250" s="595">
        <v>-9.0500000000000007</v>
      </c>
      <c r="I1250" t="str">
        <f t="shared" si="51"/>
        <v>janeiro 2026</v>
      </c>
      <c r="J1250">
        <f t="shared" si="50"/>
        <v>2026</v>
      </c>
      <c r="K1250" t="str">
        <f>VLOOKUP(G1250,METRICS!C:D,2,0)</f>
        <v>Taxas Financeiras Diversas</v>
      </c>
      <c r="L1250" t="str">
        <f>VLOOKUP(K1250,METRICS!D:E,2,0)</f>
        <v>TAXAS CARTÃO DE CRÉDITO</v>
      </c>
    </row>
    <row r="1251" spans="1:13" ht="15" hidden="1">
      <c r="A1251" t="s">
        <v>1058</v>
      </c>
      <c r="B1251" t="s">
        <v>689</v>
      </c>
      <c r="C1251" t="s">
        <v>690</v>
      </c>
      <c r="D1251" t="s">
        <v>733</v>
      </c>
      <c r="E1251" t="s">
        <v>734</v>
      </c>
      <c r="F1251" t="s">
        <v>1272</v>
      </c>
      <c r="G1251" t="s">
        <v>665</v>
      </c>
      <c r="H1251" s="595">
        <v>-19.03</v>
      </c>
      <c r="I1251" t="str">
        <f t="shared" si="51"/>
        <v>janeiro 2026</v>
      </c>
      <c r="J1251">
        <f t="shared" si="50"/>
        <v>2026</v>
      </c>
      <c r="K1251" t="str">
        <f>VLOOKUP(G1251,METRICS!C:D,2,0)</f>
        <v>Taxas Financeiras Diversas</v>
      </c>
      <c r="L1251" t="str">
        <f>VLOOKUP(K1251,METRICS!D:E,2,0)</f>
        <v>TAXAS CARTÃO DE CRÉDITO</v>
      </c>
    </row>
    <row r="1252" spans="1:13" ht="15" hidden="1">
      <c r="A1252" t="s">
        <v>1058</v>
      </c>
      <c r="B1252" t="s">
        <v>612</v>
      </c>
      <c r="C1252" t="s">
        <v>690</v>
      </c>
      <c r="D1252" t="s">
        <v>1061</v>
      </c>
      <c r="E1252" t="s">
        <v>1039</v>
      </c>
      <c r="F1252" t="s">
        <v>1272</v>
      </c>
      <c r="G1252" t="s">
        <v>623</v>
      </c>
      <c r="H1252" s="595">
        <v>-468.65</v>
      </c>
      <c r="I1252" t="str">
        <f t="shared" si="51"/>
        <v>janeiro 2026</v>
      </c>
      <c r="J1252">
        <f t="shared" si="50"/>
        <v>2026</v>
      </c>
      <c r="K1252" t="str">
        <f>VLOOKUP(G1252,METRICS!C:D,2,0)</f>
        <v>Secos - Mercearia</v>
      </c>
      <c r="L1252" t="str">
        <f>VLOOKUP(K1252,METRICS!D:E,2,0)</f>
        <v>CUSTOS DOS PRODUTOS VENDIDOS</v>
      </c>
    </row>
    <row r="1253" spans="1:13" ht="15" hidden="1">
      <c r="A1253" t="s">
        <v>1058</v>
      </c>
      <c r="B1253" t="s">
        <v>689</v>
      </c>
      <c r="C1253" t="s">
        <v>690</v>
      </c>
      <c r="D1253" t="s">
        <v>733</v>
      </c>
      <c r="E1253" t="s">
        <v>734</v>
      </c>
      <c r="F1253" t="s">
        <v>1272</v>
      </c>
      <c r="G1253" t="s">
        <v>665</v>
      </c>
      <c r="H1253" s="595">
        <v>-5.85</v>
      </c>
      <c r="I1253" t="str">
        <f t="shared" si="51"/>
        <v>janeiro 2026</v>
      </c>
      <c r="J1253">
        <f t="shared" si="50"/>
        <v>2026</v>
      </c>
      <c r="K1253" t="str">
        <f>VLOOKUP(G1253,METRICS!C:D,2,0)</f>
        <v>Taxas Financeiras Diversas</v>
      </c>
      <c r="L1253" t="str">
        <f>VLOOKUP(K1253,METRICS!D:E,2,0)</f>
        <v>TAXAS CARTÃO DE CRÉDITO</v>
      </c>
    </row>
    <row r="1254" spans="1:13" ht="15" hidden="1">
      <c r="A1254" t="s">
        <v>1058</v>
      </c>
      <c r="B1254" t="s">
        <v>689</v>
      </c>
      <c r="C1254" t="s">
        <v>690</v>
      </c>
      <c r="D1254" t="s">
        <v>743</v>
      </c>
      <c r="E1254" t="s">
        <v>734</v>
      </c>
      <c r="F1254" t="s">
        <v>1272</v>
      </c>
      <c r="G1254" t="s">
        <v>665</v>
      </c>
      <c r="H1254" s="595">
        <v>-3.41</v>
      </c>
      <c r="I1254" t="str">
        <f t="shared" si="51"/>
        <v>janeiro 2026</v>
      </c>
      <c r="J1254">
        <f t="shared" si="50"/>
        <v>2026</v>
      </c>
      <c r="K1254" t="str">
        <f>VLOOKUP(G1254,METRICS!C:D,2,0)</f>
        <v>Taxas Financeiras Diversas</v>
      </c>
      <c r="L1254" t="str">
        <f>VLOOKUP(K1254,METRICS!D:E,2,0)</f>
        <v>TAXAS CARTÃO DE CRÉDITO</v>
      </c>
    </row>
    <row r="1255" spans="1:13" ht="15" hidden="1">
      <c r="A1255" t="s">
        <v>1058</v>
      </c>
      <c r="B1255" t="s">
        <v>689</v>
      </c>
      <c r="C1255" t="s">
        <v>690</v>
      </c>
      <c r="D1255" t="s">
        <v>1062</v>
      </c>
      <c r="E1255" t="s">
        <v>1063</v>
      </c>
      <c r="F1255" t="s">
        <v>1272</v>
      </c>
      <c r="G1255" t="s">
        <v>648</v>
      </c>
      <c r="H1255" s="595">
        <v>-65274.720000000001</v>
      </c>
      <c r="I1255" t="str">
        <f t="shared" si="51"/>
        <v>janeiro 2026</v>
      </c>
      <c r="J1255">
        <f t="shared" si="50"/>
        <v>2026</v>
      </c>
      <c r="K1255" t="str">
        <f>VLOOKUP(G1255,METRICS!C:D,2,0)</f>
        <v>Salários e Ordenados</v>
      </c>
      <c r="L1255" t="str">
        <f>VLOOKUP(K1255,METRICS!D:E,2,0)</f>
        <v>PESSOAL</v>
      </c>
    </row>
    <row r="1256" spans="1:13" ht="15" hidden="1">
      <c r="A1256" s="593" t="s">
        <v>1058</v>
      </c>
      <c r="B1256" s="593" t="s">
        <v>689</v>
      </c>
      <c r="C1256" s="593" t="s">
        <v>690</v>
      </c>
      <c r="D1256" s="593" t="s">
        <v>1062</v>
      </c>
      <c r="E1256" s="593" t="s">
        <v>1063</v>
      </c>
      <c r="F1256" s="593" t="s">
        <v>1272</v>
      </c>
      <c r="G1256" t="s">
        <v>1732</v>
      </c>
      <c r="H1256" s="594">
        <v>-15826.3</v>
      </c>
      <c r="I1256" s="593" t="str">
        <f t="shared" ref="I1256" si="56">TEXT(A1256, "mmmm aaaa")</f>
        <v>janeiro 2026</v>
      </c>
      <c r="J1256" s="593">
        <f t="shared" ref="J1256" si="57">YEAR(A1256)</f>
        <v>2026</v>
      </c>
      <c r="K1256" s="593" t="str">
        <f>VLOOKUP(METRICS!C23,METRICS!C:D,2,0)</f>
        <v>Gorjetas Pagas</v>
      </c>
      <c r="L1256" s="593" t="str">
        <f>VLOOKUP(K1256,METRICS!D:E,2,0)</f>
        <v>PESSOAL</v>
      </c>
      <c r="M1256" s="596"/>
    </row>
    <row r="1257" spans="1:13" ht="15" hidden="1">
      <c r="A1257" t="s">
        <v>1058</v>
      </c>
      <c r="B1257" t="s">
        <v>689</v>
      </c>
      <c r="C1257" t="s">
        <v>690</v>
      </c>
      <c r="D1257" t="s">
        <v>733</v>
      </c>
      <c r="E1257" t="s">
        <v>734</v>
      </c>
      <c r="F1257" t="s">
        <v>1272</v>
      </c>
      <c r="G1257" t="s">
        <v>665</v>
      </c>
      <c r="H1257" s="595">
        <v>-0.36</v>
      </c>
      <c r="I1257" t="str">
        <f t="shared" ref="I1257:I1297" si="58">TEXT(A1257, "mmmm aaaa")</f>
        <v>janeiro 2026</v>
      </c>
      <c r="J1257">
        <f t="shared" si="50"/>
        <v>2026</v>
      </c>
      <c r="K1257" t="str">
        <f>VLOOKUP(G1257,METRICS!C:D,2,0)</f>
        <v>Taxas Financeiras Diversas</v>
      </c>
      <c r="L1257" t="str">
        <f>VLOOKUP(K1257,METRICS!D:E,2,0)</f>
        <v>TAXAS CARTÃO DE CRÉDITO</v>
      </c>
    </row>
    <row r="1258" spans="1:13" ht="15" hidden="1">
      <c r="A1258" t="s">
        <v>1058</v>
      </c>
      <c r="B1258" t="s">
        <v>689</v>
      </c>
      <c r="C1258" t="s">
        <v>690</v>
      </c>
      <c r="D1258" t="s">
        <v>743</v>
      </c>
      <c r="E1258" t="s">
        <v>734</v>
      </c>
      <c r="F1258" t="s">
        <v>1272</v>
      </c>
      <c r="G1258" t="s">
        <v>665</v>
      </c>
      <c r="H1258" s="595">
        <v>-7.48</v>
      </c>
      <c r="I1258" t="str">
        <f t="shared" si="58"/>
        <v>janeiro 2026</v>
      </c>
      <c r="J1258">
        <f t="shared" si="50"/>
        <v>2026</v>
      </c>
      <c r="K1258" t="str">
        <f>VLOOKUP(G1258,METRICS!C:D,2,0)</f>
        <v>Taxas Financeiras Diversas</v>
      </c>
      <c r="L1258" t="str">
        <f>VLOOKUP(K1258,METRICS!D:E,2,0)</f>
        <v>TAXAS CARTÃO DE CRÉDITO</v>
      </c>
    </row>
    <row r="1259" spans="1:13" ht="15" hidden="1">
      <c r="A1259" t="s">
        <v>1058</v>
      </c>
      <c r="B1259" t="s">
        <v>612</v>
      </c>
      <c r="C1259" t="s">
        <v>690</v>
      </c>
      <c r="D1259" t="s">
        <v>1064</v>
      </c>
      <c r="E1259" t="s">
        <v>828</v>
      </c>
      <c r="F1259" t="s">
        <v>1272</v>
      </c>
      <c r="G1259" t="s">
        <v>636</v>
      </c>
      <c r="H1259" s="595">
        <v>-2442.38</v>
      </c>
      <c r="I1259" t="str">
        <f t="shared" si="58"/>
        <v>janeiro 2026</v>
      </c>
      <c r="J1259">
        <f t="shared" si="50"/>
        <v>2026</v>
      </c>
      <c r="K1259" t="str">
        <f>VLOOKUP(G1259,METRICS!C:D,2,0)</f>
        <v>Secos - Mercearia</v>
      </c>
      <c r="L1259" t="str">
        <f>VLOOKUP(K1259,METRICS!D:E,2,0)</f>
        <v>CUSTOS DOS PRODUTOS VENDIDOS</v>
      </c>
    </row>
    <row r="1260" spans="1:13" ht="15" hidden="1">
      <c r="A1260" t="s">
        <v>1058</v>
      </c>
      <c r="B1260" t="s">
        <v>689</v>
      </c>
      <c r="C1260" t="s">
        <v>690</v>
      </c>
      <c r="D1260" t="s">
        <v>733</v>
      </c>
      <c r="E1260" t="s">
        <v>734</v>
      </c>
      <c r="F1260" t="s">
        <v>1272</v>
      </c>
      <c r="G1260" t="s">
        <v>665</v>
      </c>
      <c r="H1260" s="595">
        <v>-4.24</v>
      </c>
      <c r="I1260" t="str">
        <f t="shared" si="58"/>
        <v>janeiro 2026</v>
      </c>
      <c r="J1260">
        <f t="shared" si="50"/>
        <v>2026</v>
      </c>
      <c r="K1260" t="str">
        <f>VLOOKUP(G1260,METRICS!C:D,2,0)</f>
        <v>Taxas Financeiras Diversas</v>
      </c>
      <c r="L1260" t="str">
        <f>VLOOKUP(K1260,METRICS!D:E,2,0)</f>
        <v>TAXAS CARTÃO DE CRÉDITO</v>
      </c>
    </row>
    <row r="1261" spans="1:13" ht="15" hidden="1">
      <c r="A1261" t="s">
        <v>1058</v>
      </c>
      <c r="B1261" t="s">
        <v>612</v>
      </c>
      <c r="C1261" t="s">
        <v>690</v>
      </c>
      <c r="D1261" t="s">
        <v>1065</v>
      </c>
      <c r="E1261" t="s">
        <v>878</v>
      </c>
      <c r="F1261" t="s">
        <v>1272</v>
      </c>
      <c r="G1261" t="s">
        <v>609</v>
      </c>
      <c r="H1261" s="595">
        <v>-738.15</v>
      </c>
      <c r="I1261" t="str">
        <f t="shared" si="58"/>
        <v>janeiro 2026</v>
      </c>
      <c r="J1261">
        <f t="shared" si="50"/>
        <v>2026</v>
      </c>
      <c r="K1261" t="str">
        <f>VLOOKUP(G1261,METRICS!C:D,2,0)</f>
        <v>Carnes e Aves</v>
      </c>
      <c r="L1261" t="str">
        <f>VLOOKUP(K1261,METRICS!D:E,2,0)</f>
        <v>CUSTOS DOS PRODUTOS VENDIDOS</v>
      </c>
    </row>
    <row r="1262" spans="1:13" ht="15" hidden="1">
      <c r="A1262" t="s">
        <v>1058</v>
      </c>
      <c r="B1262" t="s">
        <v>689</v>
      </c>
      <c r="C1262" t="s">
        <v>690</v>
      </c>
      <c r="D1262" t="s">
        <v>733</v>
      </c>
      <c r="E1262" t="s">
        <v>734</v>
      </c>
      <c r="F1262" t="s">
        <v>1272</v>
      </c>
      <c r="G1262" t="s">
        <v>665</v>
      </c>
      <c r="H1262" s="595">
        <v>-10.54</v>
      </c>
      <c r="I1262" t="str">
        <f t="shared" si="58"/>
        <v>janeiro 2026</v>
      </c>
      <c r="J1262">
        <f t="shared" si="50"/>
        <v>2026</v>
      </c>
      <c r="K1262" t="str">
        <f>VLOOKUP(G1262,METRICS!C:D,2,0)</f>
        <v>Taxas Financeiras Diversas</v>
      </c>
      <c r="L1262" t="str">
        <f>VLOOKUP(K1262,METRICS!D:E,2,0)</f>
        <v>TAXAS CARTÃO DE CRÉDITO</v>
      </c>
    </row>
    <row r="1263" spans="1:13" ht="15" hidden="1">
      <c r="A1263" t="s">
        <v>1058</v>
      </c>
      <c r="B1263" t="s">
        <v>689</v>
      </c>
      <c r="C1263" t="s">
        <v>690</v>
      </c>
      <c r="D1263" t="s">
        <v>733</v>
      </c>
      <c r="E1263" t="s">
        <v>734</v>
      </c>
      <c r="F1263" t="s">
        <v>1272</v>
      </c>
      <c r="G1263" t="s">
        <v>665</v>
      </c>
      <c r="H1263" s="595">
        <v>-34.97</v>
      </c>
      <c r="I1263" t="str">
        <f t="shared" si="58"/>
        <v>janeiro 2026</v>
      </c>
      <c r="J1263">
        <f t="shared" si="50"/>
        <v>2026</v>
      </c>
      <c r="K1263" t="str">
        <f>VLOOKUP(G1263,METRICS!C:D,2,0)</f>
        <v>Taxas Financeiras Diversas</v>
      </c>
      <c r="L1263" t="str">
        <f>VLOOKUP(K1263,METRICS!D:E,2,0)</f>
        <v>TAXAS CARTÃO DE CRÉDITO</v>
      </c>
    </row>
    <row r="1264" spans="1:13" ht="15" hidden="1">
      <c r="A1264" t="s">
        <v>1058</v>
      </c>
      <c r="B1264" t="s">
        <v>689</v>
      </c>
      <c r="C1264" t="s">
        <v>690</v>
      </c>
      <c r="D1264" t="s">
        <v>733</v>
      </c>
      <c r="E1264" t="s">
        <v>734</v>
      </c>
      <c r="F1264" t="s">
        <v>1272</v>
      </c>
      <c r="G1264" t="s">
        <v>665</v>
      </c>
      <c r="H1264" s="595">
        <v>-0.67</v>
      </c>
      <c r="I1264" t="str">
        <f t="shared" si="58"/>
        <v>janeiro 2026</v>
      </c>
      <c r="J1264">
        <f t="shared" si="50"/>
        <v>2026</v>
      </c>
      <c r="K1264" t="str">
        <f>VLOOKUP(G1264,METRICS!C:D,2,0)</f>
        <v>Taxas Financeiras Diversas</v>
      </c>
      <c r="L1264" t="str">
        <f>VLOOKUP(K1264,METRICS!D:E,2,0)</f>
        <v>TAXAS CARTÃO DE CRÉDITO</v>
      </c>
    </row>
    <row r="1265" spans="1:12" ht="15" hidden="1">
      <c r="A1265" t="s">
        <v>1058</v>
      </c>
      <c r="B1265" t="s">
        <v>689</v>
      </c>
      <c r="C1265" t="s">
        <v>690</v>
      </c>
      <c r="D1265" t="s">
        <v>733</v>
      </c>
      <c r="E1265" t="s">
        <v>734</v>
      </c>
      <c r="F1265" t="s">
        <v>1272</v>
      </c>
      <c r="G1265" t="s">
        <v>665</v>
      </c>
      <c r="H1265" s="595">
        <v>-1.29</v>
      </c>
      <c r="I1265" t="str">
        <f t="shared" si="58"/>
        <v>janeiro 2026</v>
      </c>
      <c r="J1265">
        <f t="shared" si="50"/>
        <v>2026</v>
      </c>
      <c r="K1265" t="str">
        <f>VLOOKUP(G1265,METRICS!C:D,2,0)</f>
        <v>Taxas Financeiras Diversas</v>
      </c>
      <c r="L1265" t="str">
        <f>VLOOKUP(K1265,METRICS!D:E,2,0)</f>
        <v>TAXAS CARTÃO DE CRÉDITO</v>
      </c>
    </row>
    <row r="1266" spans="1:12" ht="15" hidden="1">
      <c r="A1266" t="s">
        <v>1058</v>
      </c>
      <c r="B1266" t="s">
        <v>689</v>
      </c>
      <c r="C1266" t="s">
        <v>690</v>
      </c>
      <c r="D1266" t="s">
        <v>743</v>
      </c>
      <c r="E1266" t="s">
        <v>734</v>
      </c>
      <c r="F1266" t="s">
        <v>1272</v>
      </c>
      <c r="G1266" t="s">
        <v>665</v>
      </c>
      <c r="H1266" s="595">
        <v>-6.93</v>
      </c>
      <c r="I1266" t="str">
        <f t="shared" si="58"/>
        <v>janeiro 2026</v>
      </c>
      <c r="J1266">
        <f t="shared" si="50"/>
        <v>2026</v>
      </c>
      <c r="K1266" t="str">
        <f>VLOOKUP(G1266,METRICS!C:D,2,0)</f>
        <v>Taxas Financeiras Diversas</v>
      </c>
      <c r="L1266" t="str">
        <f>VLOOKUP(K1266,METRICS!D:E,2,0)</f>
        <v>TAXAS CARTÃO DE CRÉDITO</v>
      </c>
    </row>
    <row r="1267" spans="1:12" ht="15" hidden="1">
      <c r="A1267" t="s">
        <v>1058</v>
      </c>
      <c r="B1267" t="s">
        <v>689</v>
      </c>
      <c r="C1267" t="s">
        <v>690</v>
      </c>
      <c r="D1267" t="s">
        <v>733</v>
      </c>
      <c r="E1267" t="s">
        <v>734</v>
      </c>
      <c r="F1267" t="s">
        <v>1272</v>
      </c>
      <c r="G1267" t="s">
        <v>665</v>
      </c>
      <c r="H1267" s="595">
        <v>-3.78</v>
      </c>
      <c r="I1267" t="str">
        <f t="shared" si="58"/>
        <v>janeiro 2026</v>
      </c>
      <c r="J1267">
        <f t="shared" si="50"/>
        <v>2026</v>
      </c>
      <c r="K1267" t="str">
        <f>VLOOKUP(G1267,METRICS!C:D,2,0)</f>
        <v>Taxas Financeiras Diversas</v>
      </c>
      <c r="L1267" t="str">
        <f>VLOOKUP(K1267,METRICS!D:E,2,0)</f>
        <v>TAXAS CARTÃO DE CRÉDITO</v>
      </c>
    </row>
    <row r="1268" spans="1:12" ht="15" hidden="1">
      <c r="A1268" t="s">
        <v>1058</v>
      </c>
      <c r="B1268" t="s">
        <v>689</v>
      </c>
      <c r="C1268" t="s">
        <v>690</v>
      </c>
      <c r="D1268" t="s">
        <v>733</v>
      </c>
      <c r="E1268" t="s">
        <v>734</v>
      </c>
      <c r="F1268" t="s">
        <v>1272</v>
      </c>
      <c r="G1268" t="s">
        <v>665</v>
      </c>
      <c r="H1268" s="595">
        <v>-1.37</v>
      </c>
      <c r="I1268" t="str">
        <f t="shared" si="58"/>
        <v>janeiro 2026</v>
      </c>
      <c r="J1268">
        <f t="shared" si="50"/>
        <v>2026</v>
      </c>
      <c r="K1268" t="str">
        <f>VLOOKUP(G1268,METRICS!C:D,2,0)</f>
        <v>Taxas Financeiras Diversas</v>
      </c>
      <c r="L1268" t="str">
        <f>VLOOKUP(K1268,METRICS!D:E,2,0)</f>
        <v>TAXAS CARTÃO DE CRÉDITO</v>
      </c>
    </row>
    <row r="1269" spans="1:12" ht="15" hidden="1">
      <c r="A1269" t="s">
        <v>1058</v>
      </c>
      <c r="B1269" t="s">
        <v>689</v>
      </c>
      <c r="C1269" t="s">
        <v>690</v>
      </c>
      <c r="D1269" t="s">
        <v>733</v>
      </c>
      <c r="E1269" t="s">
        <v>734</v>
      </c>
      <c r="F1269" t="s">
        <v>1272</v>
      </c>
      <c r="G1269" t="s">
        <v>665</v>
      </c>
      <c r="H1269" s="595">
        <v>-11.44</v>
      </c>
      <c r="I1269" t="str">
        <f t="shared" si="58"/>
        <v>janeiro 2026</v>
      </c>
      <c r="J1269">
        <f t="shared" si="50"/>
        <v>2026</v>
      </c>
      <c r="K1269" t="str">
        <f>VLOOKUP(G1269,METRICS!C:D,2,0)</f>
        <v>Taxas Financeiras Diversas</v>
      </c>
      <c r="L1269" t="str">
        <f>VLOOKUP(K1269,METRICS!D:E,2,0)</f>
        <v>TAXAS CARTÃO DE CRÉDITO</v>
      </c>
    </row>
    <row r="1270" spans="1:12" ht="15" hidden="1">
      <c r="A1270" t="s">
        <v>1058</v>
      </c>
      <c r="B1270" t="s">
        <v>689</v>
      </c>
      <c r="C1270" t="s">
        <v>690</v>
      </c>
      <c r="D1270" t="s">
        <v>883</v>
      </c>
      <c r="E1270" t="s">
        <v>746</v>
      </c>
      <c r="F1270" t="s">
        <v>1272</v>
      </c>
      <c r="G1270" t="s">
        <v>669</v>
      </c>
      <c r="H1270" s="595">
        <v>-168.97</v>
      </c>
      <c r="I1270" t="str">
        <f t="shared" si="58"/>
        <v>janeiro 2026</v>
      </c>
      <c r="J1270">
        <f t="shared" si="50"/>
        <v>2026</v>
      </c>
      <c r="K1270" t="str">
        <f>VLOOKUP(G1270,METRICS!C:D,2,0)</f>
        <v>Taxas Financeiras Diversas</v>
      </c>
      <c r="L1270" t="str">
        <f>VLOOKUP(K1270,METRICS!D:E,2,0)</f>
        <v>TAXAS CARTÃO DE CRÉDITO</v>
      </c>
    </row>
    <row r="1271" spans="1:12" ht="15" hidden="1">
      <c r="A1271" t="s">
        <v>1058</v>
      </c>
      <c r="B1271" t="s">
        <v>689</v>
      </c>
      <c r="C1271" t="s">
        <v>690</v>
      </c>
      <c r="D1271" t="s">
        <v>733</v>
      </c>
      <c r="E1271" t="s">
        <v>734</v>
      </c>
      <c r="F1271" t="s">
        <v>1272</v>
      </c>
      <c r="G1271" t="s">
        <v>665</v>
      </c>
      <c r="H1271" s="595">
        <v>-16.16</v>
      </c>
      <c r="I1271" t="str">
        <f t="shared" si="58"/>
        <v>janeiro 2026</v>
      </c>
      <c r="J1271">
        <f t="shared" si="50"/>
        <v>2026</v>
      </c>
      <c r="K1271" t="str">
        <f>VLOOKUP(G1271,METRICS!C:D,2,0)</f>
        <v>Taxas Financeiras Diversas</v>
      </c>
      <c r="L1271" t="str">
        <f>VLOOKUP(K1271,METRICS!D:E,2,0)</f>
        <v>TAXAS CARTÃO DE CRÉDITO</v>
      </c>
    </row>
    <row r="1272" spans="1:12" ht="15" hidden="1">
      <c r="A1272" t="s">
        <v>1058</v>
      </c>
      <c r="B1272" t="s">
        <v>689</v>
      </c>
      <c r="C1272" t="s">
        <v>690</v>
      </c>
      <c r="D1272" t="s">
        <v>743</v>
      </c>
      <c r="E1272" t="s">
        <v>734</v>
      </c>
      <c r="F1272" t="s">
        <v>1272</v>
      </c>
      <c r="G1272" t="s">
        <v>665</v>
      </c>
      <c r="H1272" s="595">
        <v>-4.25</v>
      </c>
      <c r="I1272" t="str">
        <f t="shared" si="58"/>
        <v>janeiro 2026</v>
      </c>
      <c r="J1272">
        <f t="shared" ref="J1272:J1335" si="59">YEAR(A1272)</f>
        <v>2026</v>
      </c>
      <c r="K1272" t="str">
        <f>VLOOKUP(G1272,METRICS!C:D,2,0)</f>
        <v>Taxas Financeiras Diversas</v>
      </c>
      <c r="L1272" t="str">
        <f>VLOOKUP(K1272,METRICS!D:E,2,0)</f>
        <v>TAXAS CARTÃO DE CRÉDITO</v>
      </c>
    </row>
    <row r="1273" spans="1:12" ht="15" hidden="1">
      <c r="A1273" t="s">
        <v>1058</v>
      </c>
      <c r="B1273" t="s">
        <v>689</v>
      </c>
      <c r="C1273" t="s">
        <v>690</v>
      </c>
      <c r="D1273" t="s">
        <v>860</v>
      </c>
      <c r="E1273" t="s">
        <v>734</v>
      </c>
      <c r="F1273" t="s">
        <v>1272</v>
      </c>
      <c r="G1273" t="s">
        <v>665</v>
      </c>
      <c r="H1273" s="595">
        <v>-2.52</v>
      </c>
      <c r="I1273" t="str">
        <f t="shared" si="58"/>
        <v>janeiro 2026</v>
      </c>
      <c r="J1273">
        <f t="shared" si="59"/>
        <v>2026</v>
      </c>
      <c r="K1273" t="str">
        <f>VLOOKUP(G1273,METRICS!C:D,2,0)</f>
        <v>Taxas Financeiras Diversas</v>
      </c>
      <c r="L1273" t="str">
        <f>VLOOKUP(K1273,METRICS!D:E,2,0)</f>
        <v>TAXAS CARTÃO DE CRÉDITO</v>
      </c>
    </row>
    <row r="1274" spans="1:12" ht="15" hidden="1">
      <c r="A1274" t="s">
        <v>1058</v>
      </c>
      <c r="B1274" t="s">
        <v>689</v>
      </c>
      <c r="C1274" t="s">
        <v>690</v>
      </c>
      <c r="D1274" t="s">
        <v>743</v>
      </c>
      <c r="E1274" t="s">
        <v>734</v>
      </c>
      <c r="F1274" t="s">
        <v>1272</v>
      </c>
      <c r="G1274" t="s">
        <v>665</v>
      </c>
      <c r="H1274" s="595">
        <v>-7.97</v>
      </c>
      <c r="I1274" t="str">
        <f t="shared" si="58"/>
        <v>janeiro 2026</v>
      </c>
      <c r="J1274">
        <f t="shared" si="59"/>
        <v>2026</v>
      </c>
      <c r="K1274" t="str">
        <f>VLOOKUP(G1274,METRICS!C:D,2,0)</f>
        <v>Taxas Financeiras Diversas</v>
      </c>
      <c r="L1274" t="str">
        <f>VLOOKUP(K1274,METRICS!D:E,2,0)</f>
        <v>TAXAS CARTÃO DE CRÉDITO</v>
      </c>
    </row>
    <row r="1275" spans="1:12" ht="15" hidden="1">
      <c r="A1275" t="s">
        <v>1058</v>
      </c>
      <c r="B1275" t="s">
        <v>689</v>
      </c>
      <c r="C1275" t="s">
        <v>690</v>
      </c>
      <c r="D1275" t="s">
        <v>733</v>
      </c>
      <c r="E1275" t="s">
        <v>734</v>
      </c>
      <c r="F1275" t="s">
        <v>1272</v>
      </c>
      <c r="G1275" t="s">
        <v>665</v>
      </c>
      <c r="H1275" s="595">
        <v>-9.34</v>
      </c>
      <c r="I1275" t="str">
        <f t="shared" si="58"/>
        <v>janeiro 2026</v>
      </c>
      <c r="J1275">
        <f t="shared" si="59"/>
        <v>2026</v>
      </c>
      <c r="K1275" t="str">
        <f>VLOOKUP(G1275,METRICS!C:D,2,0)</f>
        <v>Taxas Financeiras Diversas</v>
      </c>
      <c r="L1275" t="str">
        <f>VLOOKUP(K1275,METRICS!D:E,2,0)</f>
        <v>TAXAS CARTÃO DE CRÉDITO</v>
      </c>
    </row>
    <row r="1276" spans="1:12" ht="15" hidden="1">
      <c r="A1276" t="s">
        <v>1058</v>
      </c>
      <c r="B1276" t="s">
        <v>612</v>
      </c>
      <c r="C1276" t="s">
        <v>690</v>
      </c>
      <c r="D1276" t="s">
        <v>1066</v>
      </c>
      <c r="E1276" t="s">
        <v>844</v>
      </c>
      <c r="F1276" t="s">
        <v>1272</v>
      </c>
      <c r="G1276" t="s">
        <v>636</v>
      </c>
      <c r="H1276" s="595">
        <v>-1151.4000000000001</v>
      </c>
      <c r="I1276" t="str">
        <f t="shared" si="58"/>
        <v>janeiro 2026</v>
      </c>
      <c r="J1276">
        <f t="shared" si="59"/>
        <v>2026</v>
      </c>
      <c r="K1276" t="str">
        <f>VLOOKUP(G1276,METRICS!C:D,2,0)</f>
        <v>Secos - Mercearia</v>
      </c>
      <c r="L1276" t="str">
        <f>VLOOKUP(K1276,METRICS!D:E,2,0)</f>
        <v>CUSTOS DOS PRODUTOS VENDIDOS</v>
      </c>
    </row>
    <row r="1277" spans="1:12" ht="15" hidden="1">
      <c r="A1277" t="s">
        <v>1058</v>
      </c>
      <c r="B1277" t="s">
        <v>689</v>
      </c>
      <c r="C1277" t="s">
        <v>690</v>
      </c>
      <c r="D1277" t="s">
        <v>733</v>
      </c>
      <c r="E1277" t="s">
        <v>734</v>
      </c>
      <c r="F1277" t="s">
        <v>1272</v>
      </c>
      <c r="G1277" t="s">
        <v>665</v>
      </c>
      <c r="H1277" s="595">
        <v>-1.39</v>
      </c>
      <c r="I1277" t="str">
        <f t="shared" si="58"/>
        <v>janeiro 2026</v>
      </c>
      <c r="J1277">
        <f t="shared" si="59"/>
        <v>2026</v>
      </c>
      <c r="K1277" t="str">
        <f>VLOOKUP(G1277,METRICS!C:D,2,0)</f>
        <v>Taxas Financeiras Diversas</v>
      </c>
      <c r="L1277" t="str">
        <f>VLOOKUP(K1277,METRICS!D:E,2,0)</f>
        <v>TAXAS CARTÃO DE CRÉDITO</v>
      </c>
    </row>
    <row r="1278" spans="1:12" ht="15" hidden="1">
      <c r="A1278" t="s">
        <v>1058</v>
      </c>
      <c r="B1278" t="s">
        <v>689</v>
      </c>
      <c r="C1278" t="s">
        <v>690</v>
      </c>
      <c r="D1278" t="s">
        <v>733</v>
      </c>
      <c r="E1278" t="s">
        <v>734</v>
      </c>
      <c r="F1278" t="s">
        <v>1272</v>
      </c>
      <c r="G1278" t="s">
        <v>665</v>
      </c>
      <c r="H1278" s="595">
        <v>-0.74</v>
      </c>
      <c r="I1278" t="str">
        <f t="shared" si="58"/>
        <v>janeiro 2026</v>
      </c>
      <c r="J1278">
        <f t="shared" si="59"/>
        <v>2026</v>
      </c>
      <c r="K1278" t="str">
        <f>VLOOKUP(G1278,METRICS!C:D,2,0)</f>
        <v>Taxas Financeiras Diversas</v>
      </c>
      <c r="L1278" t="str">
        <f>VLOOKUP(K1278,METRICS!D:E,2,0)</f>
        <v>TAXAS CARTÃO DE CRÉDITO</v>
      </c>
    </row>
    <row r="1279" spans="1:12" ht="15" hidden="1">
      <c r="A1279" t="s">
        <v>1058</v>
      </c>
      <c r="B1279" t="s">
        <v>689</v>
      </c>
      <c r="C1279" t="s">
        <v>690</v>
      </c>
      <c r="D1279" t="s">
        <v>743</v>
      </c>
      <c r="E1279" t="s">
        <v>734</v>
      </c>
      <c r="F1279" t="s">
        <v>1272</v>
      </c>
      <c r="G1279" t="s">
        <v>665</v>
      </c>
      <c r="H1279" s="595">
        <v>-1.47</v>
      </c>
      <c r="I1279" t="str">
        <f t="shared" si="58"/>
        <v>janeiro 2026</v>
      </c>
      <c r="J1279">
        <f t="shared" si="59"/>
        <v>2026</v>
      </c>
      <c r="K1279" t="str">
        <f>VLOOKUP(G1279,METRICS!C:D,2,0)</f>
        <v>Taxas Financeiras Diversas</v>
      </c>
      <c r="L1279" t="str">
        <f>VLOOKUP(K1279,METRICS!D:E,2,0)</f>
        <v>TAXAS CARTÃO DE CRÉDITO</v>
      </c>
    </row>
    <row r="1280" spans="1:12" ht="15" hidden="1">
      <c r="A1280" t="s">
        <v>1058</v>
      </c>
      <c r="B1280" t="s">
        <v>689</v>
      </c>
      <c r="C1280" t="s">
        <v>690</v>
      </c>
      <c r="D1280" t="s">
        <v>743</v>
      </c>
      <c r="E1280" t="s">
        <v>734</v>
      </c>
      <c r="F1280" t="s">
        <v>1272</v>
      </c>
      <c r="G1280" t="s">
        <v>665</v>
      </c>
      <c r="H1280" s="595">
        <v>-3.68</v>
      </c>
      <c r="I1280" t="str">
        <f t="shared" si="58"/>
        <v>janeiro 2026</v>
      </c>
      <c r="J1280">
        <f t="shared" si="59"/>
        <v>2026</v>
      </c>
      <c r="K1280" t="str">
        <f>VLOOKUP(G1280,METRICS!C:D,2,0)</f>
        <v>Taxas Financeiras Diversas</v>
      </c>
      <c r="L1280" t="str">
        <f>VLOOKUP(K1280,METRICS!D:E,2,0)</f>
        <v>TAXAS CARTÃO DE CRÉDITO</v>
      </c>
    </row>
    <row r="1281" spans="1:12" ht="15" hidden="1">
      <c r="A1281" t="s">
        <v>1058</v>
      </c>
      <c r="B1281" t="s">
        <v>689</v>
      </c>
      <c r="C1281" t="s">
        <v>690</v>
      </c>
      <c r="D1281" t="s">
        <v>743</v>
      </c>
      <c r="E1281" t="s">
        <v>734</v>
      </c>
      <c r="F1281" t="s">
        <v>1272</v>
      </c>
      <c r="G1281" t="s">
        <v>665</v>
      </c>
      <c r="H1281" s="595">
        <v>-7.66</v>
      </c>
      <c r="I1281" t="str">
        <f t="shared" si="58"/>
        <v>janeiro 2026</v>
      </c>
      <c r="J1281">
        <f t="shared" si="59"/>
        <v>2026</v>
      </c>
      <c r="K1281" t="str">
        <f>VLOOKUP(G1281,METRICS!C:D,2,0)</f>
        <v>Taxas Financeiras Diversas</v>
      </c>
      <c r="L1281" t="str">
        <f>VLOOKUP(K1281,METRICS!D:E,2,0)</f>
        <v>TAXAS CARTÃO DE CRÉDITO</v>
      </c>
    </row>
    <row r="1282" spans="1:12" ht="15" hidden="1">
      <c r="A1282" t="s">
        <v>1058</v>
      </c>
      <c r="B1282" t="s">
        <v>612</v>
      </c>
      <c r="C1282" t="s">
        <v>690</v>
      </c>
      <c r="D1282" t="s">
        <v>1067</v>
      </c>
      <c r="E1282" t="s">
        <v>765</v>
      </c>
      <c r="F1282" t="s">
        <v>1272</v>
      </c>
      <c r="G1282" t="s">
        <v>619</v>
      </c>
      <c r="H1282" s="595">
        <v>-509.6</v>
      </c>
      <c r="I1282" t="str">
        <f t="shared" si="58"/>
        <v>janeiro 2026</v>
      </c>
      <c r="J1282">
        <f t="shared" si="59"/>
        <v>2026</v>
      </c>
      <c r="K1282" t="str">
        <f>VLOOKUP(G1282,METRICS!C:D,2,0)</f>
        <v>Gelo</v>
      </c>
      <c r="L1282" t="str">
        <f>VLOOKUP(K1282,METRICS!D:E,2,0)</f>
        <v>CUSTOS DOS PRODUTOS VENDIDOS</v>
      </c>
    </row>
    <row r="1283" spans="1:12" ht="15" hidden="1">
      <c r="A1283" t="s">
        <v>1058</v>
      </c>
      <c r="B1283" t="s">
        <v>689</v>
      </c>
      <c r="C1283" t="s">
        <v>690</v>
      </c>
      <c r="D1283" t="s">
        <v>753</v>
      </c>
      <c r="E1283" t="s">
        <v>734</v>
      </c>
      <c r="F1283" t="s">
        <v>1272</v>
      </c>
      <c r="G1283" t="s">
        <v>665</v>
      </c>
      <c r="H1283" s="595">
        <v>-23.28</v>
      </c>
      <c r="I1283" t="str">
        <f t="shared" si="58"/>
        <v>janeiro 2026</v>
      </c>
      <c r="J1283">
        <f t="shared" si="59"/>
        <v>2026</v>
      </c>
      <c r="K1283" t="str">
        <f>VLOOKUP(G1283,METRICS!C:D,2,0)</f>
        <v>Taxas Financeiras Diversas</v>
      </c>
      <c r="L1283" t="str">
        <f>VLOOKUP(K1283,METRICS!D:E,2,0)</f>
        <v>TAXAS CARTÃO DE CRÉDITO</v>
      </c>
    </row>
    <row r="1284" spans="1:12" ht="15" hidden="1">
      <c r="A1284" t="s">
        <v>1058</v>
      </c>
      <c r="B1284" t="s">
        <v>689</v>
      </c>
      <c r="C1284" t="s">
        <v>690</v>
      </c>
      <c r="D1284" t="s">
        <v>733</v>
      </c>
      <c r="E1284" t="s">
        <v>734</v>
      </c>
      <c r="F1284" t="s">
        <v>1272</v>
      </c>
      <c r="G1284" t="s">
        <v>665</v>
      </c>
      <c r="H1284" s="595">
        <v>-6.04</v>
      </c>
      <c r="I1284" t="str">
        <f t="shared" si="58"/>
        <v>janeiro 2026</v>
      </c>
      <c r="J1284">
        <f t="shared" si="59"/>
        <v>2026</v>
      </c>
      <c r="K1284" t="str">
        <f>VLOOKUP(G1284,METRICS!C:D,2,0)</f>
        <v>Taxas Financeiras Diversas</v>
      </c>
      <c r="L1284" t="str">
        <f>VLOOKUP(K1284,METRICS!D:E,2,0)</f>
        <v>TAXAS CARTÃO DE CRÉDITO</v>
      </c>
    </row>
    <row r="1285" spans="1:12" ht="15" hidden="1">
      <c r="A1285" t="s">
        <v>1058</v>
      </c>
      <c r="B1285" t="s">
        <v>689</v>
      </c>
      <c r="C1285" t="s">
        <v>690</v>
      </c>
      <c r="D1285" t="s">
        <v>743</v>
      </c>
      <c r="E1285" t="s">
        <v>734</v>
      </c>
      <c r="F1285" t="s">
        <v>1272</v>
      </c>
      <c r="G1285" t="s">
        <v>665</v>
      </c>
      <c r="H1285" s="595">
        <v>-9.6999999999999993</v>
      </c>
      <c r="I1285" t="str">
        <f t="shared" si="58"/>
        <v>janeiro 2026</v>
      </c>
      <c r="J1285">
        <f t="shared" si="59"/>
        <v>2026</v>
      </c>
      <c r="K1285" t="str">
        <f>VLOOKUP(G1285,METRICS!C:D,2,0)</f>
        <v>Taxas Financeiras Diversas</v>
      </c>
      <c r="L1285" t="str">
        <f>VLOOKUP(K1285,METRICS!D:E,2,0)</f>
        <v>TAXAS CARTÃO DE CRÉDITO</v>
      </c>
    </row>
    <row r="1286" spans="1:12" ht="15" hidden="1">
      <c r="A1286" t="s">
        <v>1058</v>
      </c>
      <c r="B1286" t="s">
        <v>689</v>
      </c>
      <c r="C1286" t="s">
        <v>690</v>
      </c>
      <c r="D1286" t="s">
        <v>743</v>
      </c>
      <c r="E1286" t="s">
        <v>734</v>
      </c>
      <c r="F1286" t="s">
        <v>1272</v>
      </c>
      <c r="G1286" t="s">
        <v>665</v>
      </c>
      <c r="H1286" s="595">
        <v>-1.93</v>
      </c>
      <c r="I1286" t="str">
        <f t="shared" si="58"/>
        <v>janeiro 2026</v>
      </c>
      <c r="J1286">
        <f t="shared" si="59"/>
        <v>2026</v>
      </c>
      <c r="K1286" t="str">
        <f>VLOOKUP(G1286,METRICS!C:D,2,0)</f>
        <v>Taxas Financeiras Diversas</v>
      </c>
      <c r="L1286" t="str">
        <f>VLOOKUP(K1286,METRICS!D:E,2,0)</f>
        <v>TAXAS CARTÃO DE CRÉDITO</v>
      </c>
    </row>
    <row r="1287" spans="1:12" ht="15" hidden="1">
      <c r="A1287" t="s">
        <v>1058</v>
      </c>
      <c r="B1287" t="s">
        <v>689</v>
      </c>
      <c r="C1287" t="s">
        <v>690</v>
      </c>
      <c r="D1287" t="s">
        <v>733</v>
      </c>
      <c r="E1287" t="s">
        <v>734</v>
      </c>
      <c r="F1287" t="s">
        <v>1272</v>
      </c>
      <c r="G1287" t="s">
        <v>665</v>
      </c>
      <c r="H1287" s="595">
        <v>-3.68</v>
      </c>
      <c r="I1287" t="str">
        <f t="shared" si="58"/>
        <v>janeiro 2026</v>
      </c>
      <c r="J1287">
        <f t="shared" si="59"/>
        <v>2026</v>
      </c>
      <c r="K1287" t="str">
        <f>VLOOKUP(G1287,METRICS!C:D,2,0)</f>
        <v>Taxas Financeiras Diversas</v>
      </c>
      <c r="L1287" t="str">
        <f>VLOOKUP(K1287,METRICS!D:E,2,0)</f>
        <v>TAXAS CARTÃO DE CRÉDITO</v>
      </c>
    </row>
    <row r="1288" spans="1:12" ht="15" hidden="1">
      <c r="A1288" t="s">
        <v>1058</v>
      </c>
      <c r="B1288" t="s">
        <v>689</v>
      </c>
      <c r="C1288" t="s">
        <v>690</v>
      </c>
      <c r="D1288" t="s">
        <v>733</v>
      </c>
      <c r="E1288" t="s">
        <v>734</v>
      </c>
      <c r="F1288" t="s">
        <v>1272</v>
      </c>
      <c r="G1288" t="s">
        <v>665</v>
      </c>
      <c r="H1288" s="595">
        <v>-7.16</v>
      </c>
      <c r="I1288" t="str">
        <f t="shared" si="58"/>
        <v>janeiro 2026</v>
      </c>
      <c r="J1288">
        <f t="shared" si="59"/>
        <v>2026</v>
      </c>
      <c r="K1288" t="str">
        <f>VLOOKUP(G1288,METRICS!C:D,2,0)</f>
        <v>Taxas Financeiras Diversas</v>
      </c>
      <c r="L1288" t="str">
        <f>VLOOKUP(K1288,METRICS!D:E,2,0)</f>
        <v>TAXAS CARTÃO DE CRÉDITO</v>
      </c>
    </row>
    <row r="1289" spans="1:12" ht="15" hidden="1">
      <c r="A1289" t="s">
        <v>1058</v>
      </c>
      <c r="B1289" t="s">
        <v>689</v>
      </c>
      <c r="C1289" t="s">
        <v>690</v>
      </c>
      <c r="D1289" t="s">
        <v>733</v>
      </c>
      <c r="E1289" t="s">
        <v>734</v>
      </c>
      <c r="F1289" t="s">
        <v>1272</v>
      </c>
      <c r="G1289" t="s">
        <v>665</v>
      </c>
      <c r="H1289" s="595">
        <v>-2.96</v>
      </c>
      <c r="I1289" t="str">
        <f t="shared" si="58"/>
        <v>janeiro 2026</v>
      </c>
      <c r="J1289">
        <f t="shared" si="59"/>
        <v>2026</v>
      </c>
      <c r="K1289" t="str">
        <f>VLOOKUP(G1289,METRICS!C:D,2,0)</f>
        <v>Taxas Financeiras Diversas</v>
      </c>
      <c r="L1289" t="str">
        <f>VLOOKUP(K1289,METRICS!D:E,2,0)</f>
        <v>TAXAS CARTÃO DE CRÉDITO</v>
      </c>
    </row>
    <row r="1290" spans="1:12" ht="15" hidden="1">
      <c r="A1290" t="s">
        <v>1058</v>
      </c>
      <c r="B1290" t="s">
        <v>689</v>
      </c>
      <c r="C1290" t="s">
        <v>690</v>
      </c>
      <c r="D1290" t="s">
        <v>733</v>
      </c>
      <c r="E1290" t="s">
        <v>734</v>
      </c>
      <c r="F1290" t="s">
        <v>1272</v>
      </c>
      <c r="G1290" t="s">
        <v>665</v>
      </c>
      <c r="H1290" s="595">
        <v>-5.64</v>
      </c>
      <c r="I1290" t="str">
        <f t="shared" si="58"/>
        <v>janeiro 2026</v>
      </c>
      <c r="J1290">
        <f t="shared" si="59"/>
        <v>2026</v>
      </c>
      <c r="K1290" t="str">
        <f>VLOOKUP(G1290,METRICS!C:D,2,0)</f>
        <v>Taxas Financeiras Diversas</v>
      </c>
      <c r="L1290" t="str">
        <f>VLOOKUP(K1290,METRICS!D:E,2,0)</f>
        <v>TAXAS CARTÃO DE CRÉDITO</v>
      </c>
    </row>
    <row r="1291" spans="1:12" ht="15" hidden="1">
      <c r="A1291" t="s">
        <v>1058</v>
      </c>
      <c r="B1291" t="s">
        <v>689</v>
      </c>
      <c r="C1291" t="s">
        <v>690</v>
      </c>
      <c r="D1291" t="s">
        <v>743</v>
      </c>
      <c r="E1291" t="s">
        <v>734</v>
      </c>
      <c r="F1291" t="s">
        <v>1272</v>
      </c>
      <c r="G1291" t="s">
        <v>665</v>
      </c>
      <c r="H1291" s="595">
        <v>-3.86</v>
      </c>
      <c r="I1291" t="str">
        <f t="shared" si="58"/>
        <v>janeiro 2026</v>
      </c>
      <c r="J1291">
        <f t="shared" si="59"/>
        <v>2026</v>
      </c>
      <c r="K1291" t="str">
        <f>VLOOKUP(G1291,METRICS!C:D,2,0)</f>
        <v>Taxas Financeiras Diversas</v>
      </c>
      <c r="L1291" t="str">
        <f>VLOOKUP(K1291,METRICS!D:E,2,0)</f>
        <v>TAXAS CARTÃO DE CRÉDITO</v>
      </c>
    </row>
    <row r="1292" spans="1:12" ht="15" hidden="1">
      <c r="A1292" t="s">
        <v>1058</v>
      </c>
      <c r="B1292" t="s">
        <v>689</v>
      </c>
      <c r="C1292" t="s">
        <v>690</v>
      </c>
      <c r="D1292" t="s">
        <v>733</v>
      </c>
      <c r="E1292" t="s">
        <v>734</v>
      </c>
      <c r="F1292" t="s">
        <v>1272</v>
      </c>
      <c r="G1292" t="s">
        <v>665</v>
      </c>
      <c r="H1292" s="595">
        <v>-0.09</v>
      </c>
      <c r="I1292" t="str">
        <f t="shared" si="58"/>
        <v>janeiro 2026</v>
      </c>
      <c r="J1292">
        <f t="shared" si="59"/>
        <v>2026</v>
      </c>
      <c r="K1292" t="str">
        <f>VLOOKUP(G1292,METRICS!C:D,2,0)</f>
        <v>Taxas Financeiras Diversas</v>
      </c>
      <c r="L1292" t="str">
        <f>VLOOKUP(K1292,METRICS!D:E,2,0)</f>
        <v>TAXAS CARTÃO DE CRÉDITO</v>
      </c>
    </row>
    <row r="1293" spans="1:12" ht="15" hidden="1">
      <c r="A1293" t="s">
        <v>1058</v>
      </c>
      <c r="B1293" t="s">
        <v>689</v>
      </c>
      <c r="C1293" t="s">
        <v>690</v>
      </c>
      <c r="D1293" t="s">
        <v>733</v>
      </c>
      <c r="E1293" t="s">
        <v>734</v>
      </c>
      <c r="F1293" t="s">
        <v>1272</v>
      </c>
      <c r="G1293" t="s">
        <v>665</v>
      </c>
      <c r="H1293" s="595">
        <v>-0.08</v>
      </c>
      <c r="I1293" t="str">
        <f t="shared" si="58"/>
        <v>janeiro 2026</v>
      </c>
      <c r="J1293">
        <f t="shared" si="59"/>
        <v>2026</v>
      </c>
      <c r="K1293" t="str">
        <f>VLOOKUP(G1293,METRICS!C:D,2,0)</f>
        <v>Taxas Financeiras Diversas</v>
      </c>
      <c r="L1293" t="str">
        <f>VLOOKUP(K1293,METRICS!D:E,2,0)</f>
        <v>TAXAS CARTÃO DE CRÉDITO</v>
      </c>
    </row>
    <row r="1294" spans="1:12" ht="15" hidden="1">
      <c r="A1294" t="s">
        <v>1058</v>
      </c>
      <c r="B1294" t="s">
        <v>612</v>
      </c>
      <c r="C1294" t="s">
        <v>690</v>
      </c>
      <c r="D1294" t="s">
        <v>1068</v>
      </c>
      <c r="E1294" t="s">
        <v>834</v>
      </c>
      <c r="F1294" t="s">
        <v>1272</v>
      </c>
      <c r="G1294" t="s">
        <v>413</v>
      </c>
      <c r="H1294" s="595">
        <v>-5860.4</v>
      </c>
      <c r="I1294" t="str">
        <f t="shared" si="58"/>
        <v>janeiro 2026</v>
      </c>
      <c r="J1294">
        <f t="shared" si="59"/>
        <v>2026</v>
      </c>
      <c r="K1294" t="str">
        <f>VLOOKUP(G1294,METRICS!C:D,2,0)</f>
        <v>Pescados</v>
      </c>
      <c r="L1294" t="str">
        <f>VLOOKUP(K1294,METRICS!D:E,2,0)</f>
        <v>CUSTOS DOS PRODUTOS VENDIDOS</v>
      </c>
    </row>
    <row r="1295" spans="1:12" ht="15" hidden="1">
      <c r="A1295" t="s">
        <v>1058</v>
      </c>
      <c r="B1295" t="s">
        <v>689</v>
      </c>
      <c r="C1295" t="s">
        <v>690</v>
      </c>
      <c r="D1295" t="s">
        <v>753</v>
      </c>
      <c r="E1295" t="s">
        <v>734</v>
      </c>
      <c r="F1295" t="s">
        <v>1272</v>
      </c>
      <c r="G1295" t="s">
        <v>665</v>
      </c>
      <c r="H1295" s="595">
        <v>-61.25</v>
      </c>
      <c r="I1295" t="str">
        <f t="shared" si="58"/>
        <v>janeiro 2026</v>
      </c>
      <c r="J1295">
        <f t="shared" si="59"/>
        <v>2026</v>
      </c>
      <c r="K1295" t="str">
        <f>VLOOKUP(G1295,METRICS!C:D,2,0)</f>
        <v>Taxas Financeiras Diversas</v>
      </c>
      <c r="L1295" t="str">
        <f>VLOOKUP(K1295,METRICS!D:E,2,0)</f>
        <v>TAXAS CARTÃO DE CRÉDITO</v>
      </c>
    </row>
    <row r="1296" spans="1:12" ht="15" hidden="1">
      <c r="A1296" t="s">
        <v>1058</v>
      </c>
      <c r="B1296" t="s">
        <v>689</v>
      </c>
      <c r="C1296" t="s">
        <v>690</v>
      </c>
      <c r="D1296" t="s">
        <v>743</v>
      </c>
      <c r="E1296" t="s">
        <v>734</v>
      </c>
      <c r="F1296" t="s">
        <v>1272</v>
      </c>
      <c r="G1296" t="s">
        <v>665</v>
      </c>
      <c r="H1296" s="595">
        <v>-3.44</v>
      </c>
      <c r="I1296" t="str">
        <f t="shared" si="58"/>
        <v>janeiro 2026</v>
      </c>
      <c r="J1296">
        <f t="shared" si="59"/>
        <v>2026</v>
      </c>
      <c r="K1296" t="str">
        <f>VLOOKUP(G1296,METRICS!C:D,2,0)</f>
        <v>Taxas Financeiras Diversas</v>
      </c>
      <c r="L1296" t="str">
        <f>VLOOKUP(K1296,METRICS!D:E,2,0)</f>
        <v>TAXAS CARTÃO DE CRÉDITO</v>
      </c>
    </row>
    <row r="1297" spans="1:12" ht="15" hidden="1">
      <c r="A1297" t="s">
        <v>1058</v>
      </c>
      <c r="B1297" t="s">
        <v>612</v>
      </c>
      <c r="C1297" t="s">
        <v>690</v>
      </c>
      <c r="D1297" t="s">
        <v>1069</v>
      </c>
      <c r="E1297" t="s">
        <v>811</v>
      </c>
      <c r="F1297" t="s">
        <v>1272</v>
      </c>
      <c r="G1297" t="s">
        <v>636</v>
      </c>
      <c r="H1297" s="595">
        <v>-3143.14</v>
      </c>
      <c r="I1297" t="str">
        <f t="shared" si="58"/>
        <v>janeiro 2026</v>
      </c>
      <c r="J1297">
        <f t="shared" si="59"/>
        <v>2026</v>
      </c>
      <c r="K1297" t="str">
        <f>VLOOKUP(G1297,METRICS!C:D,2,0)</f>
        <v>Secos - Mercearia</v>
      </c>
      <c r="L1297" t="str">
        <f>VLOOKUP(K1297,METRICS!D:E,2,0)</f>
        <v>CUSTOS DOS PRODUTOS VENDIDOS</v>
      </c>
    </row>
    <row r="1298" spans="1:12" ht="15" hidden="1">
      <c r="A1298" t="s">
        <v>1058</v>
      </c>
      <c r="B1298" t="s">
        <v>689</v>
      </c>
      <c r="C1298" t="s">
        <v>690</v>
      </c>
      <c r="D1298" t="s">
        <v>733</v>
      </c>
      <c r="E1298" t="s">
        <v>734</v>
      </c>
      <c r="F1298" t="s">
        <v>1272</v>
      </c>
      <c r="G1298" t="s">
        <v>665</v>
      </c>
      <c r="H1298" s="595">
        <v>-8.5299999999999994</v>
      </c>
      <c r="I1298" t="str">
        <f t="shared" ref="I1298:I1333" si="60">TEXT(A1298, "mmmm aaaa")</f>
        <v>janeiro 2026</v>
      </c>
      <c r="J1298">
        <f t="shared" si="59"/>
        <v>2026</v>
      </c>
      <c r="K1298" t="str">
        <f>VLOOKUP(G1298,METRICS!C:D,2,0)</f>
        <v>Taxas Financeiras Diversas</v>
      </c>
      <c r="L1298" t="str">
        <f>VLOOKUP(K1298,METRICS!D:E,2,0)</f>
        <v>TAXAS CARTÃO DE CRÉDITO</v>
      </c>
    </row>
    <row r="1299" spans="1:12" ht="15" hidden="1">
      <c r="A1299" t="s">
        <v>1058</v>
      </c>
      <c r="B1299" t="s">
        <v>689</v>
      </c>
      <c r="C1299" t="s">
        <v>690</v>
      </c>
      <c r="D1299" t="s">
        <v>733</v>
      </c>
      <c r="E1299" t="s">
        <v>734</v>
      </c>
      <c r="F1299" t="s">
        <v>1272</v>
      </c>
      <c r="G1299" t="s">
        <v>665</v>
      </c>
      <c r="H1299" s="595">
        <v>-7.15</v>
      </c>
      <c r="I1299" t="str">
        <f t="shared" si="60"/>
        <v>janeiro 2026</v>
      </c>
      <c r="J1299">
        <f t="shared" si="59"/>
        <v>2026</v>
      </c>
      <c r="K1299" t="str">
        <f>VLOOKUP(G1299,METRICS!C:D,2,0)</f>
        <v>Taxas Financeiras Diversas</v>
      </c>
      <c r="L1299" t="str">
        <f>VLOOKUP(K1299,METRICS!D:E,2,0)</f>
        <v>TAXAS CARTÃO DE CRÉDITO</v>
      </c>
    </row>
    <row r="1300" spans="1:12" ht="15" hidden="1">
      <c r="A1300" t="s">
        <v>1058</v>
      </c>
      <c r="B1300" t="s">
        <v>689</v>
      </c>
      <c r="C1300" t="s">
        <v>690</v>
      </c>
      <c r="D1300" t="s">
        <v>733</v>
      </c>
      <c r="E1300" t="s">
        <v>734</v>
      </c>
      <c r="F1300" t="s">
        <v>1272</v>
      </c>
      <c r="G1300" t="s">
        <v>665</v>
      </c>
      <c r="H1300" s="595">
        <v>-2.65</v>
      </c>
      <c r="I1300" t="str">
        <f t="shared" si="60"/>
        <v>janeiro 2026</v>
      </c>
      <c r="J1300">
        <f t="shared" si="59"/>
        <v>2026</v>
      </c>
      <c r="K1300" t="str">
        <f>VLOOKUP(G1300,METRICS!C:D,2,0)</f>
        <v>Taxas Financeiras Diversas</v>
      </c>
      <c r="L1300" t="str">
        <f>VLOOKUP(K1300,METRICS!D:E,2,0)</f>
        <v>TAXAS CARTÃO DE CRÉDITO</v>
      </c>
    </row>
    <row r="1301" spans="1:12" ht="15" hidden="1">
      <c r="A1301" t="s">
        <v>1058</v>
      </c>
      <c r="B1301" t="s">
        <v>689</v>
      </c>
      <c r="C1301" t="s">
        <v>690</v>
      </c>
      <c r="D1301" t="s">
        <v>733</v>
      </c>
      <c r="E1301" t="s">
        <v>734</v>
      </c>
      <c r="F1301" t="s">
        <v>1272</v>
      </c>
      <c r="G1301" t="s">
        <v>665</v>
      </c>
      <c r="H1301" s="595">
        <v>-15.53</v>
      </c>
      <c r="I1301" t="str">
        <f t="shared" si="60"/>
        <v>janeiro 2026</v>
      </c>
      <c r="J1301">
        <f t="shared" si="59"/>
        <v>2026</v>
      </c>
      <c r="K1301" t="str">
        <f>VLOOKUP(G1301,METRICS!C:D,2,0)</f>
        <v>Taxas Financeiras Diversas</v>
      </c>
      <c r="L1301" t="str">
        <f>VLOOKUP(K1301,METRICS!D:E,2,0)</f>
        <v>TAXAS CARTÃO DE CRÉDITO</v>
      </c>
    </row>
    <row r="1302" spans="1:12" ht="15" hidden="1">
      <c r="A1302" t="s">
        <v>1058</v>
      </c>
      <c r="B1302" t="s">
        <v>612</v>
      </c>
      <c r="C1302" t="s">
        <v>690</v>
      </c>
      <c r="D1302" t="s">
        <v>1070</v>
      </c>
      <c r="E1302" t="s">
        <v>748</v>
      </c>
      <c r="F1302" t="s">
        <v>1272</v>
      </c>
      <c r="G1302" t="s">
        <v>605</v>
      </c>
      <c r="H1302" s="595">
        <v>-1257.1600000000001</v>
      </c>
      <c r="I1302" t="str">
        <f t="shared" si="60"/>
        <v>janeiro 2026</v>
      </c>
      <c r="J1302">
        <f t="shared" si="59"/>
        <v>2026</v>
      </c>
      <c r="K1302" t="str">
        <f>VLOOKUP(G1302,METRICS!C:D,2,0)</f>
        <v>Beneficios</v>
      </c>
      <c r="L1302" t="str">
        <f>VLOOKUP(K1302,METRICS!D:E,2,0)</f>
        <v>PESSOAL</v>
      </c>
    </row>
    <row r="1303" spans="1:12" ht="15" hidden="1">
      <c r="A1303" t="s">
        <v>1058</v>
      </c>
      <c r="B1303" t="s">
        <v>689</v>
      </c>
      <c r="C1303" t="s">
        <v>690</v>
      </c>
      <c r="D1303" t="s">
        <v>753</v>
      </c>
      <c r="E1303" t="s">
        <v>734</v>
      </c>
      <c r="F1303" t="s">
        <v>1272</v>
      </c>
      <c r="G1303" t="s">
        <v>665</v>
      </c>
      <c r="H1303" s="595">
        <v>-18.010000000000002</v>
      </c>
      <c r="I1303" t="str">
        <f t="shared" si="60"/>
        <v>janeiro 2026</v>
      </c>
      <c r="J1303">
        <f t="shared" si="59"/>
        <v>2026</v>
      </c>
      <c r="K1303" t="str">
        <f>VLOOKUP(G1303,METRICS!C:D,2,0)</f>
        <v>Taxas Financeiras Diversas</v>
      </c>
      <c r="L1303" t="str">
        <f>VLOOKUP(K1303,METRICS!D:E,2,0)</f>
        <v>TAXAS CARTÃO DE CRÉDITO</v>
      </c>
    </row>
    <row r="1304" spans="1:12" ht="15" hidden="1">
      <c r="A1304" t="s">
        <v>1058</v>
      </c>
      <c r="B1304" t="s">
        <v>689</v>
      </c>
      <c r="C1304" t="s">
        <v>690</v>
      </c>
      <c r="D1304" t="s">
        <v>733</v>
      </c>
      <c r="E1304" t="s">
        <v>734</v>
      </c>
      <c r="F1304" t="s">
        <v>1272</v>
      </c>
      <c r="G1304" t="s">
        <v>665</v>
      </c>
      <c r="H1304" s="595">
        <v>-37.020000000000003</v>
      </c>
      <c r="I1304" t="str">
        <f t="shared" si="60"/>
        <v>janeiro 2026</v>
      </c>
      <c r="J1304">
        <f t="shared" si="59"/>
        <v>2026</v>
      </c>
      <c r="K1304" t="str">
        <f>VLOOKUP(G1304,METRICS!C:D,2,0)</f>
        <v>Taxas Financeiras Diversas</v>
      </c>
      <c r="L1304" t="str">
        <f>VLOOKUP(K1304,METRICS!D:E,2,0)</f>
        <v>TAXAS CARTÃO DE CRÉDITO</v>
      </c>
    </row>
    <row r="1305" spans="1:12" ht="15" hidden="1">
      <c r="A1305" t="s">
        <v>1058</v>
      </c>
      <c r="B1305" t="s">
        <v>689</v>
      </c>
      <c r="C1305" t="s">
        <v>690</v>
      </c>
      <c r="D1305" t="s">
        <v>733</v>
      </c>
      <c r="E1305" t="s">
        <v>734</v>
      </c>
      <c r="F1305" t="s">
        <v>1272</v>
      </c>
      <c r="G1305" t="s">
        <v>665</v>
      </c>
      <c r="H1305" s="595">
        <v>-5.4</v>
      </c>
      <c r="I1305" t="str">
        <f t="shared" si="60"/>
        <v>janeiro 2026</v>
      </c>
      <c r="J1305">
        <f t="shared" si="59"/>
        <v>2026</v>
      </c>
      <c r="K1305" t="str">
        <f>VLOOKUP(G1305,METRICS!C:D,2,0)</f>
        <v>Taxas Financeiras Diversas</v>
      </c>
      <c r="L1305" t="str">
        <f>VLOOKUP(K1305,METRICS!D:E,2,0)</f>
        <v>TAXAS CARTÃO DE CRÉDITO</v>
      </c>
    </row>
    <row r="1306" spans="1:12" ht="15" hidden="1">
      <c r="A1306" t="s">
        <v>1058</v>
      </c>
      <c r="B1306" t="s">
        <v>689</v>
      </c>
      <c r="C1306" t="s">
        <v>690</v>
      </c>
      <c r="D1306" t="s">
        <v>733</v>
      </c>
      <c r="E1306" t="s">
        <v>734</v>
      </c>
      <c r="F1306" t="s">
        <v>1272</v>
      </c>
      <c r="G1306" t="s">
        <v>665</v>
      </c>
      <c r="H1306" s="595">
        <v>-0.44</v>
      </c>
      <c r="I1306" t="str">
        <f t="shared" si="60"/>
        <v>janeiro 2026</v>
      </c>
      <c r="J1306">
        <f t="shared" si="59"/>
        <v>2026</v>
      </c>
      <c r="K1306" t="str">
        <f>VLOOKUP(G1306,METRICS!C:D,2,0)</f>
        <v>Taxas Financeiras Diversas</v>
      </c>
      <c r="L1306" t="str">
        <f>VLOOKUP(K1306,METRICS!D:E,2,0)</f>
        <v>TAXAS CARTÃO DE CRÉDITO</v>
      </c>
    </row>
    <row r="1307" spans="1:12" ht="15" hidden="1">
      <c r="A1307" t="s">
        <v>1058</v>
      </c>
      <c r="B1307" t="s">
        <v>689</v>
      </c>
      <c r="C1307" t="s">
        <v>690</v>
      </c>
      <c r="D1307" t="s">
        <v>743</v>
      </c>
      <c r="E1307" t="s">
        <v>734</v>
      </c>
      <c r="F1307" t="s">
        <v>1272</v>
      </c>
      <c r="G1307" t="s">
        <v>665</v>
      </c>
      <c r="H1307" s="595">
        <v>-5.62</v>
      </c>
      <c r="I1307" t="str">
        <f t="shared" si="60"/>
        <v>janeiro 2026</v>
      </c>
      <c r="J1307">
        <f t="shared" si="59"/>
        <v>2026</v>
      </c>
      <c r="K1307" t="str">
        <f>VLOOKUP(G1307,METRICS!C:D,2,0)</f>
        <v>Taxas Financeiras Diversas</v>
      </c>
      <c r="L1307" t="str">
        <f>VLOOKUP(K1307,METRICS!D:E,2,0)</f>
        <v>TAXAS CARTÃO DE CRÉDITO</v>
      </c>
    </row>
    <row r="1308" spans="1:12" ht="15" hidden="1">
      <c r="A1308" t="s">
        <v>1058</v>
      </c>
      <c r="B1308" t="s">
        <v>689</v>
      </c>
      <c r="C1308" t="s">
        <v>690</v>
      </c>
      <c r="D1308" t="s">
        <v>733</v>
      </c>
      <c r="E1308" t="s">
        <v>734</v>
      </c>
      <c r="F1308" t="s">
        <v>1272</v>
      </c>
      <c r="G1308" t="s">
        <v>665</v>
      </c>
      <c r="H1308" s="595">
        <v>-26</v>
      </c>
      <c r="I1308" t="str">
        <f t="shared" si="60"/>
        <v>janeiro 2026</v>
      </c>
      <c r="J1308">
        <f t="shared" si="59"/>
        <v>2026</v>
      </c>
      <c r="K1308" t="str">
        <f>VLOOKUP(G1308,METRICS!C:D,2,0)</f>
        <v>Taxas Financeiras Diversas</v>
      </c>
      <c r="L1308" t="str">
        <f>VLOOKUP(K1308,METRICS!D:E,2,0)</f>
        <v>TAXAS CARTÃO DE CRÉDITO</v>
      </c>
    </row>
    <row r="1309" spans="1:12" ht="15" hidden="1">
      <c r="A1309" t="s">
        <v>1058</v>
      </c>
      <c r="B1309" t="s">
        <v>612</v>
      </c>
      <c r="C1309" t="s">
        <v>690</v>
      </c>
      <c r="D1309" t="s">
        <v>1071</v>
      </c>
      <c r="E1309" t="s">
        <v>1072</v>
      </c>
      <c r="F1309" t="s">
        <v>1272</v>
      </c>
      <c r="G1309" t="s">
        <v>628</v>
      </c>
      <c r="H1309" s="595">
        <v>-510</v>
      </c>
      <c r="I1309" t="str">
        <f t="shared" si="60"/>
        <v>janeiro 2026</v>
      </c>
      <c r="J1309">
        <f t="shared" si="59"/>
        <v>2026</v>
      </c>
      <c r="K1309" t="str">
        <f>VLOOKUP(G1309,METRICS!C:D,2,0)</f>
        <v>Material de Escritório</v>
      </c>
      <c r="L1309" t="str">
        <f>VLOOKUP(K1309,METRICS!D:E,2,0)</f>
        <v>ADMINISTRATIVA</v>
      </c>
    </row>
    <row r="1310" spans="1:12" ht="15" hidden="1">
      <c r="A1310" t="s">
        <v>1058</v>
      </c>
      <c r="B1310" t="s">
        <v>612</v>
      </c>
      <c r="C1310" t="s">
        <v>690</v>
      </c>
      <c r="D1310" t="s">
        <v>1073</v>
      </c>
      <c r="E1310" t="s">
        <v>1074</v>
      </c>
      <c r="F1310" t="s">
        <v>1272</v>
      </c>
      <c r="G1310" t="s">
        <v>636</v>
      </c>
      <c r="H1310" s="595">
        <v>-371.82</v>
      </c>
      <c r="I1310" t="str">
        <f t="shared" si="60"/>
        <v>janeiro 2026</v>
      </c>
      <c r="J1310">
        <f t="shared" si="59"/>
        <v>2026</v>
      </c>
      <c r="K1310" t="str">
        <f>VLOOKUP(G1310,METRICS!C:D,2,0)</f>
        <v>Secos - Mercearia</v>
      </c>
      <c r="L1310" t="str">
        <f>VLOOKUP(K1310,METRICS!D:E,2,0)</f>
        <v>CUSTOS DOS PRODUTOS VENDIDOS</v>
      </c>
    </row>
    <row r="1311" spans="1:12" ht="15" hidden="1">
      <c r="A1311" t="s">
        <v>1058</v>
      </c>
      <c r="B1311" t="s">
        <v>612</v>
      </c>
      <c r="C1311" t="s">
        <v>690</v>
      </c>
      <c r="D1311" t="s">
        <v>1075</v>
      </c>
      <c r="E1311" t="s">
        <v>824</v>
      </c>
      <c r="F1311" t="s">
        <v>1272</v>
      </c>
      <c r="G1311" t="s">
        <v>413</v>
      </c>
      <c r="H1311" s="595">
        <v>-4748</v>
      </c>
      <c r="I1311" t="str">
        <f t="shared" si="60"/>
        <v>janeiro 2026</v>
      </c>
      <c r="J1311">
        <f t="shared" si="59"/>
        <v>2026</v>
      </c>
      <c r="K1311" t="str">
        <f>VLOOKUP(G1311,METRICS!C:D,2,0)</f>
        <v>Pescados</v>
      </c>
      <c r="L1311" t="str">
        <f>VLOOKUP(K1311,METRICS!D:E,2,0)</f>
        <v>CUSTOS DOS PRODUTOS VENDIDOS</v>
      </c>
    </row>
    <row r="1312" spans="1:12" ht="15" hidden="1">
      <c r="A1312" t="s">
        <v>1058</v>
      </c>
      <c r="B1312" t="s">
        <v>689</v>
      </c>
      <c r="C1312" t="s">
        <v>690</v>
      </c>
      <c r="D1312" t="s">
        <v>817</v>
      </c>
      <c r="E1312" s="155" t="s">
        <v>544</v>
      </c>
      <c r="F1312" t="s">
        <v>1272</v>
      </c>
      <c r="G1312" t="s">
        <v>664</v>
      </c>
      <c r="H1312" s="595">
        <v>-270</v>
      </c>
      <c r="I1312" t="str">
        <f t="shared" si="60"/>
        <v>janeiro 2026</v>
      </c>
      <c r="J1312">
        <f t="shared" si="59"/>
        <v>2026</v>
      </c>
      <c r="K1312" t="str">
        <f>VLOOKUP(G1312,METRICS!C:D,2,0)</f>
        <v>Colaborador Extra</v>
      </c>
      <c r="L1312" t="str">
        <f>VLOOKUP(K1312,METRICS!D:E,2,0)</f>
        <v>PESSOAL</v>
      </c>
    </row>
    <row r="1313" spans="1:12" ht="15" hidden="1">
      <c r="A1313" t="s">
        <v>1058</v>
      </c>
      <c r="B1313" t="s">
        <v>689</v>
      </c>
      <c r="C1313" t="s">
        <v>690</v>
      </c>
      <c r="D1313" t="s">
        <v>733</v>
      </c>
      <c r="E1313" t="s">
        <v>734</v>
      </c>
      <c r="F1313" t="s">
        <v>1272</v>
      </c>
      <c r="G1313" t="s">
        <v>665</v>
      </c>
      <c r="H1313" s="595">
        <v>-1.29</v>
      </c>
      <c r="I1313" t="str">
        <f t="shared" si="60"/>
        <v>janeiro 2026</v>
      </c>
      <c r="J1313">
        <f t="shared" si="59"/>
        <v>2026</v>
      </c>
      <c r="K1313" t="str">
        <f>VLOOKUP(G1313,METRICS!C:D,2,0)</f>
        <v>Taxas Financeiras Diversas</v>
      </c>
      <c r="L1313" t="str">
        <f>VLOOKUP(K1313,METRICS!D:E,2,0)</f>
        <v>TAXAS CARTÃO DE CRÉDITO</v>
      </c>
    </row>
    <row r="1314" spans="1:12" ht="15" hidden="1">
      <c r="A1314" t="s">
        <v>1058</v>
      </c>
      <c r="B1314" t="s">
        <v>689</v>
      </c>
      <c r="C1314" t="s">
        <v>690</v>
      </c>
      <c r="D1314" t="s">
        <v>860</v>
      </c>
      <c r="E1314" t="s">
        <v>734</v>
      </c>
      <c r="F1314" t="s">
        <v>1272</v>
      </c>
      <c r="G1314" t="s">
        <v>665</v>
      </c>
      <c r="H1314" s="595">
        <v>-28.48</v>
      </c>
      <c r="I1314" t="str">
        <f t="shared" si="60"/>
        <v>janeiro 2026</v>
      </c>
      <c r="J1314">
        <f t="shared" si="59"/>
        <v>2026</v>
      </c>
      <c r="K1314" t="str">
        <f>VLOOKUP(G1314,METRICS!C:D,2,0)</f>
        <v>Taxas Financeiras Diversas</v>
      </c>
      <c r="L1314" t="str">
        <f>VLOOKUP(K1314,METRICS!D:E,2,0)</f>
        <v>TAXAS CARTÃO DE CRÉDITO</v>
      </c>
    </row>
    <row r="1315" spans="1:12" ht="15" hidden="1">
      <c r="A1315" t="s">
        <v>1058</v>
      </c>
      <c r="B1315" t="s">
        <v>689</v>
      </c>
      <c r="C1315" t="s">
        <v>690</v>
      </c>
      <c r="D1315" t="s">
        <v>733</v>
      </c>
      <c r="E1315" t="s">
        <v>734</v>
      </c>
      <c r="F1315" t="s">
        <v>1272</v>
      </c>
      <c r="G1315" t="s">
        <v>665</v>
      </c>
      <c r="H1315" s="595">
        <v>-10.36</v>
      </c>
      <c r="I1315" t="str">
        <f t="shared" si="60"/>
        <v>janeiro 2026</v>
      </c>
      <c r="J1315">
        <f t="shared" si="59"/>
        <v>2026</v>
      </c>
      <c r="K1315" t="str">
        <f>VLOOKUP(G1315,METRICS!C:D,2,0)</f>
        <v>Taxas Financeiras Diversas</v>
      </c>
      <c r="L1315" t="str">
        <f>VLOOKUP(K1315,METRICS!D:E,2,0)</f>
        <v>TAXAS CARTÃO DE CRÉDITO</v>
      </c>
    </row>
    <row r="1316" spans="1:12" ht="15" hidden="1">
      <c r="A1316" t="s">
        <v>1058</v>
      </c>
      <c r="B1316" t="s">
        <v>689</v>
      </c>
      <c r="C1316" t="s">
        <v>690</v>
      </c>
      <c r="D1316" t="s">
        <v>743</v>
      </c>
      <c r="E1316" t="s">
        <v>734</v>
      </c>
      <c r="F1316" t="s">
        <v>1272</v>
      </c>
      <c r="G1316" t="s">
        <v>665</v>
      </c>
      <c r="H1316" s="595">
        <v>-3.68</v>
      </c>
      <c r="I1316" t="str">
        <f t="shared" si="60"/>
        <v>janeiro 2026</v>
      </c>
      <c r="J1316">
        <f t="shared" si="59"/>
        <v>2026</v>
      </c>
      <c r="K1316" t="str">
        <f>VLOOKUP(G1316,METRICS!C:D,2,0)</f>
        <v>Taxas Financeiras Diversas</v>
      </c>
      <c r="L1316" t="str">
        <f>VLOOKUP(K1316,METRICS!D:E,2,0)</f>
        <v>TAXAS CARTÃO DE CRÉDITO</v>
      </c>
    </row>
    <row r="1317" spans="1:12" ht="15" hidden="1">
      <c r="A1317" t="s">
        <v>1058</v>
      </c>
      <c r="B1317" t="s">
        <v>612</v>
      </c>
      <c r="C1317" t="s">
        <v>690</v>
      </c>
      <c r="D1317" t="s">
        <v>1076</v>
      </c>
      <c r="E1317" t="s">
        <v>750</v>
      </c>
      <c r="F1317" t="s">
        <v>1272</v>
      </c>
      <c r="G1317" t="s">
        <v>610</v>
      </c>
      <c r="H1317" s="595">
        <v>-3184</v>
      </c>
      <c r="I1317" t="str">
        <f t="shared" si="60"/>
        <v>janeiro 2026</v>
      </c>
      <c r="J1317">
        <f t="shared" si="59"/>
        <v>2026</v>
      </c>
      <c r="K1317" t="str">
        <f>VLOOKUP(G1317,METRICS!C:D,2,0)</f>
        <v>Carvão</v>
      </c>
      <c r="L1317" t="str">
        <f>VLOOKUP(K1317,METRICS!D:E,2,0)</f>
        <v>CUSTOS DOS PRODUTOS VENDIDOS</v>
      </c>
    </row>
    <row r="1318" spans="1:12" ht="15" hidden="1">
      <c r="A1318" t="s">
        <v>1058</v>
      </c>
      <c r="B1318" t="s">
        <v>612</v>
      </c>
      <c r="C1318" t="s">
        <v>690</v>
      </c>
      <c r="D1318" t="s">
        <v>1077</v>
      </c>
      <c r="E1318" t="s">
        <v>1078</v>
      </c>
      <c r="F1318" t="s">
        <v>1272</v>
      </c>
      <c r="G1318" t="s">
        <v>609</v>
      </c>
      <c r="H1318" s="595">
        <v>-3607.8</v>
      </c>
      <c r="I1318" t="str">
        <f t="shared" si="60"/>
        <v>janeiro 2026</v>
      </c>
      <c r="J1318">
        <f t="shared" si="59"/>
        <v>2026</v>
      </c>
      <c r="K1318" t="str">
        <f>VLOOKUP(G1318,METRICS!C:D,2,0)</f>
        <v>Carnes e Aves</v>
      </c>
      <c r="L1318" t="str">
        <f>VLOOKUP(K1318,METRICS!D:E,2,0)</f>
        <v>CUSTOS DOS PRODUTOS VENDIDOS</v>
      </c>
    </row>
    <row r="1319" spans="1:12" ht="15" hidden="1">
      <c r="A1319" t="s">
        <v>1079</v>
      </c>
      <c r="B1319" t="s">
        <v>689</v>
      </c>
      <c r="C1319" t="s">
        <v>690</v>
      </c>
      <c r="D1319" t="s">
        <v>733</v>
      </c>
      <c r="E1319" t="s">
        <v>734</v>
      </c>
      <c r="F1319" t="s">
        <v>1272</v>
      </c>
      <c r="G1319" t="s">
        <v>665</v>
      </c>
      <c r="H1319" s="595">
        <v>-2.85</v>
      </c>
      <c r="I1319" t="str">
        <f t="shared" si="60"/>
        <v>janeiro 2026</v>
      </c>
      <c r="J1319">
        <f t="shared" si="59"/>
        <v>2026</v>
      </c>
      <c r="K1319" t="str">
        <f>VLOOKUP(G1319,METRICS!C:D,2,0)</f>
        <v>Taxas Financeiras Diversas</v>
      </c>
      <c r="L1319" t="str">
        <f>VLOOKUP(K1319,METRICS!D:E,2,0)</f>
        <v>TAXAS CARTÃO DE CRÉDITO</v>
      </c>
    </row>
    <row r="1320" spans="1:12" ht="15" hidden="1">
      <c r="A1320" t="s">
        <v>1079</v>
      </c>
      <c r="B1320" t="s">
        <v>689</v>
      </c>
      <c r="C1320" t="s">
        <v>690</v>
      </c>
      <c r="D1320" t="s">
        <v>733</v>
      </c>
      <c r="E1320" t="s">
        <v>734</v>
      </c>
      <c r="F1320" t="s">
        <v>1272</v>
      </c>
      <c r="G1320" t="s">
        <v>665</v>
      </c>
      <c r="H1320" s="595">
        <v>-9.84</v>
      </c>
      <c r="I1320" t="str">
        <f t="shared" si="60"/>
        <v>janeiro 2026</v>
      </c>
      <c r="J1320">
        <f t="shared" si="59"/>
        <v>2026</v>
      </c>
      <c r="K1320" t="str">
        <f>VLOOKUP(G1320,METRICS!C:D,2,0)</f>
        <v>Taxas Financeiras Diversas</v>
      </c>
      <c r="L1320" t="str">
        <f>VLOOKUP(K1320,METRICS!D:E,2,0)</f>
        <v>TAXAS CARTÃO DE CRÉDITO</v>
      </c>
    </row>
    <row r="1321" spans="1:12" ht="15" hidden="1">
      <c r="A1321" t="s">
        <v>1079</v>
      </c>
      <c r="B1321" t="s">
        <v>689</v>
      </c>
      <c r="C1321" t="s">
        <v>690</v>
      </c>
      <c r="D1321" t="s">
        <v>733</v>
      </c>
      <c r="E1321" t="s">
        <v>734</v>
      </c>
      <c r="F1321" t="s">
        <v>1272</v>
      </c>
      <c r="G1321" t="s">
        <v>665</v>
      </c>
      <c r="H1321" s="595">
        <v>-2.63</v>
      </c>
      <c r="I1321" t="str">
        <f t="shared" si="60"/>
        <v>janeiro 2026</v>
      </c>
      <c r="J1321">
        <f t="shared" si="59"/>
        <v>2026</v>
      </c>
      <c r="K1321" t="str">
        <f>VLOOKUP(G1321,METRICS!C:D,2,0)</f>
        <v>Taxas Financeiras Diversas</v>
      </c>
      <c r="L1321" t="str">
        <f>VLOOKUP(K1321,METRICS!D:E,2,0)</f>
        <v>TAXAS CARTÃO DE CRÉDITO</v>
      </c>
    </row>
    <row r="1322" spans="1:12" ht="15" hidden="1">
      <c r="A1322" t="s">
        <v>1079</v>
      </c>
      <c r="B1322" t="s">
        <v>689</v>
      </c>
      <c r="C1322" t="s">
        <v>690</v>
      </c>
      <c r="D1322" t="s">
        <v>733</v>
      </c>
      <c r="E1322" t="s">
        <v>734</v>
      </c>
      <c r="F1322" t="s">
        <v>1272</v>
      </c>
      <c r="G1322" t="s">
        <v>665</v>
      </c>
      <c r="H1322" s="595">
        <v>-1.65</v>
      </c>
      <c r="I1322" t="str">
        <f t="shared" si="60"/>
        <v>janeiro 2026</v>
      </c>
      <c r="J1322">
        <f t="shared" si="59"/>
        <v>2026</v>
      </c>
      <c r="K1322" t="str">
        <f>VLOOKUP(G1322,METRICS!C:D,2,0)</f>
        <v>Taxas Financeiras Diversas</v>
      </c>
      <c r="L1322" t="str">
        <f>VLOOKUP(K1322,METRICS!D:E,2,0)</f>
        <v>TAXAS CARTÃO DE CRÉDITO</v>
      </c>
    </row>
    <row r="1323" spans="1:12" ht="15" hidden="1">
      <c r="A1323" t="s">
        <v>1079</v>
      </c>
      <c r="B1323" t="s">
        <v>689</v>
      </c>
      <c r="C1323" t="s">
        <v>690</v>
      </c>
      <c r="D1323" t="s">
        <v>733</v>
      </c>
      <c r="E1323" t="s">
        <v>734</v>
      </c>
      <c r="F1323" t="s">
        <v>1272</v>
      </c>
      <c r="G1323" t="s">
        <v>665</v>
      </c>
      <c r="H1323" s="595">
        <v>-3.39</v>
      </c>
      <c r="I1323" t="str">
        <f t="shared" si="60"/>
        <v>janeiro 2026</v>
      </c>
      <c r="J1323">
        <f t="shared" si="59"/>
        <v>2026</v>
      </c>
      <c r="K1323" t="str">
        <f>VLOOKUP(G1323,METRICS!C:D,2,0)</f>
        <v>Taxas Financeiras Diversas</v>
      </c>
      <c r="L1323" t="str">
        <f>VLOOKUP(K1323,METRICS!D:E,2,0)</f>
        <v>TAXAS CARTÃO DE CRÉDITO</v>
      </c>
    </row>
    <row r="1324" spans="1:12" ht="15" hidden="1">
      <c r="A1324" t="s">
        <v>1079</v>
      </c>
      <c r="B1324" t="s">
        <v>689</v>
      </c>
      <c r="C1324" t="s">
        <v>690</v>
      </c>
      <c r="D1324" t="s">
        <v>756</v>
      </c>
      <c r="E1324" t="s">
        <v>757</v>
      </c>
      <c r="F1324" t="s">
        <v>1272</v>
      </c>
      <c r="G1324" t="s">
        <v>666</v>
      </c>
      <c r="H1324" s="595">
        <v>-90.23</v>
      </c>
      <c r="I1324" t="str">
        <f t="shared" si="60"/>
        <v>janeiro 2026</v>
      </c>
      <c r="J1324">
        <f t="shared" si="59"/>
        <v>2026</v>
      </c>
      <c r="K1324" t="str">
        <f>VLOOKUP(G1324,METRICS!C:D,2,0)</f>
        <v>Encargos Bancarios</v>
      </c>
      <c r="L1324" t="str">
        <f>VLOOKUP(K1324,METRICS!D:E,2,0)</f>
        <v>DESPESAS FINANCEIRAS</v>
      </c>
    </row>
    <row r="1325" spans="1:12" ht="15" hidden="1">
      <c r="A1325" t="s">
        <v>1079</v>
      </c>
      <c r="B1325" t="s">
        <v>689</v>
      </c>
      <c r="C1325" t="s">
        <v>690</v>
      </c>
      <c r="D1325" t="s">
        <v>753</v>
      </c>
      <c r="E1325" t="s">
        <v>734</v>
      </c>
      <c r="F1325" t="s">
        <v>1272</v>
      </c>
      <c r="G1325" t="s">
        <v>665</v>
      </c>
      <c r="H1325" s="595">
        <v>-6.46</v>
      </c>
      <c r="I1325" t="str">
        <f t="shared" si="60"/>
        <v>janeiro 2026</v>
      </c>
      <c r="J1325">
        <f t="shared" si="59"/>
        <v>2026</v>
      </c>
      <c r="K1325" t="str">
        <f>VLOOKUP(G1325,METRICS!C:D,2,0)</f>
        <v>Taxas Financeiras Diversas</v>
      </c>
      <c r="L1325" t="str">
        <f>VLOOKUP(K1325,METRICS!D:E,2,0)</f>
        <v>TAXAS CARTÃO DE CRÉDITO</v>
      </c>
    </row>
    <row r="1326" spans="1:12" ht="15" hidden="1">
      <c r="A1326" t="s">
        <v>1079</v>
      </c>
      <c r="B1326" t="s">
        <v>689</v>
      </c>
      <c r="C1326" t="s">
        <v>690</v>
      </c>
      <c r="D1326" t="s">
        <v>733</v>
      </c>
      <c r="E1326" t="s">
        <v>734</v>
      </c>
      <c r="F1326" t="s">
        <v>1272</v>
      </c>
      <c r="G1326" t="s">
        <v>665</v>
      </c>
      <c r="H1326" s="595">
        <v>-3.15</v>
      </c>
      <c r="I1326" t="str">
        <f t="shared" si="60"/>
        <v>janeiro 2026</v>
      </c>
      <c r="J1326">
        <f t="shared" si="59"/>
        <v>2026</v>
      </c>
      <c r="K1326" t="str">
        <f>VLOOKUP(G1326,METRICS!C:D,2,0)</f>
        <v>Taxas Financeiras Diversas</v>
      </c>
      <c r="L1326" t="str">
        <f>VLOOKUP(K1326,METRICS!D:E,2,0)</f>
        <v>TAXAS CARTÃO DE CRÉDITO</v>
      </c>
    </row>
    <row r="1327" spans="1:12" ht="15" hidden="1">
      <c r="A1327" t="s">
        <v>1079</v>
      </c>
      <c r="B1327" t="s">
        <v>689</v>
      </c>
      <c r="C1327" t="s">
        <v>690</v>
      </c>
      <c r="D1327" t="s">
        <v>743</v>
      </c>
      <c r="E1327" t="s">
        <v>734</v>
      </c>
      <c r="F1327" t="s">
        <v>1272</v>
      </c>
      <c r="G1327" t="s">
        <v>665</v>
      </c>
      <c r="H1327" s="595">
        <v>-14.38</v>
      </c>
      <c r="I1327" t="str">
        <f t="shared" si="60"/>
        <v>janeiro 2026</v>
      </c>
      <c r="J1327">
        <f t="shared" si="59"/>
        <v>2026</v>
      </c>
      <c r="K1327" t="str">
        <f>VLOOKUP(G1327,METRICS!C:D,2,0)</f>
        <v>Taxas Financeiras Diversas</v>
      </c>
      <c r="L1327" t="str">
        <f>VLOOKUP(K1327,METRICS!D:E,2,0)</f>
        <v>TAXAS CARTÃO DE CRÉDITO</v>
      </c>
    </row>
    <row r="1328" spans="1:12" ht="15" hidden="1">
      <c r="A1328" t="s">
        <v>1079</v>
      </c>
      <c r="B1328" t="s">
        <v>689</v>
      </c>
      <c r="C1328" t="s">
        <v>690</v>
      </c>
      <c r="D1328" t="s">
        <v>733</v>
      </c>
      <c r="E1328" t="s">
        <v>734</v>
      </c>
      <c r="F1328" t="s">
        <v>1272</v>
      </c>
      <c r="G1328" t="s">
        <v>665</v>
      </c>
      <c r="H1328" s="595">
        <v>-5.19</v>
      </c>
      <c r="I1328" t="str">
        <f t="shared" si="60"/>
        <v>janeiro 2026</v>
      </c>
      <c r="J1328">
        <f t="shared" si="59"/>
        <v>2026</v>
      </c>
      <c r="K1328" t="str">
        <f>VLOOKUP(G1328,METRICS!C:D,2,0)</f>
        <v>Taxas Financeiras Diversas</v>
      </c>
      <c r="L1328" t="str">
        <f>VLOOKUP(K1328,METRICS!D:E,2,0)</f>
        <v>TAXAS CARTÃO DE CRÉDITO</v>
      </c>
    </row>
    <row r="1329" spans="1:12" ht="15" hidden="1">
      <c r="A1329" t="s">
        <v>1079</v>
      </c>
      <c r="B1329" t="s">
        <v>689</v>
      </c>
      <c r="C1329" t="s">
        <v>690</v>
      </c>
      <c r="D1329" t="s">
        <v>733</v>
      </c>
      <c r="E1329" t="s">
        <v>734</v>
      </c>
      <c r="F1329" t="s">
        <v>1272</v>
      </c>
      <c r="G1329" t="s">
        <v>665</v>
      </c>
      <c r="H1329" s="595">
        <v>-4.62</v>
      </c>
      <c r="I1329" t="str">
        <f t="shared" si="60"/>
        <v>janeiro 2026</v>
      </c>
      <c r="J1329">
        <f t="shared" si="59"/>
        <v>2026</v>
      </c>
      <c r="K1329" t="str">
        <f>VLOOKUP(G1329,METRICS!C:D,2,0)</f>
        <v>Taxas Financeiras Diversas</v>
      </c>
      <c r="L1329" t="str">
        <f>VLOOKUP(K1329,METRICS!D:E,2,0)</f>
        <v>TAXAS CARTÃO DE CRÉDITO</v>
      </c>
    </row>
    <row r="1330" spans="1:12" ht="15" hidden="1">
      <c r="A1330" t="s">
        <v>1079</v>
      </c>
      <c r="B1330" t="s">
        <v>689</v>
      </c>
      <c r="C1330" t="s">
        <v>690</v>
      </c>
      <c r="D1330" t="s">
        <v>733</v>
      </c>
      <c r="E1330" t="s">
        <v>734</v>
      </c>
      <c r="F1330" t="s">
        <v>1272</v>
      </c>
      <c r="G1330" t="s">
        <v>665</v>
      </c>
      <c r="H1330" s="595">
        <v>-6.12</v>
      </c>
      <c r="I1330" t="str">
        <f t="shared" si="60"/>
        <v>janeiro 2026</v>
      </c>
      <c r="J1330">
        <f t="shared" si="59"/>
        <v>2026</v>
      </c>
      <c r="K1330" t="str">
        <f>VLOOKUP(G1330,METRICS!C:D,2,0)</f>
        <v>Taxas Financeiras Diversas</v>
      </c>
      <c r="L1330" t="str">
        <f>VLOOKUP(K1330,METRICS!D:E,2,0)</f>
        <v>TAXAS CARTÃO DE CRÉDITO</v>
      </c>
    </row>
    <row r="1331" spans="1:12" ht="15" hidden="1">
      <c r="A1331" t="s">
        <v>1079</v>
      </c>
      <c r="B1331" t="s">
        <v>689</v>
      </c>
      <c r="C1331" t="s">
        <v>690</v>
      </c>
      <c r="D1331" t="s">
        <v>743</v>
      </c>
      <c r="E1331" t="s">
        <v>734</v>
      </c>
      <c r="F1331" t="s">
        <v>1272</v>
      </c>
      <c r="G1331" t="s">
        <v>665</v>
      </c>
      <c r="H1331" s="595">
        <v>-12.2</v>
      </c>
      <c r="I1331" t="str">
        <f t="shared" si="60"/>
        <v>janeiro 2026</v>
      </c>
      <c r="J1331">
        <f t="shared" si="59"/>
        <v>2026</v>
      </c>
      <c r="K1331" t="str">
        <f>VLOOKUP(G1331,METRICS!C:D,2,0)</f>
        <v>Taxas Financeiras Diversas</v>
      </c>
      <c r="L1331" t="str">
        <f>VLOOKUP(K1331,METRICS!D:E,2,0)</f>
        <v>TAXAS CARTÃO DE CRÉDITO</v>
      </c>
    </row>
    <row r="1332" spans="1:12" ht="15" hidden="1">
      <c r="A1332" t="s">
        <v>1079</v>
      </c>
      <c r="B1332" t="s">
        <v>689</v>
      </c>
      <c r="C1332" t="s">
        <v>690</v>
      </c>
      <c r="D1332" t="s">
        <v>733</v>
      </c>
      <c r="E1332" t="s">
        <v>734</v>
      </c>
      <c r="F1332" t="s">
        <v>1272</v>
      </c>
      <c r="G1332" t="s">
        <v>665</v>
      </c>
      <c r="H1332" s="595">
        <v>-3.14</v>
      </c>
      <c r="I1332" t="str">
        <f t="shared" si="60"/>
        <v>janeiro 2026</v>
      </c>
      <c r="J1332">
        <f t="shared" si="59"/>
        <v>2026</v>
      </c>
      <c r="K1332" t="str">
        <f>VLOOKUP(G1332,METRICS!C:D,2,0)</f>
        <v>Taxas Financeiras Diversas</v>
      </c>
      <c r="L1332" t="str">
        <f>VLOOKUP(K1332,METRICS!D:E,2,0)</f>
        <v>TAXAS CARTÃO DE CRÉDITO</v>
      </c>
    </row>
    <row r="1333" spans="1:12" ht="15" hidden="1">
      <c r="A1333" t="s">
        <v>1079</v>
      </c>
      <c r="B1333" t="s">
        <v>689</v>
      </c>
      <c r="C1333" t="s">
        <v>690</v>
      </c>
      <c r="D1333" t="s">
        <v>733</v>
      </c>
      <c r="E1333" t="s">
        <v>734</v>
      </c>
      <c r="F1333" t="s">
        <v>1272</v>
      </c>
      <c r="G1333" t="s">
        <v>665</v>
      </c>
      <c r="H1333" s="595">
        <v>-7.42</v>
      </c>
      <c r="I1333" t="str">
        <f t="shared" si="60"/>
        <v>janeiro 2026</v>
      </c>
      <c r="J1333">
        <f t="shared" si="59"/>
        <v>2026</v>
      </c>
      <c r="K1333" t="str">
        <f>VLOOKUP(G1333,METRICS!C:D,2,0)</f>
        <v>Taxas Financeiras Diversas</v>
      </c>
      <c r="L1333" t="str">
        <f>VLOOKUP(K1333,METRICS!D:E,2,0)</f>
        <v>TAXAS CARTÃO DE CRÉDITO</v>
      </c>
    </row>
    <row r="1334" spans="1:12" ht="15" hidden="1">
      <c r="A1334" t="s">
        <v>1079</v>
      </c>
      <c r="B1334" t="s">
        <v>612</v>
      </c>
      <c r="C1334" t="s">
        <v>690</v>
      </c>
      <c r="D1334" t="s">
        <v>1080</v>
      </c>
      <c r="E1334" t="s">
        <v>834</v>
      </c>
      <c r="F1334" t="s">
        <v>1272</v>
      </c>
      <c r="G1334" t="s">
        <v>413</v>
      </c>
      <c r="H1334" s="595">
        <v>-704</v>
      </c>
      <c r="I1334" t="str">
        <f t="shared" ref="I1334:I1375" si="61">TEXT(A1334, "mmmm aaaa")</f>
        <v>janeiro 2026</v>
      </c>
      <c r="J1334">
        <f t="shared" si="59"/>
        <v>2026</v>
      </c>
      <c r="K1334" t="str">
        <f>VLOOKUP(G1334,METRICS!C:D,2,0)</f>
        <v>Pescados</v>
      </c>
      <c r="L1334" t="str">
        <f>VLOOKUP(K1334,METRICS!D:E,2,0)</f>
        <v>CUSTOS DOS PRODUTOS VENDIDOS</v>
      </c>
    </row>
    <row r="1335" spans="1:12" ht="15" hidden="1">
      <c r="A1335" t="s">
        <v>1079</v>
      </c>
      <c r="B1335" t="s">
        <v>689</v>
      </c>
      <c r="C1335" t="s">
        <v>690</v>
      </c>
      <c r="D1335" t="s">
        <v>733</v>
      </c>
      <c r="E1335" t="s">
        <v>734</v>
      </c>
      <c r="F1335" t="s">
        <v>1272</v>
      </c>
      <c r="G1335" t="s">
        <v>665</v>
      </c>
      <c r="H1335" s="595">
        <v>-8.7100000000000009</v>
      </c>
      <c r="I1335" t="str">
        <f t="shared" si="61"/>
        <v>janeiro 2026</v>
      </c>
      <c r="J1335">
        <f t="shared" si="59"/>
        <v>2026</v>
      </c>
      <c r="K1335" t="str">
        <f>VLOOKUP(G1335,METRICS!C:D,2,0)</f>
        <v>Taxas Financeiras Diversas</v>
      </c>
      <c r="L1335" t="str">
        <f>VLOOKUP(K1335,METRICS!D:E,2,0)</f>
        <v>TAXAS CARTÃO DE CRÉDITO</v>
      </c>
    </row>
    <row r="1336" spans="1:12" ht="15" hidden="1">
      <c r="A1336" t="s">
        <v>1079</v>
      </c>
      <c r="B1336" t="s">
        <v>689</v>
      </c>
      <c r="C1336" t="s">
        <v>690</v>
      </c>
      <c r="D1336" t="s">
        <v>743</v>
      </c>
      <c r="E1336" t="s">
        <v>734</v>
      </c>
      <c r="F1336" t="s">
        <v>1272</v>
      </c>
      <c r="G1336" t="s">
        <v>665</v>
      </c>
      <c r="H1336" s="595">
        <v>-23.69</v>
      </c>
      <c r="I1336" t="str">
        <f t="shared" si="61"/>
        <v>janeiro 2026</v>
      </c>
      <c r="J1336">
        <f t="shared" ref="J1336:J1398" si="62">YEAR(A1336)</f>
        <v>2026</v>
      </c>
      <c r="K1336" t="str">
        <f>VLOOKUP(G1336,METRICS!C:D,2,0)</f>
        <v>Taxas Financeiras Diversas</v>
      </c>
      <c r="L1336" t="str">
        <f>VLOOKUP(K1336,METRICS!D:E,2,0)</f>
        <v>TAXAS CARTÃO DE CRÉDITO</v>
      </c>
    </row>
    <row r="1337" spans="1:12" ht="15" hidden="1">
      <c r="A1337" t="s">
        <v>1079</v>
      </c>
      <c r="B1337" t="s">
        <v>612</v>
      </c>
      <c r="C1337" t="s">
        <v>690</v>
      </c>
      <c r="D1337" t="s">
        <v>1081</v>
      </c>
      <c r="E1337" t="s">
        <v>925</v>
      </c>
      <c r="F1337" t="s">
        <v>1272</v>
      </c>
      <c r="G1337" t="s">
        <v>413</v>
      </c>
      <c r="H1337" s="595">
        <v>-1997.5</v>
      </c>
      <c r="I1337" t="str">
        <f t="shared" si="61"/>
        <v>janeiro 2026</v>
      </c>
      <c r="J1337">
        <f t="shared" si="62"/>
        <v>2026</v>
      </c>
      <c r="K1337" t="str">
        <f>VLOOKUP(G1337,METRICS!C:D,2,0)</f>
        <v>Pescados</v>
      </c>
      <c r="L1337" t="str">
        <f>VLOOKUP(K1337,METRICS!D:E,2,0)</f>
        <v>CUSTOS DOS PRODUTOS VENDIDOS</v>
      </c>
    </row>
    <row r="1338" spans="1:12" ht="15" hidden="1">
      <c r="A1338" t="s">
        <v>1079</v>
      </c>
      <c r="B1338" t="s">
        <v>689</v>
      </c>
      <c r="C1338" t="s">
        <v>690</v>
      </c>
      <c r="D1338" t="s">
        <v>743</v>
      </c>
      <c r="E1338" t="s">
        <v>734</v>
      </c>
      <c r="F1338" t="s">
        <v>1272</v>
      </c>
      <c r="G1338" t="s">
        <v>665</v>
      </c>
      <c r="H1338" s="595">
        <v>-0.6</v>
      </c>
      <c r="I1338" t="str">
        <f t="shared" si="61"/>
        <v>janeiro 2026</v>
      </c>
      <c r="J1338">
        <f t="shared" si="62"/>
        <v>2026</v>
      </c>
      <c r="K1338" t="str">
        <f>VLOOKUP(G1338,METRICS!C:D,2,0)</f>
        <v>Taxas Financeiras Diversas</v>
      </c>
      <c r="L1338" t="str">
        <f>VLOOKUP(K1338,METRICS!D:E,2,0)</f>
        <v>TAXAS CARTÃO DE CRÉDITO</v>
      </c>
    </row>
    <row r="1339" spans="1:12" ht="15" hidden="1">
      <c r="A1339" t="s">
        <v>1079</v>
      </c>
      <c r="B1339" t="s">
        <v>689</v>
      </c>
      <c r="C1339" t="s">
        <v>690</v>
      </c>
      <c r="D1339" t="s">
        <v>733</v>
      </c>
      <c r="E1339" t="s">
        <v>734</v>
      </c>
      <c r="F1339" t="s">
        <v>1272</v>
      </c>
      <c r="G1339" t="s">
        <v>665</v>
      </c>
      <c r="H1339" s="595">
        <v>-13.7</v>
      </c>
      <c r="I1339" t="str">
        <f t="shared" si="61"/>
        <v>janeiro 2026</v>
      </c>
      <c r="J1339">
        <f t="shared" si="62"/>
        <v>2026</v>
      </c>
      <c r="K1339" t="str">
        <f>VLOOKUP(G1339,METRICS!C:D,2,0)</f>
        <v>Taxas Financeiras Diversas</v>
      </c>
      <c r="L1339" t="str">
        <f>VLOOKUP(K1339,METRICS!D:E,2,0)</f>
        <v>TAXAS CARTÃO DE CRÉDITO</v>
      </c>
    </row>
    <row r="1340" spans="1:12" ht="15" hidden="1">
      <c r="A1340" t="s">
        <v>1079</v>
      </c>
      <c r="B1340" t="s">
        <v>612</v>
      </c>
      <c r="C1340" t="s">
        <v>690</v>
      </c>
      <c r="D1340" t="s">
        <v>1082</v>
      </c>
      <c r="E1340" t="s">
        <v>811</v>
      </c>
      <c r="F1340" t="s">
        <v>1272</v>
      </c>
      <c r="G1340" t="s">
        <v>636</v>
      </c>
      <c r="H1340" s="595">
        <v>-539.26</v>
      </c>
      <c r="I1340" t="str">
        <f t="shared" si="61"/>
        <v>janeiro 2026</v>
      </c>
      <c r="J1340">
        <f t="shared" si="62"/>
        <v>2026</v>
      </c>
      <c r="K1340" t="str">
        <f>VLOOKUP(G1340,METRICS!C:D,2,0)</f>
        <v>Secos - Mercearia</v>
      </c>
      <c r="L1340" t="str">
        <f>VLOOKUP(K1340,METRICS!D:E,2,0)</f>
        <v>CUSTOS DOS PRODUTOS VENDIDOS</v>
      </c>
    </row>
    <row r="1341" spans="1:12" ht="15" hidden="1">
      <c r="A1341" t="s">
        <v>1079</v>
      </c>
      <c r="B1341" t="s">
        <v>689</v>
      </c>
      <c r="C1341" t="s">
        <v>690</v>
      </c>
      <c r="D1341" t="s">
        <v>733</v>
      </c>
      <c r="E1341" t="s">
        <v>734</v>
      </c>
      <c r="F1341" t="s">
        <v>1272</v>
      </c>
      <c r="G1341" t="s">
        <v>665</v>
      </c>
      <c r="H1341" s="595">
        <v>-0.63</v>
      </c>
      <c r="I1341" t="str">
        <f t="shared" si="61"/>
        <v>janeiro 2026</v>
      </c>
      <c r="J1341">
        <f t="shared" si="62"/>
        <v>2026</v>
      </c>
      <c r="K1341" t="str">
        <f>VLOOKUP(G1341,METRICS!C:D,2,0)</f>
        <v>Taxas Financeiras Diversas</v>
      </c>
      <c r="L1341" t="str">
        <f>VLOOKUP(K1341,METRICS!D:E,2,0)</f>
        <v>TAXAS CARTÃO DE CRÉDITO</v>
      </c>
    </row>
    <row r="1342" spans="1:12" ht="15" hidden="1">
      <c r="A1342" t="s">
        <v>1079</v>
      </c>
      <c r="B1342" t="s">
        <v>689</v>
      </c>
      <c r="C1342" t="s">
        <v>690</v>
      </c>
      <c r="D1342" t="s">
        <v>743</v>
      </c>
      <c r="E1342" t="s">
        <v>734</v>
      </c>
      <c r="F1342" t="s">
        <v>1272</v>
      </c>
      <c r="G1342" t="s">
        <v>665</v>
      </c>
      <c r="H1342" s="595">
        <v>-5.67</v>
      </c>
      <c r="I1342" t="str">
        <f t="shared" si="61"/>
        <v>janeiro 2026</v>
      </c>
      <c r="J1342">
        <f t="shared" si="62"/>
        <v>2026</v>
      </c>
      <c r="K1342" t="str">
        <f>VLOOKUP(G1342,METRICS!C:D,2,0)</f>
        <v>Taxas Financeiras Diversas</v>
      </c>
      <c r="L1342" t="str">
        <f>VLOOKUP(K1342,METRICS!D:E,2,0)</f>
        <v>TAXAS CARTÃO DE CRÉDITO</v>
      </c>
    </row>
    <row r="1343" spans="1:12" ht="15" hidden="1">
      <c r="A1343" t="s">
        <v>1079</v>
      </c>
      <c r="B1343" t="s">
        <v>689</v>
      </c>
      <c r="C1343" t="s">
        <v>690</v>
      </c>
      <c r="D1343" t="s">
        <v>733</v>
      </c>
      <c r="E1343" t="s">
        <v>734</v>
      </c>
      <c r="F1343" t="s">
        <v>1272</v>
      </c>
      <c r="G1343" t="s">
        <v>665</v>
      </c>
      <c r="H1343" s="595">
        <v>-21.41</v>
      </c>
      <c r="I1343" t="str">
        <f t="shared" si="61"/>
        <v>janeiro 2026</v>
      </c>
      <c r="J1343">
        <f t="shared" si="62"/>
        <v>2026</v>
      </c>
      <c r="K1343" t="str">
        <f>VLOOKUP(G1343,METRICS!C:D,2,0)</f>
        <v>Taxas Financeiras Diversas</v>
      </c>
      <c r="L1343" t="str">
        <f>VLOOKUP(K1343,METRICS!D:E,2,0)</f>
        <v>TAXAS CARTÃO DE CRÉDITO</v>
      </c>
    </row>
    <row r="1344" spans="1:12" ht="15" hidden="1">
      <c r="A1344" t="s">
        <v>1079</v>
      </c>
      <c r="B1344" t="s">
        <v>689</v>
      </c>
      <c r="C1344" t="s">
        <v>690</v>
      </c>
      <c r="D1344" t="s">
        <v>753</v>
      </c>
      <c r="E1344" t="s">
        <v>734</v>
      </c>
      <c r="F1344" t="s">
        <v>1272</v>
      </c>
      <c r="G1344" t="s">
        <v>665</v>
      </c>
      <c r="H1344" s="595">
        <v>-17.079999999999998</v>
      </c>
      <c r="I1344" t="str">
        <f t="shared" si="61"/>
        <v>janeiro 2026</v>
      </c>
      <c r="J1344">
        <f t="shared" si="62"/>
        <v>2026</v>
      </c>
      <c r="K1344" t="str">
        <f>VLOOKUP(G1344,METRICS!C:D,2,0)</f>
        <v>Taxas Financeiras Diversas</v>
      </c>
      <c r="L1344" t="str">
        <f>VLOOKUP(K1344,METRICS!D:E,2,0)</f>
        <v>TAXAS CARTÃO DE CRÉDITO</v>
      </c>
    </row>
    <row r="1345" spans="1:12" ht="15" hidden="1">
      <c r="A1345" t="s">
        <v>1079</v>
      </c>
      <c r="B1345" t="s">
        <v>689</v>
      </c>
      <c r="C1345" t="s">
        <v>690</v>
      </c>
      <c r="D1345" t="s">
        <v>743</v>
      </c>
      <c r="E1345" t="s">
        <v>734</v>
      </c>
      <c r="F1345" t="s">
        <v>1272</v>
      </c>
      <c r="G1345" t="s">
        <v>665</v>
      </c>
      <c r="H1345" s="595">
        <v>-4.4400000000000004</v>
      </c>
      <c r="I1345" t="str">
        <f t="shared" si="61"/>
        <v>janeiro 2026</v>
      </c>
      <c r="J1345">
        <f t="shared" si="62"/>
        <v>2026</v>
      </c>
      <c r="K1345" t="str">
        <f>VLOOKUP(G1345,METRICS!C:D,2,0)</f>
        <v>Taxas Financeiras Diversas</v>
      </c>
      <c r="L1345" t="str">
        <f>VLOOKUP(K1345,METRICS!D:E,2,0)</f>
        <v>TAXAS CARTÃO DE CRÉDITO</v>
      </c>
    </row>
    <row r="1346" spans="1:12" ht="15" hidden="1">
      <c r="A1346" t="s">
        <v>1079</v>
      </c>
      <c r="B1346" t="s">
        <v>689</v>
      </c>
      <c r="C1346" t="s">
        <v>690</v>
      </c>
      <c r="D1346" t="s">
        <v>733</v>
      </c>
      <c r="E1346" t="s">
        <v>734</v>
      </c>
      <c r="F1346" t="s">
        <v>1272</v>
      </c>
      <c r="G1346" t="s">
        <v>665</v>
      </c>
      <c r="H1346" s="595">
        <v>-0.6</v>
      </c>
      <c r="I1346" t="str">
        <f t="shared" si="61"/>
        <v>janeiro 2026</v>
      </c>
      <c r="J1346">
        <f t="shared" si="62"/>
        <v>2026</v>
      </c>
      <c r="K1346" t="str">
        <f>VLOOKUP(G1346,METRICS!C:D,2,0)</f>
        <v>Taxas Financeiras Diversas</v>
      </c>
      <c r="L1346" t="str">
        <f>VLOOKUP(K1346,METRICS!D:E,2,0)</f>
        <v>TAXAS CARTÃO DE CRÉDITO</v>
      </c>
    </row>
    <row r="1347" spans="1:12" ht="15" hidden="1">
      <c r="A1347" t="s">
        <v>1079</v>
      </c>
      <c r="B1347" t="s">
        <v>689</v>
      </c>
      <c r="C1347" t="s">
        <v>690</v>
      </c>
      <c r="D1347" t="s">
        <v>1083</v>
      </c>
      <c r="E1347" t="s">
        <v>1084</v>
      </c>
      <c r="F1347" t="s">
        <v>1272</v>
      </c>
      <c r="G1347" t="s">
        <v>621</v>
      </c>
      <c r="H1347" s="595">
        <v>-5000</v>
      </c>
      <c r="I1347" t="str">
        <f t="shared" si="61"/>
        <v>janeiro 2026</v>
      </c>
      <c r="J1347">
        <f t="shared" si="62"/>
        <v>2026</v>
      </c>
      <c r="K1347" t="str">
        <f>VLOOKUP(G1347,METRICS!C:D,2,0)</f>
        <v>Influencer</v>
      </c>
      <c r="L1347" t="str">
        <f>VLOOKUP(K1347,METRICS!D:E,2,0)</f>
        <v>MARKETING</v>
      </c>
    </row>
    <row r="1348" spans="1:12" ht="15" hidden="1">
      <c r="A1348" t="s">
        <v>1079</v>
      </c>
      <c r="B1348" t="s">
        <v>689</v>
      </c>
      <c r="C1348" t="s">
        <v>690</v>
      </c>
      <c r="D1348" t="s">
        <v>743</v>
      </c>
      <c r="E1348" t="s">
        <v>734</v>
      </c>
      <c r="F1348" t="s">
        <v>1272</v>
      </c>
      <c r="G1348" t="s">
        <v>665</v>
      </c>
      <c r="H1348" s="595">
        <v>-11.27</v>
      </c>
      <c r="I1348" t="str">
        <f t="shared" si="61"/>
        <v>janeiro 2026</v>
      </c>
      <c r="J1348">
        <f t="shared" si="62"/>
        <v>2026</v>
      </c>
      <c r="K1348" t="str">
        <f>VLOOKUP(G1348,METRICS!C:D,2,0)</f>
        <v>Taxas Financeiras Diversas</v>
      </c>
      <c r="L1348" t="str">
        <f>VLOOKUP(K1348,METRICS!D:E,2,0)</f>
        <v>TAXAS CARTÃO DE CRÉDITO</v>
      </c>
    </row>
    <row r="1349" spans="1:12" ht="15" hidden="1">
      <c r="A1349" t="s">
        <v>1079</v>
      </c>
      <c r="B1349" t="s">
        <v>689</v>
      </c>
      <c r="C1349" t="s">
        <v>690</v>
      </c>
      <c r="D1349" t="s">
        <v>733</v>
      </c>
      <c r="E1349" t="s">
        <v>734</v>
      </c>
      <c r="F1349" t="s">
        <v>1272</v>
      </c>
      <c r="G1349" t="s">
        <v>665</v>
      </c>
      <c r="H1349" s="595">
        <v>-4.4400000000000004</v>
      </c>
      <c r="I1349" t="str">
        <f t="shared" si="61"/>
        <v>janeiro 2026</v>
      </c>
      <c r="J1349">
        <f t="shared" si="62"/>
        <v>2026</v>
      </c>
      <c r="K1349" t="str">
        <f>VLOOKUP(G1349,METRICS!C:D,2,0)</f>
        <v>Taxas Financeiras Diversas</v>
      </c>
      <c r="L1349" t="str">
        <f>VLOOKUP(K1349,METRICS!D:E,2,0)</f>
        <v>TAXAS CARTÃO DE CRÉDITO</v>
      </c>
    </row>
    <row r="1350" spans="1:12" ht="15" hidden="1">
      <c r="A1350" t="s">
        <v>1079</v>
      </c>
      <c r="B1350" t="s">
        <v>689</v>
      </c>
      <c r="C1350" t="s">
        <v>690</v>
      </c>
      <c r="D1350" t="s">
        <v>733</v>
      </c>
      <c r="E1350" t="s">
        <v>734</v>
      </c>
      <c r="F1350" t="s">
        <v>1272</v>
      </c>
      <c r="G1350" t="s">
        <v>665</v>
      </c>
      <c r="H1350" s="595">
        <v>-2.85</v>
      </c>
      <c r="I1350" t="str">
        <f t="shared" si="61"/>
        <v>janeiro 2026</v>
      </c>
      <c r="J1350">
        <f t="shared" si="62"/>
        <v>2026</v>
      </c>
      <c r="K1350" t="str">
        <f>VLOOKUP(G1350,METRICS!C:D,2,0)</f>
        <v>Taxas Financeiras Diversas</v>
      </c>
      <c r="L1350" t="str">
        <f>VLOOKUP(K1350,METRICS!D:E,2,0)</f>
        <v>TAXAS CARTÃO DE CRÉDITO</v>
      </c>
    </row>
    <row r="1351" spans="1:12" ht="15" hidden="1">
      <c r="A1351" t="s">
        <v>1079</v>
      </c>
      <c r="B1351" t="s">
        <v>689</v>
      </c>
      <c r="C1351" t="s">
        <v>690</v>
      </c>
      <c r="D1351" t="s">
        <v>733</v>
      </c>
      <c r="E1351" t="s">
        <v>734</v>
      </c>
      <c r="F1351" t="s">
        <v>1272</v>
      </c>
      <c r="G1351" t="s">
        <v>665</v>
      </c>
      <c r="H1351" s="595">
        <v>-0.02</v>
      </c>
      <c r="I1351" t="str">
        <f t="shared" si="61"/>
        <v>janeiro 2026</v>
      </c>
      <c r="J1351">
        <f t="shared" si="62"/>
        <v>2026</v>
      </c>
      <c r="K1351" t="str">
        <f>VLOOKUP(G1351,METRICS!C:D,2,0)</f>
        <v>Taxas Financeiras Diversas</v>
      </c>
      <c r="L1351" t="str">
        <f>VLOOKUP(K1351,METRICS!D:E,2,0)</f>
        <v>TAXAS CARTÃO DE CRÉDITO</v>
      </c>
    </row>
    <row r="1352" spans="1:12" ht="15" hidden="1">
      <c r="A1352" t="s">
        <v>1079</v>
      </c>
      <c r="B1352" t="s">
        <v>689</v>
      </c>
      <c r="C1352" t="s">
        <v>690</v>
      </c>
      <c r="D1352" t="s">
        <v>743</v>
      </c>
      <c r="E1352" t="s">
        <v>734</v>
      </c>
      <c r="F1352" t="s">
        <v>1272</v>
      </c>
      <c r="G1352" t="s">
        <v>665</v>
      </c>
      <c r="H1352" s="595">
        <v>-6.79</v>
      </c>
      <c r="I1352" t="str">
        <f t="shared" si="61"/>
        <v>janeiro 2026</v>
      </c>
      <c r="J1352">
        <f t="shared" si="62"/>
        <v>2026</v>
      </c>
      <c r="K1352" t="str">
        <f>VLOOKUP(G1352,METRICS!C:D,2,0)</f>
        <v>Taxas Financeiras Diversas</v>
      </c>
      <c r="L1352" t="str">
        <f>VLOOKUP(K1352,METRICS!D:E,2,0)</f>
        <v>TAXAS CARTÃO DE CRÉDITO</v>
      </c>
    </row>
    <row r="1353" spans="1:12" ht="15" hidden="1">
      <c r="A1353" t="s">
        <v>1079</v>
      </c>
      <c r="B1353" t="s">
        <v>612</v>
      </c>
      <c r="C1353" t="s">
        <v>690</v>
      </c>
      <c r="D1353" t="s">
        <v>1085</v>
      </c>
      <c r="E1353" t="s">
        <v>1086</v>
      </c>
      <c r="F1353" t="s">
        <v>1272</v>
      </c>
      <c r="G1353" t="s">
        <v>621</v>
      </c>
      <c r="H1353" s="595">
        <v>-5000</v>
      </c>
      <c r="I1353" t="str">
        <f t="shared" si="61"/>
        <v>janeiro 2026</v>
      </c>
      <c r="J1353">
        <f t="shared" si="62"/>
        <v>2026</v>
      </c>
      <c r="K1353" t="str">
        <f>VLOOKUP(G1353,METRICS!C:D,2,0)</f>
        <v>Influencer</v>
      </c>
      <c r="L1353" t="str">
        <f>VLOOKUP(K1353,METRICS!D:E,2,0)</f>
        <v>MARKETING</v>
      </c>
    </row>
    <row r="1354" spans="1:12" ht="15" hidden="1">
      <c r="A1354" t="s">
        <v>1079</v>
      </c>
      <c r="B1354" t="s">
        <v>689</v>
      </c>
      <c r="C1354" t="s">
        <v>690</v>
      </c>
      <c r="D1354" t="s">
        <v>743</v>
      </c>
      <c r="E1354" t="s">
        <v>734</v>
      </c>
      <c r="F1354" t="s">
        <v>1272</v>
      </c>
      <c r="G1354" t="s">
        <v>665</v>
      </c>
      <c r="H1354" s="595">
        <v>-1.89</v>
      </c>
      <c r="I1354" t="str">
        <f t="shared" si="61"/>
        <v>janeiro 2026</v>
      </c>
      <c r="J1354">
        <f t="shared" si="62"/>
        <v>2026</v>
      </c>
      <c r="K1354" t="str">
        <f>VLOOKUP(G1354,METRICS!C:D,2,0)</f>
        <v>Taxas Financeiras Diversas</v>
      </c>
      <c r="L1354" t="str">
        <f>VLOOKUP(K1354,METRICS!D:E,2,0)</f>
        <v>TAXAS CARTÃO DE CRÉDITO</v>
      </c>
    </row>
    <row r="1355" spans="1:12" ht="15" hidden="1">
      <c r="A1355" t="s">
        <v>1079</v>
      </c>
      <c r="B1355" t="s">
        <v>689</v>
      </c>
      <c r="C1355" t="s">
        <v>690</v>
      </c>
      <c r="D1355" t="s">
        <v>733</v>
      </c>
      <c r="E1355" t="s">
        <v>734</v>
      </c>
      <c r="F1355" t="s">
        <v>1272</v>
      </c>
      <c r="G1355" t="s">
        <v>665</v>
      </c>
      <c r="H1355" s="595">
        <v>-11.54</v>
      </c>
      <c r="I1355" t="str">
        <f t="shared" si="61"/>
        <v>janeiro 2026</v>
      </c>
      <c r="J1355">
        <f t="shared" si="62"/>
        <v>2026</v>
      </c>
      <c r="K1355" t="str">
        <f>VLOOKUP(G1355,METRICS!C:D,2,0)</f>
        <v>Taxas Financeiras Diversas</v>
      </c>
      <c r="L1355" t="str">
        <f>VLOOKUP(K1355,METRICS!D:E,2,0)</f>
        <v>TAXAS CARTÃO DE CRÉDITO</v>
      </c>
    </row>
    <row r="1356" spans="1:12" ht="15" hidden="1">
      <c r="A1356" t="s">
        <v>1079</v>
      </c>
      <c r="B1356" t="s">
        <v>689</v>
      </c>
      <c r="C1356" t="s">
        <v>690</v>
      </c>
      <c r="D1356" t="s">
        <v>733</v>
      </c>
      <c r="E1356" t="s">
        <v>734</v>
      </c>
      <c r="F1356" t="s">
        <v>1272</v>
      </c>
      <c r="G1356" t="s">
        <v>665</v>
      </c>
      <c r="H1356" s="595">
        <v>-7.63</v>
      </c>
      <c r="I1356" t="str">
        <f t="shared" si="61"/>
        <v>janeiro 2026</v>
      </c>
      <c r="J1356">
        <f t="shared" si="62"/>
        <v>2026</v>
      </c>
      <c r="K1356" t="str">
        <f>VLOOKUP(G1356,METRICS!C:D,2,0)</f>
        <v>Taxas Financeiras Diversas</v>
      </c>
      <c r="L1356" t="str">
        <f>VLOOKUP(K1356,METRICS!D:E,2,0)</f>
        <v>TAXAS CARTÃO DE CRÉDITO</v>
      </c>
    </row>
    <row r="1357" spans="1:12" ht="15" hidden="1">
      <c r="A1357" t="s">
        <v>1079</v>
      </c>
      <c r="B1357" t="s">
        <v>612</v>
      </c>
      <c r="C1357" t="s">
        <v>690</v>
      </c>
      <c r="D1357" t="s">
        <v>1087</v>
      </c>
      <c r="E1357" t="s">
        <v>826</v>
      </c>
      <c r="F1357" t="s">
        <v>1272</v>
      </c>
      <c r="G1357" t="s">
        <v>633</v>
      </c>
      <c r="H1357" s="595">
        <v>-1538</v>
      </c>
      <c r="I1357" t="str">
        <f t="shared" si="61"/>
        <v>janeiro 2026</v>
      </c>
      <c r="J1357">
        <f t="shared" si="62"/>
        <v>2026</v>
      </c>
      <c r="K1357" t="str">
        <f>VLOOKUP(G1357,METRICS!C:D,2,0)</f>
        <v>Paes, Massas e Salgados</v>
      </c>
      <c r="L1357" t="str">
        <f>VLOOKUP(K1357,METRICS!D:E,2,0)</f>
        <v>CUSTOS DOS PRODUTOS VENDIDOS</v>
      </c>
    </row>
    <row r="1358" spans="1:12" ht="15" hidden="1">
      <c r="A1358" t="s">
        <v>1079</v>
      </c>
      <c r="B1358" t="s">
        <v>689</v>
      </c>
      <c r="C1358" t="s">
        <v>690</v>
      </c>
      <c r="D1358" t="s">
        <v>733</v>
      </c>
      <c r="E1358" t="s">
        <v>734</v>
      </c>
      <c r="F1358" t="s">
        <v>1272</v>
      </c>
      <c r="G1358" t="s">
        <v>665</v>
      </c>
      <c r="H1358" s="595">
        <v>-3.14</v>
      </c>
      <c r="I1358" t="str">
        <f t="shared" si="61"/>
        <v>janeiro 2026</v>
      </c>
      <c r="J1358">
        <f t="shared" si="62"/>
        <v>2026</v>
      </c>
      <c r="K1358" t="str">
        <f>VLOOKUP(G1358,METRICS!C:D,2,0)</f>
        <v>Taxas Financeiras Diversas</v>
      </c>
      <c r="L1358" t="str">
        <f>VLOOKUP(K1358,METRICS!D:E,2,0)</f>
        <v>TAXAS CARTÃO DE CRÉDITO</v>
      </c>
    </row>
    <row r="1359" spans="1:12" ht="15" hidden="1">
      <c r="A1359" t="s">
        <v>1079</v>
      </c>
      <c r="B1359" t="s">
        <v>689</v>
      </c>
      <c r="C1359" t="s">
        <v>690</v>
      </c>
      <c r="D1359" t="s">
        <v>733</v>
      </c>
      <c r="E1359" t="s">
        <v>734</v>
      </c>
      <c r="F1359" t="s">
        <v>1272</v>
      </c>
      <c r="G1359" t="s">
        <v>665</v>
      </c>
      <c r="H1359" s="595">
        <v>-2.81</v>
      </c>
      <c r="I1359" t="str">
        <f t="shared" si="61"/>
        <v>janeiro 2026</v>
      </c>
      <c r="J1359">
        <f t="shared" si="62"/>
        <v>2026</v>
      </c>
      <c r="K1359" t="str">
        <f>VLOOKUP(G1359,METRICS!C:D,2,0)</f>
        <v>Taxas Financeiras Diversas</v>
      </c>
      <c r="L1359" t="str">
        <f>VLOOKUP(K1359,METRICS!D:E,2,0)</f>
        <v>TAXAS CARTÃO DE CRÉDITO</v>
      </c>
    </row>
    <row r="1360" spans="1:12" ht="15" hidden="1">
      <c r="A1360" t="s">
        <v>1079</v>
      </c>
      <c r="B1360" t="s">
        <v>689</v>
      </c>
      <c r="C1360" t="s">
        <v>690</v>
      </c>
      <c r="D1360" t="s">
        <v>743</v>
      </c>
      <c r="E1360" t="s">
        <v>734</v>
      </c>
      <c r="F1360" t="s">
        <v>1272</v>
      </c>
      <c r="G1360" t="s">
        <v>665</v>
      </c>
      <c r="H1360" s="595">
        <v>-4.4400000000000004</v>
      </c>
      <c r="I1360" t="str">
        <f t="shared" si="61"/>
        <v>janeiro 2026</v>
      </c>
      <c r="J1360">
        <f t="shared" si="62"/>
        <v>2026</v>
      </c>
      <c r="K1360" t="str">
        <f>VLOOKUP(G1360,METRICS!C:D,2,0)</f>
        <v>Taxas Financeiras Diversas</v>
      </c>
      <c r="L1360" t="str">
        <f>VLOOKUP(K1360,METRICS!D:E,2,0)</f>
        <v>TAXAS CARTÃO DE CRÉDITO</v>
      </c>
    </row>
    <row r="1361" spans="1:12" ht="15" hidden="1">
      <c r="A1361" t="s">
        <v>1079</v>
      </c>
      <c r="B1361" t="s">
        <v>689</v>
      </c>
      <c r="C1361" t="s">
        <v>690</v>
      </c>
      <c r="D1361" t="s">
        <v>883</v>
      </c>
      <c r="E1361" t="s">
        <v>746</v>
      </c>
      <c r="F1361" t="s">
        <v>1272</v>
      </c>
      <c r="G1361" t="s">
        <v>669</v>
      </c>
      <c r="H1361" s="595">
        <v>-38.35</v>
      </c>
      <c r="I1361" t="str">
        <f t="shared" si="61"/>
        <v>janeiro 2026</v>
      </c>
      <c r="J1361">
        <f t="shared" si="62"/>
        <v>2026</v>
      </c>
      <c r="K1361" t="str">
        <f>VLOOKUP(G1361,METRICS!C:D,2,0)</f>
        <v>Taxas Financeiras Diversas</v>
      </c>
      <c r="L1361" t="str">
        <f>VLOOKUP(K1361,METRICS!D:E,2,0)</f>
        <v>TAXAS CARTÃO DE CRÉDITO</v>
      </c>
    </row>
    <row r="1362" spans="1:12" ht="15" hidden="1">
      <c r="A1362" t="s">
        <v>1079</v>
      </c>
      <c r="B1362" t="s">
        <v>689</v>
      </c>
      <c r="C1362" t="s">
        <v>690</v>
      </c>
      <c r="D1362" t="s">
        <v>860</v>
      </c>
      <c r="E1362" t="s">
        <v>734</v>
      </c>
      <c r="F1362" t="s">
        <v>1272</v>
      </c>
      <c r="G1362" t="s">
        <v>665</v>
      </c>
      <c r="H1362" s="595">
        <v>-11.16</v>
      </c>
      <c r="I1362" t="str">
        <f t="shared" si="61"/>
        <v>janeiro 2026</v>
      </c>
      <c r="J1362">
        <f t="shared" si="62"/>
        <v>2026</v>
      </c>
      <c r="K1362" t="str">
        <f>VLOOKUP(G1362,METRICS!C:D,2,0)</f>
        <v>Taxas Financeiras Diversas</v>
      </c>
      <c r="L1362" t="str">
        <f>VLOOKUP(K1362,METRICS!D:E,2,0)</f>
        <v>TAXAS CARTÃO DE CRÉDITO</v>
      </c>
    </row>
    <row r="1363" spans="1:12" ht="15" hidden="1">
      <c r="A1363" t="s">
        <v>1079</v>
      </c>
      <c r="B1363" t="s">
        <v>689</v>
      </c>
      <c r="C1363" t="s">
        <v>690</v>
      </c>
      <c r="D1363" t="s">
        <v>733</v>
      </c>
      <c r="E1363" t="s">
        <v>734</v>
      </c>
      <c r="F1363" t="s">
        <v>1272</v>
      </c>
      <c r="G1363" t="s">
        <v>665</v>
      </c>
      <c r="H1363" s="595">
        <v>-1.81</v>
      </c>
      <c r="I1363" t="str">
        <f t="shared" si="61"/>
        <v>janeiro 2026</v>
      </c>
      <c r="J1363">
        <f t="shared" si="62"/>
        <v>2026</v>
      </c>
      <c r="K1363" t="str">
        <f>VLOOKUP(G1363,METRICS!C:D,2,0)</f>
        <v>Taxas Financeiras Diversas</v>
      </c>
      <c r="L1363" t="str">
        <f>VLOOKUP(K1363,METRICS!D:E,2,0)</f>
        <v>TAXAS CARTÃO DE CRÉDITO</v>
      </c>
    </row>
    <row r="1364" spans="1:12" ht="15" hidden="1">
      <c r="A1364" t="s">
        <v>1079</v>
      </c>
      <c r="B1364" t="s">
        <v>612</v>
      </c>
      <c r="C1364" t="s">
        <v>690</v>
      </c>
      <c r="D1364" t="s">
        <v>1088</v>
      </c>
      <c r="E1364" t="s">
        <v>802</v>
      </c>
      <c r="F1364" t="s">
        <v>1272</v>
      </c>
      <c r="G1364" t="s">
        <v>633</v>
      </c>
      <c r="H1364" s="595">
        <v>-288</v>
      </c>
      <c r="I1364" t="str">
        <f t="shared" si="61"/>
        <v>janeiro 2026</v>
      </c>
      <c r="J1364">
        <f t="shared" si="62"/>
        <v>2026</v>
      </c>
      <c r="K1364" t="str">
        <f>VLOOKUP(G1364,METRICS!C:D,2,0)</f>
        <v>Paes, Massas e Salgados</v>
      </c>
      <c r="L1364" t="str">
        <f>VLOOKUP(K1364,METRICS!D:E,2,0)</f>
        <v>CUSTOS DOS PRODUTOS VENDIDOS</v>
      </c>
    </row>
    <row r="1365" spans="1:12" ht="15" hidden="1">
      <c r="A1365" t="s">
        <v>1079</v>
      </c>
      <c r="B1365" t="s">
        <v>689</v>
      </c>
      <c r="C1365" t="s">
        <v>690</v>
      </c>
      <c r="D1365" t="s">
        <v>743</v>
      </c>
      <c r="E1365" t="s">
        <v>734</v>
      </c>
      <c r="F1365" t="s">
        <v>1272</v>
      </c>
      <c r="G1365" t="s">
        <v>665</v>
      </c>
      <c r="H1365" s="595">
        <v>-5.33</v>
      </c>
      <c r="I1365" t="str">
        <f t="shared" si="61"/>
        <v>janeiro 2026</v>
      </c>
      <c r="J1365">
        <f t="shared" si="62"/>
        <v>2026</v>
      </c>
      <c r="K1365" t="str">
        <f>VLOOKUP(G1365,METRICS!C:D,2,0)</f>
        <v>Taxas Financeiras Diversas</v>
      </c>
      <c r="L1365" t="str">
        <f>VLOOKUP(K1365,METRICS!D:E,2,0)</f>
        <v>TAXAS CARTÃO DE CRÉDITO</v>
      </c>
    </row>
    <row r="1366" spans="1:12" ht="15" hidden="1">
      <c r="A1366" t="s">
        <v>1079</v>
      </c>
      <c r="B1366" t="s">
        <v>689</v>
      </c>
      <c r="C1366" t="s">
        <v>690</v>
      </c>
      <c r="D1366" t="s">
        <v>733</v>
      </c>
      <c r="E1366" t="s">
        <v>734</v>
      </c>
      <c r="F1366" t="s">
        <v>1272</v>
      </c>
      <c r="G1366" t="s">
        <v>665</v>
      </c>
      <c r="H1366" s="595">
        <v>-7.63</v>
      </c>
      <c r="I1366" t="str">
        <f t="shared" si="61"/>
        <v>janeiro 2026</v>
      </c>
      <c r="J1366">
        <f t="shared" si="62"/>
        <v>2026</v>
      </c>
      <c r="K1366" t="str">
        <f>VLOOKUP(G1366,METRICS!C:D,2,0)</f>
        <v>Taxas Financeiras Diversas</v>
      </c>
      <c r="L1366" t="str">
        <f>VLOOKUP(K1366,METRICS!D:E,2,0)</f>
        <v>TAXAS CARTÃO DE CRÉDITO</v>
      </c>
    </row>
    <row r="1367" spans="1:12" ht="15" hidden="1">
      <c r="A1367" t="s">
        <v>1079</v>
      </c>
      <c r="B1367" t="s">
        <v>689</v>
      </c>
      <c r="C1367" t="s">
        <v>690</v>
      </c>
      <c r="D1367" t="s">
        <v>743</v>
      </c>
      <c r="E1367" t="s">
        <v>734</v>
      </c>
      <c r="F1367" t="s">
        <v>1272</v>
      </c>
      <c r="G1367" t="s">
        <v>665</v>
      </c>
      <c r="H1367" s="595">
        <v>-11.75</v>
      </c>
      <c r="I1367" t="str">
        <f t="shared" si="61"/>
        <v>janeiro 2026</v>
      </c>
      <c r="J1367">
        <f t="shared" si="62"/>
        <v>2026</v>
      </c>
      <c r="K1367" t="str">
        <f>VLOOKUP(G1367,METRICS!C:D,2,0)</f>
        <v>Taxas Financeiras Diversas</v>
      </c>
      <c r="L1367" t="str">
        <f>VLOOKUP(K1367,METRICS!D:E,2,0)</f>
        <v>TAXAS CARTÃO DE CRÉDITO</v>
      </c>
    </row>
    <row r="1368" spans="1:12" ht="15" hidden="1">
      <c r="A1368" t="s">
        <v>1079</v>
      </c>
      <c r="B1368" t="s">
        <v>689</v>
      </c>
      <c r="C1368" t="s">
        <v>690</v>
      </c>
      <c r="D1368" t="s">
        <v>733</v>
      </c>
      <c r="E1368" t="s">
        <v>734</v>
      </c>
      <c r="F1368" t="s">
        <v>1272</v>
      </c>
      <c r="G1368" t="s">
        <v>665</v>
      </c>
      <c r="H1368" s="595">
        <v>-0.68</v>
      </c>
      <c r="I1368" t="str">
        <f t="shared" si="61"/>
        <v>janeiro 2026</v>
      </c>
      <c r="J1368">
        <f t="shared" si="62"/>
        <v>2026</v>
      </c>
      <c r="K1368" t="str">
        <f>VLOOKUP(G1368,METRICS!C:D,2,0)</f>
        <v>Taxas Financeiras Diversas</v>
      </c>
      <c r="L1368" t="str">
        <f>VLOOKUP(K1368,METRICS!D:E,2,0)</f>
        <v>TAXAS CARTÃO DE CRÉDITO</v>
      </c>
    </row>
    <row r="1369" spans="1:12" ht="15" hidden="1">
      <c r="A1369" t="s">
        <v>1079</v>
      </c>
      <c r="B1369" t="s">
        <v>689</v>
      </c>
      <c r="C1369" t="s">
        <v>690</v>
      </c>
      <c r="D1369" t="s">
        <v>753</v>
      </c>
      <c r="E1369" t="s">
        <v>734</v>
      </c>
      <c r="F1369" t="s">
        <v>1272</v>
      </c>
      <c r="G1369" t="s">
        <v>665</v>
      </c>
      <c r="H1369" s="595">
        <v>-2.93</v>
      </c>
      <c r="I1369" t="str">
        <f t="shared" si="61"/>
        <v>janeiro 2026</v>
      </c>
      <c r="J1369">
        <f t="shared" si="62"/>
        <v>2026</v>
      </c>
      <c r="K1369" t="str">
        <f>VLOOKUP(G1369,METRICS!C:D,2,0)</f>
        <v>Taxas Financeiras Diversas</v>
      </c>
      <c r="L1369" t="str">
        <f>VLOOKUP(K1369,METRICS!D:E,2,0)</f>
        <v>TAXAS CARTÃO DE CRÉDITO</v>
      </c>
    </row>
    <row r="1370" spans="1:12" ht="15" hidden="1">
      <c r="A1370" t="s">
        <v>1079</v>
      </c>
      <c r="B1370" t="s">
        <v>689</v>
      </c>
      <c r="C1370" t="s">
        <v>690</v>
      </c>
      <c r="D1370" t="s">
        <v>743</v>
      </c>
      <c r="E1370" t="s">
        <v>734</v>
      </c>
      <c r="F1370" t="s">
        <v>1272</v>
      </c>
      <c r="G1370" t="s">
        <v>665</v>
      </c>
      <c r="H1370" s="595">
        <v>-2.63</v>
      </c>
      <c r="I1370" t="str">
        <f t="shared" si="61"/>
        <v>janeiro 2026</v>
      </c>
      <c r="J1370">
        <f t="shared" si="62"/>
        <v>2026</v>
      </c>
      <c r="K1370" t="str">
        <f>VLOOKUP(G1370,METRICS!C:D,2,0)</f>
        <v>Taxas Financeiras Diversas</v>
      </c>
      <c r="L1370" t="str">
        <f>VLOOKUP(K1370,METRICS!D:E,2,0)</f>
        <v>TAXAS CARTÃO DE CRÉDITO</v>
      </c>
    </row>
    <row r="1371" spans="1:12" ht="15" hidden="1">
      <c r="A1371" t="s">
        <v>1079</v>
      </c>
      <c r="B1371" t="s">
        <v>689</v>
      </c>
      <c r="C1371" t="s">
        <v>690</v>
      </c>
      <c r="D1371" t="s">
        <v>733</v>
      </c>
      <c r="E1371" t="s">
        <v>734</v>
      </c>
      <c r="F1371" t="s">
        <v>1272</v>
      </c>
      <c r="G1371" t="s">
        <v>665</v>
      </c>
      <c r="H1371" s="595">
        <v>-6.88</v>
      </c>
      <c r="I1371" t="str">
        <f t="shared" si="61"/>
        <v>janeiro 2026</v>
      </c>
      <c r="J1371">
        <f t="shared" si="62"/>
        <v>2026</v>
      </c>
      <c r="K1371" t="str">
        <f>VLOOKUP(G1371,METRICS!C:D,2,0)</f>
        <v>Taxas Financeiras Diversas</v>
      </c>
      <c r="L1371" t="str">
        <f>VLOOKUP(K1371,METRICS!D:E,2,0)</f>
        <v>TAXAS CARTÃO DE CRÉDITO</v>
      </c>
    </row>
    <row r="1372" spans="1:12" ht="15" hidden="1">
      <c r="A1372" t="s">
        <v>1079</v>
      </c>
      <c r="B1372" t="s">
        <v>689</v>
      </c>
      <c r="C1372" t="s">
        <v>690</v>
      </c>
      <c r="D1372" t="s">
        <v>743</v>
      </c>
      <c r="E1372" t="s">
        <v>734</v>
      </c>
      <c r="F1372" t="s">
        <v>1272</v>
      </c>
      <c r="G1372" t="s">
        <v>665</v>
      </c>
      <c r="H1372" s="595">
        <v>-4.4400000000000004</v>
      </c>
      <c r="I1372" t="str">
        <f t="shared" si="61"/>
        <v>janeiro 2026</v>
      </c>
      <c r="J1372">
        <f t="shared" si="62"/>
        <v>2026</v>
      </c>
      <c r="K1372" t="str">
        <f>VLOOKUP(G1372,METRICS!C:D,2,0)</f>
        <v>Taxas Financeiras Diversas</v>
      </c>
      <c r="L1372" t="str">
        <f>VLOOKUP(K1372,METRICS!D:E,2,0)</f>
        <v>TAXAS CARTÃO DE CRÉDITO</v>
      </c>
    </row>
    <row r="1373" spans="1:12" ht="15" hidden="1">
      <c r="A1373" t="s">
        <v>1079</v>
      </c>
      <c r="B1373" t="s">
        <v>689</v>
      </c>
      <c r="C1373" t="s">
        <v>690</v>
      </c>
      <c r="D1373" t="s">
        <v>733</v>
      </c>
      <c r="E1373" t="s">
        <v>734</v>
      </c>
      <c r="F1373" t="s">
        <v>1272</v>
      </c>
      <c r="G1373" t="s">
        <v>665</v>
      </c>
      <c r="H1373" s="595">
        <v>-3.85</v>
      </c>
      <c r="I1373" t="str">
        <f t="shared" si="61"/>
        <v>janeiro 2026</v>
      </c>
      <c r="J1373">
        <f t="shared" si="62"/>
        <v>2026</v>
      </c>
      <c r="K1373" t="str">
        <f>VLOOKUP(G1373,METRICS!C:D,2,0)</f>
        <v>Taxas Financeiras Diversas</v>
      </c>
      <c r="L1373" t="str">
        <f>VLOOKUP(K1373,METRICS!D:E,2,0)</f>
        <v>TAXAS CARTÃO DE CRÉDITO</v>
      </c>
    </row>
    <row r="1374" spans="1:12" ht="15" hidden="1">
      <c r="A1374" t="s">
        <v>1079</v>
      </c>
      <c r="B1374" t="s">
        <v>689</v>
      </c>
      <c r="C1374" t="s">
        <v>690</v>
      </c>
      <c r="D1374" t="s">
        <v>733</v>
      </c>
      <c r="E1374" t="s">
        <v>734</v>
      </c>
      <c r="F1374" t="s">
        <v>1272</v>
      </c>
      <c r="G1374" t="s">
        <v>665</v>
      </c>
      <c r="H1374" s="595">
        <v>-1.1299999999999999</v>
      </c>
      <c r="I1374" t="str">
        <f t="shared" si="61"/>
        <v>janeiro 2026</v>
      </c>
      <c r="J1374">
        <f t="shared" si="62"/>
        <v>2026</v>
      </c>
      <c r="K1374" t="str">
        <f>VLOOKUP(G1374,METRICS!C:D,2,0)</f>
        <v>Taxas Financeiras Diversas</v>
      </c>
      <c r="L1374" t="str">
        <f>VLOOKUP(K1374,METRICS!D:E,2,0)</f>
        <v>TAXAS CARTÃO DE CRÉDITO</v>
      </c>
    </row>
    <row r="1375" spans="1:12" ht="15" hidden="1">
      <c r="A1375" t="s">
        <v>1079</v>
      </c>
      <c r="B1375" t="s">
        <v>689</v>
      </c>
      <c r="C1375" t="s">
        <v>690</v>
      </c>
      <c r="D1375" t="s">
        <v>733</v>
      </c>
      <c r="E1375" t="s">
        <v>734</v>
      </c>
      <c r="F1375" t="s">
        <v>1272</v>
      </c>
      <c r="G1375" t="s">
        <v>665</v>
      </c>
      <c r="H1375" s="595">
        <v>-20.81</v>
      </c>
      <c r="I1375" t="str">
        <f t="shared" si="61"/>
        <v>janeiro 2026</v>
      </c>
      <c r="J1375">
        <f t="shared" si="62"/>
        <v>2026</v>
      </c>
      <c r="K1375" t="str">
        <f>VLOOKUP(G1375,METRICS!C:D,2,0)</f>
        <v>Taxas Financeiras Diversas</v>
      </c>
      <c r="L1375" t="str">
        <f>VLOOKUP(K1375,METRICS!D:E,2,0)</f>
        <v>TAXAS CARTÃO DE CRÉDITO</v>
      </c>
    </row>
    <row r="1376" spans="1:12" ht="15" hidden="1">
      <c r="A1376" t="s">
        <v>1079</v>
      </c>
      <c r="B1376" t="s">
        <v>689</v>
      </c>
      <c r="C1376" t="s">
        <v>690</v>
      </c>
      <c r="D1376" t="s">
        <v>743</v>
      </c>
      <c r="E1376" t="s">
        <v>734</v>
      </c>
      <c r="F1376" t="s">
        <v>1272</v>
      </c>
      <c r="G1376" t="s">
        <v>665</v>
      </c>
      <c r="H1376" s="595">
        <v>-12.07</v>
      </c>
      <c r="I1376" t="str">
        <f t="shared" ref="I1376:I1415" si="63">TEXT(A1376, "mmmm aaaa")</f>
        <v>janeiro 2026</v>
      </c>
      <c r="J1376">
        <f t="shared" si="62"/>
        <v>2026</v>
      </c>
      <c r="K1376" t="str">
        <f>VLOOKUP(G1376,METRICS!C:D,2,0)</f>
        <v>Taxas Financeiras Diversas</v>
      </c>
      <c r="L1376" t="str">
        <f>VLOOKUP(K1376,METRICS!D:E,2,0)</f>
        <v>TAXAS CARTÃO DE CRÉDITO</v>
      </c>
    </row>
    <row r="1377" spans="1:12" ht="15" hidden="1">
      <c r="A1377" t="s">
        <v>1079</v>
      </c>
      <c r="B1377" t="s">
        <v>689</v>
      </c>
      <c r="C1377" t="s">
        <v>690</v>
      </c>
      <c r="D1377" t="s">
        <v>733</v>
      </c>
      <c r="E1377" t="s">
        <v>734</v>
      </c>
      <c r="F1377" t="s">
        <v>1272</v>
      </c>
      <c r="G1377" t="s">
        <v>665</v>
      </c>
      <c r="H1377" s="595">
        <v>-13.57</v>
      </c>
      <c r="I1377" t="str">
        <f t="shared" si="63"/>
        <v>janeiro 2026</v>
      </c>
      <c r="J1377">
        <f t="shared" si="62"/>
        <v>2026</v>
      </c>
      <c r="K1377" t="str">
        <f>VLOOKUP(G1377,METRICS!C:D,2,0)</f>
        <v>Taxas Financeiras Diversas</v>
      </c>
      <c r="L1377" t="str">
        <f>VLOOKUP(K1377,METRICS!D:E,2,0)</f>
        <v>TAXAS CARTÃO DE CRÉDITO</v>
      </c>
    </row>
    <row r="1378" spans="1:12" ht="15" hidden="1">
      <c r="A1378" t="s">
        <v>1079</v>
      </c>
      <c r="B1378" t="s">
        <v>689</v>
      </c>
      <c r="C1378" t="s">
        <v>690</v>
      </c>
      <c r="D1378" t="s">
        <v>733</v>
      </c>
      <c r="E1378" t="s">
        <v>734</v>
      </c>
      <c r="F1378" t="s">
        <v>1272</v>
      </c>
      <c r="G1378" t="s">
        <v>665</v>
      </c>
      <c r="H1378" s="595">
        <v>-2.5499999999999998</v>
      </c>
      <c r="I1378" t="str">
        <f t="shared" si="63"/>
        <v>janeiro 2026</v>
      </c>
      <c r="J1378">
        <f t="shared" si="62"/>
        <v>2026</v>
      </c>
      <c r="K1378" t="str">
        <f>VLOOKUP(G1378,METRICS!C:D,2,0)</f>
        <v>Taxas Financeiras Diversas</v>
      </c>
      <c r="L1378" t="str">
        <f>VLOOKUP(K1378,METRICS!D:E,2,0)</f>
        <v>TAXAS CARTÃO DE CRÉDITO</v>
      </c>
    </row>
    <row r="1379" spans="1:12" ht="15" hidden="1">
      <c r="A1379" t="s">
        <v>1079</v>
      </c>
      <c r="B1379" t="s">
        <v>689</v>
      </c>
      <c r="C1379" t="s">
        <v>690</v>
      </c>
      <c r="D1379" t="s">
        <v>817</v>
      </c>
      <c r="E1379" s="155" t="s">
        <v>544</v>
      </c>
      <c r="F1379" t="s">
        <v>1272</v>
      </c>
      <c r="G1379" t="s">
        <v>664</v>
      </c>
      <c r="H1379" s="595">
        <v>-120</v>
      </c>
      <c r="I1379" t="str">
        <f t="shared" si="63"/>
        <v>janeiro 2026</v>
      </c>
      <c r="J1379">
        <f t="shared" si="62"/>
        <v>2026</v>
      </c>
      <c r="K1379" t="str">
        <f>VLOOKUP(G1379,METRICS!C:D,2,0)</f>
        <v>Colaborador Extra</v>
      </c>
      <c r="L1379" t="str">
        <f>VLOOKUP(K1379,METRICS!D:E,2,0)</f>
        <v>PESSOAL</v>
      </c>
    </row>
    <row r="1380" spans="1:12" ht="15" hidden="1">
      <c r="A1380" t="s">
        <v>1079</v>
      </c>
      <c r="B1380" t="s">
        <v>689</v>
      </c>
      <c r="C1380" t="s">
        <v>690</v>
      </c>
      <c r="D1380" t="s">
        <v>733</v>
      </c>
      <c r="E1380" t="s">
        <v>734</v>
      </c>
      <c r="F1380" t="s">
        <v>1272</v>
      </c>
      <c r="G1380" t="s">
        <v>665</v>
      </c>
      <c r="H1380" s="595">
        <v>-9.68</v>
      </c>
      <c r="I1380" t="str">
        <f t="shared" si="63"/>
        <v>janeiro 2026</v>
      </c>
      <c r="J1380">
        <f t="shared" si="62"/>
        <v>2026</v>
      </c>
      <c r="K1380" t="str">
        <f>VLOOKUP(G1380,METRICS!C:D,2,0)</f>
        <v>Taxas Financeiras Diversas</v>
      </c>
      <c r="L1380" t="str">
        <f>VLOOKUP(K1380,METRICS!D:E,2,0)</f>
        <v>TAXAS CARTÃO DE CRÉDITO</v>
      </c>
    </row>
    <row r="1381" spans="1:12" ht="15" hidden="1">
      <c r="A1381" t="s">
        <v>1079</v>
      </c>
      <c r="B1381" t="s">
        <v>689</v>
      </c>
      <c r="C1381" t="s">
        <v>690</v>
      </c>
      <c r="D1381" t="s">
        <v>733</v>
      </c>
      <c r="E1381" t="s">
        <v>734</v>
      </c>
      <c r="F1381" t="s">
        <v>1272</v>
      </c>
      <c r="G1381" t="s">
        <v>665</v>
      </c>
      <c r="H1381" s="595">
        <v>-0.99</v>
      </c>
      <c r="I1381" t="str">
        <f t="shared" si="63"/>
        <v>janeiro 2026</v>
      </c>
      <c r="J1381">
        <f t="shared" si="62"/>
        <v>2026</v>
      </c>
      <c r="K1381" t="str">
        <f>VLOOKUP(G1381,METRICS!C:D,2,0)</f>
        <v>Taxas Financeiras Diversas</v>
      </c>
      <c r="L1381" t="str">
        <f>VLOOKUP(K1381,METRICS!D:E,2,0)</f>
        <v>TAXAS CARTÃO DE CRÉDITO</v>
      </c>
    </row>
    <row r="1382" spans="1:12" ht="15" hidden="1">
      <c r="A1382" t="s">
        <v>1079</v>
      </c>
      <c r="B1382" t="s">
        <v>689</v>
      </c>
      <c r="C1382" t="s">
        <v>690</v>
      </c>
      <c r="D1382" t="s">
        <v>743</v>
      </c>
      <c r="E1382" t="s">
        <v>734</v>
      </c>
      <c r="F1382" t="s">
        <v>1272</v>
      </c>
      <c r="G1382" t="s">
        <v>665</v>
      </c>
      <c r="H1382" s="595">
        <v>-5.93</v>
      </c>
      <c r="I1382" t="str">
        <f t="shared" si="63"/>
        <v>janeiro 2026</v>
      </c>
      <c r="J1382">
        <f t="shared" si="62"/>
        <v>2026</v>
      </c>
      <c r="K1382" t="str">
        <f>VLOOKUP(G1382,METRICS!C:D,2,0)</f>
        <v>Taxas Financeiras Diversas</v>
      </c>
      <c r="L1382" t="str">
        <f>VLOOKUP(K1382,METRICS!D:E,2,0)</f>
        <v>TAXAS CARTÃO DE CRÉDITO</v>
      </c>
    </row>
    <row r="1383" spans="1:12" ht="15" hidden="1">
      <c r="A1383" t="s">
        <v>1079</v>
      </c>
      <c r="B1383" t="s">
        <v>689</v>
      </c>
      <c r="C1383" t="s">
        <v>690</v>
      </c>
      <c r="D1383" t="s">
        <v>733</v>
      </c>
      <c r="E1383" t="s">
        <v>734</v>
      </c>
      <c r="F1383" t="s">
        <v>1272</v>
      </c>
      <c r="G1383" t="s">
        <v>665</v>
      </c>
      <c r="H1383" s="595">
        <v>-5.56</v>
      </c>
      <c r="I1383" t="str">
        <f t="shared" si="63"/>
        <v>janeiro 2026</v>
      </c>
      <c r="J1383">
        <f t="shared" si="62"/>
        <v>2026</v>
      </c>
      <c r="K1383" t="str">
        <f>VLOOKUP(G1383,METRICS!C:D,2,0)</f>
        <v>Taxas Financeiras Diversas</v>
      </c>
      <c r="L1383" t="str">
        <f>VLOOKUP(K1383,METRICS!D:E,2,0)</f>
        <v>TAXAS CARTÃO DE CRÉDITO</v>
      </c>
    </row>
    <row r="1384" spans="1:12" ht="15" hidden="1">
      <c r="A1384" t="s">
        <v>1079</v>
      </c>
      <c r="B1384" t="s">
        <v>689</v>
      </c>
      <c r="C1384" t="s">
        <v>690</v>
      </c>
      <c r="D1384" t="s">
        <v>733</v>
      </c>
      <c r="E1384" t="s">
        <v>734</v>
      </c>
      <c r="F1384" t="s">
        <v>1272</v>
      </c>
      <c r="G1384" t="s">
        <v>665</v>
      </c>
      <c r="H1384" s="595">
        <v>-35.11</v>
      </c>
      <c r="I1384" t="str">
        <f t="shared" si="63"/>
        <v>janeiro 2026</v>
      </c>
      <c r="J1384">
        <f t="shared" si="62"/>
        <v>2026</v>
      </c>
      <c r="K1384" t="str">
        <f>VLOOKUP(G1384,METRICS!C:D,2,0)</f>
        <v>Taxas Financeiras Diversas</v>
      </c>
      <c r="L1384" t="str">
        <f>VLOOKUP(K1384,METRICS!D:E,2,0)</f>
        <v>TAXAS CARTÃO DE CRÉDITO</v>
      </c>
    </row>
    <row r="1385" spans="1:12" ht="15" hidden="1">
      <c r="A1385" t="s">
        <v>1079</v>
      </c>
      <c r="B1385" t="s">
        <v>612</v>
      </c>
      <c r="C1385" t="s">
        <v>690</v>
      </c>
      <c r="D1385" t="s">
        <v>1089</v>
      </c>
      <c r="E1385" t="s">
        <v>872</v>
      </c>
      <c r="F1385" t="s">
        <v>1272</v>
      </c>
      <c r="G1385" t="s">
        <v>608</v>
      </c>
      <c r="H1385" s="595">
        <v>-2315.52</v>
      </c>
      <c r="I1385" t="str">
        <f t="shared" si="63"/>
        <v>janeiro 2026</v>
      </c>
      <c r="J1385">
        <f t="shared" si="62"/>
        <v>2026</v>
      </c>
      <c r="K1385" t="str">
        <f>VLOOKUP(G1385,METRICS!C:D,2,0)</f>
        <v>Bebidas não Alcoolicas</v>
      </c>
      <c r="L1385" t="str">
        <f>VLOOKUP(K1385,METRICS!D:E,2,0)</f>
        <v>CUSTOS DOS PRODUTOS VENDIDOS</v>
      </c>
    </row>
    <row r="1386" spans="1:12" ht="15" hidden="1">
      <c r="A1386" t="s">
        <v>1079</v>
      </c>
      <c r="B1386" t="s">
        <v>689</v>
      </c>
      <c r="C1386" t="s">
        <v>690</v>
      </c>
      <c r="D1386" t="s">
        <v>753</v>
      </c>
      <c r="E1386" t="s">
        <v>734</v>
      </c>
      <c r="F1386" t="s">
        <v>1272</v>
      </c>
      <c r="G1386" t="s">
        <v>665</v>
      </c>
      <c r="H1386" s="595">
        <v>-23.09</v>
      </c>
      <c r="I1386" t="str">
        <f t="shared" si="63"/>
        <v>janeiro 2026</v>
      </c>
      <c r="J1386">
        <f t="shared" si="62"/>
        <v>2026</v>
      </c>
      <c r="K1386" t="str">
        <f>VLOOKUP(G1386,METRICS!C:D,2,0)</f>
        <v>Taxas Financeiras Diversas</v>
      </c>
      <c r="L1386" t="str">
        <f>VLOOKUP(K1386,METRICS!D:E,2,0)</f>
        <v>TAXAS CARTÃO DE CRÉDITO</v>
      </c>
    </row>
    <row r="1387" spans="1:12" ht="15" hidden="1">
      <c r="A1387" t="s">
        <v>1079</v>
      </c>
      <c r="B1387" t="s">
        <v>689</v>
      </c>
      <c r="C1387" t="s">
        <v>690</v>
      </c>
      <c r="D1387" t="s">
        <v>733</v>
      </c>
      <c r="E1387" t="s">
        <v>734</v>
      </c>
      <c r="F1387" t="s">
        <v>1272</v>
      </c>
      <c r="G1387" t="s">
        <v>665</v>
      </c>
      <c r="H1387" s="595">
        <v>-5.6</v>
      </c>
      <c r="I1387" t="str">
        <f t="shared" si="63"/>
        <v>janeiro 2026</v>
      </c>
      <c r="J1387">
        <f t="shared" si="62"/>
        <v>2026</v>
      </c>
      <c r="K1387" t="str">
        <f>VLOOKUP(G1387,METRICS!C:D,2,0)</f>
        <v>Taxas Financeiras Diversas</v>
      </c>
      <c r="L1387" t="str">
        <f>VLOOKUP(K1387,METRICS!D:E,2,0)</f>
        <v>TAXAS CARTÃO DE CRÉDITO</v>
      </c>
    </row>
    <row r="1388" spans="1:12" ht="15" hidden="1">
      <c r="A1388" t="s">
        <v>1079</v>
      </c>
      <c r="B1388" t="s">
        <v>689</v>
      </c>
      <c r="C1388" t="s">
        <v>690</v>
      </c>
      <c r="D1388" t="s">
        <v>733</v>
      </c>
      <c r="E1388" t="s">
        <v>734</v>
      </c>
      <c r="F1388" t="s">
        <v>1272</v>
      </c>
      <c r="G1388" t="s">
        <v>665</v>
      </c>
      <c r="H1388" s="595">
        <v>-7.63</v>
      </c>
      <c r="I1388" t="str">
        <f t="shared" si="63"/>
        <v>janeiro 2026</v>
      </c>
      <c r="J1388">
        <f t="shared" si="62"/>
        <v>2026</v>
      </c>
      <c r="K1388" t="str">
        <f>VLOOKUP(G1388,METRICS!C:D,2,0)</f>
        <v>Taxas Financeiras Diversas</v>
      </c>
      <c r="L1388" t="str">
        <f>VLOOKUP(K1388,METRICS!D:E,2,0)</f>
        <v>TAXAS CARTÃO DE CRÉDITO</v>
      </c>
    </row>
    <row r="1389" spans="1:12" ht="15" hidden="1">
      <c r="A1389" t="s">
        <v>1079</v>
      </c>
      <c r="B1389" t="s">
        <v>689</v>
      </c>
      <c r="C1389" t="s">
        <v>690</v>
      </c>
      <c r="D1389" t="s">
        <v>733</v>
      </c>
      <c r="E1389" t="s">
        <v>734</v>
      </c>
      <c r="F1389" t="s">
        <v>1272</v>
      </c>
      <c r="G1389" t="s">
        <v>665</v>
      </c>
      <c r="H1389" s="595">
        <v>-5.56</v>
      </c>
      <c r="I1389" t="str">
        <f t="shared" si="63"/>
        <v>janeiro 2026</v>
      </c>
      <c r="J1389">
        <f t="shared" si="62"/>
        <v>2026</v>
      </c>
      <c r="K1389" t="str">
        <f>VLOOKUP(G1389,METRICS!C:D,2,0)</f>
        <v>Taxas Financeiras Diversas</v>
      </c>
      <c r="L1389" t="str">
        <f>VLOOKUP(K1389,METRICS!D:E,2,0)</f>
        <v>TAXAS CARTÃO DE CRÉDITO</v>
      </c>
    </row>
    <row r="1390" spans="1:12" ht="15" hidden="1">
      <c r="A1390" t="s">
        <v>1079</v>
      </c>
      <c r="B1390" t="s">
        <v>689</v>
      </c>
      <c r="C1390" t="s">
        <v>690</v>
      </c>
      <c r="D1390" t="s">
        <v>733</v>
      </c>
      <c r="E1390" t="s">
        <v>734</v>
      </c>
      <c r="F1390" t="s">
        <v>1272</v>
      </c>
      <c r="G1390" t="s">
        <v>665</v>
      </c>
      <c r="H1390" s="595">
        <v>-5.33</v>
      </c>
      <c r="I1390" t="str">
        <f t="shared" si="63"/>
        <v>janeiro 2026</v>
      </c>
      <c r="J1390">
        <f t="shared" si="62"/>
        <v>2026</v>
      </c>
      <c r="K1390" t="str">
        <f>VLOOKUP(G1390,METRICS!C:D,2,0)</f>
        <v>Taxas Financeiras Diversas</v>
      </c>
      <c r="L1390" t="str">
        <f>VLOOKUP(K1390,METRICS!D:E,2,0)</f>
        <v>TAXAS CARTÃO DE CRÉDITO</v>
      </c>
    </row>
    <row r="1391" spans="1:12" ht="15" hidden="1">
      <c r="A1391" t="s">
        <v>1079</v>
      </c>
      <c r="B1391" t="s">
        <v>689</v>
      </c>
      <c r="C1391" t="s">
        <v>690</v>
      </c>
      <c r="D1391" t="s">
        <v>733</v>
      </c>
      <c r="E1391" t="s">
        <v>734</v>
      </c>
      <c r="F1391" t="s">
        <v>1272</v>
      </c>
      <c r="G1391" t="s">
        <v>665</v>
      </c>
      <c r="H1391" s="595">
        <v>-7.56</v>
      </c>
      <c r="I1391" t="str">
        <f t="shared" si="63"/>
        <v>janeiro 2026</v>
      </c>
      <c r="J1391">
        <f t="shared" si="62"/>
        <v>2026</v>
      </c>
      <c r="K1391" t="str">
        <f>VLOOKUP(G1391,METRICS!C:D,2,0)</f>
        <v>Taxas Financeiras Diversas</v>
      </c>
      <c r="L1391" t="str">
        <f>VLOOKUP(K1391,METRICS!D:E,2,0)</f>
        <v>TAXAS CARTÃO DE CRÉDITO</v>
      </c>
    </row>
    <row r="1392" spans="1:12" ht="15" hidden="1">
      <c r="A1392" t="s">
        <v>1079</v>
      </c>
      <c r="B1392" t="s">
        <v>689</v>
      </c>
      <c r="C1392" t="s">
        <v>690</v>
      </c>
      <c r="D1392" t="s">
        <v>733</v>
      </c>
      <c r="E1392" t="s">
        <v>734</v>
      </c>
      <c r="F1392" t="s">
        <v>1272</v>
      </c>
      <c r="G1392" t="s">
        <v>665</v>
      </c>
      <c r="H1392" s="595">
        <v>-2.86</v>
      </c>
      <c r="I1392" t="str">
        <f t="shared" si="63"/>
        <v>janeiro 2026</v>
      </c>
      <c r="J1392">
        <f t="shared" si="62"/>
        <v>2026</v>
      </c>
      <c r="K1392" t="str">
        <f>VLOOKUP(G1392,METRICS!C:D,2,0)</f>
        <v>Taxas Financeiras Diversas</v>
      </c>
      <c r="L1392" t="str">
        <f>VLOOKUP(K1392,METRICS!D:E,2,0)</f>
        <v>TAXAS CARTÃO DE CRÉDITO</v>
      </c>
    </row>
    <row r="1393" spans="1:12" ht="15" hidden="1">
      <c r="A1393" t="s">
        <v>1079</v>
      </c>
      <c r="B1393" t="s">
        <v>689</v>
      </c>
      <c r="C1393" t="s">
        <v>690</v>
      </c>
      <c r="D1393" t="s">
        <v>743</v>
      </c>
      <c r="E1393" t="s">
        <v>734</v>
      </c>
      <c r="F1393" t="s">
        <v>1272</v>
      </c>
      <c r="G1393" t="s">
        <v>665</v>
      </c>
      <c r="H1393" s="595">
        <v>-7.72</v>
      </c>
      <c r="I1393" t="str">
        <f t="shared" si="63"/>
        <v>janeiro 2026</v>
      </c>
      <c r="J1393">
        <f t="shared" si="62"/>
        <v>2026</v>
      </c>
      <c r="K1393" t="str">
        <f>VLOOKUP(G1393,METRICS!C:D,2,0)</f>
        <v>Taxas Financeiras Diversas</v>
      </c>
      <c r="L1393" t="str">
        <f>VLOOKUP(K1393,METRICS!D:E,2,0)</f>
        <v>TAXAS CARTÃO DE CRÉDITO</v>
      </c>
    </row>
    <row r="1394" spans="1:12" ht="15" hidden="1">
      <c r="A1394" t="s">
        <v>1079</v>
      </c>
      <c r="B1394" t="s">
        <v>689</v>
      </c>
      <c r="C1394" t="s">
        <v>690</v>
      </c>
      <c r="D1394" t="s">
        <v>733</v>
      </c>
      <c r="E1394" t="s">
        <v>734</v>
      </c>
      <c r="F1394" t="s">
        <v>1272</v>
      </c>
      <c r="G1394" t="s">
        <v>665</v>
      </c>
      <c r="H1394" s="595">
        <v>-1.57</v>
      </c>
      <c r="I1394" t="str">
        <f t="shared" si="63"/>
        <v>janeiro 2026</v>
      </c>
      <c r="J1394">
        <f t="shared" si="62"/>
        <v>2026</v>
      </c>
      <c r="K1394" t="str">
        <f>VLOOKUP(G1394,METRICS!C:D,2,0)</f>
        <v>Taxas Financeiras Diversas</v>
      </c>
      <c r="L1394" t="str">
        <f>VLOOKUP(K1394,METRICS!D:E,2,0)</f>
        <v>TAXAS CARTÃO DE CRÉDITO</v>
      </c>
    </row>
    <row r="1395" spans="1:12" ht="15" hidden="1">
      <c r="A1395" s="593" t="s">
        <v>1090</v>
      </c>
      <c r="B1395" s="593" t="s">
        <v>612</v>
      </c>
      <c r="C1395" s="593" t="s">
        <v>690</v>
      </c>
      <c r="D1395" s="593" t="s">
        <v>1091</v>
      </c>
      <c r="E1395" s="593" t="s">
        <v>330</v>
      </c>
      <c r="F1395" s="593" t="s">
        <v>1272</v>
      </c>
      <c r="G1395" s="518" t="s">
        <v>2227</v>
      </c>
      <c r="H1395" s="594">
        <v>-2827.2</v>
      </c>
      <c r="I1395" s="593" t="str">
        <f t="shared" si="63"/>
        <v>janeiro 2026</v>
      </c>
      <c r="J1395" s="593">
        <f t="shared" si="62"/>
        <v>2026</v>
      </c>
      <c r="K1395" s="593" t="str">
        <f>VLOOKUP(G1395,METRICS!C:D,2,0)</f>
        <v>Coleta de Lixo</v>
      </c>
      <c r="L1395" s="593" t="str">
        <f>VLOOKUP(K1395,METRICS!D:E,2,0)</f>
        <v>OPERAÇÃO</v>
      </c>
    </row>
    <row r="1396" spans="1:12" ht="15" hidden="1">
      <c r="A1396" t="s">
        <v>1090</v>
      </c>
      <c r="B1396" t="s">
        <v>689</v>
      </c>
      <c r="C1396" t="s">
        <v>690</v>
      </c>
      <c r="D1396" t="s">
        <v>733</v>
      </c>
      <c r="E1396" t="s">
        <v>734</v>
      </c>
      <c r="F1396" t="s">
        <v>1272</v>
      </c>
      <c r="G1396" t="s">
        <v>665</v>
      </c>
      <c r="H1396" s="595">
        <v>-4.6100000000000003</v>
      </c>
      <c r="I1396" t="str">
        <f t="shared" si="63"/>
        <v>janeiro 2026</v>
      </c>
      <c r="J1396">
        <f t="shared" si="62"/>
        <v>2026</v>
      </c>
      <c r="K1396" t="str">
        <f>VLOOKUP(G1396,METRICS!C:D,2,0)</f>
        <v>Taxas Financeiras Diversas</v>
      </c>
      <c r="L1396" t="str">
        <f>VLOOKUP(K1396,METRICS!D:E,2,0)</f>
        <v>TAXAS CARTÃO DE CRÉDITO</v>
      </c>
    </row>
    <row r="1397" spans="1:12" ht="15" hidden="1">
      <c r="A1397" t="s">
        <v>1090</v>
      </c>
      <c r="B1397" t="s">
        <v>689</v>
      </c>
      <c r="C1397" t="s">
        <v>690</v>
      </c>
      <c r="D1397" t="s">
        <v>743</v>
      </c>
      <c r="E1397" t="s">
        <v>734</v>
      </c>
      <c r="F1397" t="s">
        <v>1272</v>
      </c>
      <c r="G1397" t="s">
        <v>665</v>
      </c>
      <c r="H1397" s="595">
        <v>-1.43</v>
      </c>
      <c r="I1397" t="str">
        <f t="shared" si="63"/>
        <v>janeiro 2026</v>
      </c>
      <c r="J1397">
        <f t="shared" si="62"/>
        <v>2026</v>
      </c>
      <c r="K1397" t="str">
        <f>VLOOKUP(G1397,METRICS!C:D,2,0)</f>
        <v>Taxas Financeiras Diversas</v>
      </c>
      <c r="L1397" t="str">
        <f>VLOOKUP(K1397,METRICS!D:E,2,0)</f>
        <v>TAXAS CARTÃO DE CRÉDITO</v>
      </c>
    </row>
    <row r="1398" spans="1:12" ht="15" hidden="1">
      <c r="A1398" t="s">
        <v>1090</v>
      </c>
      <c r="B1398" t="s">
        <v>612</v>
      </c>
      <c r="C1398" t="s">
        <v>690</v>
      </c>
      <c r="D1398" t="s">
        <v>1092</v>
      </c>
      <c r="E1398" t="s">
        <v>1093</v>
      </c>
      <c r="F1398" t="s">
        <v>1272</v>
      </c>
      <c r="G1398" t="s">
        <v>625</v>
      </c>
      <c r="H1398" s="595">
        <v>-5000</v>
      </c>
      <c r="I1398" t="str">
        <f t="shared" si="63"/>
        <v>janeiro 2026</v>
      </c>
      <c r="J1398">
        <f t="shared" si="62"/>
        <v>2026</v>
      </c>
      <c r="K1398" t="str">
        <f>VLOOKUP(G1398,METRICS!C:D,2,0)</f>
        <v>Manutenção e Conservação</v>
      </c>
      <c r="L1398" t="str">
        <f>VLOOKUP(K1398,METRICS!D:E,2,0)</f>
        <v>OPERAÇÃO</v>
      </c>
    </row>
    <row r="1399" spans="1:12" ht="15" hidden="1">
      <c r="A1399" t="s">
        <v>1090</v>
      </c>
      <c r="B1399" t="s">
        <v>689</v>
      </c>
      <c r="C1399" t="s">
        <v>690</v>
      </c>
      <c r="D1399" t="s">
        <v>733</v>
      </c>
      <c r="E1399" t="s">
        <v>734</v>
      </c>
      <c r="F1399" t="s">
        <v>1272</v>
      </c>
      <c r="G1399" t="s">
        <v>665</v>
      </c>
      <c r="H1399" s="595">
        <v>-0.93</v>
      </c>
      <c r="I1399" t="str">
        <f t="shared" si="63"/>
        <v>janeiro 2026</v>
      </c>
      <c r="J1399">
        <f t="shared" ref="J1399:J1460" si="64">YEAR(A1399)</f>
        <v>2026</v>
      </c>
      <c r="K1399" t="str">
        <f>VLOOKUP(G1399,METRICS!C:D,2,0)</f>
        <v>Taxas Financeiras Diversas</v>
      </c>
      <c r="L1399" t="str">
        <f>VLOOKUP(K1399,METRICS!D:E,2,0)</f>
        <v>TAXAS CARTÃO DE CRÉDITO</v>
      </c>
    </row>
    <row r="1400" spans="1:12" ht="15" hidden="1">
      <c r="A1400" t="s">
        <v>1090</v>
      </c>
      <c r="B1400" t="s">
        <v>612</v>
      </c>
      <c r="C1400" t="s">
        <v>690</v>
      </c>
      <c r="D1400" t="s">
        <v>1094</v>
      </c>
      <c r="E1400" t="s">
        <v>857</v>
      </c>
      <c r="F1400" t="s">
        <v>1272</v>
      </c>
      <c r="G1400" t="s">
        <v>413</v>
      </c>
      <c r="H1400" s="595">
        <v>-330</v>
      </c>
      <c r="I1400" t="str">
        <f t="shared" si="63"/>
        <v>janeiro 2026</v>
      </c>
      <c r="J1400">
        <f t="shared" si="64"/>
        <v>2026</v>
      </c>
      <c r="K1400" t="str">
        <f>VLOOKUP(G1400,METRICS!C:D,2,0)</f>
        <v>Pescados</v>
      </c>
      <c r="L1400" t="str">
        <f>VLOOKUP(K1400,METRICS!D:E,2,0)</f>
        <v>CUSTOS DOS PRODUTOS VENDIDOS</v>
      </c>
    </row>
    <row r="1401" spans="1:12" ht="15" hidden="1">
      <c r="A1401" t="s">
        <v>1090</v>
      </c>
      <c r="B1401" t="s">
        <v>689</v>
      </c>
      <c r="C1401" t="s">
        <v>690</v>
      </c>
      <c r="D1401" t="s">
        <v>733</v>
      </c>
      <c r="E1401" t="s">
        <v>734</v>
      </c>
      <c r="F1401" t="s">
        <v>1272</v>
      </c>
      <c r="G1401" t="s">
        <v>665</v>
      </c>
      <c r="H1401" s="595">
        <v>-3.15</v>
      </c>
      <c r="I1401" t="str">
        <f t="shared" si="63"/>
        <v>janeiro 2026</v>
      </c>
      <c r="J1401">
        <f t="shared" si="64"/>
        <v>2026</v>
      </c>
      <c r="K1401" t="str">
        <f>VLOOKUP(G1401,METRICS!C:D,2,0)</f>
        <v>Taxas Financeiras Diversas</v>
      </c>
      <c r="L1401" t="str">
        <f>VLOOKUP(K1401,METRICS!D:E,2,0)</f>
        <v>TAXAS CARTÃO DE CRÉDITO</v>
      </c>
    </row>
    <row r="1402" spans="1:12" ht="15" hidden="1">
      <c r="A1402" t="s">
        <v>1090</v>
      </c>
      <c r="B1402" t="s">
        <v>689</v>
      </c>
      <c r="C1402" t="s">
        <v>690</v>
      </c>
      <c r="D1402" t="s">
        <v>733</v>
      </c>
      <c r="E1402" t="s">
        <v>734</v>
      </c>
      <c r="F1402" t="s">
        <v>1272</v>
      </c>
      <c r="G1402" t="s">
        <v>665</v>
      </c>
      <c r="H1402" s="595">
        <v>-5.75</v>
      </c>
      <c r="I1402" t="str">
        <f t="shared" si="63"/>
        <v>janeiro 2026</v>
      </c>
      <c r="J1402">
        <f t="shared" si="64"/>
        <v>2026</v>
      </c>
      <c r="K1402" t="str">
        <f>VLOOKUP(G1402,METRICS!C:D,2,0)</f>
        <v>Taxas Financeiras Diversas</v>
      </c>
      <c r="L1402" t="str">
        <f>VLOOKUP(K1402,METRICS!D:E,2,0)</f>
        <v>TAXAS CARTÃO DE CRÉDITO</v>
      </c>
    </row>
    <row r="1403" spans="1:12" ht="15" hidden="1">
      <c r="A1403" t="s">
        <v>1090</v>
      </c>
      <c r="B1403" t="s">
        <v>689</v>
      </c>
      <c r="C1403" t="s">
        <v>690</v>
      </c>
      <c r="D1403" t="s">
        <v>733</v>
      </c>
      <c r="E1403" t="s">
        <v>734</v>
      </c>
      <c r="F1403" t="s">
        <v>1272</v>
      </c>
      <c r="G1403" t="s">
        <v>665</v>
      </c>
      <c r="H1403" s="595">
        <v>-7.16</v>
      </c>
      <c r="I1403" t="str">
        <f t="shared" si="63"/>
        <v>janeiro 2026</v>
      </c>
      <c r="J1403">
        <f t="shared" si="64"/>
        <v>2026</v>
      </c>
      <c r="K1403" t="str">
        <f>VLOOKUP(G1403,METRICS!C:D,2,0)</f>
        <v>Taxas Financeiras Diversas</v>
      </c>
      <c r="L1403" t="str">
        <f>VLOOKUP(K1403,METRICS!D:E,2,0)</f>
        <v>TAXAS CARTÃO DE CRÉDITO</v>
      </c>
    </row>
    <row r="1404" spans="1:12" ht="15" hidden="1">
      <c r="A1404" t="s">
        <v>1090</v>
      </c>
      <c r="B1404" t="s">
        <v>689</v>
      </c>
      <c r="C1404" t="s">
        <v>690</v>
      </c>
      <c r="D1404" t="s">
        <v>743</v>
      </c>
      <c r="E1404" t="s">
        <v>734</v>
      </c>
      <c r="F1404" t="s">
        <v>1272</v>
      </c>
      <c r="G1404" t="s">
        <v>665</v>
      </c>
      <c r="H1404" s="595">
        <v>-11.44</v>
      </c>
      <c r="I1404" t="str">
        <f t="shared" si="63"/>
        <v>janeiro 2026</v>
      </c>
      <c r="J1404">
        <f t="shared" si="64"/>
        <v>2026</v>
      </c>
      <c r="K1404" t="str">
        <f>VLOOKUP(G1404,METRICS!C:D,2,0)</f>
        <v>Taxas Financeiras Diversas</v>
      </c>
      <c r="L1404" t="str">
        <f>VLOOKUP(K1404,METRICS!D:E,2,0)</f>
        <v>TAXAS CARTÃO DE CRÉDITO</v>
      </c>
    </row>
    <row r="1405" spans="1:12" ht="15" hidden="1">
      <c r="A1405" t="s">
        <v>1090</v>
      </c>
      <c r="B1405" t="s">
        <v>689</v>
      </c>
      <c r="C1405" t="s">
        <v>690</v>
      </c>
      <c r="D1405" t="s">
        <v>743</v>
      </c>
      <c r="E1405" t="s">
        <v>734</v>
      </c>
      <c r="F1405" t="s">
        <v>1272</v>
      </c>
      <c r="G1405" t="s">
        <v>665</v>
      </c>
      <c r="H1405" s="595">
        <v>-7.38</v>
      </c>
      <c r="I1405" t="str">
        <f t="shared" si="63"/>
        <v>janeiro 2026</v>
      </c>
      <c r="J1405">
        <f t="shared" si="64"/>
        <v>2026</v>
      </c>
      <c r="K1405" t="str">
        <f>VLOOKUP(G1405,METRICS!C:D,2,0)</f>
        <v>Taxas Financeiras Diversas</v>
      </c>
      <c r="L1405" t="str">
        <f>VLOOKUP(K1405,METRICS!D:E,2,0)</f>
        <v>TAXAS CARTÃO DE CRÉDITO</v>
      </c>
    </row>
    <row r="1406" spans="1:12" ht="15" hidden="1">
      <c r="A1406" t="s">
        <v>1090</v>
      </c>
      <c r="B1406" t="s">
        <v>689</v>
      </c>
      <c r="C1406" t="s">
        <v>690</v>
      </c>
      <c r="D1406" t="s">
        <v>743</v>
      </c>
      <c r="E1406" t="s">
        <v>734</v>
      </c>
      <c r="F1406" t="s">
        <v>1272</v>
      </c>
      <c r="G1406" t="s">
        <v>665</v>
      </c>
      <c r="H1406" s="595">
        <v>-4.75</v>
      </c>
      <c r="I1406" t="str">
        <f t="shared" si="63"/>
        <v>janeiro 2026</v>
      </c>
      <c r="J1406">
        <f t="shared" si="64"/>
        <v>2026</v>
      </c>
      <c r="K1406" t="str">
        <f>VLOOKUP(G1406,METRICS!C:D,2,0)</f>
        <v>Taxas Financeiras Diversas</v>
      </c>
      <c r="L1406" t="str">
        <f>VLOOKUP(K1406,METRICS!D:E,2,0)</f>
        <v>TAXAS CARTÃO DE CRÉDITO</v>
      </c>
    </row>
    <row r="1407" spans="1:12" ht="15" hidden="1">
      <c r="A1407" t="s">
        <v>1090</v>
      </c>
      <c r="B1407" t="s">
        <v>689</v>
      </c>
      <c r="C1407" t="s">
        <v>690</v>
      </c>
      <c r="D1407" t="s">
        <v>743</v>
      </c>
      <c r="E1407" t="s">
        <v>734</v>
      </c>
      <c r="F1407" t="s">
        <v>1272</v>
      </c>
      <c r="G1407" t="s">
        <v>665</v>
      </c>
      <c r="H1407" s="595">
        <v>-9.2100000000000009</v>
      </c>
      <c r="I1407" t="str">
        <f t="shared" si="63"/>
        <v>janeiro 2026</v>
      </c>
      <c r="J1407">
        <f t="shared" si="64"/>
        <v>2026</v>
      </c>
      <c r="K1407" t="str">
        <f>VLOOKUP(G1407,METRICS!C:D,2,0)</f>
        <v>Taxas Financeiras Diversas</v>
      </c>
      <c r="L1407" t="str">
        <f>VLOOKUP(K1407,METRICS!D:E,2,0)</f>
        <v>TAXAS CARTÃO DE CRÉDITO</v>
      </c>
    </row>
    <row r="1408" spans="1:12" ht="15" hidden="1">
      <c r="A1408" t="s">
        <v>1090</v>
      </c>
      <c r="B1408" t="s">
        <v>689</v>
      </c>
      <c r="C1408" t="s">
        <v>690</v>
      </c>
      <c r="D1408" t="s">
        <v>753</v>
      </c>
      <c r="E1408" t="s">
        <v>734</v>
      </c>
      <c r="F1408" t="s">
        <v>1272</v>
      </c>
      <c r="G1408" t="s">
        <v>665</v>
      </c>
      <c r="H1408" s="595">
        <v>-17.22</v>
      </c>
      <c r="I1408" t="str">
        <f t="shared" si="63"/>
        <v>janeiro 2026</v>
      </c>
      <c r="J1408">
        <f t="shared" si="64"/>
        <v>2026</v>
      </c>
      <c r="K1408" t="str">
        <f>VLOOKUP(G1408,METRICS!C:D,2,0)</f>
        <v>Taxas Financeiras Diversas</v>
      </c>
      <c r="L1408" t="str">
        <f>VLOOKUP(K1408,METRICS!D:E,2,0)</f>
        <v>TAXAS CARTÃO DE CRÉDITO</v>
      </c>
    </row>
    <row r="1409" spans="1:12" ht="15" hidden="1">
      <c r="A1409" t="s">
        <v>1090</v>
      </c>
      <c r="B1409" t="s">
        <v>689</v>
      </c>
      <c r="C1409" t="s">
        <v>690</v>
      </c>
      <c r="D1409" t="s">
        <v>733</v>
      </c>
      <c r="E1409" t="s">
        <v>734</v>
      </c>
      <c r="F1409" t="s">
        <v>1272</v>
      </c>
      <c r="G1409" t="s">
        <v>665</v>
      </c>
      <c r="H1409" s="595">
        <v>-2.04</v>
      </c>
      <c r="I1409" t="str">
        <f t="shared" si="63"/>
        <v>janeiro 2026</v>
      </c>
      <c r="J1409">
        <f t="shared" si="64"/>
        <v>2026</v>
      </c>
      <c r="K1409" t="str">
        <f>VLOOKUP(G1409,METRICS!C:D,2,0)</f>
        <v>Taxas Financeiras Diversas</v>
      </c>
      <c r="L1409" t="str">
        <f>VLOOKUP(K1409,METRICS!D:E,2,0)</f>
        <v>TAXAS CARTÃO DE CRÉDITO</v>
      </c>
    </row>
    <row r="1410" spans="1:12" ht="15" hidden="1">
      <c r="A1410" t="s">
        <v>1090</v>
      </c>
      <c r="B1410" t="s">
        <v>689</v>
      </c>
      <c r="C1410" t="s">
        <v>690</v>
      </c>
      <c r="D1410" t="s">
        <v>743</v>
      </c>
      <c r="E1410" t="s">
        <v>734</v>
      </c>
      <c r="F1410" t="s">
        <v>1272</v>
      </c>
      <c r="G1410" t="s">
        <v>665</v>
      </c>
      <c r="H1410" s="595">
        <v>-15.93</v>
      </c>
      <c r="I1410" t="str">
        <f t="shared" si="63"/>
        <v>janeiro 2026</v>
      </c>
      <c r="J1410">
        <f t="shared" si="64"/>
        <v>2026</v>
      </c>
      <c r="K1410" t="str">
        <f>VLOOKUP(G1410,METRICS!C:D,2,0)</f>
        <v>Taxas Financeiras Diversas</v>
      </c>
      <c r="L1410" t="str">
        <f>VLOOKUP(K1410,METRICS!D:E,2,0)</f>
        <v>TAXAS CARTÃO DE CRÉDITO</v>
      </c>
    </row>
    <row r="1411" spans="1:12" ht="15" hidden="1">
      <c r="A1411" t="s">
        <v>1090</v>
      </c>
      <c r="B1411" t="s">
        <v>689</v>
      </c>
      <c r="C1411" t="s">
        <v>690</v>
      </c>
      <c r="D1411" t="s">
        <v>743</v>
      </c>
      <c r="E1411" t="s">
        <v>734</v>
      </c>
      <c r="F1411" t="s">
        <v>1272</v>
      </c>
      <c r="G1411" t="s">
        <v>665</v>
      </c>
      <c r="H1411" s="595">
        <v>-1.17</v>
      </c>
      <c r="I1411" t="str">
        <f t="shared" si="63"/>
        <v>janeiro 2026</v>
      </c>
      <c r="J1411">
        <f t="shared" si="64"/>
        <v>2026</v>
      </c>
      <c r="K1411" t="str">
        <f>VLOOKUP(G1411,METRICS!C:D,2,0)</f>
        <v>Taxas Financeiras Diversas</v>
      </c>
      <c r="L1411" t="str">
        <f>VLOOKUP(K1411,METRICS!D:E,2,0)</f>
        <v>TAXAS CARTÃO DE CRÉDITO</v>
      </c>
    </row>
    <row r="1412" spans="1:12" ht="15" hidden="1">
      <c r="A1412" t="s">
        <v>1090</v>
      </c>
      <c r="B1412" t="s">
        <v>689</v>
      </c>
      <c r="C1412" t="s">
        <v>690</v>
      </c>
      <c r="D1412" t="s">
        <v>733</v>
      </c>
      <c r="E1412" t="s">
        <v>734</v>
      </c>
      <c r="F1412" t="s">
        <v>1272</v>
      </c>
      <c r="G1412" t="s">
        <v>665</v>
      </c>
      <c r="H1412" s="595">
        <v>-2.04</v>
      </c>
      <c r="I1412" t="str">
        <f t="shared" si="63"/>
        <v>janeiro 2026</v>
      </c>
      <c r="J1412">
        <f t="shared" si="64"/>
        <v>2026</v>
      </c>
      <c r="K1412" t="str">
        <f>VLOOKUP(G1412,METRICS!C:D,2,0)</f>
        <v>Taxas Financeiras Diversas</v>
      </c>
      <c r="L1412" t="str">
        <f>VLOOKUP(K1412,METRICS!D:E,2,0)</f>
        <v>TAXAS CARTÃO DE CRÉDITO</v>
      </c>
    </row>
    <row r="1413" spans="1:12" ht="15" hidden="1">
      <c r="A1413" t="s">
        <v>1090</v>
      </c>
      <c r="B1413" t="s">
        <v>689</v>
      </c>
      <c r="C1413" t="s">
        <v>690</v>
      </c>
      <c r="D1413" t="s">
        <v>733</v>
      </c>
      <c r="E1413" t="s">
        <v>734</v>
      </c>
      <c r="F1413" t="s">
        <v>1272</v>
      </c>
      <c r="G1413" t="s">
        <v>665</v>
      </c>
      <c r="H1413" s="595">
        <v>-3.02</v>
      </c>
      <c r="I1413" t="str">
        <f t="shared" si="63"/>
        <v>janeiro 2026</v>
      </c>
      <c r="J1413">
        <f t="shared" si="64"/>
        <v>2026</v>
      </c>
      <c r="K1413" t="str">
        <f>VLOOKUP(G1413,METRICS!C:D,2,0)</f>
        <v>Taxas Financeiras Diversas</v>
      </c>
      <c r="L1413" t="str">
        <f>VLOOKUP(K1413,METRICS!D:E,2,0)</f>
        <v>TAXAS CARTÃO DE CRÉDITO</v>
      </c>
    </row>
    <row r="1414" spans="1:12" ht="15" hidden="1">
      <c r="A1414" t="s">
        <v>1090</v>
      </c>
      <c r="B1414" t="s">
        <v>689</v>
      </c>
      <c r="C1414" t="s">
        <v>690</v>
      </c>
      <c r="D1414" t="s">
        <v>733</v>
      </c>
      <c r="E1414" t="s">
        <v>734</v>
      </c>
      <c r="F1414" t="s">
        <v>1272</v>
      </c>
      <c r="G1414" t="s">
        <v>665</v>
      </c>
      <c r="H1414" s="595">
        <v>-3.02</v>
      </c>
      <c r="I1414" t="str">
        <f t="shared" si="63"/>
        <v>janeiro 2026</v>
      </c>
      <c r="J1414">
        <f t="shared" si="64"/>
        <v>2026</v>
      </c>
      <c r="K1414" t="str">
        <f>VLOOKUP(G1414,METRICS!C:D,2,0)</f>
        <v>Taxas Financeiras Diversas</v>
      </c>
      <c r="L1414" t="str">
        <f>VLOOKUP(K1414,METRICS!D:E,2,0)</f>
        <v>TAXAS CARTÃO DE CRÉDITO</v>
      </c>
    </row>
    <row r="1415" spans="1:12" ht="15" hidden="1">
      <c r="A1415" t="s">
        <v>1090</v>
      </c>
      <c r="B1415" t="s">
        <v>689</v>
      </c>
      <c r="C1415" t="s">
        <v>690</v>
      </c>
      <c r="D1415" t="s">
        <v>743</v>
      </c>
      <c r="E1415" t="s">
        <v>734</v>
      </c>
      <c r="F1415" t="s">
        <v>1272</v>
      </c>
      <c r="G1415" t="s">
        <v>665</v>
      </c>
      <c r="H1415" s="595">
        <v>-5.82</v>
      </c>
      <c r="I1415" t="str">
        <f t="shared" si="63"/>
        <v>janeiro 2026</v>
      </c>
      <c r="J1415">
        <f t="shared" si="64"/>
        <v>2026</v>
      </c>
      <c r="K1415" t="str">
        <f>VLOOKUP(G1415,METRICS!C:D,2,0)</f>
        <v>Taxas Financeiras Diversas</v>
      </c>
      <c r="L1415" t="str">
        <f>VLOOKUP(K1415,METRICS!D:E,2,0)</f>
        <v>TAXAS CARTÃO DE CRÉDITO</v>
      </c>
    </row>
    <row r="1416" spans="1:12" ht="15" hidden="1">
      <c r="A1416" t="s">
        <v>1090</v>
      </c>
      <c r="B1416" t="s">
        <v>689</v>
      </c>
      <c r="C1416" t="s">
        <v>690</v>
      </c>
      <c r="D1416" t="s">
        <v>733</v>
      </c>
      <c r="E1416" t="s">
        <v>734</v>
      </c>
      <c r="F1416" t="s">
        <v>1272</v>
      </c>
      <c r="G1416" t="s">
        <v>665</v>
      </c>
      <c r="H1416" s="595">
        <v>-2.04</v>
      </c>
      <c r="I1416" t="str">
        <f t="shared" ref="I1416:I1460" si="65">TEXT(A1416, "mmmm aaaa")</f>
        <v>janeiro 2026</v>
      </c>
      <c r="J1416">
        <f t="shared" si="64"/>
        <v>2026</v>
      </c>
      <c r="K1416" t="str">
        <f>VLOOKUP(G1416,METRICS!C:D,2,0)</f>
        <v>Taxas Financeiras Diversas</v>
      </c>
      <c r="L1416" t="str">
        <f>VLOOKUP(K1416,METRICS!D:E,2,0)</f>
        <v>TAXAS CARTÃO DE CRÉDITO</v>
      </c>
    </row>
    <row r="1417" spans="1:12" ht="15" hidden="1">
      <c r="A1417" t="s">
        <v>1090</v>
      </c>
      <c r="B1417" t="s">
        <v>689</v>
      </c>
      <c r="C1417" t="s">
        <v>690</v>
      </c>
      <c r="D1417" t="s">
        <v>743</v>
      </c>
      <c r="E1417" t="s">
        <v>734</v>
      </c>
      <c r="F1417" t="s">
        <v>1272</v>
      </c>
      <c r="G1417" t="s">
        <v>665</v>
      </c>
      <c r="H1417" s="595">
        <v>-4.93</v>
      </c>
      <c r="I1417" t="str">
        <f t="shared" si="65"/>
        <v>janeiro 2026</v>
      </c>
      <c r="J1417">
        <f t="shared" si="64"/>
        <v>2026</v>
      </c>
      <c r="K1417" t="str">
        <f>VLOOKUP(G1417,METRICS!C:D,2,0)</f>
        <v>Taxas Financeiras Diversas</v>
      </c>
      <c r="L1417" t="str">
        <f>VLOOKUP(K1417,METRICS!D:E,2,0)</f>
        <v>TAXAS CARTÃO DE CRÉDITO</v>
      </c>
    </row>
    <row r="1418" spans="1:12" ht="15" hidden="1">
      <c r="A1418" t="s">
        <v>1090</v>
      </c>
      <c r="B1418" t="s">
        <v>689</v>
      </c>
      <c r="C1418" t="s">
        <v>690</v>
      </c>
      <c r="D1418" t="s">
        <v>743</v>
      </c>
      <c r="E1418" t="s">
        <v>734</v>
      </c>
      <c r="F1418" t="s">
        <v>1272</v>
      </c>
      <c r="G1418" t="s">
        <v>665</v>
      </c>
      <c r="H1418" s="595">
        <v>-2.82</v>
      </c>
      <c r="I1418" t="str">
        <f t="shared" si="65"/>
        <v>janeiro 2026</v>
      </c>
      <c r="J1418">
        <f t="shared" si="64"/>
        <v>2026</v>
      </c>
      <c r="K1418" t="str">
        <f>VLOOKUP(G1418,METRICS!C:D,2,0)</f>
        <v>Taxas Financeiras Diversas</v>
      </c>
      <c r="L1418" t="str">
        <f>VLOOKUP(K1418,METRICS!D:E,2,0)</f>
        <v>TAXAS CARTÃO DE CRÉDITO</v>
      </c>
    </row>
    <row r="1419" spans="1:12" ht="15" hidden="1">
      <c r="A1419" t="s">
        <v>1090</v>
      </c>
      <c r="B1419" t="s">
        <v>689</v>
      </c>
      <c r="C1419" t="s">
        <v>690</v>
      </c>
      <c r="D1419" t="s">
        <v>733</v>
      </c>
      <c r="E1419" t="s">
        <v>734</v>
      </c>
      <c r="F1419" t="s">
        <v>1272</v>
      </c>
      <c r="G1419" t="s">
        <v>665</v>
      </c>
      <c r="H1419" s="595">
        <v>-1.63</v>
      </c>
      <c r="I1419" t="str">
        <f t="shared" si="65"/>
        <v>janeiro 2026</v>
      </c>
      <c r="J1419">
        <f t="shared" si="64"/>
        <v>2026</v>
      </c>
      <c r="K1419" t="str">
        <f>VLOOKUP(G1419,METRICS!C:D,2,0)</f>
        <v>Taxas Financeiras Diversas</v>
      </c>
      <c r="L1419" t="str">
        <f>VLOOKUP(K1419,METRICS!D:E,2,0)</f>
        <v>TAXAS CARTÃO DE CRÉDITO</v>
      </c>
    </row>
    <row r="1420" spans="1:12" ht="15" hidden="1">
      <c r="A1420" t="s">
        <v>1090</v>
      </c>
      <c r="B1420" t="s">
        <v>689</v>
      </c>
      <c r="C1420" t="s">
        <v>690</v>
      </c>
      <c r="D1420" t="s">
        <v>743</v>
      </c>
      <c r="E1420" t="s">
        <v>734</v>
      </c>
      <c r="F1420" t="s">
        <v>1272</v>
      </c>
      <c r="G1420" t="s">
        <v>665</v>
      </c>
      <c r="H1420" s="595">
        <v>-8.1300000000000008</v>
      </c>
      <c r="I1420" t="str">
        <f t="shared" si="65"/>
        <v>janeiro 2026</v>
      </c>
      <c r="J1420">
        <f t="shared" si="64"/>
        <v>2026</v>
      </c>
      <c r="K1420" t="str">
        <f>VLOOKUP(G1420,METRICS!C:D,2,0)</f>
        <v>Taxas Financeiras Diversas</v>
      </c>
      <c r="L1420" t="str">
        <f>VLOOKUP(K1420,METRICS!D:E,2,0)</f>
        <v>TAXAS CARTÃO DE CRÉDITO</v>
      </c>
    </row>
    <row r="1421" spans="1:12" ht="15" hidden="1">
      <c r="A1421" t="s">
        <v>1090</v>
      </c>
      <c r="B1421" t="s">
        <v>612</v>
      </c>
      <c r="C1421" t="s">
        <v>690</v>
      </c>
      <c r="D1421" t="s">
        <v>1095</v>
      </c>
      <c r="E1421" t="s">
        <v>954</v>
      </c>
      <c r="F1421" t="s">
        <v>1272</v>
      </c>
      <c r="G1421" t="s">
        <v>607</v>
      </c>
      <c r="H1421" s="595">
        <v>-1942.02</v>
      </c>
      <c r="I1421" t="str">
        <f t="shared" si="65"/>
        <v>janeiro 2026</v>
      </c>
      <c r="J1421">
        <f t="shared" si="64"/>
        <v>2026</v>
      </c>
      <c r="K1421" t="str">
        <f>VLOOKUP(G1421,METRICS!C:D,2,0)</f>
        <v>Bebidas Alcoólicas</v>
      </c>
      <c r="L1421" t="str">
        <f>VLOOKUP(K1421,METRICS!D:E,2,0)</f>
        <v>CUSTOS DOS PRODUTOS VENDIDOS</v>
      </c>
    </row>
    <row r="1422" spans="1:12" ht="15" hidden="1">
      <c r="A1422" t="s">
        <v>1090</v>
      </c>
      <c r="B1422" t="s">
        <v>612</v>
      </c>
      <c r="C1422" t="s">
        <v>690</v>
      </c>
      <c r="D1422" t="s">
        <v>1096</v>
      </c>
      <c r="E1422" t="s">
        <v>898</v>
      </c>
      <c r="F1422" t="s">
        <v>1272</v>
      </c>
      <c r="G1422" t="s">
        <v>623</v>
      </c>
      <c r="H1422" s="595">
        <v>-2682.76</v>
      </c>
      <c r="I1422" t="str">
        <f t="shared" si="65"/>
        <v>janeiro 2026</v>
      </c>
      <c r="J1422">
        <f t="shared" si="64"/>
        <v>2026</v>
      </c>
      <c r="K1422" t="str">
        <f>VLOOKUP(G1422,METRICS!C:D,2,0)</f>
        <v>Secos - Mercearia</v>
      </c>
      <c r="L1422" t="str">
        <f>VLOOKUP(K1422,METRICS!D:E,2,0)</f>
        <v>CUSTOS DOS PRODUTOS VENDIDOS</v>
      </c>
    </row>
    <row r="1423" spans="1:12" ht="15" hidden="1">
      <c r="A1423" t="s">
        <v>1090</v>
      </c>
      <c r="B1423" t="s">
        <v>612</v>
      </c>
      <c r="C1423" t="s">
        <v>690</v>
      </c>
      <c r="D1423" t="s">
        <v>1097</v>
      </c>
      <c r="E1423" t="s">
        <v>1005</v>
      </c>
      <c r="F1423" t="s">
        <v>1272</v>
      </c>
      <c r="G1423" t="s">
        <v>608</v>
      </c>
      <c r="H1423" s="595">
        <v>-2160</v>
      </c>
      <c r="I1423" t="str">
        <f t="shared" si="65"/>
        <v>janeiro 2026</v>
      </c>
      <c r="J1423">
        <f t="shared" si="64"/>
        <v>2026</v>
      </c>
      <c r="K1423" t="str">
        <f>VLOOKUP(G1423,METRICS!C:D,2,0)</f>
        <v>Bebidas não Alcoolicas</v>
      </c>
      <c r="L1423" t="str">
        <f>VLOOKUP(K1423,METRICS!D:E,2,0)</f>
        <v>CUSTOS DOS PRODUTOS VENDIDOS</v>
      </c>
    </row>
    <row r="1424" spans="1:12" ht="15" hidden="1">
      <c r="A1424" t="s">
        <v>1090</v>
      </c>
      <c r="B1424" t="s">
        <v>612</v>
      </c>
      <c r="C1424" t="s">
        <v>690</v>
      </c>
      <c r="D1424" t="s">
        <v>1098</v>
      </c>
      <c r="E1424" t="s">
        <v>1099</v>
      </c>
      <c r="F1424" t="s">
        <v>1272</v>
      </c>
      <c r="G1424" t="s">
        <v>609</v>
      </c>
      <c r="H1424" s="595">
        <v>-11515.84</v>
      </c>
      <c r="I1424" t="str">
        <f t="shared" si="65"/>
        <v>janeiro 2026</v>
      </c>
      <c r="J1424">
        <f t="shared" si="64"/>
        <v>2026</v>
      </c>
      <c r="K1424" t="str">
        <f>VLOOKUP(G1424,METRICS!C:D,2,0)</f>
        <v>Carnes e Aves</v>
      </c>
      <c r="L1424" t="str">
        <f>VLOOKUP(K1424,METRICS!D:E,2,0)</f>
        <v>CUSTOS DOS PRODUTOS VENDIDOS</v>
      </c>
    </row>
    <row r="1425" spans="1:12" ht="15" hidden="1">
      <c r="A1425" t="s">
        <v>1090</v>
      </c>
      <c r="B1425" t="s">
        <v>689</v>
      </c>
      <c r="C1425" t="s">
        <v>690</v>
      </c>
      <c r="D1425" t="s">
        <v>743</v>
      </c>
      <c r="E1425" t="s">
        <v>734</v>
      </c>
      <c r="F1425" t="s">
        <v>1272</v>
      </c>
      <c r="G1425" t="s">
        <v>665</v>
      </c>
      <c r="H1425" s="595">
        <v>-2.04</v>
      </c>
      <c r="I1425" t="str">
        <f t="shared" si="65"/>
        <v>janeiro 2026</v>
      </c>
      <c r="J1425">
        <f t="shared" si="64"/>
        <v>2026</v>
      </c>
      <c r="K1425" t="str">
        <f>VLOOKUP(G1425,METRICS!C:D,2,0)</f>
        <v>Taxas Financeiras Diversas</v>
      </c>
      <c r="L1425" t="str">
        <f>VLOOKUP(K1425,METRICS!D:E,2,0)</f>
        <v>TAXAS CARTÃO DE CRÉDITO</v>
      </c>
    </row>
    <row r="1426" spans="1:12" ht="15" hidden="1">
      <c r="A1426" t="s">
        <v>1090</v>
      </c>
      <c r="B1426" t="s">
        <v>689</v>
      </c>
      <c r="C1426" t="s">
        <v>690</v>
      </c>
      <c r="D1426" t="s">
        <v>883</v>
      </c>
      <c r="E1426" t="s">
        <v>746</v>
      </c>
      <c r="F1426" t="s">
        <v>1272</v>
      </c>
      <c r="G1426" t="s">
        <v>669</v>
      </c>
      <c r="H1426" s="595">
        <v>-63.44</v>
      </c>
      <c r="I1426" t="str">
        <f t="shared" si="65"/>
        <v>janeiro 2026</v>
      </c>
      <c r="J1426">
        <f t="shared" si="64"/>
        <v>2026</v>
      </c>
      <c r="K1426" t="str">
        <f>VLOOKUP(G1426,METRICS!C:D,2,0)</f>
        <v>Taxas Financeiras Diversas</v>
      </c>
      <c r="L1426" t="str">
        <f>VLOOKUP(K1426,METRICS!D:E,2,0)</f>
        <v>TAXAS CARTÃO DE CRÉDITO</v>
      </c>
    </row>
    <row r="1427" spans="1:12" ht="15" hidden="1">
      <c r="A1427" t="s">
        <v>1090</v>
      </c>
      <c r="B1427" t="s">
        <v>689</v>
      </c>
      <c r="C1427" t="s">
        <v>690</v>
      </c>
      <c r="D1427" t="s">
        <v>733</v>
      </c>
      <c r="E1427" t="s">
        <v>734</v>
      </c>
      <c r="F1427" t="s">
        <v>1272</v>
      </c>
      <c r="G1427" t="s">
        <v>665</v>
      </c>
      <c r="H1427" s="595">
        <v>-0.64</v>
      </c>
      <c r="I1427" t="str">
        <f t="shared" si="65"/>
        <v>janeiro 2026</v>
      </c>
      <c r="J1427">
        <f t="shared" si="64"/>
        <v>2026</v>
      </c>
      <c r="K1427" t="str">
        <f>VLOOKUP(G1427,METRICS!C:D,2,0)</f>
        <v>Taxas Financeiras Diversas</v>
      </c>
      <c r="L1427" t="str">
        <f>VLOOKUP(K1427,METRICS!D:E,2,0)</f>
        <v>TAXAS CARTÃO DE CRÉDITO</v>
      </c>
    </row>
    <row r="1428" spans="1:12" ht="15" hidden="1">
      <c r="A1428" t="s">
        <v>1090</v>
      </c>
      <c r="B1428" t="s">
        <v>689</v>
      </c>
      <c r="C1428" t="s">
        <v>690</v>
      </c>
      <c r="D1428" t="s">
        <v>733</v>
      </c>
      <c r="E1428" t="s">
        <v>734</v>
      </c>
      <c r="F1428" t="s">
        <v>1272</v>
      </c>
      <c r="G1428" t="s">
        <v>665</v>
      </c>
      <c r="H1428" s="595">
        <v>-4</v>
      </c>
      <c r="I1428" t="str">
        <f t="shared" si="65"/>
        <v>janeiro 2026</v>
      </c>
      <c r="J1428">
        <f t="shared" si="64"/>
        <v>2026</v>
      </c>
      <c r="K1428" t="str">
        <f>VLOOKUP(G1428,METRICS!C:D,2,0)</f>
        <v>Taxas Financeiras Diversas</v>
      </c>
      <c r="L1428" t="str">
        <f>VLOOKUP(K1428,METRICS!D:E,2,0)</f>
        <v>TAXAS CARTÃO DE CRÉDITO</v>
      </c>
    </row>
    <row r="1429" spans="1:12" ht="15" hidden="1">
      <c r="A1429" t="s">
        <v>1090</v>
      </c>
      <c r="B1429" t="s">
        <v>689</v>
      </c>
      <c r="C1429" t="s">
        <v>690</v>
      </c>
      <c r="D1429" t="s">
        <v>743</v>
      </c>
      <c r="E1429" t="s">
        <v>734</v>
      </c>
      <c r="F1429" t="s">
        <v>1272</v>
      </c>
      <c r="G1429" t="s">
        <v>665</v>
      </c>
      <c r="H1429" s="595">
        <v>-9.32</v>
      </c>
      <c r="I1429" t="str">
        <f t="shared" si="65"/>
        <v>janeiro 2026</v>
      </c>
      <c r="J1429">
        <f t="shared" si="64"/>
        <v>2026</v>
      </c>
      <c r="K1429" t="str">
        <f>VLOOKUP(G1429,METRICS!C:D,2,0)</f>
        <v>Taxas Financeiras Diversas</v>
      </c>
      <c r="L1429" t="str">
        <f>VLOOKUP(K1429,METRICS!D:E,2,0)</f>
        <v>TAXAS CARTÃO DE CRÉDITO</v>
      </c>
    </row>
    <row r="1430" spans="1:12" ht="15" hidden="1">
      <c r="A1430" t="s">
        <v>1090</v>
      </c>
      <c r="B1430" t="s">
        <v>689</v>
      </c>
      <c r="C1430" t="s">
        <v>690</v>
      </c>
      <c r="D1430" t="s">
        <v>753</v>
      </c>
      <c r="E1430" t="s">
        <v>734</v>
      </c>
      <c r="F1430" t="s">
        <v>1272</v>
      </c>
      <c r="G1430" t="s">
        <v>665</v>
      </c>
      <c r="H1430" s="595">
        <v>-19.899999999999999</v>
      </c>
      <c r="I1430" t="str">
        <f t="shared" si="65"/>
        <v>janeiro 2026</v>
      </c>
      <c r="J1430">
        <f t="shared" si="64"/>
        <v>2026</v>
      </c>
      <c r="K1430" t="str">
        <f>VLOOKUP(G1430,METRICS!C:D,2,0)</f>
        <v>Taxas Financeiras Diversas</v>
      </c>
      <c r="L1430" t="str">
        <f>VLOOKUP(K1430,METRICS!D:E,2,0)</f>
        <v>TAXAS CARTÃO DE CRÉDITO</v>
      </c>
    </row>
    <row r="1431" spans="1:12" ht="15" hidden="1">
      <c r="A1431" t="s">
        <v>1090</v>
      </c>
      <c r="B1431" t="s">
        <v>689</v>
      </c>
      <c r="C1431" t="s">
        <v>690</v>
      </c>
      <c r="D1431" t="s">
        <v>743</v>
      </c>
      <c r="E1431" t="s">
        <v>734</v>
      </c>
      <c r="F1431" t="s">
        <v>1272</v>
      </c>
      <c r="G1431" t="s">
        <v>665</v>
      </c>
      <c r="H1431" s="595">
        <v>-2.42</v>
      </c>
      <c r="I1431" t="str">
        <f t="shared" si="65"/>
        <v>janeiro 2026</v>
      </c>
      <c r="J1431">
        <f t="shared" si="64"/>
        <v>2026</v>
      </c>
      <c r="K1431" t="str">
        <f>VLOOKUP(G1431,METRICS!C:D,2,0)</f>
        <v>Taxas Financeiras Diversas</v>
      </c>
      <c r="L1431" t="str">
        <f>VLOOKUP(K1431,METRICS!D:E,2,0)</f>
        <v>TAXAS CARTÃO DE CRÉDITO</v>
      </c>
    </row>
    <row r="1432" spans="1:12" ht="15" hidden="1">
      <c r="A1432" t="s">
        <v>1090</v>
      </c>
      <c r="B1432" t="s">
        <v>689</v>
      </c>
      <c r="C1432" t="s">
        <v>690</v>
      </c>
      <c r="D1432" t="s">
        <v>733</v>
      </c>
      <c r="E1432" t="s">
        <v>734</v>
      </c>
      <c r="F1432" t="s">
        <v>1272</v>
      </c>
      <c r="G1432" t="s">
        <v>665</v>
      </c>
      <c r="H1432" s="595">
        <v>-1.35</v>
      </c>
      <c r="I1432" t="str">
        <f t="shared" si="65"/>
        <v>janeiro 2026</v>
      </c>
      <c r="J1432">
        <f t="shared" si="64"/>
        <v>2026</v>
      </c>
      <c r="K1432" t="str">
        <f>VLOOKUP(G1432,METRICS!C:D,2,0)</f>
        <v>Taxas Financeiras Diversas</v>
      </c>
      <c r="L1432" t="str">
        <f>VLOOKUP(K1432,METRICS!D:E,2,0)</f>
        <v>TAXAS CARTÃO DE CRÉDITO</v>
      </c>
    </row>
    <row r="1433" spans="1:12" ht="15" hidden="1">
      <c r="A1433" t="s">
        <v>1090</v>
      </c>
      <c r="B1433" t="s">
        <v>689</v>
      </c>
      <c r="C1433" t="s">
        <v>690</v>
      </c>
      <c r="D1433" t="s">
        <v>743</v>
      </c>
      <c r="E1433" t="s">
        <v>734</v>
      </c>
      <c r="F1433" t="s">
        <v>1272</v>
      </c>
      <c r="G1433" t="s">
        <v>665</v>
      </c>
      <c r="H1433" s="595">
        <v>-4.17</v>
      </c>
      <c r="I1433" t="str">
        <f t="shared" si="65"/>
        <v>janeiro 2026</v>
      </c>
      <c r="J1433">
        <f t="shared" si="64"/>
        <v>2026</v>
      </c>
      <c r="K1433" t="str">
        <f>VLOOKUP(G1433,METRICS!C:D,2,0)</f>
        <v>Taxas Financeiras Diversas</v>
      </c>
      <c r="L1433" t="str">
        <f>VLOOKUP(K1433,METRICS!D:E,2,0)</f>
        <v>TAXAS CARTÃO DE CRÉDITO</v>
      </c>
    </row>
    <row r="1434" spans="1:12" ht="15" hidden="1">
      <c r="A1434" t="s">
        <v>1090</v>
      </c>
      <c r="B1434" t="s">
        <v>689</v>
      </c>
      <c r="C1434" t="s">
        <v>690</v>
      </c>
      <c r="D1434" t="s">
        <v>733</v>
      </c>
      <c r="E1434" t="s">
        <v>734</v>
      </c>
      <c r="F1434" t="s">
        <v>1272</v>
      </c>
      <c r="G1434" t="s">
        <v>665</v>
      </c>
      <c r="H1434" s="595">
        <v>-0.33</v>
      </c>
      <c r="I1434" t="str">
        <f t="shared" si="65"/>
        <v>janeiro 2026</v>
      </c>
      <c r="J1434">
        <f t="shared" si="64"/>
        <v>2026</v>
      </c>
      <c r="K1434" t="str">
        <f>VLOOKUP(G1434,METRICS!C:D,2,0)</f>
        <v>Taxas Financeiras Diversas</v>
      </c>
      <c r="L1434" t="str">
        <f>VLOOKUP(K1434,METRICS!D:E,2,0)</f>
        <v>TAXAS CARTÃO DE CRÉDITO</v>
      </c>
    </row>
    <row r="1435" spans="1:12" ht="15" hidden="1">
      <c r="A1435" t="s">
        <v>1090</v>
      </c>
      <c r="B1435" t="s">
        <v>612</v>
      </c>
      <c r="C1435" t="s">
        <v>690</v>
      </c>
      <c r="D1435" t="s">
        <v>1100</v>
      </c>
      <c r="E1435" t="s">
        <v>794</v>
      </c>
      <c r="F1435" t="s">
        <v>1272</v>
      </c>
      <c r="G1435" t="s">
        <v>607</v>
      </c>
      <c r="H1435" s="595">
        <v>-118.8</v>
      </c>
      <c r="I1435" t="str">
        <f t="shared" si="65"/>
        <v>janeiro 2026</v>
      </c>
      <c r="J1435">
        <f t="shared" si="64"/>
        <v>2026</v>
      </c>
      <c r="K1435" t="str">
        <f>VLOOKUP(G1435,METRICS!C:D,2,0)</f>
        <v>Bebidas Alcoólicas</v>
      </c>
      <c r="L1435" t="str">
        <f>VLOOKUP(K1435,METRICS!D:E,2,0)</f>
        <v>CUSTOS DOS PRODUTOS VENDIDOS</v>
      </c>
    </row>
    <row r="1436" spans="1:12" ht="15" hidden="1">
      <c r="A1436" t="s">
        <v>1090</v>
      </c>
      <c r="B1436" t="s">
        <v>612</v>
      </c>
      <c r="C1436" t="s">
        <v>690</v>
      </c>
      <c r="D1436" t="s">
        <v>1101</v>
      </c>
      <c r="E1436" t="s">
        <v>745</v>
      </c>
      <c r="F1436" t="s">
        <v>1272</v>
      </c>
      <c r="G1436" t="s">
        <v>620</v>
      </c>
      <c r="H1436" s="595">
        <v>-364.6</v>
      </c>
      <c r="I1436" t="str">
        <f t="shared" si="65"/>
        <v>janeiro 2026</v>
      </c>
      <c r="J1436">
        <f t="shared" si="64"/>
        <v>2026</v>
      </c>
      <c r="K1436" t="str">
        <f>VLOOKUP(G1436,METRICS!C:D,2,0)</f>
        <v>Hortifruti</v>
      </c>
      <c r="L1436" t="str">
        <f>VLOOKUP(K1436,METRICS!D:E,2,0)</f>
        <v>CUSTOS DOS PRODUTOS VENDIDOS</v>
      </c>
    </row>
    <row r="1437" spans="1:12" ht="15" hidden="1">
      <c r="A1437" t="s">
        <v>1090</v>
      </c>
      <c r="B1437" t="s">
        <v>689</v>
      </c>
      <c r="C1437" t="s">
        <v>690</v>
      </c>
      <c r="D1437" t="s">
        <v>733</v>
      </c>
      <c r="E1437" t="s">
        <v>734</v>
      </c>
      <c r="F1437" t="s">
        <v>1272</v>
      </c>
      <c r="G1437" t="s">
        <v>665</v>
      </c>
      <c r="H1437" s="595">
        <v>-6.78</v>
      </c>
      <c r="I1437" t="str">
        <f t="shared" si="65"/>
        <v>janeiro 2026</v>
      </c>
      <c r="J1437">
        <f t="shared" si="64"/>
        <v>2026</v>
      </c>
      <c r="K1437" t="str">
        <f>VLOOKUP(G1437,METRICS!C:D,2,0)</f>
        <v>Taxas Financeiras Diversas</v>
      </c>
      <c r="L1437" t="str">
        <f>VLOOKUP(K1437,METRICS!D:E,2,0)</f>
        <v>TAXAS CARTÃO DE CRÉDITO</v>
      </c>
    </row>
    <row r="1438" spans="1:12" ht="15" hidden="1">
      <c r="A1438" t="s">
        <v>1090</v>
      </c>
      <c r="B1438" t="s">
        <v>689</v>
      </c>
      <c r="C1438" t="s">
        <v>690</v>
      </c>
      <c r="D1438" t="s">
        <v>733</v>
      </c>
      <c r="E1438" t="s">
        <v>734</v>
      </c>
      <c r="F1438" t="s">
        <v>1272</v>
      </c>
      <c r="G1438" t="s">
        <v>665</v>
      </c>
      <c r="H1438" s="595">
        <v>-1.63</v>
      </c>
      <c r="I1438" t="str">
        <f t="shared" si="65"/>
        <v>janeiro 2026</v>
      </c>
      <c r="J1438">
        <f t="shared" si="64"/>
        <v>2026</v>
      </c>
      <c r="K1438" t="str">
        <f>VLOOKUP(G1438,METRICS!C:D,2,0)</f>
        <v>Taxas Financeiras Diversas</v>
      </c>
      <c r="L1438" t="str">
        <f>VLOOKUP(K1438,METRICS!D:E,2,0)</f>
        <v>TAXAS CARTÃO DE CRÉDITO</v>
      </c>
    </row>
    <row r="1439" spans="1:12" ht="15" hidden="1">
      <c r="A1439" t="s">
        <v>1090</v>
      </c>
      <c r="B1439" t="s">
        <v>689</v>
      </c>
      <c r="C1439" t="s">
        <v>690</v>
      </c>
      <c r="D1439" t="s">
        <v>733</v>
      </c>
      <c r="E1439" t="s">
        <v>734</v>
      </c>
      <c r="F1439" t="s">
        <v>1272</v>
      </c>
      <c r="G1439" t="s">
        <v>665</v>
      </c>
      <c r="H1439" s="595">
        <v>-14.49</v>
      </c>
      <c r="I1439" t="str">
        <f t="shared" si="65"/>
        <v>janeiro 2026</v>
      </c>
      <c r="J1439">
        <f t="shared" si="64"/>
        <v>2026</v>
      </c>
      <c r="K1439" t="str">
        <f>VLOOKUP(G1439,METRICS!C:D,2,0)</f>
        <v>Taxas Financeiras Diversas</v>
      </c>
      <c r="L1439" t="str">
        <f>VLOOKUP(K1439,METRICS!D:E,2,0)</f>
        <v>TAXAS CARTÃO DE CRÉDITO</v>
      </c>
    </row>
    <row r="1440" spans="1:12" ht="15" hidden="1">
      <c r="A1440" t="s">
        <v>1090</v>
      </c>
      <c r="B1440" t="s">
        <v>612</v>
      </c>
      <c r="C1440" t="s">
        <v>690</v>
      </c>
      <c r="D1440" t="s">
        <v>1102</v>
      </c>
      <c r="E1440" t="s">
        <v>830</v>
      </c>
      <c r="F1440" t="s">
        <v>1272</v>
      </c>
      <c r="G1440" t="s">
        <v>623</v>
      </c>
      <c r="H1440" s="595">
        <v>-407</v>
      </c>
      <c r="I1440" t="str">
        <f t="shared" si="65"/>
        <v>janeiro 2026</v>
      </c>
      <c r="J1440">
        <f t="shared" si="64"/>
        <v>2026</v>
      </c>
      <c r="K1440" t="str">
        <f>VLOOKUP(G1440,METRICS!C:D,2,0)</f>
        <v>Secos - Mercearia</v>
      </c>
      <c r="L1440" t="str">
        <f>VLOOKUP(K1440,METRICS!D:E,2,0)</f>
        <v>CUSTOS DOS PRODUTOS VENDIDOS</v>
      </c>
    </row>
    <row r="1441" spans="1:12" ht="15" hidden="1">
      <c r="A1441" t="s">
        <v>1090</v>
      </c>
      <c r="B1441" t="s">
        <v>689</v>
      </c>
      <c r="C1441" t="s">
        <v>690</v>
      </c>
      <c r="D1441" t="s">
        <v>817</v>
      </c>
      <c r="E1441" s="155" t="s">
        <v>544</v>
      </c>
      <c r="F1441" t="s">
        <v>1272</v>
      </c>
      <c r="G1441" t="s">
        <v>664</v>
      </c>
      <c r="H1441" s="595">
        <v>-880</v>
      </c>
      <c r="I1441" t="str">
        <f t="shared" si="65"/>
        <v>janeiro 2026</v>
      </c>
      <c r="J1441">
        <f t="shared" si="64"/>
        <v>2026</v>
      </c>
      <c r="K1441" t="str">
        <f>VLOOKUP(G1441,METRICS!C:D,2,0)</f>
        <v>Colaborador Extra</v>
      </c>
      <c r="L1441" t="str">
        <f>VLOOKUP(K1441,METRICS!D:E,2,0)</f>
        <v>PESSOAL</v>
      </c>
    </row>
    <row r="1442" spans="1:12" ht="15" hidden="1">
      <c r="A1442" t="s">
        <v>1090</v>
      </c>
      <c r="B1442" t="s">
        <v>689</v>
      </c>
      <c r="C1442" t="s">
        <v>690</v>
      </c>
      <c r="D1442" t="s">
        <v>733</v>
      </c>
      <c r="E1442" t="s">
        <v>734</v>
      </c>
      <c r="F1442" t="s">
        <v>1272</v>
      </c>
      <c r="G1442" t="s">
        <v>665</v>
      </c>
      <c r="H1442" s="595">
        <v>-18.739999999999998</v>
      </c>
      <c r="I1442" t="str">
        <f t="shared" si="65"/>
        <v>janeiro 2026</v>
      </c>
      <c r="J1442">
        <f t="shared" si="64"/>
        <v>2026</v>
      </c>
      <c r="K1442" t="str">
        <f>VLOOKUP(G1442,METRICS!C:D,2,0)</f>
        <v>Taxas Financeiras Diversas</v>
      </c>
      <c r="L1442" t="str">
        <f>VLOOKUP(K1442,METRICS!D:E,2,0)</f>
        <v>TAXAS CARTÃO DE CRÉDITO</v>
      </c>
    </row>
    <row r="1443" spans="1:12" ht="15" hidden="1">
      <c r="A1443" t="s">
        <v>1090</v>
      </c>
      <c r="B1443" t="s">
        <v>689</v>
      </c>
      <c r="C1443" t="s">
        <v>690</v>
      </c>
      <c r="D1443" t="s">
        <v>733</v>
      </c>
      <c r="E1443" t="s">
        <v>734</v>
      </c>
      <c r="F1443" t="s">
        <v>1272</v>
      </c>
      <c r="G1443" t="s">
        <v>665</v>
      </c>
      <c r="H1443" s="595">
        <v>-3.11</v>
      </c>
      <c r="I1443" t="str">
        <f t="shared" si="65"/>
        <v>janeiro 2026</v>
      </c>
      <c r="J1443">
        <f t="shared" si="64"/>
        <v>2026</v>
      </c>
      <c r="K1443" t="str">
        <f>VLOOKUP(G1443,METRICS!C:D,2,0)</f>
        <v>Taxas Financeiras Diversas</v>
      </c>
      <c r="L1443" t="str">
        <f>VLOOKUP(K1443,METRICS!D:E,2,0)</f>
        <v>TAXAS CARTÃO DE CRÉDITO</v>
      </c>
    </row>
    <row r="1444" spans="1:12" ht="15" hidden="1">
      <c r="A1444" t="s">
        <v>1090</v>
      </c>
      <c r="B1444" t="s">
        <v>689</v>
      </c>
      <c r="C1444" t="s">
        <v>690</v>
      </c>
      <c r="D1444" t="s">
        <v>733</v>
      </c>
      <c r="E1444" t="s">
        <v>734</v>
      </c>
      <c r="F1444" t="s">
        <v>1272</v>
      </c>
      <c r="G1444" t="s">
        <v>665</v>
      </c>
      <c r="H1444" s="595">
        <v>-2.96</v>
      </c>
      <c r="I1444" t="str">
        <f t="shared" si="65"/>
        <v>janeiro 2026</v>
      </c>
      <c r="J1444">
        <f t="shared" si="64"/>
        <v>2026</v>
      </c>
      <c r="K1444" t="str">
        <f>VLOOKUP(G1444,METRICS!C:D,2,0)</f>
        <v>Taxas Financeiras Diversas</v>
      </c>
      <c r="L1444" t="str">
        <f>VLOOKUP(K1444,METRICS!D:E,2,0)</f>
        <v>TAXAS CARTÃO DE CRÉDITO</v>
      </c>
    </row>
    <row r="1445" spans="1:12" ht="15" hidden="1">
      <c r="A1445" t="s">
        <v>1090</v>
      </c>
      <c r="B1445" t="s">
        <v>689</v>
      </c>
      <c r="C1445" t="s">
        <v>690</v>
      </c>
      <c r="D1445" t="s">
        <v>733</v>
      </c>
      <c r="E1445" t="s">
        <v>734</v>
      </c>
      <c r="F1445" t="s">
        <v>1272</v>
      </c>
      <c r="G1445" t="s">
        <v>665</v>
      </c>
      <c r="H1445" s="595">
        <v>-1.49</v>
      </c>
      <c r="I1445" t="str">
        <f t="shared" si="65"/>
        <v>janeiro 2026</v>
      </c>
      <c r="J1445">
        <f t="shared" si="64"/>
        <v>2026</v>
      </c>
      <c r="K1445" t="str">
        <f>VLOOKUP(G1445,METRICS!C:D,2,0)</f>
        <v>Taxas Financeiras Diversas</v>
      </c>
      <c r="L1445" t="str">
        <f>VLOOKUP(K1445,METRICS!D:E,2,0)</f>
        <v>TAXAS CARTÃO DE CRÉDITO</v>
      </c>
    </row>
    <row r="1446" spans="1:12" ht="15" hidden="1">
      <c r="A1446" t="s">
        <v>1090</v>
      </c>
      <c r="B1446" t="s">
        <v>689</v>
      </c>
      <c r="C1446" t="s">
        <v>690</v>
      </c>
      <c r="D1446" t="s">
        <v>733</v>
      </c>
      <c r="E1446" t="s">
        <v>734</v>
      </c>
      <c r="F1446" t="s">
        <v>1272</v>
      </c>
      <c r="G1446" t="s">
        <v>665</v>
      </c>
      <c r="H1446" s="595">
        <v>-23.54</v>
      </c>
      <c r="I1446" t="str">
        <f t="shared" si="65"/>
        <v>janeiro 2026</v>
      </c>
      <c r="J1446">
        <f t="shared" si="64"/>
        <v>2026</v>
      </c>
      <c r="K1446" t="str">
        <f>VLOOKUP(G1446,METRICS!C:D,2,0)</f>
        <v>Taxas Financeiras Diversas</v>
      </c>
      <c r="L1446" t="str">
        <f>VLOOKUP(K1446,METRICS!D:E,2,0)</f>
        <v>TAXAS CARTÃO DE CRÉDITO</v>
      </c>
    </row>
    <row r="1447" spans="1:12" ht="15" hidden="1">
      <c r="A1447" t="s">
        <v>1090</v>
      </c>
      <c r="B1447" t="s">
        <v>689</v>
      </c>
      <c r="C1447" t="s">
        <v>690</v>
      </c>
      <c r="D1447" t="s">
        <v>743</v>
      </c>
      <c r="E1447" t="s">
        <v>734</v>
      </c>
      <c r="F1447" t="s">
        <v>1272</v>
      </c>
      <c r="G1447" t="s">
        <v>665</v>
      </c>
      <c r="H1447" s="595">
        <v>-1.18</v>
      </c>
      <c r="I1447" t="str">
        <f t="shared" si="65"/>
        <v>janeiro 2026</v>
      </c>
      <c r="J1447">
        <f t="shared" si="64"/>
        <v>2026</v>
      </c>
      <c r="K1447" t="str">
        <f>VLOOKUP(G1447,METRICS!C:D,2,0)</f>
        <v>Taxas Financeiras Diversas</v>
      </c>
      <c r="L1447" t="str">
        <f>VLOOKUP(K1447,METRICS!D:E,2,0)</f>
        <v>TAXAS CARTÃO DE CRÉDITO</v>
      </c>
    </row>
    <row r="1448" spans="1:12" ht="15" hidden="1">
      <c r="A1448" t="s">
        <v>1090</v>
      </c>
      <c r="B1448" t="s">
        <v>612</v>
      </c>
      <c r="C1448" t="s">
        <v>690</v>
      </c>
      <c r="D1448" t="s">
        <v>1103</v>
      </c>
      <c r="E1448" t="s">
        <v>1104</v>
      </c>
      <c r="F1448" t="s">
        <v>1272</v>
      </c>
      <c r="G1448" t="s">
        <v>625</v>
      </c>
      <c r="H1448" s="595">
        <v>-1500</v>
      </c>
      <c r="I1448" t="str">
        <f t="shared" si="65"/>
        <v>janeiro 2026</v>
      </c>
      <c r="J1448">
        <f t="shared" si="64"/>
        <v>2026</v>
      </c>
      <c r="K1448" t="str">
        <f>VLOOKUP(G1448,METRICS!C:D,2,0)</f>
        <v>Manutenção e Conservação</v>
      </c>
      <c r="L1448" t="str">
        <f>VLOOKUP(K1448,METRICS!D:E,2,0)</f>
        <v>OPERAÇÃO</v>
      </c>
    </row>
    <row r="1449" spans="1:12" ht="15" hidden="1">
      <c r="A1449" t="s">
        <v>1090</v>
      </c>
      <c r="B1449" t="s">
        <v>689</v>
      </c>
      <c r="C1449" t="s">
        <v>690</v>
      </c>
      <c r="D1449" t="s">
        <v>743</v>
      </c>
      <c r="E1449" t="s">
        <v>734</v>
      </c>
      <c r="F1449" t="s">
        <v>1272</v>
      </c>
      <c r="G1449" t="s">
        <v>665</v>
      </c>
      <c r="H1449" s="595">
        <v>-12.04</v>
      </c>
      <c r="I1449" t="str">
        <f t="shared" si="65"/>
        <v>janeiro 2026</v>
      </c>
      <c r="J1449">
        <f t="shared" si="64"/>
        <v>2026</v>
      </c>
      <c r="K1449" t="str">
        <f>VLOOKUP(G1449,METRICS!C:D,2,0)</f>
        <v>Taxas Financeiras Diversas</v>
      </c>
      <c r="L1449" t="str">
        <f>VLOOKUP(K1449,METRICS!D:E,2,0)</f>
        <v>TAXAS CARTÃO DE CRÉDITO</v>
      </c>
    </row>
    <row r="1450" spans="1:12" ht="15" hidden="1">
      <c r="A1450" t="s">
        <v>1090</v>
      </c>
      <c r="B1450" t="s">
        <v>689</v>
      </c>
      <c r="C1450" t="s">
        <v>690</v>
      </c>
      <c r="D1450" t="s">
        <v>743</v>
      </c>
      <c r="E1450" t="s">
        <v>734</v>
      </c>
      <c r="F1450" t="s">
        <v>1272</v>
      </c>
      <c r="G1450" t="s">
        <v>665</v>
      </c>
      <c r="H1450" s="595">
        <v>-10.07</v>
      </c>
      <c r="I1450" t="str">
        <f t="shared" si="65"/>
        <v>janeiro 2026</v>
      </c>
      <c r="J1450">
        <f t="shared" si="64"/>
        <v>2026</v>
      </c>
      <c r="K1450" t="str">
        <f>VLOOKUP(G1450,METRICS!C:D,2,0)</f>
        <v>Taxas Financeiras Diversas</v>
      </c>
      <c r="L1450" t="str">
        <f>VLOOKUP(K1450,METRICS!D:E,2,0)</f>
        <v>TAXAS CARTÃO DE CRÉDITO</v>
      </c>
    </row>
    <row r="1451" spans="1:12" ht="15" hidden="1">
      <c r="A1451" t="s">
        <v>1090</v>
      </c>
      <c r="B1451" t="s">
        <v>689</v>
      </c>
      <c r="C1451" t="s">
        <v>690</v>
      </c>
      <c r="D1451" t="s">
        <v>743</v>
      </c>
      <c r="E1451" t="s">
        <v>734</v>
      </c>
      <c r="F1451" t="s">
        <v>1272</v>
      </c>
      <c r="G1451" t="s">
        <v>665</v>
      </c>
      <c r="H1451" s="595">
        <v>-2.86</v>
      </c>
      <c r="I1451" t="str">
        <f t="shared" si="65"/>
        <v>janeiro 2026</v>
      </c>
      <c r="J1451">
        <f t="shared" si="64"/>
        <v>2026</v>
      </c>
      <c r="K1451" t="str">
        <f>VLOOKUP(G1451,METRICS!C:D,2,0)</f>
        <v>Taxas Financeiras Diversas</v>
      </c>
      <c r="L1451" t="str">
        <f>VLOOKUP(K1451,METRICS!D:E,2,0)</f>
        <v>TAXAS CARTÃO DE CRÉDITO</v>
      </c>
    </row>
    <row r="1452" spans="1:12" ht="15" hidden="1">
      <c r="A1452" t="s">
        <v>1090</v>
      </c>
      <c r="B1452" t="s">
        <v>689</v>
      </c>
      <c r="C1452" t="s">
        <v>690</v>
      </c>
      <c r="D1452" t="s">
        <v>733</v>
      </c>
      <c r="E1452" t="s">
        <v>734</v>
      </c>
      <c r="F1452" t="s">
        <v>1272</v>
      </c>
      <c r="G1452" t="s">
        <v>665</v>
      </c>
      <c r="H1452" s="595">
        <v>-7.65</v>
      </c>
      <c r="I1452" t="str">
        <f t="shared" si="65"/>
        <v>janeiro 2026</v>
      </c>
      <c r="J1452">
        <f t="shared" si="64"/>
        <v>2026</v>
      </c>
      <c r="K1452" t="str">
        <f>VLOOKUP(G1452,METRICS!C:D,2,0)</f>
        <v>Taxas Financeiras Diversas</v>
      </c>
      <c r="L1452" t="str">
        <f>VLOOKUP(K1452,METRICS!D:E,2,0)</f>
        <v>TAXAS CARTÃO DE CRÉDITO</v>
      </c>
    </row>
    <row r="1453" spans="1:12" ht="15" hidden="1">
      <c r="A1453" t="s">
        <v>1090</v>
      </c>
      <c r="B1453" t="s">
        <v>689</v>
      </c>
      <c r="C1453" t="s">
        <v>690</v>
      </c>
      <c r="D1453" t="s">
        <v>733</v>
      </c>
      <c r="E1453" t="s">
        <v>734</v>
      </c>
      <c r="F1453" t="s">
        <v>1272</v>
      </c>
      <c r="G1453" t="s">
        <v>665</v>
      </c>
      <c r="H1453" s="595">
        <v>-8.19</v>
      </c>
      <c r="I1453" t="str">
        <f t="shared" si="65"/>
        <v>janeiro 2026</v>
      </c>
      <c r="J1453">
        <f t="shared" si="64"/>
        <v>2026</v>
      </c>
      <c r="K1453" t="str">
        <f>VLOOKUP(G1453,METRICS!C:D,2,0)</f>
        <v>Taxas Financeiras Diversas</v>
      </c>
      <c r="L1453" t="str">
        <f>VLOOKUP(K1453,METRICS!D:E,2,0)</f>
        <v>TAXAS CARTÃO DE CRÉDITO</v>
      </c>
    </row>
    <row r="1454" spans="1:12" ht="15" hidden="1">
      <c r="A1454" t="s">
        <v>1090</v>
      </c>
      <c r="B1454" t="s">
        <v>612</v>
      </c>
      <c r="C1454" t="s">
        <v>690</v>
      </c>
      <c r="D1454" t="s">
        <v>1105</v>
      </c>
      <c r="E1454" t="s">
        <v>1104</v>
      </c>
      <c r="F1454" t="s">
        <v>1272</v>
      </c>
      <c r="G1454" t="s">
        <v>625</v>
      </c>
      <c r="H1454" s="595">
        <v>-1600</v>
      </c>
      <c r="I1454" t="str">
        <f t="shared" si="65"/>
        <v>janeiro 2026</v>
      </c>
      <c r="J1454">
        <f t="shared" si="64"/>
        <v>2026</v>
      </c>
      <c r="K1454" t="str">
        <f>VLOOKUP(G1454,METRICS!C:D,2,0)</f>
        <v>Manutenção e Conservação</v>
      </c>
      <c r="L1454" t="str">
        <f>VLOOKUP(K1454,METRICS!D:E,2,0)</f>
        <v>OPERAÇÃO</v>
      </c>
    </row>
    <row r="1455" spans="1:12" ht="15" hidden="1">
      <c r="A1455" t="s">
        <v>1090</v>
      </c>
      <c r="B1455" t="s">
        <v>689</v>
      </c>
      <c r="C1455" t="s">
        <v>690</v>
      </c>
      <c r="D1455" t="s">
        <v>733</v>
      </c>
      <c r="E1455" t="s">
        <v>734</v>
      </c>
      <c r="F1455" t="s">
        <v>1272</v>
      </c>
      <c r="G1455" t="s">
        <v>665</v>
      </c>
      <c r="H1455" s="595">
        <v>-3.11</v>
      </c>
      <c r="I1455" t="str">
        <f t="shared" si="65"/>
        <v>janeiro 2026</v>
      </c>
      <c r="J1455">
        <f t="shared" si="64"/>
        <v>2026</v>
      </c>
      <c r="K1455" t="str">
        <f>VLOOKUP(G1455,METRICS!C:D,2,0)</f>
        <v>Taxas Financeiras Diversas</v>
      </c>
      <c r="L1455" t="str">
        <f>VLOOKUP(K1455,METRICS!D:E,2,0)</f>
        <v>TAXAS CARTÃO DE CRÉDITO</v>
      </c>
    </row>
    <row r="1456" spans="1:12" ht="15" hidden="1">
      <c r="A1456" t="s">
        <v>1090</v>
      </c>
      <c r="B1456" t="s">
        <v>612</v>
      </c>
      <c r="C1456" t="s">
        <v>690</v>
      </c>
      <c r="D1456" t="s">
        <v>1107</v>
      </c>
      <c r="E1456" t="s">
        <v>881</v>
      </c>
      <c r="F1456" t="s">
        <v>1272</v>
      </c>
      <c r="G1456" t="s">
        <v>636</v>
      </c>
      <c r="H1456" s="595">
        <v>-588.6</v>
      </c>
      <c r="I1456" t="str">
        <f t="shared" si="65"/>
        <v>janeiro 2026</v>
      </c>
      <c r="J1456">
        <f t="shared" si="64"/>
        <v>2026</v>
      </c>
      <c r="K1456" t="str">
        <f>VLOOKUP(G1456,METRICS!C:D,2,0)</f>
        <v>Secos - Mercearia</v>
      </c>
      <c r="L1456" t="str">
        <f>VLOOKUP(K1456,METRICS!D:E,2,0)</f>
        <v>CUSTOS DOS PRODUTOS VENDIDOS</v>
      </c>
    </row>
    <row r="1457" spans="1:12" ht="15" hidden="1">
      <c r="A1457" t="s">
        <v>1090</v>
      </c>
      <c r="B1457" t="s">
        <v>612</v>
      </c>
      <c r="C1457" t="s">
        <v>690</v>
      </c>
      <c r="D1457" t="s">
        <v>1108</v>
      </c>
      <c r="E1457" t="s">
        <v>770</v>
      </c>
      <c r="F1457" t="s">
        <v>1272</v>
      </c>
      <c r="G1457" t="s">
        <v>630</v>
      </c>
      <c r="H1457" s="595">
        <v>-838.13</v>
      </c>
      <c r="I1457" t="str">
        <f t="shared" si="65"/>
        <v>janeiro 2026</v>
      </c>
      <c r="J1457">
        <f t="shared" si="64"/>
        <v>2026</v>
      </c>
      <c r="K1457" t="str">
        <f>VLOOKUP(G1457,METRICS!C:D,2,0)</f>
        <v>Material de Copa e Limpeza</v>
      </c>
      <c r="L1457" t="str">
        <f>VLOOKUP(K1457,METRICS!D:E,2,0)</f>
        <v>ADMINISTRATIVA</v>
      </c>
    </row>
    <row r="1458" spans="1:12" ht="15" hidden="1">
      <c r="A1458" t="s">
        <v>1090</v>
      </c>
      <c r="B1458" t="s">
        <v>689</v>
      </c>
      <c r="C1458" t="s">
        <v>690</v>
      </c>
      <c r="D1458" t="s">
        <v>733</v>
      </c>
      <c r="E1458" t="s">
        <v>734</v>
      </c>
      <c r="F1458" t="s">
        <v>1272</v>
      </c>
      <c r="G1458" t="s">
        <v>665</v>
      </c>
      <c r="H1458" s="595">
        <v>-2.99</v>
      </c>
      <c r="I1458" t="str">
        <f t="shared" si="65"/>
        <v>janeiro 2026</v>
      </c>
      <c r="J1458">
        <f t="shared" si="64"/>
        <v>2026</v>
      </c>
      <c r="K1458" t="str">
        <f>VLOOKUP(G1458,METRICS!C:D,2,0)</f>
        <v>Taxas Financeiras Diversas</v>
      </c>
      <c r="L1458" t="str">
        <f>VLOOKUP(K1458,METRICS!D:E,2,0)</f>
        <v>TAXAS CARTÃO DE CRÉDITO</v>
      </c>
    </row>
    <row r="1459" spans="1:12" ht="15" hidden="1">
      <c r="A1459" t="s">
        <v>1090</v>
      </c>
      <c r="B1459" t="s">
        <v>689</v>
      </c>
      <c r="C1459" t="s">
        <v>690</v>
      </c>
      <c r="D1459" t="s">
        <v>743</v>
      </c>
      <c r="E1459" t="s">
        <v>734</v>
      </c>
      <c r="F1459" t="s">
        <v>1272</v>
      </c>
      <c r="G1459" t="s">
        <v>665</v>
      </c>
      <c r="H1459" s="595">
        <v>-9.49</v>
      </c>
      <c r="I1459" t="str">
        <f t="shared" si="65"/>
        <v>janeiro 2026</v>
      </c>
      <c r="J1459">
        <f t="shared" si="64"/>
        <v>2026</v>
      </c>
      <c r="K1459" t="str">
        <f>VLOOKUP(G1459,METRICS!C:D,2,0)</f>
        <v>Taxas Financeiras Diversas</v>
      </c>
      <c r="L1459" t="str">
        <f>VLOOKUP(K1459,METRICS!D:E,2,0)</f>
        <v>TAXAS CARTÃO DE CRÉDITO</v>
      </c>
    </row>
    <row r="1460" spans="1:12" ht="15" hidden="1">
      <c r="A1460" t="s">
        <v>1090</v>
      </c>
      <c r="B1460" t="s">
        <v>689</v>
      </c>
      <c r="C1460" t="s">
        <v>690</v>
      </c>
      <c r="D1460" t="s">
        <v>753</v>
      </c>
      <c r="E1460" t="s">
        <v>734</v>
      </c>
      <c r="F1460" t="s">
        <v>1272</v>
      </c>
      <c r="G1460" t="s">
        <v>665</v>
      </c>
      <c r="H1460" s="595">
        <v>-11.26</v>
      </c>
      <c r="I1460" t="str">
        <f t="shared" si="65"/>
        <v>janeiro 2026</v>
      </c>
      <c r="J1460">
        <f t="shared" si="64"/>
        <v>2026</v>
      </c>
      <c r="K1460" t="str">
        <f>VLOOKUP(G1460,METRICS!C:D,2,0)</f>
        <v>Taxas Financeiras Diversas</v>
      </c>
      <c r="L1460" t="str">
        <f>VLOOKUP(K1460,METRICS!D:E,2,0)</f>
        <v>TAXAS CARTÃO DE CRÉDITO</v>
      </c>
    </row>
    <row r="1461" spans="1:12" ht="15" hidden="1">
      <c r="A1461" t="s">
        <v>1090</v>
      </c>
      <c r="B1461" t="s">
        <v>689</v>
      </c>
      <c r="C1461" t="s">
        <v>690</v>
      </c>
      <c r="D1461" t="s">
        <v>743</v>
      </c>
      <c r="E1461" t="s">
        <v>734</v>
      </c>
      <c r="F1461" t="s">
        <v>1272</v>
      </c>
      <c r="G1461" t="s">
        <v>665</v>
      </c>
      <c r="H1461" s="595">
        <v>-7.61</v>
      </c>
      <c r="I1461" t="str">
        <f t="shared" ref="I1461:I1505" si="66">TEXT(A1461, "mmmm aaaa")</f>
        <v>janeiro 2026</v>
      </c>
      <c r="J1461">
        <f t="shared" ref="J1461:J1524" si="67">YEAR(A1461)</f>
        <v>2026</v>
      </c>
      <c r="K1461" t="str">
        <f>VLOOKUP(G1461,METRICS!C:D,2,0)</f>
        <v>Taxas Financeiras Diversas</v>
      </c>
      <c r="L1461" t="str">
        <f>VLOOKUP(K1461,METRICS!D:E,2,0)</f>
        <v>TAXAS CARTÃO DE CRÉDITO</v>
      </c>
    </row>
    <row r="1462" spans="1:12" ht="15" hidden="1">
      <c r="A1462" t="s">
        <v>1090</v>
      </c>
      <c r="B1462" t="s">
        <v>689</v>
      </c>
      <c r="C1462" t="s">
        <v>690</v>
      </c>
      <c r="D1462" t="s">
        <v>733</v>
      </c>
      <c r="E1462" t="s">
        <v>734</v>
      </c>
      <c r="F1462" t="s">
        <v>1272</v>
      </c>
      <c r="G1462" t="s">
        <v>665</v>
      </c>
      <c r="H1462" s="595">
        <v>-0.21</v>
      </c>
      <c r="I1462" t="str">
        <f t="shared" si="66"/>
        <v>janeiro 2026</v>
      </c>
      <c r="J1462">
        <f t="shared" si="67"/>
        <v>2026</v>
      </c>
      <c r="K1462" t="str">
        <f>VLOOKUP(G1462,METRICS!C:D,2,0)</f>
        <v>Taxas Financeiras Diversas</v>
      </c>
      <c r="L1462" t="str">
        <f>VLOOKUP(K1462,METRICS!D:E,2,0)</f>
        <v>TAXAS CARTÃO DE CRÉDITO</v>
      </c>
    </row>
    <row r="1463" spans="1:12" ht="15" hidden="1">
      <c r="A1463" t="s">
        <v>1090</v>
      </c>
      <c r="B1463" t="s">
        <v>612</v>
      </c>
      <c r="C1463" t="s">
        <v>690</v>
      </c>
      <c r="D1463" t="s">
        <v>1109</v>
      </c>
      <c r="E1463" t="s">
        <v>774</v>
      </c>
      <c r="F1463" t="s">
        <v>1272</v>
      </c>
      <c r="G1463" t="s">
        <v>629</v>
      </c>
      <c r="H1463" s="595">
        <v>-775.26</v>
      </c>
      <c r="I1463" t="str">
        <f t="shared" si="66"/>
        <v>janeiro 2026</v>
      </c>
      <c r="J1463">
        <f t="shared" si="67"/>
        <v>2026</v>
      </c>
      <c r="K1463" t="str">
        <f>VLOOKUP(G1463,METRICS!C:D,2,0)</f>
        <v>Material de limpeza</v>
      </c>
      <c r="L1463" t="str">
        <f>VLOOKUP(K1463,METRICS!D:E,2,0)</f>
        <v>OPERAÇÃO</v>
      </c>
    </row>
    <row r="1464" spans="1:12" ht="15" hidden="1">
      <c r="A1464" t="s">
        <v>1090</v>
      </c>
      <c r="B1464" t="s">
        <v>612</v>
      </c>
      <c r="C1464" t="s">
        <v>690</v>
      </c>
      <c r="D1464" t="s">
        <v>1110</v>
      </c>
      <c r="E1464" t="s">
        <v>1111</v>
      </c>
      <c r="F1464" t="s">
        <v>1272</v>
      </c>
      <c r="G1464" t="s">
        <v>636</v>
      </c>
      <c r="H1464" s="595">
        <v>-88.5</v>
      </c>
      <c r="I1464" t="str">
        <f t="shared" si="66"/>
        <v>janeiro 2026</v>
      </c>
      <c r="J1464">
        <f t="shared" si="67"/>
        <v>2026</v>
      </c>
      <c r="K1464" t="str">
        <f>VLOOKUP(G1464,METRICS!C:D,2,0)</f>
        <v>Secos - Mercearia</v>
      </c>
      <c r="L1464" t="str">
        <f>VLOOKUP(K1464,METRICS!D:E,2,0)</f>
        <v>CUSTOS DOS PRODUTOS VENDIDOS</v>
      </c>
    </row>
    <row r="1465" spans="1:12" ht="15" hidden="1">
      <c r="A1465" t="s">
        <v>1090</v>
      </c>
      <c r="B1465" t="s">
        <v>689</v>
      </c>
      <c r="C1465" t="s">
        <v>690</v>
      </c>
      <c r="D1465" t="s">
        <v>743</v>
      </c>
      <c r="E1465" t="s">
        <v>734</v>
      </c>
      <c r="F1465" t="s">
        <v>1272</v>
      </c>
      <c r="G1465" t="s">
        <v>665</v>
      </c>
      <c r="H1465" s="595">
        <v>-2.59</v>
      </c>
      <c r="I1465" t="str">
        <f t="shared" si="66"/>
        <v>janeiro 2026</v>
      </c>
      <c r="J1465">
        <f t="shared" si="67"/>
        <v>2026</v>
      </c>
      <c r="K1465" t="str">
        <f>VLOOKUP(G1465,METRICS!C:D,2,0)</f>
        <v>Taxas Financeiras Diversas</v>
      </c>
      <c r="L1465" t="str">
        <f>VLOOKUP(K1465,METRICS!D:E,2,0)</f>
        <v>TAXAS CARTÃO DE CRÉDITO</v>
      </c>
    </row>
    <row r="1466" spans="1:12" ht="15" hidden="1">
      <c r="A1466" t="s">
        <v>1090</v>
      </c>
      <c r="B1466" t="s">
        <v>689</v>
      </c>
      <c r="C1466" t="s">
        <v>690</v>
      </c>
      <c r="D1466" t="s">
        <v>733</v>
      </c>
      <c r="E1466" t="s">
        <v>734</v>
      </c>
      <c r="F1466" t="s">
        <v>1272</v>
      </c>
      <c r="G1466" t="s">
        <v>665</v>
      </c>
      <c r="H1466" s="595">
        <v>-13.9</v>
      </c>
      <c r="I1466" t="str">
        <f t="shared" si="66"/>
        <v>janeiro 2026</v>
      </c>
      <c r="J1466">
        <f t="shared" si="67"/>
        <v>2026</v>
      </c>
      <c r="K1466" t="str">
        <f>VLOOKUP(G1466,METRICS!C:D,2,0)</f>
        <v>Taxas Financeiras Diversas</v>
      </c>
      <c r="L1466" t="str">
        <f>VLOOKUP(K1466,METRICS!D:E,2,0)</f>
        <v>TAXAS CARTÃO DE CRÉDITO</v>
      </c>
    </row>
    <row r="1467" spans="1:12" ht="15" hidden="1">
      <c r="A1467" t="s">
        <v>1090</v>
      </c>
      <c r="B1467" t="s">
        <v>612</v>
      </c>
      <c r="C1467" t="s">
        <v>690</v>
      </c>
      <c r="D1467" t="s">
        <v>1112</v>
      </c>
      <c r="E1467" t="s">
        <v>727</v>
      </c>
      <c r="F1467" t="s">
        <v>1272</v>
      </c>
      <c r="G1467" t="s">
        <v>620</v>
      </c>
      <c r="H1467" s="595">
        <v>-3810.34</v>
      </c>
      <c r="I1467" t="str">
        <f t="shared" si="66"/>
        <v>janeiro 2026</v>
      </c>
      <c r="J1467">
        <f t="shared" si="67"/>
        <v>2026</v>
      </c>
      <c r="K1467" t="str">
        <f>VLOOKUP(G1467,METRICS!C:D,2,0)</f>
        <v>Hortifruti</v>
      </c>
      <c r="L1467" t="str">
        <f>VLOOKUP(K1467,METRICS!D:E,2,0)</f>
        <v>CUSTOS DOS PRODUTOS VENDIDOS</v>
      </c>
    </row>
    <row r="1468" spans="1:12" ht="15" hidden="1">
      <c r="A1468" t="s">
        <v>1090</v>
      </c>
      <c r="B1468" t="s">
        <v>689</v>
      </c>
      <c r="C1468" t="s">
        <v>690</v>
      </c>
      <c r="D1468" t="s">
        <v>743</v>
      </c>
      <c r="E1468" t="s">
        <v>734</v>
      </c>
      <c r="F1468" t="s">
        <v>1272</v>
      </c>
      <c r="G1468" t="s">
        <v>665</v>
      </c>
      <c r="H1468" s="595">
        <v>-2.65</v>
      </c>
      <c r="I1468" t="str">
        <f t="shared" si="66"/>
        <v>janeiro 2026</v>
      </c>
      <c r="J1468">
        <f t="shared" si="67"/>
        <v>2026</v>
      </c>
      <c r="K1468" t="str">
        <f>VLOOKUP(G1468,METRICS!C:D,2,0)</f>
        <v>Taxas Financeiras Diversas</v>
      </c>
      <c r="L1468" t="str">
        <f>VLOOKUP(K1468,METRICS!D:E,2,0)</f>
        <v>TAXAS CARTÃO DE CRÉDITO</v>
      </c>
    </row>
    <row r="1469" spans="1:12" ht="15" hidden="1">
      <c r="A1469" t="s">
        <v>1090</v>
      </c>
      <c r="B1469" t="s">
        <v>689</v>
      </c>
      <c r="C1469" t="s">
        <v>690</v>
      </c>
      <c r="D1469" t="s">
        <v>733</v>
      </c>
      <c r="E1469" t="s">
        <v>734</v>
      </c>
      <c r="F1469" t="s">
        <v>1272</v>
      </c>
      <c r="G1469" t="s">
        <v>665</v>
      </c>
      <c r="H1469" s="595">
        <v>-10.66</v>
      </c>
      <c r="I1469" t="str">
        <f t="shared" si="66"/>
        <v>janeiro 2026</v>
      </c>
      <c r="J1469">
        <f t="shared" si="67"/>
        <v>2026</v>
      </c>
      <c r="K1469" t="str">
        <f>VLOOKUP(G1469,METRICS!C:D,2,0)</f>
        <v>Taxas Financeiras Diversas</v>
      </c>
      <c r="L1469" t="str">
        <f>VLOOKUP(K1469,METRICS!D:E,2,0)</f>
        <v>TAXAS CARTÃO DE CRÉDITO</v>
      </c>
    </row>
    <row r="1470" spans="1:12" ht="15" hidden="1">
      <c r="A1470" t="s">
        <v>1090</v>
      </c>
      <c r="B1470" t="s">
        <v>689</v>
      </c>
      <c r="C1470" t="s">
        <v>690</v>
      </c>
      <c r="D1470" t="s">
        <v>743</v>
      </c>
      <c r="E1470" t="s">
        <v>734</v>
      </c>
      <c r="F1470" t="s">
        <v>1272</v>
      </c>
      <c r="G1470" t="s">
        <v>665</v>
      </c>
      <c r="H1470" s="595">
        <v>-2.57</v>
      </c>
      <c r="I1470" t="str">
        <f t="shared" si="66"/>
        <v>janeiro 2026</v>
      </c>
      <c r="J1470">
        <f t="shared" si="67"/>
        <v>2026</v>
      </c>
      <c r="K1470" t="str">
        <f>VLOOKUP(G1470,METRICS!C:D,2,0)</f>
        <v>Taxas Financeiras Diversas</v>
      </c>
      <c r="L1470" t="str">
        <f>VLOOKUP(K1470,METRICS!D:E,2,0)</f>
        <v>TAXAS CARTÃO DE CRÉDITO</v>
      </c>
    </row>
    <row r="1471" spans="1:12" ht="15" hidden="1">
      <c r="A1471" t="s">
        <v>1090</v>
      </c>
      <c r="B1471" t="s">
        <v>689</v>
      </c>
      <c r="C1471" t="s">
        <v>690</v>
      </c>
      <c r="D1471" t="s">
        <v>743</v>
      </c>
      <c r="E1471" t="s">
        <v>734</v>
      </c>
      <c r="F1471" t="s">
        <v>1272</v>
      </c>
      <c r="G1471" t="s">
        <v>665</v>
      </c>
      <c r="H1471" s="595">
        <v>-1.37</v>
      </c>
      <c r="I1471" t="str">
        <f t="shared" si="66"/>
        <v>janeiro 2026</v>
      </c>
      <c r="J1471">
        <f t="shared" si="67"/>
        <v>2026</v>
      </c>
      <c r="K1471" t="str">
        <f>VLOOKUP(G1471,METRICS!C:D,2,0)</f>
        <v>Taxas Financeiras Diversas</v>
      </c>
      <c r="L1471" t="str">
        <f>VLOOKUP(K1471,METRICS!D:E,2,0)</f>
        <v>TAXAS CARTÃO DE CRÉDITO</v>
      </c>
    </row>
    <row r="1472" spans="1:12" ht="15" hidden="1">
      <c r="A1472" t="s">
        <v>1090</v>
      </c>
      <c r="B1472" t="s">
        <v>612</v>
      </c>
      <c r="C1472" t="s">
        <v>690</v>
      </c>
      <c r="D1472" t="s">
        <v>1113</v>
      </c>
      <c r="E1472" t="s">
        <v>979</v>
      </c>
      <c r="F1472" t="s">
        <v>1272</v>
      </c>
      <c r="G1472" t="s">
        <v>641</v>
      </c>
      <c r="H1472" s="595">
        <v>-1944</v>
      </c>
      <c r="I1472" t="str">
        <f t="shared" si="66"/>
        <v>janeiro 2026</v>
      </c>
      <c r="J1472">
        <f t="shared" si="67"/>
        <v>2026</v>
      </c>
      <c r="K1472" t="str">
        <f>VLOOKUP(G1472,METRICS!C:D,2,0)</f>
        <v>Vinhos/Espumantes</v>
      </c>
      <c r="L1472" t="str">
        <f>VLOOKUP(K1472,METRICS!D:E,2,0)</f>
        <v>CUSTOS DOS PRODUTOS VENDIDOS</v>
      </c>
    </row>
    <row r="1473" spans="1:12" ht="15" hidden="1">
      <c r="A1473" t="s">
        <v>1090</v>
      </c>
      <c r="B1473" t="s">
        <v>689</v>
      </c>
      <c r="C1473" t="s">
        <v>690</v>
      </c>
      <c r="D1473" t="s">
        <v>733</v>
      </c>
      <c r="E1473" t="s">
        <v>734</v>
      </c>
      <c r="F1473" t="s">
        <v>1272</v>
      </c>
      <c r="G1473" t="s">
        <v>665</v>
      </c>
      <c r="H1473" s="595">
        <v>-7.29</v>
      </c>
      <c r="I1473" t="str">
        <f t="shared" si="66"/>
        <v>janeiro 2026</v>
      </c>
      <c r="J1473">
        <f t="shared" si="67"/>
        <v>2026</v>
      </c>
      <c r="K1473" t="str">
        <f>VLOOKUP(G1473,METRICS!C:D,2,0)</f>
        <v>Taxas Financeiras Diversas</v>
      </c>
      <c r="L1473" t="str">
        <f>VLOOKUP(K1473,METRICS!D:E,2,0)</f>
        <v>TAXAS CARTÃO DE CRÉDITO</v>
      </c>
    </row>
    <row r="1474" spans="1:12" ht="15" hidden="1">
      <c r="A1474" t="s">
        <v>1090</v>
      </c>
      <c r="B1474" t="s">
        <v>689</v>
      </c>
      <c r="C1474" t="s">
        <v>690</v>
      </c>
      <c r="D1474" t="s">
        <v>743</v>
      </c>
      <c r="E1474" t="s">
        <v>734</v>
      </c>
      <c r="F1474" t="s">
        <v>1272</v>
      </c>
      <c r="G1474" t="s">
        <v>665</v>
      </c>
      <c r="H1474" s="595">
        <v>-33.03</v>
      </c>
      <c r="I1474" t="str">
        <f t="shared" si="66"/>
        <v>janeiro 2026</v>
      </c>
      <c r="J1474">
        <f t="shared" si="67"/>
        <v>2026</v>
      </c>
      <c r="K1474" t="str">
        <f>VLOOKUP(G1474,METRICS!C:D,2,0)</f>
        <v>Taxas Financeiras Diversas</v>
      </c>
      <c r="L1474" t="str">
        <f>VLOOKUP(K1474,METRICS!D:E,2,0)</f>
        <v>TAXAS CARTÃO DE CRÉDITO</v>
      </c>
    </row>
    <row r="1475" spans="1:12" ht="15" hidden="1">
      <c r="A1475" t="s">
        <v>1090</v>
      </c>
      <c r="B1475" t="s">
        <v>612</v>
      </c>
      <c r="C1475" t="s">
        <v>690</v>
      </c>
      <c r="D1475" t="s">
        <v>1114</v>
      </c>
      <c r="E1475" t="s">
        <v>878</v>
      </c>
      <c r="F1475" t="s">
        <v>1272</v>
      </c>
      <c r="G1475" t="s">
        <v>609</v>
      </c>
      <c r="H1475" s="595">
        <v>-15976.33</v>
      </c>
      <c r="I1475" t="str">
        <f t="shared" si="66"/>
        <v>janeiro 2026</v>
      </c>
      <c r="J1475">
        <f t="shared" si="67"/>
        <v>2026</v>
      </c>
      <c r="K1475" t="str">
        <f>VLOOKUP(G1475,METRICS!C:D,2,0)</f>
        <v>Carnes e Aves</v>
      </c>
      <c r="L1475" t="str">
        <f>VLOOKUP(K1475,METRICS!D:E,2,0)</f>
        <v>CUSTOS DOS PRODUTOS VENDIDOS</v>
      </c>
    </row>
    <row r="1476" spans="1:12" ht="15" hidden="1">
      <c r="A1476" t="s">
        <v>1090</v>
      </c>
      <c r="B1476" t="s">
        <v>689</v>
      </c>
      <c r="C1476" t="s">
        <v>690</v>
      </c>
      <c r="D1476" t="s">
        <v>733</v>
      </c>
      <c r="E1476" t="s">
        <v>734</v>
      </c>
      <c r="F1476" t="s">
        <v>1272</v>
      </c>
      <c r="G1476" t="s">
        <v>665</v>
      </c>
      <c r="H1476" s="595">
        <v>-3.2</v>
      </c>
      <c r="I1476" t="str">
        <f t="shared" si="66"/>
        <v>janeiro 2026</v>
      </c>
      <c r="J1476">
        <f t="shared" si="67"/>
        <v>2026</v>
      </c>
      <c r="K1476" t="str">
        <f>VLOOKUP(G1476,METRICS!C:D,2,0)</f>
        <v>Taxas Financeiras Diversas</v>
      </c>
      <c r="L1476" t="str">
        <f>VLOOKUP(K1476,METRICS!D:E,2,0)</f>
        <v>TAXAS CARTÃO DE CRÉDITO</v>
      </c>
    </row>
    <row r="1477" spans="1:12" ht="15" hidden="1">
      <c r="A1477" t="s">
        <v>1090</v>
      </c>
      <c r="B1477" t="s">
        <v>612</v>
      </c>
      <c r="C1477" t="s">
        <v>690</v>
      </c>
      <c r="D1477" t="s">
        <v>1115</v>
      </c>
      <c r="E1477" t="s">
        <v>878</v>
      </c>
      <c r="F1477" t="s">
        <v>1272</v>
      </c>
      <c r="G1477" t="s">
        <v>609</v>
      </c>
      <c r="H1477" s="595">
        <v>-6287.34</v>
      </c>
      <c r="I1477" t="str">
        <f t="shared" si="66"/>
        <v>janeiro 2026</v>
      </c>
      <c r="J1477">
        <f t="shared" si="67"/>
        <v>2026</v>
      </c>
      <c r="K1477" t="str">
        <f>VLOOKUP(G1477,METRICS!C:D,2,0)</f>
        <v>Carnes e Aves</v>
      </c>
      <c r="L1477" t="str">
        <f>VLOOKUP(K1477,METRICS!D:E,2,0)</f>
        <v>CUSTOS DOS PRODUTOS VENDIDOS</v>
      </c>
    </row>
    <row r="1478" spans="1:12" ht="15" hidden="1">
      <c r="A1478" t="s">
        <v>1090</v>
      </c>
      <c r="B1478" t="s">
        <v>689</v>
      </c>
      <c r="C1478" t="s">
        <v>690</v>
      </c>
      <c r="D1478" t="s">
        <v>1116</v>
      </c>
      <c r="E1478" t="s">
        <v>1106</v>
      </c>
      <c r="F1478" t="s">
        <v>1272</v>
      </c>
      <c r="G1478" t="s">
        <v>650</v>
      </c>
      <c r="H1478" s="595">
        <v>-4145.99</v>
      </c>
      <c r="I1478" t="str">
        <f t="shared" si="66"/>
        <v>janeiro 2026</v>
      </c>
      <c r="J1478">
        <f t="shared" si="67"/>
        <v>2026</v>
      </c>
      <c r="K1478" t="str">
        <f>VLOOKUP(G1478,METRICS!C:D,2,0)</f>
        <v>Salários e Ordenados</v>
      </c>
      <c r="L1478" t="str">
        <f>VLOOKUP(K1478,METRICS!D:E,2,0)</f>
        <v>PESSOAL</v>
      </c>
    </row>
    <row r="1479" spans="1:12" ht="15" hidden="1">
      <c r="A1479" t="s">
        <v>1090</v>
      </c>
      <c r="B1479" t="s">
        <v>689</v>
      </c>
      <c r="C1479" t="s">
        <v>690</v>
      </c>
      <c r="D1479" t="s">
        <v>743</v>
      </c>
      <c r="E1479" t="s">
        <v>734</v>
      </c>
      <c r="F1479" t="s">
        <v>1272</v>
      </c>
      <c r="G1479" t="s">
        <v>665</v>
      </c>
      <c r="H1479" s="595">
        <v>-10.91</v>
      </c>
      <c r="I1479" t="str">
        <f t="shared" si="66"/>
        <v>janeiro 2026</v>
      </c>
      <c r="J1479">
        <f t="shared" si="67"/>
        <v>2026</v>
      </c>
      <c r="K1479" t="str">
        <f>VLOOKUP(G1479,METRICS!C:D,2,0)</f>
        <v>Taxas Financeiras Diversas</v>
      </c>
      <c r="L1479" t="str">
        <f>VLOOKUP(K1479,METRICS!D:E,2,0)</f>
        <v>TAXAS CARTÃO DE CRÉDITO</v>
      </c>
    </row>
    <row r="1480" spans="1:12" ht="15" hidden="1">
      <c r="A1480" t="s">
        <v>1090</v>
      </c>
      <c r="B1480" t="s">
        <v>689</v>
      </c>
      <c r="C1480" t="s">
        <v>690</v>
      </c>
      <c r="D1480" t="s">
        <v>743</v>
      </c>
      <c r="E1480" t="s">
        <v>734</v>
      </c>
      <c r="F1480" t="s">
        <v>1272</v>
      </c>
      <c r="G1480" t="s">
        <v>665</v>
      </c>
      <c r="H1480" s="595">
        <v>-14.3</v>
      </c>
      <c r="I1480" t="str">
        <f t="shared" si="66"/>
        <v>janeiro 2026</v>
      </c>
      <c r="J1480">
        <f t="shared" si="67"/>
        <v>2026</v>
      </c>
      <c r="K1480" t="str">
        <f>VLOOKUP(G1480,METRICS!C:D,2,0)</f>
        <v>Taxas Financeiras Diversas</v>
      </c>
      <c r="L1480" t="str">
        <f>VLOOKUP(K1480,METRICS!D:E,2,0)</f>
        <v>TAXAS CARTÃO DE CRÉDITO</v>
      </c>
    </row>
    <row r="1481" spans="1:12" ht="15" hidden="1">
      <c r="A1481" t="s">
        <v>1090</v>
      </c>
      <c r="B1481" t="s">
        <v>689</v>
      </c>
      <c r="C1481" t="s">
        <v>690</v>
      </c>
      <c r="D1481" t="s">
        <v>753</v>
      </c>
      <c r="E1481" t="s">
        <v>734</v>
      </c>
      <c r="F1481" t="s">
        <v>1272</v>
      </c>
      <c r="G1481" t="s">
        <v>665</v>
      </c>
      <c r="H1481" s="595">
        <v>-35.03</v>
      </c>
      <c r="I1481" t="str">
        <f t="shared" si="66"/>
        <v>janeiro 2026</v>
      </c>
      <c r="J1481">
        <f t="shared" si="67"/>
        <v>2026</v>
      </c>
      <c r="K1481" t="str">
        <f>VLOOKUP(G1481,METRICS!C:D,2,0)</f>
        <v>Taxas Financeiras Diversas</v>
      </c>
      <c r="L1481" t="str">
        <f>VLOOKUP(K1481,METRICS!D:E,2,0)</f>
        <v>TAXAS CARTÃO DE CRÉDITO</v>
      </c>
    </row>
    <row r="1482" spans="1:12" ht="15" hidden="1">
      <c r="A1482" t="s">
        <v>1090</v>
      </c>
      <c r="B1482" t="s">
        <v>689</v>
      </c>
      <c r="C1482" t="s">
        <v>690</v>
      </c>
      <c r="D1482" t="s">
        <v>743</v>
      </c>
      <c r="E1482" t="s">
        <v>734</v>
      </c>
      <c r="F1482" t="s">
        <v>1272</v>
      </c>
      <c r="G1482" t="s">
        <v>665</v>
      </c>
      <c r="H1482" s="595">
        <v>-9.91</v>
      </c>
      <c r="I1482" t="str">
        <f t="shared" si="66"/>
        <v>janeiro 2026</v>
      </c>
      <c r="J1482">
        <f t="shared" si="67"/>
        <v>2026</v>
      </c>
      <c r="K1482" t="str">
        <f>VLOOKUP(G1482,METRICS!C:D,2,0)</f>
        <v>Taxas Financeiras Diversas</v>
      </c>
      <c r="L1482" t="str">
        <f>VLOOKUP(K1482,METRICS!D:E,2,0)</f>
        <v>TAXAS CARTÃO DE CRÉDITO</v>
      </c>
    </row>
    <row r="1483" spans="1:12" ht="15" hidden="1">
      <c r="A1483" t="s">
        <v>1090</v>
      </c>
      <c r="B1483" t="s">
        <v>689</v>
      </c>
      <c r="C1483" t="s">
        <v>690</v>
      </c>
      <c r="D1483" t="s">
        <v>733</v>
      </c>
      <c r="E1483" t="s">
        <v>734</v>
      </c>
      <c r="F1483" t="s">
        <v>1272</v>
      </c>
      <c r="G1483" t="s">
        <v>665</v>
      </c>
      <c r="H1483" s="595">
        <v>-6.16</v>
      </c>
      <c r="I1483" t="str">
        <f t="shared" si="66"/>
        <v>janeiro 2026</v>
      </c>
      <c r="J1483">
        <f t="shared" si="67"/>
        <v>2026</v>
      </c>
      <c r="K1483" t="str">
        <f>VLOOKUP(G1483,METRICS!C:D,2,0)</f>
        <v>Taxas Financeiras Diversas</v>
      </c>
      <c r="L1483" t="str">
        <f>VLOOKUP(K1483,METRICS!D:E,2,0)</f>
        <v>TAXAS CARTÃO DE CRÉDITO</v>
      </c>
    </row>
    <row r="1484" spans="1:12" ht="15" hidden="1">
      <c r="A1484" t="s">
        <v>1090</v>
      </c>
      <c r="B1484" t="s">
        <v>689</v>
      </c>
      <c r="C1484" t="s">
        <v>690</v>
      </c>
      <c r="D1484" t="s">
        <v>743</v>
      </c>
      <c r="E1484" t="s">
        <v>734</v>
      </c>
      <c r="F1484" t="s">
        <v>1272</v>
      </c>
      <c r="G1484" t="s">
        <v>665</v>
      </c>
      <c r="H1484" s="595">
        <v>-7.92</v>
      </c>
      <c r="I1484" t="str">
        <f t="shared" si="66"/>
        <v>janeiro 2026</v>
      </c>
      <c r="J1484">
        <f t="shared" si="67"/>
        <v>2026</v>
      </c>
      <c r="K1484" t="str">
        <f>VLOOKUP(G1484,METRICS!C:D,2,0)</f>
        <v>Taxas Financeiras Diversas</v>
      </c>
      <c r="L1484" t="str">
        <f>VLOOKUP(K1484,METRICS!D:E,2,0)</f>
        <v>TAXAS CARTÃO DE CRÉDITO</v>
      </c>
    </row>
    <row r="1485" spans="1:12" ht="15" hidden="1">
      <c r="A1485" t="s">
        <v>1090</v>
      </c>
      <c r="B1485" t="s">
        <v>689</v>
      </c>
      <c r="C1485" t="s">
        <v>690</v>
      </c>
      <c r="D1485" t="s">
        <v>733</v>
      </c>
      <c r="E1485" t="s">
        <v>734</v>
      </c>
      <c r="F1485" t="s">
        <v>1272</v>
      </c>
      <c r="G1485" t="s">
        <v>665</v>
      </c>
      <c r="H1485" s="595">
        <v>-7.92</v>
      </c>
      <c r="I1485" t="str">
        <f t="shared" si="66"/>
        <v>janeiro 2026</v>
      </c>
      <c r="J1485">
        <f t="shared" si="67"/>
        <v>2026</v>
      </c>
      <c r="K1485" t="str">
        <f>VLOOKUP(G1485,METRICS!C:D,2,0)</f>
        <v>Taxas Financeiras Diversas</v>
      </c>
      <c r="L1485" t="str">
        <f>VLOOKUP(K1485,METRICS!D:E,2,0)</f>
        <v>TAXAS CARTÃO DE CRÉDITO</v>
      </c>
    </row>
    <row r="1486" spans="1:12" ht="15" hidden="1">
      <c r="A1486" t="s">
        <v>1090</v>
      </c>
      <c r="B1486" t="s">
        <v>612</v>
      </c>
      <c r="C1486" t="s">
        <v>690</v>
      </c>
      <c r="D1486" t="s">
        <v>1117</v>
      </c>
      <c r="E1486" t="s">
        <v>1104</v>
      </c>
      <c r="F1486" t="s">
        <v>1272</v>
      </c>
      <c r="G1486" t="s">
        <v>625</v>
      </c>
      <c r="H1486" s="595">
        <v>-1130</v>
      </c>
      <c r="I1486" t="str">
        <f t="shared" si="66"/>
        <v>janeiro 2026</v>
      </c>
      <c r="J1486">
        <f t="shared" si="67"/>
        <v>2026</v>
      </c>
      <c r="K1486" t="str">
        <f>VLOOKUP(G1486,METRICS!C:D,2,0)</f>
        <v>Manutenção e Conservação</v>
      </c>
      <c r="L1486" t="str">
        <f>VLOOKUP(K1486,METRICS!D:E,2,0)</f>
        <v>OPERAÇÃO</v>
      </c>
    </row>
    <row r="1487" spans="1:12" ht="15" hidden="1">
      <c r="A1487" t="s">
        <v>1090</v>
      </c>
      <c r="B1487" t="s">
        <v>689</v>
      </c>
      <c r="C1487" t="s">
        <v>690</v>
      </c>
      <c r="D1487" t="s">
        <v>743</v>
      </c>
      <c r="E1487" t="s">
        <v>734</v>
      </c>
      <c r="F1487" t="s">
        <v>1272</v>
      </c>
      <c r="G1487" t="s">
        <v>665</v>
      </c>
      <c r="H1487" s="595">
        <v>-2.82</v>
      </c>
      <c r="I1487" t="str">
        <f t="shared" si="66"/>
        <v>janeiro 2026</v>
      </c>
      <c r="J1487">
        <f t="shared" si="67"/>
        <v>2026</v>
      </c>
      <c r="K1487" t="str">
        <f>VLOOKUP(G1487,METRICS!C:D,2,0)</f>
        <v>Taxas Financeiras Diversas</v>
      </c>
      <c r="L1487" t="str">
        <f>VLOOKUP(K1487,METRICS!D:E,2,0)</f>
        <v>TAXAS CARTÃO DE CRÉDITO</v>
      </c>
    </row>
    <row r="1488" spans="1:12" ht="15" hidden="1">
      <c r="A1488" t="s">
        <v>1090</v>
      </c>
      <c r="B1488" t="s">
        <v>689</v>
      </c>
      <c r="C1488" t="s">
        <v>690</v>
      </c>
      <c r="D1488" t="s">
        <v>733</v>
      </c>
      <c r="E1488" t="s">
        <v>734</v>
      </c>
      <c r="F1488" t="s">
        <v>1272</v>
      </c>
      <c r="G1488" t="s">
        <v>665</v>
      </c>
      <c r="H1488" s="595">
        <v>-3.68</v>
      </c>
      <c r="I1488" t="str">
        <f t="shared" si="66"/>
        <v>janeiro 2026</v>
      </c>
      <c r="J1488">
        <f t="shared" si="67"/>
        <v>2026</v>
      </c>
      <c r="K1488" t="str">
        <f>VLOOKUP(G1488,METRICS!C:D,2,0)</f>
        <v>Taxas Financeiras Diversas</v>
      </c>
      <c r="L1488" t="str">
        <f>VLOOKUP(K1488,METRICS!D:E,2,0)</f>
        <v>TAXAS CARTÃO DE CRÉDITO</v>
      </c>
    </row>
    <row r="1489" spans="1:12" ht="15" hidden="1">
      <c r="A1489" t="s">
        <v>1090</v>
      </c>
      <c r="B1489" t="s">
        <v>689</v>
      </c>
      <c r="C1489" t="s">
        <v>690</v>
      </c>
      <c r="D1489" t="s">
        <v>733</v>
      </c>
      <c r="E1489" t="s">
        <v>734</v>
      </c>
      <c r="F1489" t="s">
        <v>1272</v>
      </c>
      <c r="G1489" t="s">
        <v>665</v>
      </c>
      <c r="H1489" s="595">
        <v>-16.77</v>
      </c>
      <c r="I1489" t="str">
        <f t="shared" si="66"/>
        <v>janeiro 2026</v>
      </c>
      <c r="J1489">
        <f t="shared" si="67"/>
        <v>2026</v>
      </c>
      <c r="K1489" t="str">
        <f>VLOOKUP(G1489,METRICS!C:D,2,0)</f>
        <v>Taxas Financeiras Diversas</v>
      </c>
      <c r="L1489" t="str">
        <f>VLOOKUP(K1489,METRICS!D:E,2,0)</f>
        <v>TAXAS CARTÃO DE CRÉDITO</v>
      </c>
    </row>
    <row r="1490" spans="1:12" ht="15" hidden="1">
      <c r="A1490" t="s">
        <v>1090</v>
      </c>
      <c r="B1490" t="s">
        <v>689</v>
      </c>
      <c r="C1490" t="s">
        <v>690</v>
      </c>
      <c r="D1490" t="s">
        <v>733</v>
      </c>
      <c r="E1490" t="s">
        <v>734</v>
      </c>
      <c r="F1490" t="s">
        <v>1272</v>
      </c>
      <c r="G1490" t="s">
        <v>665</v>
      </c>
      <c r="H1490" s="595">
        <v>-16.77</v>
      </c>
      <c r="I1490" t="str">
        <f t="shared" si="66"/>
        <v>janeiro 2026</v>
      </c>
      <c r="J1490">
        <f t="shared" si="67"/>
        <v>2026</v>
      </c>
      <c r="K1490" t="str">
        <f>VLOOKUP(G1490,METRICS!C:D,2,0)</f>
        <v>Taxas Financeiras Diversas</v>
      </c>
      <c r="L1490" t="str">
        <f>VLOOKUP(K1490,METRICS!D:E,2,0)</f>
        <v>TAXAS CARTÃO DE CRÉDITO</v>
      </c>
    </row>
    <row r="1491" spans="1:12" ht="15" hidden="1">
      <c r="A1491" t="s">
        <v>1090</v>
      </c>
      <c r="B1491" t="s">
        <v>612</v>
      </c>
      <c r="C1491" t="s">
        <v>690</v>
      </c>
      <c r="D1491" t="s">
        <v>1118</v>
      </c>
      <c r="E1491" t="s">
        <v>939</v>
      </c>
      <c r="F1491" t="s">
        <v>1272</v>
      </c>
      <c r="G1491" t="s">
        <v>636</v>
      </c>
      <c r="H1491" s="595">
        <v>-958.3</v>
      </c>
      <c r="I1491" t="str">
        <f t="shared" si="66"/>
        <v>janeiro 2026</v>
      </c>
      <c r="J1491">
        <f t="shared" si="67"/>
        <v>2026</v>
      </c>
      <c r="K1491" t="str">
        <f>VLOOKUP(G1491,METRICS!C:D,2,0)</f>
        <v>Secos - Mercearia</v>
      </c>
      <c r="L1491" t="str">
        <f>VLOOKUP(K1491,METRICS!D:E,2,0)</f>
        <v>CUSTOS DOS PRODUTOS VENDIDOS</v>
      </c>
    </row>
    <row r="1492" spans="1:12" ht="15" hidden="1">
      <c r="A1492" t="s">
        <v>1090</v>
      </c>
      <c r="B1492" t="s">
        <v>689</v>
      </c>
      <c r="C1492" t="s">
        <v>690</v>
      </c>
      <c r="D1492" t="s">
        <v>743</v>
      </c>
      <c r="E1492" t="s">
        <v>734</v>
      </c>
      <c r="F1492" t="s">
        <v>1272</v>
      </c>
      <c r="G1492" t="s">
        <v>665</v>
      </c>
      <c r="H1492" s="595">
        <v>-14.11</v>
      </c>
      <c r="I1492" t="str">
        <f t="shared" si="66"/>
        <v>janeiro 2026</v>
      </c>
      <c r="J1492">
        <f t="shared" si="67"/>
        <v>2026</v>
      </c>
      <c r="K1492" t="str">
        <f>VLOOKUP(G1492,METRICS!C:D,2,0)</f>
        <v>Taxas Financeiras Diversas</v>
      </c>
      <c r="L1492" t="str">
        <f>VLOOKUP(K1492,METRICS!D:E,2,0)</f>
        <v>TAXAS CARTÃO DE CRÉDITO</v>
      </c>
    </row>
    <row r="1493" spans="1:12" ht="15" hidden="1">
      <c r="A1493" t="s">
        <v>1090</v>
      </c>
      <c r="B1493" t="s">
        <v>689</v>
      </c>
      <c r="C1493" t="s">
        <v>690</v>
      </c>
      <c r="D1493" t="s">
        <v>743</v>
      </c>
      <c r="E1493" t="s">
        <v>734</v>
      </c>
      <c r="F1493" t="s">
        <v>1272</v>
      </c>
      <c r="G1493" t="s">
        <v>665</v>
      </c>
      <c r="H1493" s="595">
        <v>-2.76</v>
      </c>
      <c r="I1493" t="str">
        <f t="shared" si="66"/>
        <v>janeiro 2026</v>
      </c>
      <c r="J1493">
        <f t="shared" si="67"/>
        <v>2026</v>
      </c>
      <c r="K1493" t="str">
        <f>VLOOKUP(G1493,METRICS!C:D,2,0)</f>
        <v>Taxas Financeiras Diversas</v>
      </c>
      <c r="L1493" t="str">
        <f>VLOOKUP(K1493,METRICS!D:E,2,0)</f>
        <v>TAXAS CARTÃO DE CRÉDITO</v>
      </c>
    </row>
    <row r="1494" spans="1:12" ht="15" hidden="1">
      <c r="A1494" t="s">
        <v>1090</v>
      </c>
      <c r="B1494" t="s">
        <v>612</v>
      </c>
      <c r="C1494" t="s">
        <v>690</v>
      </c>
      <c r="D1494" t="s">
        <v>1119</v>
      </c>
      <c r="E1494" t="s">
        <v>987</v>
      </c>
      <c r="F1494" t="s">
        <v>1272</v>
      </c>
      <c r="G1494" t="s">
        <v>641</v>
      </c>
      <c r="H1494" s="595">
        <v>-26497.74</v>
      </c>
      <c r="I1494" t="str">
        <f t="shared" si="66"/>
        <v>janeiro 2026</v>
      </c>
      <c r="J1494">
        <f t="shared" si="67"/>
        <v>2026</v>
      </c>
      <c r="K1494" t="str">
        <f>VLOOKUP(G1494,METRICS!C:D,2,0)</f>
        <v>Vinhos/Espumantes</v>
      </c>
      <c r="L1494" t="str">
        <f>VLOOKUP(K1494,METRICS!D:E,2,0)</f>
        <v>CUSTOS DOS PRODUTOS VENDIDOS</v>
      </c>
    </row>
    <row r="1495" spans="1:12" ht="15" hidden="1">
      <c r="A1495" t="s">
        <v>1090</v>
      </c>
      <c r="B1495" t="s">
        <v>689</v>
      </c>
      <c r="C1495" t="s">
        <v>690</v>
      </c>
      <c r="D1495" t="s">
        <v>733</v>
      </c>
      <c r="E1495" t="s">
        <v>734</v>
      </c>
      <c r="F1495" t="s">
        <v>1272</v>
      </c>
      <c r="G1495" t="s">
        <v>665</v>
      </c>
      <c r="H1495" s="595">
        <v>-29.13</v>
      </c>
      <c r="I1495" t="str">
        <f t="shared" si="66"/>
        <v>janeiro 2026</v>
      </c>
      <c r="J1495">
        <f t="shared" si="67"/>
        <v>2026</v>
      </c>
      <c r="K1495" t="str">
        <f>VLOOKUP(G1495,METRICS!C:D,2,0)</f>
        <v>Taxas Financeiras Diversas</v>
      </c>
      <c r="L1495" t="str">
        <f>VLOOKUP(K1495,METRICS!D:E,2,0)</f>
        <v>TAXAS CARTÃO DE CRÉDITO</v>
      </c>
    </row>
    <row r="1496" spans="1:12" ht="15" hidden="1">
      <c r="A1496" t="s">
        <v>1090</v>
      </c>
      <c r="B1496" t="s">
        <v>689</v>
      </c>
      <c r="C1496" t="s">
        <v>690</v>
      </c>
      <c r="D1496" t="s">
        <v>733</v>
      </c>
      <c r="E1496" t="s">
        <v>734</v>
      </c>
      <c r="F1496" t="s">
        <v>1272</v>
      </c>
      <c r="G1496" t="s">
        <v>665</v>
      </c>
      <c r="H1496" s="595">
        <v>-15.82</v>
      </c>
      <c r="I1496" t="str">
        <f t="shared" si="66"/>
        <v>janeiro 2026</v>
      </c>
      <c r="J1496">
        <f t="shared" si="67"/>
        <v>2026</v>
      </c>
      <c r="K1496" t="str">
        <f>VLOOKUP(G1496,METRICS!C:D,2,0)</f>
        <v>Taxas Financeiras Diversas</v>
      </c>
      <c r="L1496" t="str">
        <f>VLOOKUP(K1496,METRICS!D:E,2,0)</f>
        <v>TAXAS CARTÃO DE CRÉDITO</v>
      </c>
    </row>
    <row r="1497" spans="1:12" ht="15" hidden="1">
      <c r="A1497" t="s">
        <v>1090</v>
      </c>
      <c r="B1497" t="s">
        <v>612</v>
      </c>
      <c r="C1497" t="s">
        <v>690</v>
      </c>
      <c r="D1497" t="s">
        <v>1120</v>
      </c>
      <c r="E1497" t="s">
        <v>752</v>
      </c>
      <c r="F1497" t="s">
        <v>1272</v>
      </c>
      <c r="G1497" t="s">
        <v>609</v>
      </c>
      <c r="H1497" s="595">
        <v>-5182.93</v>
      </c>
      <c r="I1497" t="str">
        <f t="shared" si="66"/>
        <v>janeiro 2026</v>
      </c>
      <c r="J1497">
        <f t="shared" si="67"/>
        <v>2026</v>
      </c>
      <c r="K1497" t="str">
        <f>VLOOKUP(G1497,METRICS!C:D,2,0)</f>
        <v>Carnes e Aves</v>
      </c>
      <c r="L1497" t="str">
        <f>VLOOKUP(K1497,METRICS!D:E,2,0)</f>
        <v>CUSTOS DOS PRODUTOS VENDIDOS</v>
      </c>
    </row>
    <row r="1498" spans="1:12" ht="15" hidden="1">
      <c r="A1498" t="s">
        <v>1090</v>
      </c>
      <c r="B1498" t="s">
        <v>689</v>
      </c>
      <c r="C1498" t="s">
        <v>690</v>
      </c>
      <c r="D1498" t="s">
        <v>733</v>
      </c>
      <c r="E1498" t="s">
        <v>734</v>
      </c>
      <c r="F1498" t="s">
        <v>1272</v>
      </c>
      <c r="G1498" t="s">
        <v>665</v>
      </c>
      <c r="H1498" s="595">
        <v>-1.17</v>
      </c>
      <c r="I1498" t="str">
        <f t="shared" si="66"/>
        <v>janeiro 2026</v>
      </c>
      <c r="J1498">
        <f t="shared" si="67"/>
        <v>2026</v>
      </c>
      <c r="K1498" t="str">
        <f>VLOOKUP(G1498,METRICS!C:D,2,0)</f>
        <v>Taxas Financeiras Diversas</v>
      </c>
      <c r="L1498" t="str">
        <f>VLOOKUP(K1498,METRICS!D:E,2,0)</f>
        <v>TAXAS CARTÃO DE CRÉDITO</v>
      </c>
    </row>
    <row r="1499" spans="1:12" ht="15" hidden="1">
      <c r="A1499" t="s">
        <v>1090</v>
      </c>
      <c r="B1499" t="s">
        <v>612</v>
      </c>
      <c r="C1499" t="s">
        <v>690</v>
      </c>
      <c r="D1499" t="s">
        <v>1121</v>
      </c>
      <c r="E1499" t="s">
        <v>876</v>
      </c>
      <c r="F1499" t="s">
        <v>1272</v>
      </c>
      <c r="G1499" t="s">
        <v>609</v>
      </c>
      <c r="H1499" s="595">
        <v>-4784.7700000000004</v>
      </c>
      <c r="I1499" t="str">
        <f t="shared" si="66"/>
        <v>janeiro 2026</v>
      </c>
      <c r="J1499">
        <f t="shared" si="67"/>
        <v>2026</v>
      </c>
      <c r="K1499" t="str">
        <f>VLOOKUP(G1499,METRICS!C:D,2,0)</f>
        <v>Carnes e Aves</v>
      </c>
      <c r="L1499" t="str">
        <f>VLOOKUP(K1499,METRICS!D:E,2,0)</f>
        <v>CUSTOS DOS PRODUTOS VENDIDOS</v>
      </c>
    </row>
    <row r="1500" spans="1:12" ht="15" hidden="1">
      <c r="A1500" t="s">
        <v>1090</v>
      </c>
      <c r="B1500" t="s">
        <v>689</v>
      </c>
      <c r="C1500" t="s">
        <v>690</v>
      </c>
      <c r="D1500" t="s">
        <v>733</v>
      </c>
      <c r="E1500" t="s">
        <v>734</v>
      </c>
      <c r="F1500" t="s">
        <v>1272</v>
      </c>
      <c r="G1500" t="s">
        <v>665</v>
      </c>
      <c r="H1500" s="595">
        <v>-0.21</v>
      </c>
      <c r="I1500" t="str">
        <f t="shared" si="66"/>
        <v>janeiro 2026</v>
      </c>
      <c r="J1500">
        <f t="shared" si="67"/>
        <v>2026</v>
      </c>
      <c r="K1500" t="str">
        <f>VLOOKUP(G1500,METRICS!C:D,2,0)</f>
        <v>Taxas Financeiras Diversas</v>
      </c>
      <c r="L1500" t="str">
        <f>VLOOKUP(K1500,METRICS!D:E,2,0)</f>
        <v>TAXAS CARTÃO DE CRÉDITO</v>
      </c>
    </row>
    <row r="1501" spans="1:12" ht="15" hidden="1">
      <c r="A1501" t="s">
        <v>1090</v>
      </c>
      <c r="B1501" t="s">
        <v>612</v>
      </c>
      <c r="C1501" t="s">
        <v>690</v>
      </c>
      <c r="D1501" t="s">
        <v>1122</v>
      </c>
      <c r="E1501" t="s">
        <v>1012</v>
      </c>
      <c r="F1501" t="s">
        <v>1272</v>
      </c>
      <c r="G1501" t="s">
        <v>611</v>
      </c>
      <c r="H1501" s="595">
        <v>-4142.1499999999996</v>
      </c>
      <c r="I1501" t="str">
        <f t="shared" si="66"/>
        <v>janeiro 2026</v>
      </c>
      <c r="J1501">
        <f t="shared" si="67"/>
        <v>2026</v>
      </c>
      <c r="K1501" t="str">
        <f>VLOOKUP(G1501,METRICS!C:D,2,0)</f>
        <v>Bebidas Alcoólicas</v>
      </c>
      <c r="L1501" t="str">
        <f>VLOOKUP(K1501,METRICS!D:E,2,0)</f>
        <v>CUSTOS DOS PRODUTOS VENDIDOS</v>
      </c>
    </row>
    <row r="1502" spans="1:12" ht="15" hidden="1">
      <c r="A1502" t="s">
        <v>1090</v>
      </c>
      <c r="B1502" t="s">
        <v>689</v>
      </c>
      <c r="C1502" t="s">
        <v>690</v>
      </c>
      <c r="D1502" t="s">
        <v>733</v>
      </c>
      <c r="E1502" t="s">
        <v>734</v>
      </c>
      <c r="F1502" t="s">
        <v>1272</v>
      </c>
      <c r="G1502" t="s">
        <v>665</v>
      </c>
      <c r="H1502" s="595">
        <v>-3.75</v>
      </c>
      <c r="I1502" t="str">
        <f t="shared" si="66"/>
        <v>janeiro 2026</v>
      </c>
      <c r="J1502">
        <f t="shared" si="67"/>
        <v>2026</v>
      </c>
      <c r="K1502" t="str">
        <f>VLOOKUP(G1502,METRICS!C:D,2,0)</f>
        <v>Taxas Financeiras Diversas</v>
      </c>
      <c r="L1502" t="str">
        <f>VLOOKUP(K1502,METRICS!D:E,2,0)</f>
        <v>TAXAS CARTÃO DE CRÉDITO</v>
      </c>
    </row>
    <row r="1503" spans="1:12" ht="15" hidden="1">
      <c r="A1503" t="s">
        <v>1090</v>
      </c>
      <c r="B1503" t="s">
        <v>689</v>
      </c>
      <c r="C1503" t="s">
        <v>690</v>
      </c>
      <c r="D1503" t="s">
        <v>756</v>
      </c>
      <c r="E1503" t="s">
        <v>757</v>
      </c>
      <c r="F1503" t="s">
        <v>1272</v>
      </c>
      <c r="G1503" t="s">
        <v>666</v>
      </c>
      <c r="H1503" s="595">
        <v>-49.5</v>
      </c>
      <c r="I1503" t="str">
        <f t="shared" si="66"/>
        <v>janeiro 2026</v>
      </c>
      <c r="J1503">
        <f t="shared" si="67"/>
        <v>2026</v>
      </c>
      <c r="K1503" t="str">
        <f>VLOOKUP(G1503,METRICS!C:D,2,0)</f>
        <v>Encargos Bancarios</v>
      </c>
      <c r="L1503" t="str">
        <f>VLOOKUP(K1503,METRICS!D:E,2,0)</f>
        <v>DESPESAS FINANCEIRAS</v>
      </c>
    </row>
    <row r="1504" spans="1:12" ht="15" hidden="1">
      <c r="A1504" t="s">
        <v>1090</v>
      </c>
      <c r="B1504" t="s">
        <v>689</v>
      </c>
      <c r="C1504" t="s">
        <v>690</v>
      </c>
      <c r="D1504" t="s">
        <v>733</v>
      </c>
      <c r="E1504" t="s">
        <v>734</v>
      </c>
      <c r="F1504" t="s">
        <v>1272</v>
      </c>
      <c r="G1504" t="s">
        <v>665</v>
      </c>
      <c r="H1504" s="595">
        <v>-6.22</v>
      </c>
      <c r="I1504" t="str">
        <f t="shared" si="66"/>
        <v>janeiro 2026</v>
      </c>
      <c r="J1504">
        <f t="shared" si="67"/>
        <v>2026</v>
      </c>
      <c r="K1504" t="str">
        <f>VLOOKUP(G1504,METRICS!C:D,2,0)</f>
        <v>Taxas Financeiras Diversas</v>
      </c>
      <c r="L1504" t="str">
        <f>VLOOKUP(K1504,METRICS!D:E,2,0)</f>
        <v>TAXAS CARTÃO DE CRÉDITO</v>
      </c>
    </row>
    <row r="1505" spans="1:12" ht="15" hidden="1">
      <c r="A1505" t="s">
        <v>1090</v>
      </c>
      <c r="B1505" t="s">
        <v>689</v>
      </c>
      <c r="C1505" t="s">
        <v>690</v>
      </c>
      <c r="D1505" t="s">
        <v>743</v>
      </c>
      <c r="E1505" t="s">
        <v>734</v>
      </c>
      <c r="F1505" t="s">
        <v>1272</v>
      </c>
      <c r="G1505" t="s">
        <v>665</v>
      </c>
      <c r="H1505" s="595">
        <v>-1.57</v>
      </c>
      <c r="I1505" t="str">
        <f t="shared" si="66"/>
        <v>janeiro 2026</v>
      </c>
      <c r="J1505">
        <f t="shared" si="67"/>
        <v>2026</v>
      </c>
      <c r="K1505" t="str">
        <f>VLOOKUP(G1505,METRICS!C:D,2,0)</f>
        <v>Taxas Financeiras Diversas</v>
      </c>
      <c r="L1505" t="str">
        <f>VLOOKUP(K1505,METRICS!D:E,2,0)</f>
        <v>TAXAS CARTÃO DE CRÉDITO</v>
      </c>
    </row>
    <row r="1506" spans="1:12" ht="15" hidden="1">
      <c r="A1506" t="s">
        <v>1123</v>
      </c>
      <c r="B1506" t="s">
        <v>689</v>
      </c>
      <c r="C1506" t="s">
        <v>690</v>
      </c>
      <c r="D1506" t="s">
        <v>733</v>
      </c>
      <c r="E1506" t="s">
        <v>734</v>
      </c>
      <c r="F1506" t="s">
        <v>1272</v>
      </c>
      <c r="G1506" t="s">
        <v>665</v>
      </c>
      <c r="H1506" s="595">
        <v>-2.89</v>
      </c>
      <c r="I1506" t="str">
        <f t="shared" ref="I1506:I1542" si="68">TEXT(A1506, "mmmm aaaa")</f>
        <v>janeiro 2026</v>
      </c>
      <c r="J1506">
        <f t="shared" si="67"/>
        <v>2026</v>
      </c>
      <c r="K1506" t="str">
        <f>VLOOKUP(G1506,METRICS!C:D,2,0)</f>
        <v>Taxas Financeiras Diversas</v>
      </c>
      <c r="L1506" t="str">
        <f>VLOOKUP(K1506,METRICS!D:E,2,0)</f>
        <v>TAXAS CARTÃO DE CRÉDITO</v>
      </c>
    </row>
    <row r="1507" spans="1:12" ht="15" hidden="1">
      <c r="A1507" t="s">
        <v>1123</v>
      </c>
      <c r="B1507" t="s">
        <v>689</v>
      </c>
      <c r="C1507" t="s">
        <v>690</v>
      </c>
      <c r="D1507" t="s">
        <v>753</v>
      </c>
      <c r="E1507" t="s">
        <v>734</v>
      </c>
      <c r="F1507" t="s">
        <v>1272</v>
      </c>
      <c r="G1507" t="s">
        <v>665</v>
      </c>
      <c r="H1507" s="595">
        <v>-14.87</v>
      </c>
      <c r="I1507" t="str">
        <f t="shared" si="68"/>
        <v>janeiro 2026</v>
      </c>
      <c r="J1507">
        <f t="shared" si="67"/>
        <v>2026</v>
      </c>
      <c r="K1507" t="str">
        <f>VLOOKUP(G1507,METRICS!C:D,2,0)</f>
        <v>Taxas Financeiras Diversas</v>
      </c>
      <c r="L1507" t="str">
        <f>VLOOKUP(K1507,METRICS!D:E,2,0)</f>
        <v>TAXAS CARTÃO DE CRÉDITO</v>
      </c>
    </row>
    <row r="1508" spans="1:12" ht="15" hidden="1">
      <c r="A1508" t="s">
        <v>1123</v>
      </c>
      <c r="B1508" t="s">
        <v>689</v>
      </c>
      <c r="C1508" t="s">
        <v>690</v>
      </c>
      <c r="D1508" t="s">
        <v>733</v>
      </c>
      <c r="E1508" t="s">
        <v>734</v>
      </c>
      <c r="F1508" t="s">
        <v>1272</v>
      </c>
      <c r="G1508" t="s">
        <v>665</v>
      </c>
      <c r="H1508" s="595">
        <v>-2</v>
      </c>
      <c r="I1508" t="str">
        <f t="shared" si="68"/>
        <v>janeiro 2026</v>
      </c>
      <c r="J1508">
        <f t="shared" si="67"/>
        <v>2026</v>
      </c>
      <c r="K1508" t="str">
        <f>VLOOKUP(G1508,METRICS!C:D,2,0)</f>
        <v>Taxas Financeiras Diversas</v>
      </c>
      <c r="L1508" t="str">
        <f>VLOOKUP(K1508,METRICS!D:E,2,0)</f>
        <v>TAXAS CARTÃO DE CRÉDITO</v>
      </c>
    </row>
    <row r="1509" spans="1:12" ht="15" hidden="1">
      <c r="A1509" t="s">
        <v>1123</v>
      </c>
      <c r="B1509" t="s">
        <v>689</v>
      </c>
      <c r="C1509" t="s">
        <v>690</v>
      </c>
      <c r="D1509" t="s">
        <v>733</v>
      </c>
      <c r="E1509" t="s">
        <v>734</v>
      </c>
      <c r="F1509" t="s">
        <v>1272</v>
      </c>
      <c r="G1509" t="s">
        <v>665</v>
      </c>
      <c r="H1509" s="595">
        <v>-9.2100000000000009</v>
      </c>
      <c r="I1509" t="str">
        <f t="shared" si="68"/>
        <v>janeiro 2026</v>
      </c>
      <c r="J1509">
        <f t="shared" si="67"/>
        <v>2026</v>
      </c>
      <c r="K1509" t="str">
        <f>VLOOKUP(G1509,METRICS!C:D,2,0)</f>
        <v>Taxas Financeiras Diversas</v>
      </c>
      <c r="L1509" t="str">
        <f>VLOOKUP(K1509,METRICS!D:E,2,0)</f>
        <v>TAXAS CARTÃO DE CRÉDITO</v>
      </c>
    </row>
    <row r="1510" spans="1:12" ht="15" hidden="1">
      <c r="A1510" t="s">
        <v>1123</v>
      </c>
      <c r="B1510" t="s">
        <v>689</v>
      </c>
      <c r="C1510" t="s">
        <v>690</v>
      </c>
      <c r="D1510" t="s">
        <v>743</v>
      </c>
      <c r="E1510" t="s">
        <v>734</v>
      </c>
      <c r="F1510" t="s">
        <v>1272</v>
      </c>
      <c r="G1510" t="s">
        <v>665</v>
      </c>
      <c r="H1510" s="595">
        <v>-0.96</v>
      </c>
      <c r="I1510" t="str">
        <f t="shared" si="68"/>
        <v>janeiro 2026</v>
      </c>
      <c r="J1510">
        <f t="shared" si="67"/>
        <v>2026</v>
      </c>
      <c r="K1510" t="str">
        <f>VLOOKUP(G1510,METRICS!C:D,2,0)</f>
        <v>Taxas Financeiras Diversas</v>
      </c>
      <c r="L1510" t="str">
        <f>VLOOKUP(K1510,METRICS!D:E,2,0)</f>
        <v>TAXAS CARTÃO DE CRÉDITO</v>
      </c>
    </row>
    <row r="1511" spans="1:12" ht="15" hidden="1">
      <c r="A1511" t="s">
        <v>1123</v>
      </c>
      <c r="B1511" t="s">
        <v>689</v>
      </c>
      <c r="C1511" t="s">
        <v>690</v>
      </c>
      <c r="D1511" t="s">
        <v>743</v>
      </c>
      <c r="E1511" t="s">
        <v>734</v>
      </c>
      <c r="F1511" t="s">
        <v>1272</v>
      </c>
      <c r="G1511" t="s">
        <v>665</v>
      </c>
      <c r="H1511" s="595">
        <v>-20.6</v>
      </c>
      <c r="I1511" t="str">
        <f t="shared" si="68"/>
        <v>janeiro 2026</v>
      </c>
      <c r="J1511">
        <f t="shared" si="67"/>
        <v>2026</v>
      </c>
      <c r="K1511" t="str">
        <f>VLOOKUP(G1511,METRICS!C:D,2,0)</f>
        <v>Taxas Financeiras Diversas</v>
      </c>
      <c r="L1511" t="str">
        <f>VLOOKUP(K1511,METRICS!D:E,2,0)</f>
        <v>TAXAS CARTÃO DE CRÉDITO</v>
      </c>
    </row>
    <row r="1512" spans="1:12" ht="15" hidden="1">
      <c r="A1512" t="s">
        <v>1123</v>
      </c>
      <c r="B1512" t="s">
        <v>689</v>
      </c>
      <c r="C1512" t="s">
        <v>690</v>
      </c>
      <c r="D1512" t="s">
        <v>733</v>
      </c>
      <c r="E1512" t="s">
        <v>734</v>
      </c>
      <c r="F1512" t="s">
        <v>1272</v>
      </c>
      <c r="G1512" t="s">
        <v>665</v>
      </c>
      <c r="H1512" s="595">
        <v>-1.95</v>
      </c>
      <c r="I1512" t="str">
        <f t="shared" si="68"/>
        <v>janeiro 2026</v>
      </c>
      <c r="J1512">
        <f t="shared" si="67"/>
        <v>2026</v>
      </c>
      <c r="K1512" t="str">
        <f>VLOOKUP(G1512,METRICS!C:D,2,0)</f>
        <v>Taxas Financeiras Diversas</v>
      </c>
      <c r="L1512" t="str">
        <f>VLOOKUP(K1512,METRICS!D:E,2,0)</f>
        <v>TAXAS CARTÃO DE CRÉDITO</v>
      </c>
    </row>
    <row r="1513" spans="1:12" ht="15" hidden="1">
      <c r="A1513" t="s">
        <v>1123</v>
      </c>
      <c r="B1513" t="s">
        <v>689</v>
      </c>
      <c r="C1513" t="s">
        <v>690</v>
      </c>
      <c r="D1513" t="s">
        <v>733</v>
      </c>
      <c r="E1513" t="s">
        <v>734</v>
      </c>
      <c r="F1513" t="s">
        <v>1272</v>
      </c>
      <c r="G1513" t="s">
        <v>665</v>
      </c>
      <c r="H1513" s="595">
        <v>-16.03</v>
      </c>
      <c r="I1513" t="str">
        <f t="shared" si="68"/>
        <v>janeiro 2026</v>
      </c>
      <c r="J1513">
        <f t="shared" si="67"/>
        <v>2026</v>
      </c>
      <c r="K1513" t="str">
        <f>VLOOKUP(G1513,METRICS!C:D,2,0)</f>
        <v>Taxas Financeiras Diversas</v>
      </c>
      <c r="L1513" t="str">
        <f>VLOOKUP(K1513,METRICS!D:E,2,0)</f>
        <v>TAXAS CARTÃO DE CRÉDITO</v>
      </c>
    </row>
    <row r="1514" spans="1:12" ht="15" hidden="1">
      <c r="A1514" t="s">
        <v>1123</v>
      </c>
      <c r="B1514" t="s">
        <v>689</v>
      </c>
      <c r="C1514" t="s">
        <v>690</v>
      </c>
      <c r="D1514" t="s">
        <v>733</v>
      </c>
      <c r="E1514" t="s">
        <v>734</v>
      </c>
      <c r="F1514" t="s">
        <v>1272</v>
      </c>
      <c r="G1514" t="s">
        <v>665</v>
      </c>
      <c r="H1514" s="595">
        <v>-3.44</v>
      </c>
      <c r="I1514" t="str">
        <f t="shared" si="68"/>
        <v>janeiro 2026</v>
      </c>
      <c r="J1514">
        <f t="shared" si="67"/>
        <v>2026</v>
      </c>
      <c r="K1514" t="str">
        <f>VLOOKUP(G1514,METRICS!C:D,2,0)</f>
        <v>Taxas Financeiras Diversas</v>
      </c>
      <c r="L1514" t="str">
        <f>VLOOKUP(K1514,METRICS!D:E,2,0)</f>
        <v>TAXAS CARTÃO DE CRÉDITO</v>
      </c>
    </row>
    <row r="1515" spans="1:12" ht="15" hidden="1">
      <c r="A1515" t="s">
        <v>1123</v>
      </c>
      <c r="B1515" t="s">
        <v>689</v>
      </c>
      <c r="C1515" t="s">
        <v>690</v>
      </c>
      <c r="D1515" t="s">
        <v>733</v>
      </c>
      <c r="E1515" t="s">
        <v>734</v>
      </c>
      <c r="F1515" t="s">
        <v>1272</v>
      </c>
      <c r="G1515" t="s">
        <v>665</v>
      </c>
      <c r="H1515" s="595">
        <v>-3.84</v>
      </c>
      <c r="I1515" t="str">
        <f t="shared" si="68"/>
        <v>janeiro 2026</v>
      </c>
      <c r="J1515">
        <f t="shared" si="67"/>
        <v>2026</v>
      </c>
      <c r="K1515" t="str">
        <f>VLOOKUP(G1515,METRICS!C:D,2,0)</f>
        <v>Taxas Financeiras Diversas</v>
      </c>
      <c r="L1515" t="str">
        <f>VLOOKUP(K1515,METRICS!D:E,2,0)</f>
        <v>TAXAS CARTÃO DE CRÉDITO</v>
      </c>
    </row>
    <row r="1516" spans="1:12" ht="15" hidden="1">
      <c r="A1516" t="s">
        <v>1123</v>
      </c>
      <c r="B1516" t="s">
        <v>689</v>
      </c>
      <c r="C1516" t="s">
        <v>690</v>
      </c>
      <c r="D1516" t="s">
        <v>743</v>
      </c>
      <c r="E1516" t="s">
        <v>734</v>
      </c>
      <c r="F1516" t="s">
        <v>1272</v>
      </c>
      <c r="G1516" t="s">
        <v>665</v>
      </c>
      <c r="H1516" s="595">
        <v>-12.81</v>
      </c>
      <c r="I1516" t="str">
        <f t="shared" si="68"/>
        <v>janeiro 2026</v>
      </c>
      <c r="J1516">
        <f t="shared" si="67"/>
        <v>2026</v>
      </c>
      <c r="K1516" t="str">
        <f>VLOOKUP(G1516,METRICS!C:D,2,0)</f>
        <v>Taxas Financeiras Diversas</v>
      </c>
      <c r="L1516" t="str">
        <f>VLOOKUP(K1516,METRICS!D:E,2,0)</f>
        <v>TAXAS CARTÃO DE CRÉDITO</v>
      </c>
    </row>
    <row r="1517" spans="1:12" ht="15" hidden="1">
      <c r="A1517" t="s">
        <v>1123</v>
      </c>
      <c r="B1517" t="s">
        <v>689</v>
      </c>
      <c r="C1517" t="s">
        <v>690</v>
      </c>
      <c r="D1517" t="s">
        <v>733</v>
      </c>
      <c r="E1517" t="s">
        <v>734</v>
      </c>
      <c r="F1517" t="s">
        <v>1272</v>
      </c>
      <c r="G1517" t="s">
        <v>665</v>
      </c>
      <c r="H1517" s="595">
        <v>-2.12</v>
      </c>
      <c r="I1517" t="str">
        <f t="shared" si="68"/>
        <v>janeiro 2026</v>
      </c>
      <c r="J1517">
        <f t="shared" si="67"/>
        <v>2026</v>
      </c>
      <c r="K1517" t="str">
        <f>VLOOKUP(G1517,METRICS!C:D,2,0)</f>
        <v>Taxas Financeiras Diversas</v>
      </c>
      <c r="L1517" t="str">
        <f>VLOOKUP(K1517,METRICS!D:E,2,0)</f>
        <v>TAXAS CARTÃO DE CRÉDITO</v>
      </c>
    </row>
    <row r="1518" spans="1:12" ht="15" hidden="1">
      <c r="A1518" t="s">
        <v>1123</v>
      </c>
      <c r="B1518" t="s">
        <v>689</v>
      </c>
      <c r="C1518" t="s">
        <v>690</v>
      </c>
      <c r="D1518" t="s">
        <v>733</v>
      </c>
      <c r="E1518" t="s">
        <v>734</v>
      </c>
      <c r="F1518" t="s">
        <v>1272</v>
      </c>
      <c r="G1518" t="s">
        <v>665</v>
      </c>
      <c r="H1518" s="595">
        <v>-2.89</v>
      </c>
      <c r="I1518" t="str">
        <f t="shared" si="68"/>
        <v>janeiro 2026</v>
      </c>
      <c r="J1518">
        <f t="shared" si="67"/>
        <v>2026</v>
      </c>
      <c r="K1518" t="str">
        <f>VLOOKUP(G1518,METRICS!C:D,2,0)</f>
        <v>Taxas Financeiras Diversas</v>
      </c>
      <c r="L1518" t="str">
        <f>VLOOKUP(K1518,METRICS!D:E,2,0)</f>
        <v>TAXAS CARTÃO DE CRÉDITO</v>
      </c>
    </row>
    <row r="1519" spans="1:12" ht="15" hidden="1">
      <c r="A1519" t="s">
        <v>1123</v>
      </c>
      <c r="B1519" t="s">
        <v>689</v>
      </c>
      <c r="C1519" t="s">
        <v>690</v>
      </c>
      <c r="D1519" t="s">
        <v>743</v>
      </c>
      <c r="E1519" t="s">
        <v>734</v>
      </c>
      <c r="F1519" t="s">
        <v>1272</v>
      </c>
      <c r="G1519" t="s">
        <v>665</v>
      </c>
      <c r="H1519" s="595">
        <v>-11.39</v>
      </c>
      <c r="I1519" t="str">
        <f t="shared" si="68"/>
        <v>janeiro 2026</v>
      </c>
      <c r="J1519">
        <f t="shared" si="67"/>
        <v>2026</v>
      </c>
      <c r="K1519" t="str">
        <f>VLOOKUP(G1519,METRICS!C:D,2,0)</f>
        <v>Taxas Financeiras Diversas</v>
      </c>
      <c r="L1519" t="str">
        <f>VLOOKUP(K1519,METRICS!D:E,2,0)</f>
        <v>TAXAS CARTÃO DE CRÉDITO</v>
      </c>
    </row>
    <row r="1520" spans="1:12" ht="15" hidden="1">
      <c r="A1520" t="s">
        <v>1123</v>
      </c>
      <c r="B1520" t="s">
        <v>689</v>
      </c>
      <c r="C1520" t="s">
        <v>690</v>
      </c>
      <c r="D1520" t="s">
        <v>733</v>
      </c>
      <c r="E1520" t="s">
        <v>734</v>
      </c>
      <c r="F1520" t="s">
        <v>1272</v>
      </c>
      <c r="G1520" t="s">
        <v>665</v>
      </c>
      <c r="H1520" s="595">
        <v>-6.77</v>
      </c>
      <c r="I1520" t="str">
        <f t="shared" si="68"/>
        <v>janeiro 2026</v>
      </c>
      <c r="J1520">
        <f t="shared" si="67"/>
        <v>2026</v>
      </c>
      <c r="K1520" t="str">
        <f>VLOOKUP(G1520,METRICS!C:D,2,0)</f>
        <v>Taxas Financeiras Diversas</v>
      </c>
      <c r="L1520" t="str">
        <f>VLOOKUP(K1520,METRICS!D:E,2,0)</f>
        <v>TAXAS CARTÃO DE CRÉDITO</v>
      </c>
    </row>
    <row r="1521" spans="1:12" ht="15" hidden="1">
      <c r="A1521" t="s">
        <v>1123</v>
      </c>
      <c r="B1521" t="s">
        <v>689</v>
      </c>
      <c r="C1521" t="s">
        <v>690</v>
      </c>
      <c r="D1521" t="s">
        <v>733</v>
      </c>
      <c r="E1521" t="s">
        <v>734</v>
      </c>
      <c r="F1521" t="s">
        <v>1272</v>
      </c>
      <c r="G1521" t="s">
        <v>665</v>
      </c>
      <c r="H1521" s="595">
        <v>-3.84</v>
      </c>
      <c r="I1521" t="str">
        <f t="shared" si="68"/>
        <v>janeiro 2026</v>
      </c>
      <c r="J1521">
        <f t="shared" si="67"/>
        <v>2026</v>
      </c>
      <c r="K1521" t="str">
        <f>VLOOKUP(G1521,METRICS!C:D,2,0)</f>
        <v>Taxas Financeiras Diversas</v>
      </c>
      <c r="L1521" t="str">
        <f>VLOOKUP(K1521,METRICS!D:E,2,0)</f>
        <v>TAXAS CARTÃO DE CRÉDITO</v>
      </c>
    </row>
    <row r="1522" spans="1:12" ht="15" hidden="1">
      <c r="A1522" t="s">
        <v>1123</v>
      </c>
      <c r="B1522" t="s">
        <v>689</v>
      </c>
      <c r="C1522" t="s">
        <v>690</v>
      </c>
      <c r="D1522" t="s">
        <v>733</v>
      </c>
      <c r="E1522" t="s">
        <v>734</v>
      </c>
      <c r="F1522" t="s">
        <v>1272</v>
      </c>
      <c r="G1522" t="s">
        <v>665</v>
      </c>
      <c r="H1522" s="595">
        <v>-13.8</v>
      </c>
      <c r="I1522" t="str">
        <f t="shared" si="68"/>
        <v>janeiro 2026</v>
      </c>
      <c r="J1522">
        <f t="shared" si="67"/>
        <v>2026</v>
      </c>
      <c r="K1522" t="str">
        <f>VLOOKUP(G1522,METRICS!C:D,2,0)</f>
        <v>Taxas Financeiras Diversas</v>
      </c>
      <c r="L1522" t="str">
        <f>VLOOKUP(K1522,METRICS!D:E,2,0)</f>
        <v>TAXAS CARTÃO DE CRÉDITO</v>
      </c>
    </row>
    <row r="1523" spans="1:12" ht="15" hidden="1">
      <c r="A1523" t="s">
        <v>1123</v>
      </c>
      <c r="B1523" t="s">
        <v>689</v>
      </c>
      <c r="C1523" t="s">
        <v>690</v>
      </c>
      <c r="D1523" t="s">
        <v>860</v>
      </c>
      <c r="E1523" t="s">
        <v>734</v>
      </c>
      <c r="F1523" t="s">
        <v>1272</v>
      </c>
      <c r="G1523" t="s">
        <v>665</v>
      </c>
      <c r="H1523" s="595">
        <v>-21.41</v>
      </c>
      <c r="I1523" t="str">
        <f t="shared" si="68"/>
        <v>janeiro 2026</v>
      </c>
      <c r="J1523">
        <f t="shared" si="67"/>
        <v>2026</v>
      </c>
      <c r="K1523" t="str">
        <f>VLOOKUP(G1523,METRICS!C:D,2,0)</f>
        <v>Taxas Financeiras Diversas</v>
      </c>
      <c r="L1523" t="str">
        <f>VLOOKUP(K1523,METRICS!D:E,2,0)</f>
        <v>TAXAS CARTÃO DE CRÉDITO</v>
      </c>
    </row>
    <row r="1524" spans="1:12" ht="15" hidden="1">
      <c r="A1524" t="s">
        <v>1123</v>
      </c>
      <c r="B1524" t="s">
        <v>689</v>
      </c>
      <c r="C1524" t="s">
        <v>690</v>
      </c>
      <c r="D1524" t="s">
        <v>743</v>
      </c>
      <c r="E1524" t="s">
        <v>734</v>
      </c>
      <c r="F1524" t="s">
        <v>1272</v>
      </c>
      <c r="G1524" t="s">
        <v>665</v>
      </c>
      <c r="H1524" s="595">
        <v>-3.85</v>
      </c>
      <c r="I1524" t="str">
        <f t="shared" si="68"/>
        <v>janeiro 2026</v>
      </c>
      <c r="J1524">
        <f t="shared" si="67"/>
        <v>2026</v>
      </c>
      <c r="K1524" t="str">
        <f>VLOOKUP(G1524,METRICS!C:D,2,0)</f>
        <v>Taxas Financeiras Diversas</v>
      </c>
      <c r="L1524" t="str">
        <f>VLOOKUP(K1524,METRICS!D:E,2,0)</f>
        <v>TAXAS CARTÃO DE CRÉDITO</v>
      </c>
    </row>
    <row r="1525" spans="1:12" ht="15" hidden="1">
      <c r="A1525" t="s">
        <v>1123</v>
      </c>
      <c r="B1525" t="s">
        <v>689</v>
      </c>
      <c r="C1525" t="s">
        <v>690</v>
      </c>
      <c r="D1525" t="s">
        <v>733</v>
      </c>
      <c r="E1525" t="s">
        <v>734</v>
      </c>
      <c r="F1525" t="s">
        <v>1272</v>
      </c>
      <c r="G1525" t="s">
        <v>665</v>
      </c>
      <c r="H1525" s="595">
        <v>-1.1100000000000001</v>
      </c>
      <c r="I1525" t="str">
        <f t="shared" si="68"/>
        <v>janeiro 2026</v>
      </c>
      <c r="J1525">
        <f t="shared" ref="J1525:J1588" si="69">YEAR(A1525)</f>
        <v>2026</v>
      </c>
      <c r="K1525" t="str">
        <f>VLOOKUP(G1525,METRICS!C:D,2,0)</f>
        <v>Taxas Financeiras Diversas</v>
      </c>
      <c r="L1525" t="str">
        <f>VLOOKUP(K1525,METRICS!D:E,2,0)</f>
        <v>TAXAS CARTÃO DE CRÉDITO</v>
      </c>
    </row>
    <row r="1526" spans="1:12" ht="15" hidden="1">
      <c r="A1526" t="s">
        <v>1123</v>
      </c>
      <c r="B1526" t="s">
        <v>689</v>
      </c>
      <c r="C1526" t="s">
        <v>690</v>
      </c>
      <c r="D1526" t="s">
        <v>733</v>
      </c>
      <c r="E1526" t="s">
        <v>734</v>
      </c>
      <c r="F1526" t="s">
        <v>1272</v>
      </c>
      <c r="G1526" t="s">
        <v>665</v>
      </c>
      <c r="H1526" s="595">
        <v>-54.99</v>
      </c>
      <c r="I1526" t="str">
        <f t="shared" si="68"/>
        <v>janeiro 2026</v>
      </c>
      <c r="J1526">
        <f t="shared" si="69"/>
        <v>2026</v>
      </c>
      <c r="K1526" t="str">
        <f>VLOOKUP(G1526,METRICS!C:D,2,0)</f>
        <v>Taxas Financeiras Diversas</v>
      </c>
      <c r="L1526" t="str">
        <f>VLOOKUP(K1526,METRICS!D:E,2,0)</f>
        <v>TAXAS CARTÃO DE CRÉDITO</v>
      </c>
    </row>
    <row r="1527" spans="1:12" ht="15" hidden="1">
      <c r="A1527" t="s">
        <v>1123</v>
      </c>
      <c r="B1527" t="s">
        <v>612</v>
      </c>
      <c r="C1527" t="s">
        <v>690</v>
      </c>
      <c r="D1527" t="s">
        <v>1124</v>
      </c>
      <c r="E1527" t="s">
        <v>828</v>
      </c>
      <c r="F1527" t="s">
        <v>1272</v>
      </c>
      <c r="G1527" t="s">
        <v>636</v>
      </c>
      <c r="H1527" s="595">
        <v>-1580.4</v>
      </c>
      <c r="I1527" t="str">
        <f t="shared" si="68"/>
        <v>janeiro 2026</v>
      </c>
      <c r="J1527">
        <f t="shared" si="69"/>
        <v>2026</v>
      </c>
      <c r="K1527" t="str">
        <f>VLOOKUP(G1527,METRICS!C:D,2,0)</f>
        <v>Secos - Mercearia</v>
      </c>
      <c r="L1527" t="str">
        <f>VLOOKUP(K1527,METRICS!D:E,2,0)</f>
        <v>CUSTOS DOS PRODUTOS VENDIDOS</v>
      </c>
    </row>
    <row r="1528" spans="1:12" ht="15" hidden="1">
      <c r="A1528" t="s">
        <v>1123</v>
      </c>
      <c r="B1528" t="s">
        <v>689</v>
      </c>
      <c r="C1528" t="s">
        <v>690</v>
      </c>
      <c r="D1528" t="s">
        <v>860</v>
      </c>
      <c r="E1528" t="s">
        <v>734</v>
      </c>
      <c r="F1528" t="s">
        <v>1272</v>
      </c>
      <c r="G1528" t="s">
        <v>665</v>
      </c>
      <c r="H1528" s="595">
        <v>-1.19</v>
      </c>
      <c r="I1528" t="str">
        <f t="shared" si="68"/>
        <v>janeiro 2026</v>
      </c>
      <c r="J1528">
        <f t="shared" si="69"/>
        <v>2026</v>
      </c>
      <c r="K1528" t="str">
        <f>VLOOKUP(G1528,METRICS!C:D,2,0)</f>
        <v>Taxas Financeiras Diversas</v>
      </c>
      <c r="L1528" t="str">
        <f>VLOOKUP(K1528,METRICS!D:E,2,0)</f>
        <v>TAXAS CARTÃO DE CRÉDITO</v>
      </c>
    </row>
    <row r="1529" spans="1:12" ht="15" hidden="1">
      <c r="A1529" t="s">
        <v>1123</v>
      </c>
      <c r="B1529" t="s">
        <v>689</v>
      </c>
      <c r="C1529" t="s">
        <v>690</v>
      </c>
      <c r="D1529" t="s">
        <v>743</v>
      </c>
      <c r="E1529" t="s">
        <v>734</v>
      </c>
      <c r="F1529" t="s">
        <v>1272</v>
      </c>
      <c r="G1529" t="s">
        <v>665</v>
      </c>
      <c r="H1529" s="595">
        <v>-2.12</v>
      </c>
      <c r="I1529" t="str">
        <f t="shared" si="68"/>
        <v>janeiro 2026</v>
      </c>
      <c r="J1529">
        <f t="shared" si="69"/>
        <v>2026</v>
      </c>
      <c r="K1529" t="str">
        <f>VLOOKUP(G1529,METRICS!C:D,2,0)</f>
        <v>Taxas Financeiras Diversas</v>
      </c>
      <c r="L1529" t="str">
        <f>VLOOKUP(K1529,METRICS!D:E,2,0)</f>
        <v>TAXAS CARTÃO DE CRÉDITO</v>
      </c>
    </row>
    <row r="1530" spans="1:12" ht="15" hidden="1">
      <c r="A1530" t="s">
        <v>1123</v>
      </c>
      <c r="B1530" t="s">
        <v>689</v>
      </c>
      <c r="C1530" t="s">
        <v>690</v>
      </c>
      <c r="D1530" t="s">
        <v>733</v>
      </c>
      <c r="E1530" t="s">
        <v>734</v>
      </c>
      <c r="F1530" t="s">
        <v>1272</v>
      </c>
      <c r="G1530" t="s">
        <v>665</v>
      </c>
      <c r="H1530" s="595">
        <v>-6.12</v>
      </c>
      <c r="I1530" t="str">
        <f t="shared" si="68"/>
        <v>janeiro 2026</v>
      </c>
      <c r="J1530">
        <f t="shared" si="69"/>
        <v>2026</v>
      </c>
      <c r="K1530" t="str">
        <f>VLOOKUP(G1530,METRICS!C:D,2,0)</f>
        <v>Taxas Financeiras Diversas</v>
      </c>
      <c r="L1530" t="str">
        <f>VLOOKUP(K1530,METRICS!D:E,2,0)</f>
        <v>TAXAS CARTÃO DE CRÉDITO</v>
      </c>
    </row>
    <row r="1531" spans="1:12" ht="15" hidden="1">
      <c r="A1531" t="s">
        <v>1123</v>
      </c>
      <c r="B1531" t="s">
        <v>612</v>
      </c>
      <c r="C1531" t="s">
        <v>690</v>
      </c>
      <c r="D1531" t="s">
        <v>1125</v>
      </c>
      <c r="E1531" t="s">
        <v>811</v>
      </c>
      <c r="F1531" t="s">
        <v>1272</v>
      </c>
      <c r="G1531" t="s">
        <v>636</v>
      </c>
      <c r="H1531" s="595">
        <v>-2951.38</v>
      </c>
      <c r="I1531" t="str">
        <f t="shared" si="68"/>
        <v>janeiro 2026</v>
      </c>
      <c r="J1531">
        <f t="shared" si="69"/>
        <v>2026</v>
      </c>
      <c r="K1531" t="str">
        <f>VLOOKUP(G1531,METRICS!C:D,2,0)</f>
        <v>Secos - Mercearia</v>
      </c>
      <c r="L1531" t="str">
        <f>VLOOKUP(K1531,METRICS!D:E,2,0)</f>
        <v>CUSTOS DOS PRODUTOS VENDIDOS</v>
      </c>
    </row>
    <row r="1532" spans="1:12" ht="15" hidden="1">
      <c r="A1532" t="s">
        <v>1123</v>
      </c>
      <c r="B1532" t="s">
        <v>689</v>
      </c>
      <c r="C1532" t="s">
        <v>690</v>
      </c>
      <c r="D1532" t="s">
        <v>743</v>
      </c>
      <c r="E1532" t="s">
        <v>734</v>
      </c>
      <c r="F1532" t="s">
        <v>1272</v>
      </c>
      <c r="G1532" t="s">
        <v>665</v>
      </c>
      <c r="H1532" s="595">
        <v>-19.78</v>
      </c>
      <c r="I1532" t="str">
        <f t="shared" si="68"/>
        <v>janeiro 2026</v>
      </c>
      <c r="J1532">
        <f t="shared" si="69"/>
        <v>2026</v>
      </c>
      <c r="K1532" t="str">
        <f>VLOOKUP(G1532,METRICS!C:D,2,0)</f>
        <v>Taxas Financeiras Diversas</v>
      </c>
      <c r="L1532" t="str">
        <f>VLOOKUP(K1532,METRICS!D:E,2,0)</f>
        <v>TAXAS CARTÃO DE CRÉDITO</v>
      </c>
    </row>
    <row r="1533" spans="1:12" ht="15" hidden="1">
      <c r="A1533" t="s">
        <v>1123</v>
      </c>
      <c r="B1533" t="s">
        <v>689</v>
      </c>
      <c r="C1533" t="s">
        <v>690</v>
      </c>
      <c r="D1533" t="s">
        <v>733</v>
      </c>
      <c r="E1533" t="s">
        <v>734</v>
      </c>
      <c r="F1533" t="s">
        <v>1272</v>
      </c>
      <c r="G1533" t="s">
        <v>665</v>
      </c>
      <c r="H1533" s="595">
        <v>-22.54</v>
      </c>
      <c r="I1533" t="str">
        <f t="shared" si="68"/>
        <v>janeiro 2026</v>
      </c>
      <c r="J1533">
        <f t="shared" si="69"/>
        <v>2026</v>
      </c>
      <c r="K1533" t="str">
        <f>VLOOKUP(G1533,METRICS!C:D,2,0)</f>
        <v>Taxas Financeiras Diversas</v>
      </c>
      <c r="L1533" t="str">
        <f>VLOOKUP(K1533,METRICS!D:E,2,0)</f>
        <v>TAXAS CARTÃO DE CRÉDITO</v>
      </c>
    </row>
    <row r="1534" spans="1:12" ht="15" hidden="1">
      <c r="A1534" t="s">
        <v>1123</v>
      </c>
      <c r="B1534" t="s">
        <v>689</v>
      </c>
      <c r="C1534" t="s">
        <v>690</v>
      </c>
      <c r="D1534" t="s">
        <v>743</v>
      </c>
      <c r="E1534" t="s">
        <v>734</v>
      </c>
      <c r="F1534" t="s">
        <v>1272</v>
      </c>
      <c r="G1534" t="s">
        <v>665</v>
      </c>
      <c r="H1534" s="595">
        <v>-20.57</v>
      </c>
      <c r="I1534" t="str">
        <f t="shared" si="68"/>
        <v>janeiro 2026</v>
      </c>
      <c r="J1534">
        <f t="shared" si="69"/>
        <v>2026</v>
      </c>
      <c r="K1534" t="str">
        <f>VLOOKUP(G1534,METRICS!C:D,2,0)</f>
        <v>Taxas Financeiras Diversas</v>
      </c>
      <c r="L1534" t="str">
        <f>VLOOKUP(K1534,METRICS!D:E,2,0)</f>
        <v>TAXAS CARTÃO DE CRÉDITO</v>
      </c>
    </row>
    <row r="1535" spans="1:12" ht="15" hidden="1">
      <c r="A1535" t="s">
        <v>1123</v>
      </c>
      <c r="B1535" t="s">
        <v>689</v>
      </c>
      <c r="C1535" t="s">
        <v>690</v>
      </c>
      <c r="D1535" t="s">
        <v>743</v>
      </c>
      <c r="E1535" t="s">
        <v>734</v>
      </c>
      <c r="F1535" t="s">
        <v>1272</v>
      </c>
      <c r="G1535" t="s">
        <v>665</v>
      </c>
      <c r="H1535" s="595">
        <v>-3.86</v>
      </c>
      <c r="I1535" t="str">
        <f t="shared" si="68"/>
        <v>janeiro 2026</v>
      </c>
      <c r="J1535">
        <f t="shared" si="69"/>
        <v>2026</v>
      </c>
      <c r="K1535" t="str">
        <f>VLOOKUP(G1535,METRICS!C:D,2,0)</f>
        <v>Taxas Financeiras Diversas</v>
      </c>
      <c r="L1535" t="str">
        <f>VLOOKUP(K1535,METRICS!D:E,2,0)</f>
        <v>TAXAS CARTÃO DE CRÉDITO</v>
      </c>
    </row>
    <row r="1536" spans="1:12" ht="15" hidden="1">
      <c r="A1536" t="s">
        <v>1123</v>
      </c>
      <c r="B1536" t="s">
        <v>689</v>
      </c>
      <c r="C1536" t="s">
        <v>690</v>
      </c>
      <c r="D1536" t="s">
        <v>743</v>
      </c>
      <c r="E1536" t="s">
        <v>734</v>
      </c>
      <c r="F1536" t="s">
        <v>1272</v>
      </c>
      <c r="G1536" t="s">
        <v>665</v>
      </c>
      <c r="H1536" s="595">
        <v>-3.44</v>
      </c>
      <c r="I1536" t="str">
        <f t="shared" si="68"/>
        <v>janeiro 2026</v>
      </c>
      <c r="J1536">
        <f t="shared" si="69"/>
        <v>2026</v>
      </c>
      <c r="K1536" t="str">
        <f>VLOOKUP(G1536,METRICS!C:D,2,0)</f>
        <v>Taxas Financeiras Diversas</v>
      </c>
      <c r="L1536" t="str">
        <f>VLOOKUP(K1536,METRICS!D:E,2,0)</f>
        <v>TAXAS CARTÃO DE CRÉDITO</v>
      </c>
    </row>
    <row r="1537" spans="1:12" ht="15" hidden="1">
      <c r="A1537" t="s">
        <v>1123</v>
      </c>
      <c r="B1537" t="s">
        <v>689</v>
      </c>
      <c r="C1537" t="s">
        <v>690</v>
      </c>
      <c r="D1537" t="s">
        <v>733</v>
      </c>
      <c r="E1537" t="s">
        <v>734</v>
      </c>
      <c r="F1537" t="s">
        <v>1272</v>
      </c>
      <c r="G1537" t="s">
        <v>665</v>
      </c>
      <c r="H1537" s="595">
        <v>-3.83</v>
      </c>
      <c r="I1537" t="str">
        <f t="shared" si="68"/>
        <v>janeiro 2026</v>
      </c>
      <c r="J1537">
        <f t="shared" si="69"/>
        <v>2026</v>
      </c>
      <c r="K1537" t="str">
        <f>VLOOKUP(G1537,METRICS!C:D,2,0)</f>
        <v>Taxas Financeiras Diversas</v>
      </c>
      <c r="L1537" t="str">
        <f>VLOOKUP(K1537,METRICS!D:E,2,0)</f>
        <v>TAXAS CARTÃO DE CRÉDITO</v>
      </c>
    </row>
    <row r="1538" spans="1:12" ht="15" hidden="1">
      <c r="A1538" t="s">
        <v>1123</v>
      </c>
      <c r="B1538" t="s">
        <v>689</v>
      </c>
      <c r="C1538" t="s">
        <v>690</v>
      </c>
      <c r="D1538" t="s">
        <v>743</v>
      </c>
      <c r="E1538" t="s">
        <v>734</v>
      </c>
      <c r="F1538" t="s">
        <v>1272</v>
      </c>
      <c r="G1538" t="s">
        <v>665</v>
      </c>
      <c r="H1538" s="595">
        <v>-1.93</v>
      </c>
      <c r="I1538" t="str">
        <f t="shared" si="68"/>
        <v>janeiro 2026</v>
      </c>
      <c r="J1538">
        <f t="shared" si="69"/>
        <v>2026</v>
      </c>
      <c r="K1538" t="str">
        <f>VLOOKUP(G1538,METRICS!C:D,2,0)</f>
        <v>Taxas Financeiras Diversas</v>
      </c>
      <c r="L1538" t="str">
        <f>VLOOKUP(K1538,METRICS!D:E,2,0)</f>
        <v>TAXAS CARTÃO DE CRÉDITO</v>
      </c>
    </row>
    <row r="1539" spans="1:12" ht="15" hidden="1">
      <c r="A1539" t="s">
        <v>1123</v>
      </c>
      <c r="B1539" t="s">
        <v>689</v>
      </c>
      <c r="C1539" t="s">
        <v>690</v>
      </c>
      <c r="D1539" t="s">
        <v>743</v>
      </c>
      <c r="E1539" t="s">
        <v>734</v>
      </c>
      <c r="F1539" t="s">
        <v>1272</v>
      </c>
      <c r="G1539" t="s">
        <v>665</v>
      </c>
      <c r="H1539" s="595">
        <v>-0.14000000000000001</v>
      </c>
      <c r="I1539" t="str">
        <f t="shared" si="68"/>
        <v>janeiro 2026</v>
      </c>
      <c r="J1539">
        <f t="shared" si="69"/>
        <v>2026</v>
      </c>
      <c r="K1539" t="str">
        <f>VLOOKUP(G1539,METRICS!C:D,2,0)</f>
        <v>Taxas Financeiras Diversas</v>
      </c>
      <c r="L1539" t="str">
        <f>VLOOKUP(K1539,METRICS!D:E,2,0)</f>
        <v>TAXAS CARTÃO DE CRÉDITO</v>
      </c>
    </row>
    <row r="1540" spans="1:12" ht="15" hidden="1">
      <c r="A1540" t="s">
        <v>1123</v>
      </c>
      <c r="B1540" t="s">
        <v>689</v>
      </c>
      <c r="C1540" t="s">
        <v>690</v>
      </c>
      <c r="D1540" t="s">
        <v>733</v>
      </c>
      <c r="E1540" t="s">
        <v>734</v>
      </c>
      <c r="F1540" t="s">
        <v>1272</v>
      </c>
      <c r="G1540" t="s">
        <v>665</v>
      </c>
      <c r="H1540" s="595">
        <v>-1.93</v>
      </c>
      <c r="I1540" t="str">
        <f t="shared" si="68"/>
        <v>janeiro 2026</v>
      </c>
      <c r="J1540">
        <f t="shared" si="69"/>
        <v>2026</v>
      </c>
      <c r="K1540" t="str">
        <f>VLOOKUP(G1540,METRICS!C:D,2,0)</f>
        <v>Taxas Financeiras Diversas</v>
      </c>
      <c r="L1540" t="str">
        <f>VLOOKUP(K1540,METRICS!D:E,2,0)</f>
        <v>TAXAS CARTÃO DE CRÉDITO</v>
      </c>
    </row>
    <row r="1541" spans="1:12" ht="15" hidden="1">
      <c r="A1541" t="s">
        <v>1123</v>
      </c>
      <c r="B1541" t="s">
        <v>689</v>
      </c>
      <c r="C1541" t="s">
        <v>690</v>
      </c>
      <c r="D1541" t="s">
        <v>733</v>
      </c>
      <c r="E1541" t="s">
        <v>734</v>
      </c>
      <c r="F1541" t="s">
        <v>1272</v>
      </c>
      <c r="G1541" t="s">
        <v>665</v>
      </c>
      <c r="H1541" s="595">
        <v>-1.97</v>
      </c>
      <c r="I1541" t="str">
        <f t="shared" si="68"/>
        <v>janeiro 2026</v>
      </c>
      <c r="J1541">
        <f t="shared" si="69"/>
        <v>2026</v>
      </c>
      <c r="K1541" t="str">
        <f>VLOOKUP(G1541,METRICS!C:D,2,0)</f>
        <v>Taxas Financeiras Diversas</v>
      </c>
      <c r="L1541" t="str">
        <f>VLOOKUP(K1541,METRICS!D:E,2,0)</f>
        <v>TAXAS CARTÃO DE CRÉDITO</v>
      </c>
    </row>
    <row r="1542" spans="1:12" ht="15" hidden="1">
      <c r="A1542" t="s">
        <v>1123</v>
      </c>
      <c r="B1542" t="s">
        <v>689</v>
      </c>
      <c r="C1542" t="s">
        <v>690</v>
      </c>
      <c r="D1542" t="s">
        <v>743</v>
      </c>
      <c r="E1542" t="s">
        <v>734</v>
      </c>
      <c r="F1542" t="s">
        <v>1272</v>
      </c>
      <c r="G1542" t="s">
        <v>665</v>
      </c>
      <c r="H1542" s="595">
        <v>-2.25</v>
      </c>
      <c r="I1542" t="str">
        <f t="shared" si="68"/>
        <v>janeiro 2026</v>
      </c>
      <c r="J1542">
        <f t="shared" si="69"/>
        <v>2026</v>
      </c>
      <c r="K1542" t="str">
        <f>VLOOKUP(G1542,METRICS!C:D,2,0)</f>
        <v>Taxas Financeiras Diversas</v>
      </c>
      <c r="L1542" t="str">
        <f>VLOOKUP(K1542,METRICS!D:E,2,0)</f>
        <v>TAXAS CARTÃO DE CRÉDITO</v>
      </c>
    </row>
    <row r="1543" spans="1:12" ht="15" hidden="1">
      <c r="A1543" t="s">
        <v>1123</v>
      </c>
      <c r="B1543" t="s">
        <v>689</v>
      </c>
      <c r="C1543" t="s">
        <v>690</v>
      </c>
      <c r="D1543" t="s">
        <v>883</v>
      </c>
      <c r="E1543" t="s">
        <v>746</v>
      </c>
      <c r="F1543" t="s">
        <v>1272</v>
      </c>
      <c r="G1543" t="s">
        <v>669</v>
      </c>
      <c r="H1543" s="595">
        <v>-18.14</v>
      </c>
      <c r="I1543" t="str">
        <f t="shared" ref="I1543:I1584" si="70">TEXT(A1543, "mmmm aaaa")</f>
        <v>janeiro 2026</v>
      </c>
      <c r="J1543">
        <f t="shared" si="69"/>
        <v>2026</v>
      </c>
      <c r="K1543" t="str">
        <f>VLOOKUP(G1543,METRICS!C:D,2,0)</f>
        <v>Taxas Financeiras Diversas</v>
      </c>
      <c r="L1543" t="str">
        <f>VLOOKUP(K1543,METRICS!D:E,2,0)</f>
        <v>TAXAS CARTÃO DE CRÉDITO</v>
      </c>
    </row>
    <row r="1544" spans="1:12" ht="15" hidden="1">
      <c r="A1544" t="s">
        <v>1123</v>
      </c>
      <c r="B1544" t="s">
        <v>689</v>
      </c>
      <c r="C1544" t="s">
        <v>690</v>
      </c>
      <c r="D1544" t="s">
        <v>733</v>
      </c>
      <c r="E1544" t="s">
        <v>734</v>
      </c>
      <c r="F1544" t="s">
        <v>1272</v>
      </c>
      <c r="G1544" t="s">
        <v>665</v>
      </c>
      <c r="H1544" s="595">
        <v>-2.6</v>
      </c>
      <c r="I1544" t="str">
        <f t="shared" si="70"/>
        <v>janeiro 2026</v>
      </c>
      <c r="J1544">
        <f t="shared" si="69"/>
        <v>2026</v>
      </c>
      <c r="K1544" t="str">
        <f>VLOOKUP(G1544,METRICS!C:D,2,0)</f>
        <v>Taxas Financeiras Diversas</v>
      </c>
      <c r="L1544" t="str">
        <f>VLOOKUP(K1544,METRICS!D:E,2,0)</f>
        <v>TAXAS CARTÃO DE CRÉDITO</v>
      </c>
    </row>
    <row r="1545" spans="1:12" ht="15" hidden="1">
      <c r="A1545" t="s">
        <v>1123</v>
      </c>
      <c r="B1545" t="s">
        <v>689</v>
      </c>
      <c r="C1545" t="s">
        <v>690</v>
      </c>
      <c r="D1545" t="s">
        <v>817</v>
      </c>
      <c r="E1545" s="155" t="s">
        <v>544</v>
      </c>
      <c r="F1545" t="s">
        <v>1272</v>
      </c>
      <c r="G1545" t="s">
        <v>664</v>
      </c>
      <c r="H1545" s="595">
        <v>-240</v>
      </c>
      <c r="I1545" t="str">
        <f t="shared" si="70"/>
        <v>janeiro 2026</v>
      </c>
      <c r="J1545">
        <f t="shared" si="69"/>
        <v>2026</v>
      </c>
      <c r="K1545" t="str">
        <f>VLOOKUP(G1545,METRICS!C:D,2,0)</f>
        <v>Colaborador Extra</v>
      </c>
      <c r="L1545" t="str">
        <f>VLOOKUP(K1545,METRICS!D:E,2,0)</f>
        <v>PESSOAL</v>
      </c>
    </row>
    <row r="1546" spans="1:12" ht="15" hidden="1">
      <c r="A1546" t="s">
        <v>1123</v>
      </c>
      <c r="B1546" t="s">
        <v>689</v>
      </c>
      <c r="C1546" t="s">
        <v>690</v>
      </c>
      <c r="D1546" t="s">
        <v>743</v>
      </c>
      <c r="E1546" t="s">
        <v>734</v>
      </c>
      <c r="F1546" t="s">
        <v>1272</v>
      </c>
      <c r="G1546" t="s">
        <v>665</v>
      </c>
      <c r="H1546" s="595">
        <v>-11.68</v>
      </c>
      <c r="I1546" t="str">
        <f t="shared" si="70"/>
        <v>janeiro 2026</v>
      </c>
      <c r="J1546">
        <f t="shared" si="69"/>
        <v>2026</v>
      </c>
      <c r="K1546" t="str">
        <f>VLOOKUP(G1546,METRICS!C:D,2,0)</f>
        <v>Taxas Financeiras Diversas</v>
      </c>
      <c r="L1546" t="str">
        <f>VLOOKUP(K1546,METRICS!D:E,2,0)</f>
        <v>TAXAS CARTÃO DE CRÉDITO</v>
      </c>
    </row>
    <row r="1547" spans="1:12" ht="15" hidden="1">
      <c r="A1547" t="s">
        <v>1123</v>
      </c>
      <c r="B1547" t="s">
        <v>689</v>
      </c>
      <c r="C1547" t="s">
        <v>690</v>
      </c>
      <c r="D1547" t="s">
        <v>733</v>
      </c>
      <c r="E1547" t="s">
        <v>734</v>
      </c>
      <c r="F1547" t="s">
        <v>1272</v>
      </c>
      <c r="G1547" t="s">
        <v>665</v>
      </c>
      <c r="H1547" s="595">
        <v>-7.11</v>
      </c>
      <c r="I1547" t="str">
        <f t="shared" si="70"/>
        <v>janeiro 2026</v>
      </c>
      <c r="J1547">
        <f t="shared" si="69"/>
        <v>2026</v>
      </c>
      <c r="K1547" t="str">
        <f>VLOOKUP(G1547,METRICS!C:D,2,0)</f>
        <v>Taxas Financeiras Diversas</v>
      </c>
      <c r="L1547" t="str">
        <f>VLOOKUP(K1547,METRICS!D:E,2,0)</f>
        <v>TAXAS CARTÃO DE CRÉDITO</v>
      </c>
    </row>
    <row r="1548" spans="1:12" ht="15" hidden="1">
      <c r="A1548" t="s">
        <v>1123</v>
      </c>
      <c r="B1548" t="s">
        <v>689</v>
      </c>
      <c r="C1548" t="s">
        <v>690</v>
      </c>
      <c r="D1548" t="s">
        <v>743</v>
      </c>
      <c r="E1548" t="s">
        <v>734</v>
      </c>
      <c r="F1548" t="s">
        <v>1272</v>
      </c>
      <c r="G1548" t="s">
        <v>665</v>
      </c>
      <c r="H1548" s="595">
        <v>-3.03</v>
      </c>
      <c r="I1548" t="str">
        <f t="shared" si="70"/>
        <v>janeiro 2026</v>
      </c>
      <c r="J1548">
        <f t="shared" si="69"/>
        <v>2026</v>
      </c>
      <c r="K1548" t="str">
        <f>VLOOKUP(G1548,METRICS!C:D,2,0)</f>
        <v>Taxas Financeiras Diversas</v>
      </c>
      <c r="L1548" t="str">
        <f>VLOOKUP(K1548,METRICS!D:E,2,0)</f>
        <v>TAXAS CARTÃO DE CRÉDITO</v>
      </c>
    </row>
    <row r="1549" spans="1:12" ht="15" hidden="1">
      <c r="A1549" t="s">
        <v>1123</v>
      </c>
      <c r="B1549" t="s">
        <v>689</v>
      </c>
      <c r="C1549" t="s">
        <v>690</v>
      </c>
      <c r="D1549" t="s">
        <v>733</v>
      </c>
      <c r="E1549" t="s">
        <v>734</v>
      </c>
      <c r="F1549" t="s">
        <v>1272</v>
      </c>
      <c r="G1549" t="s">
        <v>665</v>
      </c>
      <c r="H1549" s="595">
        <v>-2.1800000000000002</v>
      </c>
      <c r="I1549" t="str">
        <f t="shared" si="70"/>
        <v>janeiro 2026</v>
      </c>
      <c r="J1549">
        <f t="shared" si="69"/>
        <v>2026</v>
      </c>
      <c r="K1549" t="str">
        <f>VLOOKUP(G1549,METRICS!C:D,2,0)</f>
        <v>Taxas Financeiras Diversas</v>
      </c>
      <c r="L1549" t="str">
        <f>VLOOKUP(K1549,METRICS!D:E,2,0)</f>
        <v>TAXAS CARTÃO DE CRÉDITO</v>
      </c>
    </row>
    <row r="1550" spans="1:12" ht="15" hidden="1">
      <c r="A1550" t="s">
        <v>1123</v>
      </c>
      <c r="B1550" t="s">
        <v>689</v>
      </c>
      <c r="C1550" t="s">
        <v>690</v>
      </c>
      <c r="D1550" t="s">
        <v>733</v>
      </c>
      <c r="E1550" t="s">
        <v>734</v>
      </c>
      <c r="F1550" t="s">
        <v>1272</v>
      </c>
      <c r="G1550" t="s">
        <v>665</v>
      </c>
      <c r="H1550" s="595">
        <v>-24.43</v>
      </c>
      <c r="I1550" t="str">
        <f t="shared" si="70"/>
        <v>janeiro 2026</v>
      </c>
      <c r="J1550">
        <f t="shared" si="69"/>
        <v>2026</v>
      </c>
      <c r="K1550" t="str">
        <f>VLOOKUP(G1550,METRICS!C:D,2,0)</f>
        <v>Taxas Financeiras Diversas</v>
      </c>
      <c r="L1550" t="str">
        <f>VLOOKUP(K1550,METRICS!D:E,2,0)</f>
        <v>TAXAS CARTÃO DE CRÉDITO</v>
      </c>
    </row>
    <row r="1551" spans="1:12" ht="15" hidden="1">
      <c r="A1551" t="s">
        <v>1123</v>
      </c>
      <c r="B1551" t="s">
        <v>689</v>
      </c>
      <c r="C1551" t="s">
        <v>690</v>
      </c>
      <c r="D1551" t="s">
        <v>860</v>
      </c>
      <c r="E1551" t="s">
        <v>734</v>
      </c>
      <c r="F1551" t="s">
        <v>1272</v>
      </c>
      <c r="G1551" t="s">
        <v>665</v>
      </c>
      <c r="H1551" s="595">
        <v>-88.26</v>
      </c>
      <c r="I1551" t="str">
        <f t="shared" si="70"/>
        <v>janeiro 2026</v>
      </c>
      <c r="J1551">
        <f t="shared" si="69"/>
        <v>2026</v>
      </c>
      <c r="K1551" t="str">
        <f>VLOOKUP(G1551,METRICS!C:D,2,0)</f>
        <v>Taxas Financeiras Diversas</v>
      </c>
      <c r="L1551" t="str">
        <f>VLOOKUP(K1551,METRICS!D:E,2,0)</f>
        <v>TAXAS CARTÃO DE CRÉDITO</v>
      </c>
    </row>
    <row r="1552" spans="1:12" ht="15" hidden="1">
      <c r="A1552" t="s">
        <v>1123</v>
      </c>
      <c r="B1552" t="s">
        <v>689</v>
      </c>
      <c r="C1552" t="s">
        <v>690</v>
      </c>
      <c r="D1552" t="s">
        <v>860</v>
      </c>
      <c r="E1552" t="s">
        <v>734</v>
      </c>
      <c r="F1552" t="s">
        <v>1272</v>
      </c>
      <c r="G1552" t="s">
        <v>665</v>
      </c>
      <c r="H1552" s="595">
        <v>-5.86</v>
      </c>
      <c r="I1552" t="str">
        <f t="shared" si="70"/>
        <v>janeiro 2026</v>
      </c>
      <c r="J1552">
        <f t="shared" si="69"/>
        <v>2026</v>
      </c>
      <c r="K1552" t="str">
        <f>VLOOKUP(G1552,METRICS!C:D,2,0)</f>
        <v>Taxas Financeiras Diversas</v>
      </c>
      <c r="L1552" t="str">
        <f>VLOOKUP(K1552,METRICS!D:E,2,0)</f>
        <v>TAXAS CARTÃO DE CRÉDITO</v>
      </c>
    </row>
    <row r="1553" spans="1:12" ht="15" hidden="1">
      <c r="A1553" t="s">
        <v>1123</v>
      </c>
      <c r="B1553" t="s">
        <v>689</v>
      </c>
      <c r="C1553" t="s">
        <v>690</v>
      </c>
      <c r="D1553" t="s">
        <v>733</v>
      </c>
      <c r="E1553" t="s">
        <v>734</v>
      </c>
      <c r="F1553" t="s">
        <v>1272</v>
      </c>
      <c r="G1553" t="s">
        <v>665</v>
      </c>
      <c r="H1553" s="595">
        <v>-1.23</v>
      </c>
      <c r="I1553" t="str">
        <f t="shared" si="70"/>
        <v>janeiro 2026</v>
      </c>
      <c r="J1553">
        <f t="shared" si="69"/>
        <v>2026</v>
      </c>
      <c r="K1553" t="str">
        <f>VLOOKUP(G1553,METRICS!C:D,2,0)</f>
        <v>Taxas Financeiras Diversas</v>
      </c>
      <c r="L1553" t="str">
        <f>VLOOKUP(K1553,METRICS!D:E,2,0)</f>
        <v>TAXAS CARTÃO DE CRÉDITO</v>
      </c>
    </row>
    <row r="1554" spans="1:12" ht="15" hidden="1">
      <c r="A1554" t="s">
        <v>1123</v>
      </c>
      <c r="B1554" t="s">
        <v>689</v>
      </c>
      <c r="C1554" t="s">
        <v>690</v>
      </c>
      <c r="D1554" t="s">
        <v>733</v>
      </c>
      <c r="E1554" t="s">
        <v>734</v>
      </c>
      <c r="F1554" t="s">
        <v>1272</v>
      </c>
      <c r="G1554" t="s">
        <v>665</v>
      </c>
      <c r="H1554" s="595">
        <v>-3.8</v>
      </c>
      <c r="I1554" t="str">
        <f t="shared" si="70"/>
        <v>janeiro 2026</v>
      </c>
      <c r="J1554">
        <f t="shared" si="69"/>
        <v>2026</v>
      </c>
      <c r="K1554" t="str">
        <f>VLOOKUP(G1554,METRICS!C:D,2,0)</f>
        <v>Taxas Financeiras Diversas</v>
      </c>
      <c r="L1554" t="str">
        <f>VLOOKUP(K1554,METRICS!D:E,2,0)</f>
        <v>TAXAS CARTÃO DE CRÉDITO</v>
      </c>
    </row>
    <row r="1555" spans="1:12" ht="15" hidden="1">
      <c r="A1555" t="s">
        <v>1123</v>
      </c>
      <c r="B1555" t="s">
        <v>689</v>
      </c>
      <c r="C1555" t="s">
        <v>690</v>
      </c>
      <c r="D1555" t="s">
        <v>753</v>
      </c>
      <c r="E1555" t="s">
        <v>734</v>
      </c>
      <c r="F1555" t="s">
        <v>1272</v>
      </c>
      <c r="G1555" t="s">
        <v>665</v>
      </c>
      <c r="H1555" s="595">
        <v>-26.96</v>
      </c>
      <c r="I1555" t="str">
        <f t="shared" si="70"/>
        <v>janeiro 2026</v>
      </c>
      <c r="J1555">
        <f t="shared" si="69"/>
        <v>2026</v>
      </c>
      <c r="K1555" t="str">
        <f>VLOOKUP(G1555,METRICS!C:D,2,0)</f>
        <v>Taxas Financeiras Diversas</v>
      </c>
      <c r="L1555" t="str">
        <f>VLOOKUP(K1555,METRICS!D:E,2,0)</f>
        <v>TAXAS CARTÃO DE CRÉDITO</v>
      </c>
    </row>
    <row r="1556" spans="1:12" ht="15" hidden="1">
      <c r="A1556" t="s">
        <v>1123</v>
      </c>
      <c r="B1556" t="s">
        <v>689</v>
      </c>
      <c r="C1556" t="s">
        <v>690</v>
      </c>
      <c r="D1556" t="s">
        <v>733</v>
      </c>
      <c r="E1556" t="s">
        <v>734</v>
      </c>
      <c r="F1556" t="s">
        <v>1272</v>
      </c>
      <c r="G1556" t="s">
        <v>665</v>
      </c>
      <c r="H1556" s="595">
        <v>-13.02</v>
      </c>
      <c r="I1556" t="str">
        <f t="shared" si="70"/>
        <v>janeiro 2026</v>
      </c>
      <c r="J1556">
        <f t="shared" si="69"/>
        <v>2026</v>
      </c>
      <c r="K1556" t="str">
        <f>VLOOKUP(G1556,METRICS!C:D,2,0)</f>
        <v>Taxas Financeiras Diversas</v>
      </c>
      <c r="L1556" t="str">
        <f>VLOOKUP(K1556,METRICS!D:E,2,0)</f>
        <v>TAXAS CARTÃO DE CRÉDITO</v>
      </c>
    </row>
    <row r="1557" spans="1:12" ht="15" hidden="1">
      <c r="A1557" t="s">
        <v>1123</v>
      </c>
      <c r="B1557" t="s">
        <v>689</v>
      </c>
      <c r="C1557" t="s">
        <v>690</v>
      </c>
      <c r="D1557" t="s">
        <v>733</v>
      </c>
      <c r="E1557" t="s">
        <v>734</v>
      </c>
      <c r="F1557" t="s">
        <v>1272</v>
      </c>
      <c r="G1557" t="s">
        <v>665</v>
      </c>
      <c r="H1557" s="595">
        <v>-1.41</v>
      </c>
      <c r="I1557" t="str">
        <f t="shared" si="70"/>
        <v>janeiro 2026</v>
      </c>
      <c r="J1557">
        <f t="shared" si="69"/>
        <v>2026</v>
      </c>
      <c r="K1557" t="str">
        <f>VLOOKUP(G1557,METRICS!C:D,2,0)</f>
        <v>Taxas Financeiras Diversas</v>
      </c>
      <c r="L1557" t="str">
        <f>VLOOKUP(K1557,METRICS!D:E,2,0)</f>
        <v>TAXAS CARTÃO DE CRÉDITO</v>
      </c>
    </row>
    <row r="1558" spans="1:12" ht="15" hidden="1">
      <c r="A1558" t="s">
        <v>1123</v>
      </c>
      <c r="B1558" t="s">
        <v>689</v>
      </c>
      <c r="C1558" t="s">
        <v>690</v>
      </c>
      <c r="D1558" t="s">
        <v>753</v>
      </c>
      <c r="E1558" t="s">
        <v>734</v>
      </c>
      <c r="F1558" t="s">
        <v>1272</v>
      </c>
      <c r="G1558" t="s">
        <v>665</v>
      </c>
      <c r="H1558" s="595">
        <v>-3.96</v>
      </c>
      <c r="I1558" t="str">
        <f t="shared" si="70"/>
        <v>janeiro 2026</v>
      </c>
      <c r="J1558">
        <f t="shared" si="69"/>
        <v>2026</v>
      </c>
      <c r="K1558" t="str">
        <f>VLOOKUP(G1558,METRICS!C:D,2,0)</f>
        <v>Taxas Financeiras Diversas</v>
      </c>
      <c r="L1558" t="str">
        <f>VLOOKUP(K1558,METRICS!D:E,2,0)</f>
        <v>TAXAS CARTÃO DE CRÉDITO</v>
      </c>
    </row>
    <row r="1559" spans="1:12" ht="15" hidden="1">
      <c r="A1559" t="s">
        <v>1123</v>
      </c>
      <c r="B1559" t="s">
        <v>612</v>
      </c>
      <c r="C1559" t="s">
        <v>690</v>
      </c>
      <c r="D1559" t="s">
        <v>1126</v>
      </c>
      <c r="E1559" t="s">
        <v>964</v>
      </c>
      <c r="F1559" t="s">
        <v>1272</v>
      </c>
      <c r="G1559" t="s">
        <v>607</v>
      </c>
      <c r="H1559" s="595">
        <v>-8939.64</v>
      </c>
      <c r="I1559" t="str">
        <f t="shared" si="70"/>
        <v>janeiro 2026</v>
      </c>
      <c r="J1559">
        <f t="shared" si="69"/>
        <v>2026</v>
      </c>
      <c r="K1559" t="str">
        <f>VLOOKUP(G1559,METRICS!C:D,2,0)</f>
        <v>Bebidas Alcoólicas</v>
      </c>
      <c r="L1559" t="str">
        <f>VLOOKUP(K1559,METRICS!D:E,2,0)</f>
        <v>CUSTOS DOS PRODUTOS VENDIDOS</v>
      </c>
    </row>
    <row r="1560" spans="1:12" ht="15" hidden="1">
      <c r="A1560" t="s">
        <v>1123</v>
      </c>
      <c r="B1560" t="s">
        <v>689</v>
      </c>
      <c r="C1560" t="s">
        <v>690</v>
      </c>
      <c r="D1560" t="s">
        <v>743</v>
      </c>
      <c r="E1560" t="s">
        <v>734</v>
      </c>
      <c r="F1560" t="s">
        <v>1272</v>
      </c>
      <c r="G1560" t="s">
        <v>665</v>
      </c>
      <c r="H1560" s="595">
        <v>-8.24</v>
      </c>
      <c r="I1560" t="str">
        <f t="shared" si="70"/>
        <v>janeiro 2026</v>
      </c>
      <c r="J1560">
        <f t="shared" si="69"/>
        <v>2026</v>
      </c>
      <c r="K1560" t="str">
        <f>VLOOKUP(G1560,METRICS!C:D,2,0)</f>
        <v>Taxas Financeiras Diversas</v>
      </c>
      <c r="L1560" t="str">
        <f>VLOOKUP(K1560,METRICS!D:E,2,0)</f>
        <v>TAXAS CARTÃO DE CRÉDITO</v>
      </c>
    </row>
    <row r="1561" spans="1:12" ht="15" hidden="1">
      <c r="A1561" t="s">
        <v>1123</v>
      </c>
      <c r="B1561" t="s">
        <v>689</v>
      </c>
      <c r="C1561" t="s">
        <v>690</v>
      </c>
      <c r="D1561" t="s">
        <v>733</v>
      </c>
      <c r="E1561" t="s">
        <v>734</v>
      </c>
      <c r="F1561" t="s">
        <v>1272</v>
      </c>
      <c r="G1561" t="s">
        <v>665</v>
      </c>
      <c r="H1561" s="595">
        <v>-2.2799999999999998</v>
      </c>
      <c r="I1561" t="str">
        <f t="shared" si="70"/>
        <v>janeiro 2026</v>
      </c>
      <c r="J1561">
        <f t="shared" si="69"/>
        <v>2026</v>
      </c>
      <c r="K1561" t="str">
        <f>VLOOKUP(G1561,METRICS!C:D,2,0)</f>
        <v>Taxas Financeiras Diversas</v>
      </c>
      <c r="L1561" t="str">
        <f>VLOOKUP(K1561,METRICS!D:E,2,0)</f>
        <v>TAXAS CARTÃO DE CRÉDITO</v>
      </c>
    </row>
    <row r="1562" spans="1:12" ht="15" hidden="1">
      <c r="A1562" t="s">
        <v>1123</v>
      </c>
      <c r="B1562" t="s">
        <v>689</v>
      </c>
      <c r="C1562" t="s">
        <v>690</v>
      </c>
      <c r="D1562" t="s">
        <v>733</v>
      </c>
      <c r="E1562" t="s">
        <v>734</v>
      </c>
      <c r="F1562" t="s">
        <v>1272</v>
      </c>
      <c r="G1562" t="s">
        <v>665</v>
      </c>
      <c r="H1562" s="595">
        <v>-3.09</v>
      </c>
      <c r="I1562" t="str">
        <f t="shared" si="70"/>
        <v>janeiro 2026</v>
      </c>
      <c r="J1562">
        <f t="shared" si="69"/>
        <v>2026</v>
      </c>
      <c r="K1562" t="str">
        <f>VLOOKUP(G1562,METRICS!C:D,2,0)</f>
        <v>Taxas Financeiras Diversas</v>
      </c>
      <c r="L1562" t="str">
        <f>VLOOKUP(K1562,METRICS!D:E,2,0)</f>
        <v>TAXAS CARTÃO DE CRÉDITO</v>
      </c>
    </row>
    <row r="1563" spans="1:12" ht="15" hidden="1">
      <c r="A1563" t="s">
        <v>1123</v>
      </c>
      <c r="B1563" t="s">
        <v>689</v>
      </c>
      <c r="C1563" t="s">
        <v>690</v>
      </c>
      <c r="D1563" t="s">
        <v>743</v>
      </c>
      <c r="E1563" t="s">
        <v>734</v>
      </c>
      <c r="F1563" t="s">
        <v>1272</v>
      </c>
      <c r="G1563" t="s">
        <v>665</v>
      </c>
      <c r="H1563" s="595">
        <v>-1.5</v>
      </c>
      <c r="I1563" t="str">
        <f t="shared" si="70"/>
        <v>janeiro 2026</v>
      </c>
      <c r="J1563">
        <f t="shared" si="69"/>
        <v>2026</v>
      </c>
      <c r="K1563" t="str">
        <f>VLOOKUP(G1563,METRICS!C:D,2,0)</f>
        <v>Taxas Financeiras Diversas</v>
      </c>
      <c r="L1563" t="str">
        <f>VLOOKUP(K1563,METRICS!D:E,2,0)</f>
        <v>TAXAS CARTÃO DE CRÉDITO</v>
      </c>
    </row>
    <row r="1564" spans="1:12" ht="15" hidden="1">
      <c r="A1564" t="s">
        <v>1123</v>
      </c>
      <c r="B1564" t="s">
        <v>689</v>
      </c>
      <c r="C1564" t="s">
        <v>690</v>
      </c>
      <c r="D1564" t="s">
        <v>743</v>
      </c>
      <c r="E1564" t="s">
        <v>734</v>
      </c>
      <c r="F1564" t="s">
        <v>1272</v>
      </c>
      <c r="G1564" t="s">
        <v>665</v>
      </c>
      <c r="H1564" s="595">
        <v>-3.84</v>
      </c>
      <c r="I1564" t="str">
        <f t="shared" si="70"/>
        <v>janeiro 2026</v>
      </c>
      <c r="J1564">
        <f t="shared" si="69"/>
        <v>2026</v>
      </c>
      <c r="K1564" t="str">
        <f>VLOOKUP(G1564,METRICS!C:D,2,0)</f>
        <v>Taxas Financeiras Diversas</v>
      </c>
      <c r="L1564" t="str">
        <f>VLOOKUP(K1564,METRICS!D:E,2,0)</f>
        <v>TAXAS CARTÃO DE CRÉDITO</v>
      </c>
    </row>
    <row r="1565" spans="1:12" ht="15" hidden="1">
      <c r="A1565" t="s">
        <v>1123</v>
      </c>
      <c r="B1565" t="s">
        <v>689</v>
      </c>
      <c r="C1565" t="s">
        <v>690</v>
      </c>
      <c r="D1565" t="s">
        <v>733</v>
      </c>
      <c r="E1565" t="s">
        <v>734</v>
      </c>
      <c r="F1565" t="s">
        <v>1272</v>
      </c>
      <c r="G1565" t="s">
        <v>665</v>
      </c>
      <c r="H1565" s="595">
        <v>-7.26</v>
      </c>
      <c r="I1565" t="str">
        <f t="shared" si="70"/>
        <v>janeiro 2026</v>
      </c>
      <c r="J1565">
        <f t="shared" si="69"/>
        <v>2026</v>
      </c>
      <c r="K1565" t="str">
        <f>VLOOKUP(G1565,METRICS!C:D,2,0)</f>
        <v>Taxas Financeiras Diversas</v>
      </c>
      <c r="L1565" t="str">
        <f>VLOOKUP(K1565,METRICS!D:E,2,0)</f>
        <v>TAXAS CARTÃO DE CRÉDITO</v>
      </c>
    </row>
    <row r="1566" spans="1:12" ht="15" hidden="1">
      <c r="A1566" t="s">
        <v>1123</v>
      </c>
      <c r="B1566" t="s">
        <v>689</v>
      </c>
      <c r="C1566" t="s">
        <v>690</v>
      </c>
      <c r="D1566" t="s">
        <v>743</v>
      </c>
      <c r="E1566" t="s">
        <v>734</v>
      </c>
      <c r="F1566" t="s">
        <v>1272</v>
      </c>
      <c r="G1566" t="s">
        <v>665</v>
      </c>
      <c r="H1566" s="595">
        <v>-7.15</v>
      </c>
      <c r="I1566" t="str">
        <f t="shared" si="70"/>
        <v>janeiro 2026</v>
      </c>
      <c r="J1566">
        <f t="shared" si="69"/>
        <v>2026</v>
      </c>
      <c r="K1566" t="str">
        <f>VLOOKUP(G1566,METRICS!C:D,2,0)</f>
        <v>Taxas Financeiras Diversas</v>
      </c>
      <c r="L1566" t="str">
        <f>VLOOKUP(K1566,METRICS!D:E,2,0)</f>
        <v>TAXAS CARTÃO DE CRÉDITO</v>
      </c>
    </row>
    <row r="1567" spans="1:12" ht="15" hidden="1">
      <c r="A1567" t="s">
        <v>1123</v>
      </c>
      <c r="B1567" t="s">
        <v>689</v>
      </c>
      <c r="C1567" t="s">
        <v>690</v>
      </c>
      <c r="D1567" t="s">
        <v>733</v>
      </c>
      <c r="E1567" t="s">
        <v>734</v>
      </c>
      <c r="F1567" t="s">
        <v>1272</v>
      </c>
      <c r="G1567" t="s">
        <v>665</v>
      </c>
      <c r="H1567" s="595">
        <v>-1.41</v>
      </c>
      <c r="I1567" t="str">
        <f t="shared" si="70"/>
        <v>janeiro 2026</v>
      </c>
      <c r="J1567">
        <f t="shared" si="69"/>
        <v>2026</v>
      </c>
      <c r="K1567" t="str">
        <f>VLOOKUP(G1567,METRICS!C:D,2,0)</f>
        <v>Taxas Financeiras Diversas</v>
      </c>
      <c r="L1567" t="str">
        <f>VLOOKUP(K1567,METRICS!D:E,2,0)</f>
        <v>TAXAS CARTÃO DE CRÉDITO</v>
      </c>
    </row>
    <row r="1568" spans="1:12" ht="15" hidden="1">
      <c r="A1568" t="s">
        <v>1123</v>
      </c>
      <c r="B1568" t="s">
        <v>689</v>
      </c>
      <c r="C1568" t="s">
        <v>690</v>
      </c>
      <c r="D1568" t="s">
        <v>733</v>
      </c>
      <c r="E1568" t="s">
        <v>734</v>
      </c>
      <c r="F1568" t="s">
        <v>1272</v>
      </c>
      <c r="G1568" t="s">
        <v>665</v>
      </c>
      <c r="H1568" s="595">
        <v>-6.71</v>
      </c>
      <c r="I1568" t="str">
        <f t="shared" si="70"/>
        <v>janeiro 2026</v>
      </c>
      <c r="J1568">
        <f t="shared" si="69"/>
        <v>2026</v>
      </c>
      <c r="K1568" t="str">
        <f>VLOOKUP(G1568,METRICS!C:D,2,0)</f>
        <v>Taxas Financeiras Diversas</v>
      </c>
      <c r="L1568" t="str">
        <f>VLOOKUP(K1568,METRICS!D:E,2,0)</f>
        <v>TAXAS CARTÃO DE CRÉDITO</v>
      </c>
    </row>
    <row r="1569" spans="1:12" ht="15" hidden="1">
      <c r="A1569" t="s">
        <v>1123</v>
      </c>
      <c r="B1569" t="s">
        <v>689</v>
      </c>
      <c r="C1569" t="s">
        <v>690</v>
      </c>
      <c r="D1569" t="s">
        <v>733</v>
      </c>
      <c r="E1569" t="s">
        <v>734</v>
      </c>
      <c r="F1569" t="s">
        <v>1272</v>
      </c>
      <c r="G1569" t="s">
        <v>665</v>
      </c>
      <c r="H1569" s="595">
        <v>-11.05</v>
      </c>
      <c r="I1569" t="str">
        <f t="shared" si="70"/>
        <v>janeiro 2026</v>
      </c>
      <c r="J1569">
        <f t="shared" si="69"/>
        <v>2026</v>
      </c>
      <c r="K1569" t="str">
        <f>VLOOKUP(G1569,METRICS!C:D,2,0)</f>
        <v>Taxas Financeiras Diversas</v>
      </c>
      <c r="L1569" t="str">
        <f>VLOOKUP(K1569,METRICS!D:E,2,0)</f>
        <v>TAXAS CARTÃO DE CRÉDITO</v>
      </c>
    </row>
    <row r="1570" spans="1:12" ht="15" hidden="1">
      <c r="A1570" t="s">
        <v>1123</v>
      </c>
      <c r="B1570" t="s">
        <v>689</v>
      </c>
      <c r="C1570" t="s">
        <v>690</v>
      </c>
      <c r="D1570" t="s">
        <v>743</v>
      </c>
      <c r="E1570" t="s">
        <v>734</v>
      </c>
      <c r="F1570" t="s">
        <v>1272</v>
      </c>
      <c r="G1570" t="s">
        <v>665</v>
      </c>
      <c r="H1570" s="595">
        <v>-1.1100000000000001</v>
      </c>
      <c r="I1570" t="str">
        <f t="shared" si="70"/>
        <v>janeiro 2026</v>
      </c>
      <c r="J1570">
        <f t="shared" si="69"/>
        <v>2026</v>
      </c>
      <c r="K1570" t="str">
        <f>VLOOKUP(G1570,METRICS!C:D,2,0)</f>
        <v>Taxas Financeiras Diversas</v>
      </c>
      <c r="L1570" t="str">
        <f>VLOOKUP(K1570,METRICS!D:E,2,0)</f>
        <v>TAXAS CARTÃO DE CRÉDITO</v>
      </c>
    </row>
    <row r="1571" spans="1:12" ht="15" hidden="1">
      <c r="A1571" t="s">
        <v>1123</v>
      </c>
      <c r="B1571" t="s">
        <v>689</v>
      </c>
      <c r="C1571" t="s">
        <v>690</v>
      </c>
      <c r="D1571" t="s">
        <v>733</v>
      </c>
      <c r="E1571" t="s">
        <v>734</v>
      </c>
      <c r="F1571" t="s">
        <v>1272</v>
      </c>
      <c r="G1571" t="s">
        <v>665</v>
      </c>
      <c r="H1571" s="595">
        <v>-0.78</v>
      </c>
      <c r="I1571" t="str">
        <f t="shared" si="70"/>
        <v>janeiro 2026</v>
      </c>
      <c r="J1571">
        <f t="shared" si="69"/>
        <v>2026</v>
      </c>
      <c r="K1571" t="str">
        <f>VLOOKUP(G1571,METRICS!C:D,2,0)</f>
        <v>Taxas Financeiras Diversas</v>
      </c>
      <c r="L1571" t="str">
        <f>VLOOKUP(K1571,METRICS!D:E,2,0)</f>
        <v>TAXAS CARTÃO DE CRÉDITO</v>
      </c>
    </row>
    <row r="1572" spans="1:12" ht="15" hidden="1">
      <c r="A1572" t="s">
        <v>1123</v>
      </c>
      <c r="B1572" t="s">
        <v>689</v>
      </c>
      <c r="C1572" t="s">
        <v>690</v>
      </c>
      <c r="D1572" t="s">
        <v>733</v>
      </c>
      <c r="E1572" t="s">
        <v>734</v>
      </c>
      <c r="F1572" t="s">
        <v>1272</v>
      </c>
      <c r="G1572" t="s">
        <v>665</v>
      </c>
      <c r="H1572" s="595">
        <v>-7.25</v>
      </c>
      <c r="I1572" t="str">
        <f t="shared" si="70"/>
        <v>janeiro 2026</v>
      </c>
      <c r="J1572">
        <f t="shared" si="69"/>
        <v>2026</v>
      </c>
      <c r="K1572" t="str">
        <f>VLOOKUP(G1572,METRICS!C:D,2,0)</f>
        <v>Taxas Financeiras Diversas</v>
      </c>
      <c r="L1572" t="str">
        <f>VLOOKUP(K1572,METRICS!D:E,2,0)</f>
        <v>TAXAS CARTÃO DE CRÉDITO</v>
      </c>
    </row>
    <row r="1573" spans="1:12" ht="15" hidden="1">
      <c r="A1573" t="s">
        <v>1123</v>
      </c>
      <c r="B1573" t="s">
        <v>689</v>
      </c>
      <c r="C1573" t="s">
        <v>690</v>
      </c>
      <c r="D1573" t="s">
        <v>743</v>
      </c>
      <c r="E1573" t="s">
        <v>734</v>
      </c>
      <c r="F1573" t="s">
        <v>1272</v>
      </c>
      <c r="G1573" t="s">
        <v>665</v>
      </c>
      <c r="H1573" s="595">
        <v>-3.84</v>
      </c>
      <c r="I1573" t="str">
        <f t="shared" si="70"/>
        <v>janeiro 2026</v>
      </c>
      <c r="J1573">
        <f t="shared" si="69"/>
        <v>2026</v>
      </c>
      <c r="K1573" t="str">
        <f>VLOOKUP(G1573,METRICS!C:D,2,0)</f>
        <v>Taxas Financeiras Diversas</v>
      </c>
      <c r="L1573" t="str">
        <f>VLOOKUP(K1573,METRICS!D:E,2,0)</f>
        <v>TAXAS CARTÃO DE CRÉDITO</v>
      </c>
    </row>
    <row r="1574" spans="1:12" ht="15" hidden="1">
      <c r="A1574" t="s">
        <v>1123</v>
      </c>
      <c r="B1574" t="s">
        <v>689</v>
      </c>
      <c r="C1574" t="s">
        <v>690</v>
      </c>
      <c r="D1574" t="s">
        <v>743</v>
      </c>
      <c r="E1574" t="s">
        <v>734</v>
      </c>
      <c r="F1574" t="s">
        <v>1272</v>
      </c>
      <c r="G1574" t="s">
        <v>665</v>
      </c>
      <c r="H1574" s="595">
        <v>-1.36</v>
      </c>
      <c r="I1574" t="str">
        <f t="shared" si="70"/>
        <v>janeiro 2026</v>
      </c>
      <c r="J1574">
        <f t="shared" si="69"/>
        <v>2026</v>
      </c>
      <c r="K1574" t="str">
        <f>VLOOKUP(G1574,METRICS!C:D,2,0)</f>
        <v>Taxas Financeiras Diversas</v>
      </c>
      <c r="L1574" t="str">
        <f>VLOOKUP(K1574,METRICS!D:E,2,0)</f>
        <v>TAXAS CARTÃO DE CRÉDITO</v>
      </c>
    </row>
    <row r="1575" spans="1:12" ht="15" hidden="1">
      <c r="A1575" t="s">
        <v>1123</v>
      </c>
      <c r="B1575" t="s">
        <v>689</v>
      </c>
      <c r="C1575" t="s">
        <v>690</v>
      </c>
      <c r="D1575" t="s">
        <v>743</v>
      </c>
      <c r="E1575" t="s">
        <v>734</v>
      </c>
      <c r="F1575" t="s">
        <v>1272</v>
      </c>
      <c r="G1575" t="s">
        <v>665</v>
      </c>
      <c r="H1575" s="595">
        <v>-5.83</v>
      </c>
      <c r="I1575" t="str">
        <f t="shared" si="70"/>
        <v>janeiro 2026</v>
      </c>
      <c r="J1575">
        <f t="shared" si="69"/>
        <v>2026</v>
      </c>
      <c r="K1575" t="str">
        <f>VLOOKUP(G1575,METRICS!C:D,2,0)</f>
        <v>Taxas Financeiras Diversas</v>
      </c>
      <c r="L1575" t="str">
        <f>VLOOKUP(K1575,METRICS!D:E,2,0)</f>
        <v>TAXAS CARTÃO DE CRÉDITO</v>
      </c>
    </row>
    <row r="1576" spans="1:12" ht="15" hidden="1">
      <c r="A1576" t="s">
        <v>1123</v>
      </c>
      <c r="B1576" t="s">
        <v>689</v>
      </c>
      <c r="C1576" t="s">
        <v>690</v>
      </c>
      <c r="D1576" t="s">
        <v>733</v>
      </c>
      <c r="E1576" t="s">
        <v>734</v>
      </c>
      <c r="F1576" t="s">
        <v>1272</v>
      </c>
      <c r="G1576" t="s">
        <v>665</v>
      </c>
      <c r="H1576" s="595">
        <v>-1.33</v>
      </c>
      <c r="I1576" t="str">
        <f t="shared" si="70"/>
        <v>janeiro 2026</v>
      </c>
      <c r="J1576">
        <f t="shared" si="69"/>
        <v>2026</v>
      </c>
      <c r="K1576" t="str">
        <f>VLOOKUP(G1576,METRICS!C:D,2,0)</f>
        <v>Taxas Financeiras Diversas</v>
      </c>
      <c r="L1576" t="str">
        <f>VLOOKUP(K1576,METRICS!D:E,2,0)</f>
        <v>TAXAS CARTÃO DE CRÉDITO</v>
      </c>
    </row>
    <row r="1577" spans="1:12" ht="15" hidden="1">
      <c r="A1577" t="s">
        <v>1123</v>
      </c>
      <c r="B1577" t="s">
        <v>612</v>
      </c>
      <c r="C1577" t="s">
        <v>690</v>
      </c>
      <c r="D1577" t="s">
        <v>1127</v>
      </c>
      <c r="E1577" t="s">
        <v>784</v>
      </c>
      <c r="F1577" t="s">
        <v>1272</v>
      </c>
      <c r="G1577" t="s">
        <v>636</v>
      </c>
      <c r="H1577" s="595">
        <v>-520</v>
      </c>
      <c r="I1577" t="str">
        <f t="shared" si="70"/>
        <v>janeiro 2026</v>
      </c>
      <c r="J1577">
        <f t="shared" si="69"/>
        <v>2026</v>
      </c>
      <c r="K1577" t="str">
        <f>VLOOKUP(G1577,METRICS!C:D,2,0)</f>
        <v>Secos - Mercearia</v>
      </c>
      <c r="L1577" t="str">
        <f>VLOOKUP(K1577,METRICS!D:E,2,0)</f>
        <v>CUSTOS DOS PRODUTOS VENDIDOS</v>
      </c>
    </row>
    <row r="1578" spans="1:12" ht="15" hidden="1">
      <c r="A1578" t="s">
        <v>1123</v>
      </c>
      <c r="B1578" t="s">
        <v>689</v>
      </c>
      <c r="C1578" t="s">
        <v>690</v>
      </c>
      <c r="D1578" t="s">
        <v>743</v>
      </c>
      <c r="E1578" t="s">
        <v>734</v>
      </c>
      <c r="F1578" t="s">
        <v>1272</v>
      </c>
      <c r="G1578" t="s">
        <v>665</v>
      </c>
      <c r="H1578" s="595">
        <v>-14.3</v>
      </c>
      <c r="I1578" t="str">
        <f t="shared" si="70"/>
        <v>janeiro 2026</v>
      </c>
      <c r="J1578">
        <f t="shared" si="69"/>
        <v>2026</v>
      </c>
      <c r="K1578" t="str">
        <f>VLOOKUP(G1578,METRICS!C:D,2,0)</f>
        <v>Taxas Financeiras Diversas</v>
      </c>
      <c r="L1578" t="str">
        <f>VLOOKUP(K1578,METRICS!D:E,2,0)</f>
        <v>TAXAS CARTÃO DE CRÉDITO</v>
      </c>
    </row>
    <row r="1579" spans="1:12" ht="15" hidden="1">
      <c r="A1579" t="s">
        <v>1123</v>
      </c>
      <c r="B1579" t="s">
        <v>689</v>
      </c>
      <c r="C1579" t="s">
        <v>690</v>
      </c>
      <c r="D1579" t="s">
        <v>733</v>
      </c>
      <c r="E1579" t="s">
        <v>734</v>
      </c>
      <c r="F1579" t="s">
        <v>1272</v>
      </c>
      <c r="G1579" t="s">
        <v>665</v>
      </c>
      <c r="H1579" s="595">
        <v>-3.84</v>
      </c>
      <c r="I1579" t="str">
        <f t="shared" si="70"/>
        <v>janeiro 2026</v>
      </c>
      <c r="J1579">
        <f t="shared" si="69"/>
        <v>2026</v>
      </c>
      <c r="K1579" t="str">
        <f>VLOOKUP(G1579,METRICS!C:D,2,0)</f>
        <v>Taxas Financeiras Diversas</v>
      </c>
      <c r="L1579" t="str">
        <f>VLOOKUP(K1579,METRICS!D:E,2,0)</f>
        <v>TAXAS CARTÃO DE CRÉDITO</v>
      </c>
    </row>
    <row r="1580" spans="1:12" ht="15" hidden="1">
      <c r="A1580" t="s">
        <v>1123</v>
      </c>
      <c r="B1580" t="s">
        <v>689</v>
      </c>
      <c r="C1580" t="s">
        <v>690</v>
      </c>
      <c r="D1580" t="s">
        <v>733</v>
      </c>
      <c r="E1580" t="s">
        <v>734</v>
      </c>
      <c r="F1580" t="s">
        <v>1272</v>
      </c>
      <c r="G1580" t="s">
        <v>665</v>
      </c>
      <c r="H1580" s="595">
        <v>-10.37</v>
      </c>
      <c r="I1580" t="str">
        <f t="shared" si="70"/>
        <v>janeiro 2026</v>
      </c>
      <c r="J1580">
        <f t="shared" si="69"/>
        <v>2026</v>
      </c>
      <c r="K1580" t="str">
        <f>VLOOKUP(G1580,METRICS!C:D,2,0)</f>
        <v>Taxas Financeiras Diversas</v>
      </c>
      <c r="L1580" t="str">
        <f>VLOOKUP(K1580,METRICS!D:E,2,0)</f>
        <v>TAXAS CARTÃO DE CRÉDITO</v>
      </c>
    </row>
    <row r="1581" spans="1:12" ht="15" hidden="1">
      <c r="A1581" t="s">
        <v>1123</v>
      </c>
      <c r="B1581" t="s">
        <v>689</v>
      </c>
      <c r="C1581" t="s">
        <v>690</v>
      </c>
      <c r="D1581" t="s">
        <v>743</v>
      </c>
      <c r="E1581" t="s">
        <v>734</v>
      </c>
      <c r="F1581" t="s">
        <v>1272</v>
      </c>
      <c r="G1581" t="s">
        <v>665</v>
      </c>
      <c r="H1581" s="595">
        <v>-1.8</v>
      </c>
      <c r="I1581" t="str">
        <f t="shared" si="70"/>
        <v>janeiro 2026</v>
      </c>
      <c r="J1581">
        <f t="shared" si="69"/>
        <v>2026</v>
      </c>
      <c r="K1581" t="str">
        <f>VLOOKUP(G1581,METRICS!C:D,2,0)</f>
        <v>Taxas Financeiras Diversas</v>
      </c>
      <c r="L1581" t="str">
        <f>VLOOKUP(K1581,METRICS!D:E,2,0)</f>
        <v>TAXAS CARTÃO DE CRÉDITO</v>
      </c>
    </row>
    <row r="1582" spans="1:12" ht="15" hidden="1">
      <c r="A1582" t="s">
        <v>1123</v>
      </c>
      <c r="B1582" t="s">
        <v>689</v>
      </c>
      <c r="C1582" t="s">
        <v>690</v>
      </c>
      <c r="D1582" t="s">
        <v>733</v>
      </c>
      <c r="E1582" t="s">
        <v>734</v>
      </c>
      <c r="F1582" t="s">
        <v>1272</v>
      </c>
      <c r="G1582" t="s">
        <v>665</v>
      </c>
      <c r="H1582" s="595">
        <v>-0.21</v>
      </c>
      <c r="I1582" t="str">
        <f t="shared" si="70"/>
        <v>janeiro 2026</v>
      </c>
      <c r="J1582">
        <f t="shared" si="69"/>
        <v>2026</v>
      </c>
      <c r="K1582" t="str">
        <f>VLOOKUP(G1582,METRICS!C:D,2,0)</f>
        <v>Taxas Financeiras Diversas</v>
      </c>
      <c r="L1582" t="str">
        <f>VLOOKUP(K1582,METRICS!D:E,2,0)</f>
        <v>TAXAS CARTÃO DE CRÉDITO</v>
      </c>
    </row>
    <row r="1583" spans="1:12" ht="15" hidden="1">
      <c r="A1583" t="s">
        <v>1123</v>
      </c>
      <c r="B1583" t="s">
        <v>689</v>
      </c>
      <c r="C1583" t="s">
        <v>690</v>
      </c>
      <c r="D1583" t="s">
        <v>733</v>
      </c>
      <c r="E1583" t="s">
        <v>734</v>
      </c>
      <c r="F1583" t="s">
        <v>1272</v>
      </c>
      <c r="G1583" t="s">
        <v>665</v>
      </c>
      <c r="H1583" s="595">
        <v>-2.02</v>
      </c>
      <c r="I1583" t="str">
        <f t="shared" si="70"/>
        <v>janeiro 2026</v>
      </c>
      <c r="J1583">
        <f t="shared" si="69"/>
        <v>2026</v>
      </c>
      <c r="K1583" t="str">
        <f>VLOOKUP(G1583,METRICS!C:D,2,0)</f>
        <v>Taxas Financeiras Diversas</v>
      </c>
      <c r="L1583" t="str">
        <f>VLOOKUP(K1583,METRICS!D:E,2,0)</f>
        <v>TAXAS CARTÃO DE CRÉDITO</v>
      </c>
    </row>
    <row r="1584" spans="1:12" ht="15" hidden="1">
      <c r="A1584" t="s">
        <v>1123</v>
      </c>
      <c r="B1584" t="s">
        <v>689</v>
      </c>
      <c r="C1584" t="s">
        <v>690</v>
      </c>
      <c r="D1584" t="s">
        <v>733</v>
      </c>
      <c r="E1584" t="s">
        <v>734</v>
      </c>
      <c r="F1584" t="s">
        <v>1272</v>
      </c>
      <c r="G1584" t="s">
        <v>665</v>
      </c>
      <c r="H1584" s="595">
        <v>-2</v>
      </c>
      <c r="I1584" t="str">
        <f t="shared" si="70"/>
        <v>janeiro 2026</v>
      </c>
      <c r="J1584">
        <f t="shared" si="69"/>
        <v>2026</v>
      </c>
      <c r="K1584" t="str">
        <f>VLOOKUP(G1584,METRICS!C:D,2,0)</f>
        <v>Taxas Financeiras Diversas</v>
      </c>
      <c r="L1584" t="str">
        <f>VLOOKUP(K1584,METRICS!D:E,2,0)</f>
        <v>TAXAS CARTÃO DE CRÉDITO</v>
      </c>
    </row>
    <row r="1585" spans="1:12" ht="15" hidden="1">
      <c r="A1585" t="s">
        <v>1123</v>
      </c>
      <c r="B1585" t="s">
        <v>689</v>
      </c>
      <c r="C1585" t="s">
        <v>690</v>
      </c>
      <c r="D1585" t="s">
        <v>743</v>
      </c>
      <c r="E1585" t="s">
        <v>734</v>
      </c>
      <c r="F1585" t="s">
        <v>1272</v>
      </c>
      <c r="G1585" t="s">
        <v>665</v>
      </c>
      <c r="H1585" s="595">
        <v>-1.01</v>
      </c>
      <c r="I1585" t="str">
        <f t="shared" ref="I1585:I1621" si="71">TEXT(A1585, "mmmm aaaa")</f>
        <v>janeiro 2026</v>
      </c>
      <c r="J1585">
        <f t="shared" si="69"/>
        <v>2026</v>
      </c>
      <c r="K1585" t="str">
        <f>VLOOKUP(G1585,METRICS!C:D,2,0)</f>
        <v>Taxas Financeiras Diversas</v>
      </c>
      <c r="L1585" t="str">
        <f>VLOOKUP(K1585,METRICS!D:E,2,0)</f>
        <v>TAXAS CARTÃO DE CRÉDITO</v>
      </c>
    </row>
    <row r="1586" spans="1:12" ht="15" hidden="1">
      <c r="A1586" t="s">
        <v>1123</v>
      </c>
      <c r="B1586" t="s">
        <v>689</v>
      </c>
      <c r="C1586" t="s">
        <v>690</v>
      </c>
      <c r="D1586" t="s">
        <v>733</v>
      </c>
      <c r="E1586" t="s">
        <v>734</v>
      </c>
      <c r="F1586" t="s">
        <v>1272</v>
      </c>
      <c r="G1586" t="s">
        <v>665</v>
      </c>
      <c r="H1586" s="595">
        <v>-1.83</v>
      </c>
      <c r="I1586" t="str">
        <f t="shared" si="71"/>
        <v>janeiro 2026</v>
      </c>
      <c r="J1586">
        <f t="shared" si="69"/>
        <v>2026</v>
      </c>
      <c r="K1586" t="str">
        <f>VLOOKUP(G1586,METRICS!C:D,2,0)</f>
        <v>Taxas Financeiras Diversas</v>
      </c>
      <c r="L1586" t="str">
        <f>VLOOKUP(K1586,METRICS!D:E,2,0)</f>
        <v>TAXAS CARTÃO DE CRÉDITO</v>
      </c>
    </row>
    <row r="1587" spans="1:12" ht="15" hidden="1">
      <c r="A1587" t="s">
        <v>1123</v>
      </c>
      <c r="B1587" t="s">
        <v>689</v>
      </c>
      <c r="C1587" t="s">
        <v>690</v>
      </c>
      <c r="D1587" t="s">
        <v>733</v>
      </c>
      <c r="E1587" t="s">
        <v>734</v>
      </c>
      <c r="F1587" t="s">
        <v>1272</v>
      </c>
      <c r="G1587" t="s">
        <v>665</v>
      </c>
      <c r="H1587" s="595">
        <v>-1.68</v>
      </c>
      <c r="I1587" t="str">
        <f t="shared" si="71"/>
        <v>janeiro 2026</v>
      </c>
      <c r="J1587">
        <f t="shared" si="69"/>
        <v>2026</v>
      </c>
      <c r="K1587" t="str">
        <f>VLOOKUP(G1587,METRICS!C:D,2,0)</f>
        <v>Taxas Financeiras Diversas</v>
      </c>
      <c r="L1587" t="str">
        <f>VLOOKUP(K1587,METRICS!D:E,2,0)</f>
        <v>TAXAS CARTÃO DE CRÉDITO</v>
      </c>
    </row>
    <row r="1588" spans="1:12" ht="15" hidden="1">
      <c r="A1588" t="s">
        <v>1123</v>
      </c>
      <c r="B1588" t="s">
        <v>689</v>
      </c>
      <c r="C1588" t="s">
        <v>690</v>
      </c>
      <c r="D1588" t="s">
        <v>733</v>
      </c>
      <c r="E1588" t="s">
        <v>734</v>
      </c>
      <c r="F1588" t="s">
        <v>1272</v>
      </c>
      <c r="G1588" t="s">
        <v>665</v>
      </c>
      <c r="H1588" s="595">
        <v>-7.25</v>
      </c>
      <c r="I1588" t="str">
        <f t="shared" si="71"/>
        <v>janeiro 2026</v>
      </c>
      <c r="J1588">
        <f t="shared" si="69"/>
        <v>2026</v>
      </c>
      <c r="K1588" t="str">
        <f>VLOOKUP(G1588,METRICS!C:D,2,0)</f>
        <v>Taxas Financeiras Diversas</v>
      </c>
      <c r="L1588" t="str">
        <f>VLOOKUP(K1588,METRICS!D:E,2,0)</f>
        <v>TAXAS CARTÃO DE CRÉDITO</v>
      </c>
    </row>
    <row r="1589" spans="1:12" ht="15" hidden="1">
      <c r="A1589" t="s">
        <v>1123</v>
      </c>
      <c r="B1589" t="s">
        <v>689</v>
      </c>
      <c r="C1589" t="s">
        <v>690</v>
      </c>
      <c r="D1589" t="s">
        <v>743</v>
      </c>
      <c r="E1589" t="s">
        <v>734</v>
      </c>
      <c r="F1589" t="s">
        <v>1272</v>
      </c>
      <c r="G1589" t="s">
        <v>665</v>
      </c>
      <c r="H1589" s="595">
        <v>-2</v>
      </c>
      <c r="I1589" t="str">
        <f t="shared" si="71"/>
        <v>janeiro 2026</v>
      </c>
      <c r="J1589">
        <f t="shared" ref="J1589:J1651" si="72">YEAR(A1589)</f>
        <v>2026</v>
      </c>
      <c r="K1589" t="str">
        <f>VLOOKUP(G1589,METRICS!C:D,2,0)</f>
        <v>Taxas Financeiras Diversas</v>
      </c>
      <c r="L1589" t="str">
        <f>VLOOKUP(K1589,METRICS!D:E,2,0)</f>
        <v>TAXAS CARTÃO DE CRÉDITO</v>
      </c>
    </row>
    <row r="1590" spans="1:12" ht="15" hidden="1">
      <c r="A1590" t="s">
        <v>1123</v>
      </c>
      <c r="B1590" t="s">
        <v>689</v>
      </c>
      <c r="C1590" t="s">
        <v>690</v>
      </c>
      <c r="D1590" t="s">
        <v>733</v>
      </c>
      <c r="E1590" t="s">
        <v>734</v>
      </c>
      <c r="F1590" t="s">
        <v>1272</v>
      </c>
      <c r="G1590" t="s">
        <v>665</v>
      </c>
      <c r="H1590" s="595">
        <v>-11.75</v>
      </c>
      <c r="I1590" t="str">
        <f t="shared" si="71"/>
        <v>janeiro 2026</v>
      </c>
      <c r="J1590">
        <f t="shared" si="72"/>
        <v>2026</v>
      </c>
      <c r="K1590" t="str">
        <f>VLOOKUP(G1590,METRICS!C:D,2,0)</f>
        <v>Taxas Financeiras Diversas</v>
      </c>
      <c r="L1590" t="str">
        <f>VLOOKUP(K1590,METRICS!D:E,2,0)</f>
        <v>TAXAS CARTÃO DE CRÉDITO</v>
      </c>
    </row>
    <row r="1591" spans="1:12" ht="15" hidden="1">
      <c r="A1591" t="s">
        <v>1123</v>
      </c>
      <c r="B1591" t="s">
        <v>689</v>
      </c>
      <c r="C1591" t="s">
        <v>690</v>
      </c>
      <c r="D1591" t="s">
        <v>743</v>
      </c>
      <c r="E1591" t="s">
        <v>734</v>
      </c>
      <c r="F1591" t="s">
        <v>1272</v>
      </c>
      <c r="G1591" t="s">
        <v>665</v>
      </c>
      <c r="H1591" s="595">
        <v>-5.72</v>
      </c>
      <c r="I1591" t="str">
        <f t="shared" si="71"/>
        <v>janeiro 2026</v>
      </c>
      <c r="J1591">
        <f t="shared" si="72"/>
        <v>2026</v>
      </c>
      <c r="K1591" t="str">
        <f>VLOOKUP(G1591,METRICS!C:D,2,0)</f>
        <v>Taxas Financeiras Diversas</v>
      </c>
      <c r="L1591" t="str">
        <f>VLOOKUP(K1591,METRICS!D:E,2,0)</f>
        <v>TAXAS CARTÃO DE CRÉDITO</v>
      </c>
    </row>
    <row r="1592" spans="1:12" ht="15" hidden="1">
      <c r="A1592" t="s">
        <v>1123</v>
      </c>
      <c r="B1592" t="s">
        <v>689</v>
      </c>
      <c r="C1592" t="s">
        <v>690</v>
      </c>
      <c r="D1592" t="s">
        <v>733</v>
      </c>
      <c r="E1592" t="s">
        <v>734</v>
      </c>
      <c r="F1592" t="s">
        <v>1272</v>
      </c>
      <c r="G1592" t="s">
        <v>665</v>
      </c>
      <c r="H1592" s="595">
        <v>-1.54</v>
      </c>
      <c r="I1592" t="str">
        <f t="shared" si="71"/>
        <v>janeiro 2026</v>
      </c>
      <c r="J1592">
        <f t="shared" si="72"/>
        <v>2026</v>
      </c>
      <c r="K1592" t="str">
        <f>VLOOKUP(G1592,METRICS!C:D,2,0)</f>
        <v>Taxas Financeiras Diversas</v>
      </c>
      <c r="L1592" t="str">
        <f>VLOOKUP(K1592,METRICS!D:E,2,0)</f>
        <v>TAXAS CARTÃO DE CRÉDITO</v>
      </c>
    </row>
    <row r="1593" spans="1:12" ht="15" hidden="1">
      <c r="A1593" t="s">
        <v>1123</v>
      </c>
      <c r="B1593" t="s">
        <v>689</v>
      </c>
      <c r="C1593" t="s">
        <v>690</v>
      </c>
      <c r="D1593" t="s">
        <v>743</v>
      </c>
      <c r="E1593" t="s">
        <v>734</v>
      </c>
      <c r="F1593" t="s">
        <v>1272</v>
      </c>
      <c r="G1593" t="s">
        <v>665</v>
      </c>
      <c r="H1593" s="595">
        <v>-2</v>
      </c>
      <c r="I1593" t="str">
        <f t="shared" si="71"/>
        <v>janeiro 2026</v>
      </c>
      <c r="J1593">
        <f t="shared" si="72"/>
        <v>2026</v>
      </c>
      <c r="K1593" t="str">
        <f>VLOOKUP(G1593,METRICS!C:D,2,0)</f>
        <v>Taxas Financeiras Diversas</v>
      </c>
      <c r="L1593" t="str">
        <f>VLOOKUP(K1593,METRICS!D:E,2,0)</f>
        <v>TAXAS CARTÃO DE CRÉDITO</v>
      </c>
    </row>
    <row r="1594" spans="1:12" ht="15" hidden="1">
      <c r="A1594" t="s">
        <v>1123</v>
      </c>
      <c r="B1594" t="s">
        <v>689</v>
      </c>
      <c r="C1594" t="s">
        <v>690</v>
      </c>
      <c r="D1594" t="s">
        <v>733</v>
      </c>
      <c r="E1594" t="s">
        <v>734</v>
      </c>
      <c r="F1594" t="s">
        <v>1272</v>
      </c>
      <c r="G1594" t="s">
        <v>665</v>
      </c>
      <c r="H1594" s="595">
        <v>-4.59</v>
      </c>
      <c r="I1594" t="str">
        <f t="shared" si="71"/>
        <v>janeiro 2026</v>
      </c>
      <c r="J1594">
        <f t="shared" si="72"/>
        <v>2026</v>
      </c>
      <c r="K1594" t="str">
        <f>VLOOKUP(G1594,METRICS!C:D,2,0)</f>
        <v>Taxas Financeiras Diversas</v>
      </c>
      <c r="L1594" t="str">
        <f>VLOOKUP(K1594,METRICS!D:E,2,0)</f>
        <v>TAXAS CARTÃO DE CRÉDITO</v>
      </c>
    </row>
    <row r="1595" spans="1:12" ht="15" hidden="1">
      <c r="A1595" t="s">
        <v>1123</v>
      </c>
      <c r="B1595" t="s">
        <v>689</v>
      </c>
      <c r="C1595" t="s">
        <v>690</v>
      </c>
      <c r="D1595" t="s">
        <v>756</v>
      </c>
      <c r="E1595" t="s">
        <v>757</v>
      </c>
      <c r="F1595" t="s">
        <v>1272</v>
      </c>
      <c r="G1595" t="s">
        <v>666</v>
      </c>
      <c r="H1595" s="595">
        <v>-52.75</v>
      </c>
      <c r="I1595" t="str">
        <f t="shared" si="71"/>
        <v>janeiro 2026</v>
      </c>
      <c r="J1595">
        <f t="shared" si="72"/>
        <v>2026</v>
      </c>
      <c r="K1595" t="str">
        <f>VLOOKUP(G1595,METRICS!C:D,2,0)</f>
        <v>Encargos Bancarios</v>
      </c>
      <c r="L1595" t="str">
        <f>VLOOKUP(K1595,METRICS!D:E,2,0)</f>
        <v>DESPESAS FINANCEIRAS</v>
      </c>
    </row>
    <row r="1596" spans="1:12" ht="15" hidden="1">
      <c r="A1596" t="s">
        <v>1123</v>
      </c>
      <c r="B1596" t="s">
        <v>689</v>
      </c>
      <c r="C1596" t="s">
        <v>690</v>
      </c>
      <c r="D1596" t="s">
        <v>753</v>
      </c>
      <c r="E1596" t="s">
        <v>734</v>
      </c>
      <c r="F1596" t="s">
        <v>1272</v>
      </c>
      <c r="G1596" t="s">
        <v>665</v>
      </c>
      <c r="H1596" s="595">
        <v>-13.4</v>
      </c>
      <c r="I1596" t="str">
        <f t="shared" si="71"/>
        <v>janeiro 2026</v>
      </c>
      <c r="J1596">
        <f t="shared" si="72"/>
        <v>2026</v>
      </c>
      <c r="K1596" t="str">
        <f>VLOOKUP(G1596,METRICS!C:D,2,0)</f>
        <v>Taxas Financeiras Diversas</v>
      </c>
      <c r="L1596" t="str">
        <f>VLOOKUP(K1596,METRICS!D:E,2,0)</f>
        <v>TAXAS CARTÃO DE CRÉDITO</v>
      </c>
    </row>
    <row r="1597" spans="1:12" ht="15" hidden="1">
      <c r="A1597" t="s">
        <v>1123</v>
      </c>
      <c r="B1597" t="s">
        <v>689</v>
      </c>
      <c r="C1597" t="s">
        <v>690</v>
      </c>
      <c r="D1597" t="s">
        <v>1128</v>
      </c>
      <c r="E1597" t="s">
        <v>1129</v>
      </c>
      <c r="F1597" t="s">
        <v>1272</v>
      </c>
      <c r="G1597" t="s">
        <v>667</v>
      </c>
      <c r="H1597" s="595">
        <v>-250</v>
      </c>
      <c r="I1597" t="str">
        <f t="shared" si="71"/>
        <v>janeiro 2026</v>
      </c>
      <c r="J1597">
        <f t="shared" si="72"/>
        <v>2026</v>
      </c>
      <c r="K1597" t="str">
        <f>VLOOKUP(G1597,METRICS!C:D,2,0)</f>
        <v>Consultoria ADM</v>
      </c>
      <c r="L1597" t="str">
        <f>VLOOKUP(K1597,METRICS!D:E,2,0)</f>
        <v>ADMINISTRATIVA</v>
      </c>
    </row>
    <row r="1598" spans="1:12" ht="15" hidden="1">
      <c r="A1598" t="s">
        <v>1123</v>
      </c>
      <c r="B1598" t="s">
        <v>689</v>
      </c>
      <c r="C1598" t="s">
        <v>690</v>
      </c>
      <c r="D1598" t="s">
        <v>733</v>
      </c>
      <c r="E1598" t="s">
        <v>734</v>
      </c>
      <c r="F1598" t="s">
        <v>1272</v>
      </c>
      <c r="G1598" t="s">
        <v>665</v>
      </c>
      <c r="H1598" s="595">
        <v>-0.8</v>
      </c>
      <c r="I1598" t="str">
        <f t="shared" si="71"/>
        <v>janeiro 2026</v>
      </c>
      <c r="J1598">
        <f t="shared" si="72"/>
        <v>2026</v>
      </c>
      <c r="K1598" t="str">
        <f>VLOOKUP(G1598,METRICS!C:D,2,0)</f>
        <v>Taxas Financeiras Diversas</v>
      </c>
      <c r="L1598" t="str">
        <f>VLOOKUP(K1598,METRICS!D:E,2,0)</f>
        <v>TAXAS CARTÃO DE CRÉDITO</v>
      </c>
    </row>
    <row r="1599" spans="1:12" ht="15" hidden="1">
      <c r="A1599" t="s">
        <v>1123</v>
      </c>
      <c r="B1599" t="s">
        <v>689</v>
      </c>
      <c r="C1599" t="s">
        <v>690</v>
      </c>
      <c r="D1599" t="s">
        <v>743</v>
      </c>
      <c r="E1599" t="s">
        <v>734</v>
      </c>
      <c r="F1599" t="s">
        <v>1272</v>
      </c>
      <c r="G1599" t="s">
        <v>665</v>
      </c>
      <c r="H1599" s="595">
        <v>-1.93</v>
      </c>
      <c r="I1599" t="str">
        <f t="shared" si="71"/>
        <v>janeiro 2026</v>
      </c>
      <c r="J1599">
        <f t="shared" si="72"/>
        <v>2026</v>
      </c>
      <c r="K1599" t="str">
        <f>VLOOKUP(G1599,METRICS!C:D,2,0)</f>
        <v>Taxas Financeiras Diversas</v>
      </c>
      <c r="L1599" t="str">
        <f>VLOOKUP(K1599,METRICS!D:E,2,0)</f>
        <v>TAXAS CARTÃO DE CRÉDITO</v>
      </c>
    </row>
    <row r="1600" spans="1:12" ht="15" hidden="1">
      <c r="A1600" t="s">
        <v>1123</v>
      </c>
      <c r="B1600" t="s">
        <v>689</v>
      </c>
      <c r="C1600" t="s">
        <v>690</v>
      </c>
      <c r="D1600" t="s">
        <v>743</v>
      </c>
      <c r="E1600" t="s">
        <v>734</v>
      </c>
      <c r="F1600" t="s">
        <v>1272</v>
      </c>
      <c r="G1600" t="s">
        <v>665</v>
      </c>
      <c r="H1600" s="595">
        <v>-3.84</v>
      </c>
      <c r="I1600" t="str">
        <f t="shared" si="71"/>
        <v>janeiro 2026</v>
      </c>
      <c r="J1600">
        <f t="shared" si="72"/>
        <v>2026</v>
      </c>
      <c r="K1600" t="str">
        <f>VLOOKUP(G1600,METRICS!C:D,2,0)</f>
        <v>Taxas Financeiras Diversas</v>
      </c>
      <c r="L1600" t="str">
        <f>VLOOKUP(K1600,METRICS!D:E,2,0)</f>
        <v>TAXAS CARTÃO DE CRÉDITO</v>
      </c>
    </row>
    <row r="1601" spans="1:12" ht="15" hidden="1">
      <c r="A1601" t="s">
        <v>1123</v>
      </c>
      <c r="B1601" t="s">
        <v>689</v>
      </c>
      <c r="C1601" t="s">
        <v>690</v>
      </c>
      <c r="D1601" t="s">
        <v>733</v>
      </c>
      <c r="E1601" t="s">
        <v>734</v>
      </c>
      <c r="F1601" t="s">
        <v>1272</v>
      </c>
      <c r="G1601" t="s">
        <v>665</v>
      </c>
      <c r="H1601" s="595">
        <v>-1.86</v>
      </c>
      <c r="I1601" t="str">
        <f t="shared" si="71"/>
        <v>janeiro 2026</v>
      </c>
      <c r="J1601">
        <f t="shared" si="72"/>
        <v>2026</v>
      </c>
      <c r="K1601" t="str">
        <f>VLOOKUP(G1601,METRICS!C:D,2,0)</f>
        <v>Taxas Financeiras Diversas</v>
      </c>
      <c r="L1601" t="str">
        <f>VLOOKUP(K1601,METRICS!D:E,2,0)</f>
        <v>TAXAS CARTÃO DE CRÉDITO</v>
      </c>
    </row>
    <row r="1602" spans="1:12" ht="15" hidden="1">
      <c r="A1602" t="s">
        <v>1123</v>
      </c>
      <c r="B1602" t="s">
        <v>689</v>
      </c>
      <c r="C1602" t="s">
        <v>690</v>
      </c>
      <c r="D1602" t="s">
        <v>743</v>
      </c>
      <c r="E1602" t="s">
        <v>734</v>
      </c>
      <c r="F1602" t="s">
        <v>1272</v>
      </c>
      <c r="G1602" t="s">
        <v>665</v>
      </c>
      <c r="H1602" s="595">
        <v>-1.97</v>
      </c>
      <c r="I1602" t="str">
        <f t="shared" si="71"/>
        <v>janeiro 2026</v>
      </c>
      <c r="J1602">
        <f t="shared" si="72"/>
        <v>2026</v>
      </c>
      <c r="K1602" t="str">
        <f>VLOOKUP(G1602,METRICS!C:D,2,0)</f>
        <v>Taxas Financeiras Diversas</v>
      </c>
      <c r="L1602" t="str">
        <f>VLOOKUP(K1602,METRICS!D:E,2,0)</f>
        <v>TAXAS CARTÃO DE CRÉDITO</v>
      </c>
    </row>
    <row r="1603" spans="1:12" ht="15" hidden="1">
      <c r="A1603" t="s">
        <v>1123</v>
      </c>
      <c r="B1603" t="s">
        <v>689</v>
      </c>
      <c r="C1603" t="s">
        <v>690</v>
      </c>
      <c r="D1603" t="s">
        <v>733</v>
      </c>
      <c r="E1603" t="s">
        <v>734</v>
      </c>
      <c r="F1603" t="s">
        <v>1272</v>
      </c>
      <c r="G1603" t="s">
        <v>665</v>
      </c>
      <c r="H1603" s="595">
        <v>-6.87</v>
      </c>
      <c r="I1603" t="str">
        <f t="shared" si="71"/>
        <v>janeiro 2026</v>
      </c>
      <c r="J1603">
        <f t="shared" si="72"/>
        <v>2026</v>
      </c>
      <c r="K1603" t="str">
        <f>VLOOKUP(G1603,METRICS!C:D,2,0)</f>
        <v>Taxas Financeiras Diversas</v>
      </c>
      <c r="L1603" t="str">
        <f>VLOOKUP(K1603,METRICS!D:E,2,0)</f>
        <v>TAXAS CARTÃO DE CRÉDITO</v>
      </c>
    </row>
    <row r="1604" spans="1:12" ht="15" hidden="1">
      <c r="A1604" t="s">
        <v>1123</v>
      </c>
      <c r="B1604" t="s">
        <v>689</v>
      </c>
      <c r="C1604" t="s">
        <v>690</v>
      </c>
      <c r="D1604" t="s">
        <v>743</v>
      </c>
      <c r="E1604" t="s">
        <v>734</v>
      </c>
      <c r="F1604" t="s">
        <v>1272</v>
      </c>
      <c r="G1604" t="s">
        <v>665</v>
      </c>
      <c r="H1604" s="595">
        <v>-5.63</v>
      </c>
      <c r="I1604" t="str">
        <f t="shared" si="71"/>
        <v>janeiro 2026</v>
      </c>
      <c r="J1604">
        <f t="shared" si="72"/>
        <v>2026</v>
      </c>
      <c r="K1604" t="str">
        <f>VLOOKUP(G1604,METRICS!C:D,2,0)</f>
        <v>Taxas Financeiras Diversas</v>
      </c>
      <c r="L1604" t="str">
        <f>VLOOKUP(K1604,METRICS!D:E,2,0)</f>
        <v>TAXAS CARTÃO DE CRÉDITO</v>
      </c>
    </row>
    <row r="1605" spans="1:12" ht="15" hidden="1">
      <c r="A1605" t="s">
        <v>1123</v>
      </c>
      <c r="B1605" t="s">
        <v>689</v>
      </c>
      <c r="C1605" t="s">
        <v>690</v>
      </c>
      <c r="D1605" t="s">
        <v>1130</v>
      </c>
      <c r="E1605" t="s">
        <v>1131</v>
      </c>
      <c r="F1605" t="s">
        <v>1272</v>
      </c>
      <c r="G1605" t="s">
        <v>667</v>
      </c>
      <c r="H1605" s="595">
        <v>-4000</v>
      </c>
      <c r="I1605" t="str">
        <f t="shared" si="71"/>
        <v>janeiro 2026</v>
      </c>
      <c r="J1605">
        <f t="shared" si="72"/>
        <v>2026</v>
      </c>
      <c r="K1605" t="str">
        <f>VLOOKUP(G1605,METRICS!C:D,2,0)</f>
        <v>Consultoria ADM</v>
      </c>
      <c r="L1605" t="str">
        <f>VLOOKUP(K1605,METRICS!D:E,2,0)</f>
        <v>ADMINISTRATIVA</v>
      </c>
    </row>
    <row r="1606" spans="1:12" ht="15" hidden="1">
      <c r="A1606" t="s">
        <v>1123</v>
      </c>
      <c r="B1606" t="s">
        <v>689</v>
      </c>
      <c r="C1606" t="s">
        <v>690</v>
      </c>
      <c r="D1606" t="s">
        <v>733</v>
      </c>
      <c r="E1606" t="s">
        <v>734</v>
      </c>
      <c r="F1606" t="s">
        <v>1272</v>
      </c>
      <c r="G1606" t="s">
        <v>665</v>
      </c>
      <c r="H1606" s="595">
        <v>-8.66</v>
      </c>
      <c r="I1606" t="str">
        <f t="shared" si="71"/>
        <v>janeiro 2026</v>
      </c>
      <c r="J1606">
        <f t="shared" si="72"/>
        <v>2026</v>
      </c>
      <c r="K1606" t="str">
        <f>VLOOKUP(G1606,METRICS!C:D,2,0)</f>
        <v>Taxas Financeiras Diversas</v>
      </c>
      <c r="L1606" t="str">
        <f>VLOOKUP(K1606,METRICS!D:E,2,0)</f>
        <v>TAXAS CARTÃO DE CRÉDITO</v>
      </c>
    </row>
    <row r="1607" spans="1:12" ht="15" hidden="1">
      <c r="A1607" t="s">
        <v>1132</v>
      </c>
      <c r="B1607" t="s">
        <v>689</v>
      </c>
      <c r="C1607" t="s">
        <v>690</v>
      </c>
      <c r="D1607" t="s">
        <v>743</v>
      </c>
      <c r="E1607" t="s">
        <v>734</v>
      </c>
      <c r="F1607" t="s">
        <v>1272</v>
      </c>
      <c r="G1607" t="s">
        <v>665</v>
      </c>
      <c r="H1607" s="595">
        <v>-0.47</v>
      </c>
      <c r="I1607" t="str">
        <f t="shared" si="71"/>
        <v>janeiro 2026</v>
      </c>
      <c r="J1607">
        <f t="shared" si="72"/>
        <v>2026</v>
      </c>
      <c r="K1607" t="str">
        <f>VLOOKUP(G1607,METRICS!C:D,2,0)</f>
        <v>Taxas Financeiras Diversas</v>
      </c>
      <c r="L1607" t="str">
        <f>VLOOKUP(K1607,METRICS!D:E,2,0)</f>
        <v>TAXAS CARTÃO DE CRÉDITO</v>
      </c>
    </row>
    <row r="1608" spans="1:12" ht="15" hidden="1">
      <c r="A1608" t="s">
        <v>1132</v>
      </c>
      <c r="B1608" t="s">
        <v>689</v>
      </c>
      <c r="C1608" t="s">
        <v>690</v>
      </c>
      <c r="D1608" t="s">
        <v>743</v>
      </c>
      <c r="E1608" t="s">
        <v>734</v>
      </c>
      <c r="F1608" t="s">
        <v>1272</v>
      </c>
      <c r="G1608" t="s">
        <v>665</v>
      </c>
      <c r="H1608" s="595">
        <v>-8.1300000000000008</v>
      </c>
      <c r="I1608" t="str">
        <f t="shared" si="71"/>
        <v>janeiro 2026</v>
      </c>
      <c r="J1608">
        <f t="shared" si="72"/>
        <v>2026</v>
      </c>
      <c r="K1608" t="str">
        <f>VLOOKUP(G1608,METRICS!C:D,2,0)</f>
        <v>Taxas Financeiras Diversas</v>
      </c>
      <c r="L1608" t="str">
        <f>VLOOKUP(K1608,METRICS!D:E,2,0)</f>
        <v>TAXAS CARTÃO DE CRÉDITO</v>
      </c>
    </row>
    <row r="1609" spans="1:12" ht="15" hidden="1">
      <c r="A1609" t="s">
        <v>1132</v>
      </c>
      <c r="B1609" t="s">
        <v>689</v>
      </c>
      <c r="C1609" t="s">
        <v>690</v>
      </c>
      <c r="D1609" t="s">
        <v>743</v>
      </c>
      <c r="E1609" t="s">
        <v>734</v>
      </c>
      <c r="F1609" t="s">
        <v>1272</v>
      </c>
      <c r="G1609" t="s">
        <v>665</v>
      </c>
      <c r="H1609" s="595">
        <v>-7.89</v>
      </c>
      <c r="I1609" t="str">
        <f t="shared" si="71"/>
        <v>janeiro 2026</v>
      </c>
      <c r="J1609">
        <f t="shared" si="72"/>
        <v>2026</v>
      </c>
      <c r="K1609" t="str">
        <f>VLOOKUP(G1609,METRICS!C:D,2,0)</f>
        <v>Taxas Financeiras Diversas</v>
      </c>
      <c r="L1609" t="str">
        <f>VLOOKUP(K1609,METRICS!D:E,2,0)</f>
        <v>TAXAS CARTÃO DE CRÉDITO</v>
      </c>
    </row>
    <row r="1610" spans="1:12" ht="15" hidden="1">
      <c r="A1610" t="s">
        <v>1132</v>
      </c>
      <c r="B1610" t="s">
        <v>689</v>
      </c>
      <c r="C1610" t="s">
        <v>690</v>
      </c>
      <c r="D1610" t="s">
        <v>733</v>
      </c>
      <c r="E1610" t="s">
        <v>734</v>
      </c>
      <c r="F1610" t="s">
        <v>1272</v>
      </c>
      <c r="G1610" t="s">
        <v>665</v>
      </c>
      <c r="H1610" s="595">
        <v>-14.09</v>
      </c>
      <c r="I1610" t="str">
        <f t="shared" si="71"/>
        <v>janeiro 2026</v>
      </c>
      <c r="J1610">
        <f t="shared" si="72"/>
        <v>2026</v>
      </c>
      <c r="K1610" t="str">
        <f>VLOOKUP(G1610,METRICS!C:D,2,0)</f>
        <v>Taxas Financeiras Diversas</v>
      </c>
      <c r="L1610" t="str">
        <f>VLOOKUP(K1610,METRICS!D:E,2,0)</f>
        <v>TAXAS CARTÃO DE CRÉDITO</v>
      </c>
    </row>
    <row r="1611" spans="1:12" ht="15" hidden="1">
      <c r="A1611" t="s">
        <v>1132</v>
      </c>
      <c r="B1611" t="s">
        <v>689</v>
      </c>
      <c r="C1611" t="s">
        <v>690</v>
      </c>
      <c r="D1611" t="s">
        <v>733</v>
      </c>
      <c r="E1611" t="s">
        <v>734</v>
      </c>
      <c r="F1611" t="s">
        <v>1272</v>
      </c>
      <c r="G1611" t="s">
        <v>665</v>
      </c>
      <c r="H1611" s="595">
        <v>-3.66</v>
      </c>
      <c r="I1611" t="str">
        <f t="shared" si="71"/>
        <v>janeiro 2026</v>
      </c>
      <c r="J1611">
        <f t="shared" si="72"/>
        <v>2026</v>
      </c>
      <c r="K1611" t="str">
        <f>VLOOKUP(G1611,METRICS!C:D,2,0)</f>
        <v>Taxas Financeiras Diversas</v>
      </c>
      <c r="L1611" t="str">
        <f>VLOOKUP(K1611,METRICS!D:E,2,0)</f>
        <v>TAXAS CARTÃO DE CRÉDITO</v>
      </c>
    </row>
    <row r="1612" spans="1:12" ht="15" hidden="1">
      <c r="A1612" t="s">
        <v>1132</v>
      </c>
      <c r="B1612" t="s">
        <v>689</v>
      </c>
      <c r="C1612" t="s">
        <v>690</v>
      </c>
      <c r="D1612" t="s">
        <v>733</v>
      </c>
      <c r="E1612" t="s">
        <v>734</v>
      </c>
      <c r="F1612" t="s">
        <v>1272</v>
      </c>
      <c r="G1612" t="s">
        <v>665</v>
      </c>
      <c r="H1612" s="595">
        <v>-13.4</v>
      </c>
      <c r="I1612" t="str">
        <f t="shared" si="71"/>
        <v>janeiro 2026</v>
      </c>
      <c r="J1612">
        <f t="shared" si="72"/>
        <v>2026</v>
      </c>
      <c r="K1612" t="str">
        <f>VLOOKUP(G1612,METRICS!C:D,2,0)</f>
        <v>Taxas Financeiras Diversas</v>
      </c>
      <c r="L1612" t="str">
        <f>VLOOKUP(K1612,METRICS!D:E,2,0)</f>
        <v>TAXAS CARTÃO DE CRÉDITO</v>
      </c>
    </row>
    <row r="1613" spans="1:12" ht="15" hidden="1">
      <c r="A1613" t="s">
        <v>1132</v>
      </c>
      <c r="B1613" t="s">
        <v>689</v>
      </c>
      <c r="C1613" t="s">
        <v>690</v>
      </c>
      <c r="D1613" t="s">
        <v>733</v>
      </c>
      <c r="E1613" t="s">
        <v>734</v>
      </c>
      <c r="F1613" t="s">
        <v>1272</v>
      </c>
      <c r="G1613" t="s">
        <v>665</v>
      </c>
      <c r="H1613" s="595">
        <v>-11.91</v>
      </c>
      <c r="I1613" t="str">
        <f t="shared" si="71"/>
        <v>janeiro 2026</v>
      </c>
      <c r="J1613">
        <f t="shared" si="72"/>
        <v>2026</v>
      </c>
      <c r="K1613" t="str">
        <f>VLOOKUP(G1613,METRICS!C:D,2,0)</f>
        <v>Taxas Financeiras Diversas</v>
      </c>
      <c r="L1613" t="str">
        <f>VLOOKUP(K1613,METRICS!D:E,2,0)</f>
        <v>TAXAS CARTÃO DE CRÉDITO</v>
      </c>
    </row>
    <row r="1614" spans="1:12" ht="15" hidden="1">
      <c r="A1614" t="s">
        <v>1132</v>
      </c>
      <c r="B1614" t="s">
        <v>689</v>
      </c>
      <c r="C1614" t="s">
        <v>690</v>
      </c>
      <c r="D1614" t="s">
        <v>733</v>
      </c>
      <c r="E1614" t="s">
        <v>734</v>
      </c>
      <c r="F1614" t="s">
        <v>1272</v>
      </c>
      <c r="G1614" t="s">
        <v>665</v>
      </c>
      <c r="H1614" s="595">
        <v>-7.82</v>
      </c>
      <c r="I1614" t="str">
        <f t="shared" si="71"/>
        <v>janeiro 2026</v>
      </c>
      <c r="J1614">
        <f t="shared" si="72"/>
        <v>2026</v>
      </c>
      <c r="K1614" t="str">
        <f>VLOOKUP(G1614,METRICS!C:D,2,0)</f>
        <v>Taxas Financeiras Diversas</v>
      </c>
      <c r="L1614" t="str">
        <f>VLOOKUP(K1614,METRICS!D:E,2,0)</f>
        <v>TAXAS CARTÃO DE CRÉDITO</v>
      </c>
    </row>
    <row r="1615" spans="1:12" ht="15" hidden="1">
      <c r="A1615" t="s">
        <v>1132</v>
      </c>
      <c r="B1615" t="s">
        <v>689</v>
      </c>
      <c r="C1615" t="s">
        <v>690</v>
      </c>
      <c r="D1615" t="s">
        <v>743</v>
      </c>
      <c r="E1615" t="s">
        <v>734</v>
      </c>
      <c r="F1615" t="s">
        <v>1272</v>
      </c>
      <c r="G1615" t="s">
        <v>665</v>
      </c>
      <c r="H1615" s="595">
        <v>-2.88</v>
      </c>
      <c r="I1615" t="str">
        <f t="shared" si="71"/>
        <v>janeiro 2026</v>
      </c>
      <c r="J1615">
        <f t="shared" si="72"/>
        <v>2026</v>
      </c>
      <c r="K1615" t="str">
        <f>VLOOKUP(G1615,METRICS!C:D,2,0)</f>
        <v>Taxas Financeiras Diversas</v>
      </c>
      <c r="L1615" t="str">
        <f>VLOOKUP(K1615,METRICS!D:E,2,0)</f>
        <v>TAXAS CARTÃO DE CRÉDITO</v>
      </c>
    </row>
    <row r="1616" spans="1:12" ht="15" hidden="1">
      <c r="A1616" t="s">
        <v>1132</v>
      </c>
      <c r="B1616" t="s">
        <v>689</v>
      </c>
      <c r="C1616" t="s">
        <v>690</v>
      </c>
      <c r="D1616" t="s">
        <v>733</v>
      </c>
      <c r="E1616" t="s">
        <v>734</v>
      </c>
      <c r="F1616" t="s">
        <v>1272</v>
      </c>
      <c r="G1616" t="s">
        <v>665</v>
      </c>
      <c r="H1616" s="595">
        <v>-3.36</v>
      </c>
      <c r="I1616" t="str">
        <f t="shared" si="71"/>
        <v>janeiro 2026</v>
      </c>
      <c r="J1616">
        <f t="shared" si="72"/>
        <v>2026</v>
      </c>
      <c r="K1616" t="str">
        <f>VLOOKUP(G1616,METRICS!C:D,2,0)</f>
        <v>Taxas Financeiras Diversas</v>
      </c>
      <c r="L1616" t="str">
        <f>VLOOKUP(K1616,METRICS!D:E,2,0)</f>
        <v>TAXAS CARTÃO DE CRÉDITO</v>
      </c>
    </row>
    <row r="1617" spans="1:12" ht="15" hidden="1">
      <c r="A1617" t="s">
        <v>1132</v>
      </c>
      <c r="B1617" t="s">
        <v>689</v>
      </c>
      <c r="C1617" t="s">
        <v>690</v>
      </c>
      <c r="D1617" t="s">
        <v>733</v>
      </c>
      <c r="E1617" t="s">
        <v>734</v>
      </c>
      <c r="F1617" t="s">
        <v>1272</v>
      </c>
      <c r="G1617" t="s">
        <v>665</v>
      </c>
      <c r="H1617" s="595">
        <v>-6.7</v>
      </c>
      <c r="I1617" t="str">
        <f t="shared" si="71"/>
        <v>janeiro 2026</v>
      </c>
      <c r="J1617">
        <f t="shared" si="72"/>
        <v>2026</v>
      </c>
      <c r="K1617" t="str">
        <f>VLOOKUP(G1617,METRICS!C:D,2,0)</f>
        <v>Taxas Financeiras Diversas</v>
      </c>
      <c r="L1617" t="str">
        <f>VLOOKUP(K1617,METRICS!D:E,2,0)</f>
        <v>TAXAS CARTÃO DE CRÉDITO</v>
      </c>
    </row>
    <row r="1618" spans="1:12" ht="15" hidden="1">
      <c r="A1618" t="s">
        <v>1132</v>
      </c>
      <c r="B1618" t="s">
        <v>689</v>
      </c>
      <c r="C1618" t="s">
        <v>690</v>
      </c>
      <c r="D1618" t="s">
        <v>733</v>
      </c>
      <c r="E1618" t="s">
        <v>734</v>
      </c>
      <c r="F1618" t="s">
        <v>1272</v>
      </c>
      <c r="G1618" t="s">
        <v>665</v>
      </c>
      <c r="H1618" s="595">
        <v>-6.19</v>
      </c>
      <c r="I1618" t="str">
        <f t="shared" si="71"/>
        <v>janeiro 2026</v>
      </c>
      <c r="J1618">
        <f t="shared" si="72"/>
        <v>2026</v>
      </c>
      <c r="K1618" t="str">
        <f>VLOOKUP(G1618,METRICS!C:D,2,0)</f>
        <v>Taxas Financeiras Diversas</v>
      </c>
      <c r="L1618" t="str">
        <f>VLOOKUP(K1618,METRICS!D:E,2,0)</f>
        <v>TAXAS CARTÃO DE CRÉDITO</v>
      </c>
    </row>
    <row r="1619" spans="1:12" ht="15" hidden="1">
      <c r="A1619" t="s">
        <v>1132</v>
      </c>
      <c r="B1619" t="s">
        <v>689</v>
      </c>
      <c r="C1619" t="s">
        <v>690</v>
      </c>
      <c r="D1619" t="s">
        <v>733</v>
      </c>
      <c r="E1619" t="s">
        <v>734</v>
      </c>
      <c r="F1619" t="s">
        <v>1272</v>
      </c>
      <c r="G1619" t="s">
        <v>665</v>
      </c>
      <c r="H1619" s="595">
        <v>-11.72</v>
      </c>
      <c r="I1619" t="str">
        <f t="shared" si="71"/>
        <v>janeiro 2026</v>
      </c>
      <c r="J1619">
        <f t="shared" si="72"/>
        <v>2026</v>
      </c>
      <c r="K1619" t="str">
        <f>VLOOKUP(G1619,METRICS!C:D,2,0)</f>
        <v>Taxas Financeiras Diversas</v>
      </c>
      <c r="L1619" t="str">
        <f>VLOOKUP(K1619,METRICS!D:E,2,0)</f>
        <v>TAXAS CARTÃO DE CRÉDITO</v>
      </c>
    </row>
    <row r="1620" spans="1:12" ht="15" hidden="1">
      <c r="A1620" t="s">
        <v>1132</v>
      </c>
      <c r="B1620" t="s">
        <v>689</v>
      </c>
      <c r="C1620" t="s">
        <v>690</v>
      </c>
      <c r="D1620" t="s">
        <v>733</v>
      </c>
      <c r="E1620" t="s">
        <v>734</v>
      </c>
      <c r="F1620" t="s">
        <v>1272</v>
      </c>
      <c r="G1620" t="s">
        <v>665</v>
      </c>
      <c r="H1620" s="595">
        <v>-7.58</v>
      </c>
      <c r="I1620" t="str">
        <f t="shared" si="71"/>
        <v>janeiro 2026</v>
      </c>
      <c r="J1620">
        <f t="shared" si="72"/>
        <v>2026</v>
      </c>
      <c r="K1620" t="str">
        <f>VLOOKUP(G1620,METRICS!C:D,2,0)</f>
        <v>Taxas Financeiras Diversas</v>
      </c>
      <c r="L1620" t="str">
        <f>VLOOKUP(K1620,METRICS!D:E,2,0)</f>
        <v>TAXAS CARTÃO DE CRÉDITO</v>
      </c>
    </row>
    <row r="1621" spans="1:12" ht="15" hidden="1">
      <c r="A1621" t="s">
        <v>1132</v>
      </c>
      <c r="B1621" t="s">
        <v>689</v>
      </c>
      <c r="C1621" t="s">
        <v>690</v>
      </c>
      <c r="D1621" t="s">
        <v>733</v>
      </c>
      <c r="E1621" t="s">
        <v>734</v>
      </c>
      <c r="F1621" t="s">
        <v>1272</v>
      </c>
      <c r="G1621" t="s">
        <v>665</v>
      </c>
      <c r="H1621" s="595">
        <v>-5.72</v>
      </c>
      <c r="I1621" t="str">
        <f t="shared" si="71"/>
        <v>janeiro 2026</v>
      </c>
      <c r="J1621">
        <f t="shared" si="72"/>
        <v>2026</v>
      </c>
      <c r="K1621" t="str">
        <f>VLOOKUP(G1621,METRICS!C:D,2,0)</f>
        <v>Taxas Financeiras Diversas</v>
      </c>
      <c r="L1621" t="str">
        <f>VLOOKUP(K1621,METRICS!D:E,2,0)</f>
        <v>TAXAS CARTÃO DE CRÉDITO</v>
      </c>
    </row>
    <row r="1622" spans="1:12" ht="15" hidden="1">
      <c r="A1622" t="s">
        <v>1132</v>
      </c>
      <c r="B1622" t="s">
        <v>689</v>
      </c>
      <c r="C1622" t="s">
        <v>690</v>
      </c>
      <c r="D1622" t="s">
        <v>733</v>
      </c>
      <c r="E1622" t="s">
        <v>734</v>
      </c>
      <c r="F1622" t="s">
        <v>1272</v>
      </c>
      <c r="G1622" t="s">
        <v>665</v>
      </c>
      <c r="H1622" s="595">
        <v>-10.91</v>
      </c>
      <c r="I1622" t="str">
        <f t="shared" ref="I1622:I1656" si="73">TEXT(A1622, "mmmm aaaa")</f>
        <v>janeiro 2026</v>
      </c>
      <c r="J1622">
        <f t="shared" si="72"/>
        <v>2026</v>
      </c>
      <c r="K1622" t="str">
        <f>VLOOKUP(G1622,METRICS!C:D,2,0)</f>
        <v>Taxas Financeiras Diversas</v>
      </c>
      <c r="L1622" t="str">
        <f>VLOOKUP(K1622,METRICS!D:E,2,0)</f>
        <v>TAXAS CARTÃO DE CRÉDITO</v>
      </c>
    </row>
    <row r="1623" spans="1:12" ht="15" hidden="1">
      <c r="A1623" t="s">
        <v>1132</v>
      </c>
      <c r="B1623" t="s">
        <v>689</v>
      </c>
      <c r="C1623" t="s">
        <v>690</v>
      </c>
      <c r="D1623" t="s">
        <v>733</v>
      </c>
      <c r="E1623" t="s">
        <v>734</v>
      </c>
      <c r="F1623" t="s">
        <v>1272</v>
      </c>
      <c r="G1623" t="s">
        <v>665</v>
      </c>
      <c r="H1623" s="595">
        <v>-9.65</v>
      </c>
      <c r="I1623" t="str">
        <f t="shared" si="73"/>
        <v>janeiro 2026</v>
      </c>
      <c r="J1623">
        <f t="shared" si="72"/>
        <v>2026</v>
      </c>
      <c r="K1623" t="str">
        <f>VLOOKUP(G1623,METRICS!C:D,2,0)</f>
        <v>Taxas Financeiras Diversas</v>
      </c>
      <c r="L1623" t="str">
        <f>VLOOKUP(K1623,METRICS!D:E,2,0)</f>
        <v>TAXAS CARTÃO DE CRÉDITO</v>
      </c>
    </row>
    <row r="1624" spans="1:12" ht="15" hidden="1">
      <c r="A1624" t="s">
        <v>1132</v>
      </c>
      <c r="B1624" t="s">
        <v>689</v>
      </c>
      <c r="C1624" t="s">
        <v>690</v>
      </c>
      <c r="D1624" t="s">
        <v>733</v>
      </c>
      <c r="E1624" t="s">
        <v>734</v>
      </c>
      <c r="F1624" t="s">
        <v>1272</v>
      </c>
      <c r="G1624" t="s">
        <v>665</v>
      </c>
      <c r="H1624" s="595">
        <v>-5.48</v>
      </c>
      <c r="I1624" t="str">
        <f t="shared" si="73"/>
        <v>janeiro 2026</v>
      </c>
      <c r="J1624">
        <f t="shared" si="72"/>
        <v>2026</v>
      </c>
      <c r="K1624" t="str">
        <f>VLOOKUP(G1624,METRICS!C:D,2,0)</f>
        <v>Taxas Financeiras Diversas</v>
      </c>
      <c r="L1624" t="str">
        <f>VLOOKUP(K1624,METRICS!D:E,2,0)</f>
        <v>TAXAS CARTÃO DE CRÉDITO</v>
      </c>
    </row>
    <row r="1625" spans="1:12" ht="15" hidden="1">
      <c r="A1625" t="s">
        <v>1132</v>
      </c>
      <c r="B1625" t="s">
        <v>689</v>
      </c>
      <c r="C1625" t="s">
        <v>690</v>
      </c>
      <c r="D1625" t="s">
        <v>743</v>
      </c>
      <c r="E1625" t="s">
        <v>734</v>
      </c>
      <c r="F1625" t="s">
        <v>1272</v>
      </c>
      <c r="G1625" t="s">
        <v>665</v>
      </c>
      <c r="H1625" s="595">
        <v>-107.51</v>
      </c>
      <c r="I1625" t="str">
        <f t="shared" si="73"/>
        <v>janeiro 2026</v>
      </c>
      <c r="J1625">
        <f t="shared" si="72"/>
        <v>2026</v>
      </c>
      <c r="K1625" t="str">
        <f>VLOOKUP(G1625,METRICS!C:D,2,0)</f>
        <v>Taxas Financeiras Diversas</v>
      </c>
      <c r="L1625" t="str">
        <f>VLOOKUP(K1625,METRICS!D:E,2,0)</f>
        <v>TAXAS CARTÃO DE CRÉDITO</v>
      </c>
    </row>
    <row r="1626" spans="1:12" ht="15" hidden="1">
      <c r="A1626" t="s">
        <v>1132</v>
      </c>
      <c r="B1626" t="s">
        <v>689</v>
      </c>
      <c r="C1626" t="s">
        <v>690</v>
      </c>
      <c r="D1626" t="s">
        <v>733</v>
      </c>
      <c r="E1626" t="s">
        <v>734</v>
      </c>
      <c r="F1626" t="s">
        <v>1272</v>
      </c>
      <c r="G1626" t="s">
        <v>665</v>
      </c>
      <c r="H1626" s="595">
        <v>-1.33</v>
      </c>
      <c r="I1626" t="str">
        <f t="shared" si="73"/>
        <v>janeiro 2026</v>
      </c>
      <c r="J1626">
        <f t="shared" si="72"/>
        <v>2026</v>
      </c>
      <c r="K1626" t="str">
        <f>VLOOKUP(G1626,METRICS!C:D,2,0)</f>
        <v>Taxas Financeiras Diversas</v>
      </c>
      <c r="L1626" t="str">
        <f>VLOOKUP(K1626,METRICS!D:E,2,0)</f>
        <v>TAXAS CARTÃO DE CRÉDITO</v>
      </c>
    </row>
    <row r="1627" spans="1:12" ht="15" hidden="1">
      <c r="A1627" t="s">
        <v>1132</v>
      </c>
      <c r="B1627" t="s">
        <v>689</v>
      </c>
      <c r="C1627" t="s">
        <v>690</v>
      </c>
      <c r="D1627" t="s">
        <v>733</v>
      </c>
      <c r="E1627" t="s">
        <v>734</v>
      </c>
      <c r="F1627" t="s">
        <v>1272</v>
      </c>
      <c r="G1627" t="s">
        <v>665</v>
      </c>
      <c r="H1627" s="595">
        <v>-10.99</v>
      </c>
      <c r="I1627" t="str">
        <f t="shared" si="73"/>
        <v>janeiro 2026</v>
      </c>
      <c r="J1627">
        <f t="shared" si="72"/>
        <v>2026</v>
      </c>
      <c r="K1627" t="str">
        <f>VLOOKUP(G1627,METRICS!C:D,2,0)</f>
        <v>Taxas Financeiras Diversas</v>
      </c>
      <c r="L1627" t="str">
        <f>VLOOKUP(K1627,METRICS!D:E,2,0)</f>
        <v>TAXAS CARTÃO DE CRÉDITO</v>
      </c>
    </row>
    <row r="1628" spans="1:12" ht="15" hidden="1">
      <c r="A1628" t="s">
        <v>1132</v>
      </c>
      <c r="B1628" t="s">
        <v>689</v>
      </c>
      <c r="C1628" t="s">
        <v>690</v>
      </c>
      <c r="D1628" t="s">
        <v>733</v>
      </c>
      <c r="E1628" t="s">
        <v>734</v>
      </c>
      <c r="F1628" t="s">
        <v>1272</v>
      </c>
      <c r="G1628" t="s">
        <v>665</v>
      </c>
      <c r="H1628" s="595">
        <v>-65.61</v>
      </c>
      <c r="I1628" t="str">
        <f t="shared" si="73"/>
        <v>janeiro 2026</v>
      </c>
      <c r="J1628">
        <f t="shared" si="72"/>
        <v>2026</v>
      </c>
      <c r="K1628" t="str">
        <f>VLOOKUP(G1628,METRICS!C:D,2,0)</f>
        <v>Taxas Financeiras Diversas</v>
      </c>
      <c r="L1628" t="str">
        <f>VLOOKUP(K1628,METRICS!D:E,2,0)</f>
        <v>TAXAS CARTÃO DE CRÉDITO</v>
      </c>
    </row>
    <row r="1629" spans="1:12" ht="15" hidden="1">
      <c r="A1629" t="s">
        <v>1132</v>
      </c>
      <c r="B1629" t="s">
        <v>689</v>
      </c>
      <c r="C1629" t="s">
        <v>690</v>
      </c>
      <c r="D1629" t="s">
        <v>733</v>
      </c>
      <c r="E1629" t="s">
        <v>734</v>
      </c>
      <c r="F1629" t="s">
        <v>1272</v>
      </c>
      <c r="G1629" t="s">
        <v>665</v>
      </c>
      <c r="H1629" s="595">
        <v>-1.81</v>
      </c>
      <c r="I1629" t="str">
        <f t="shared" si="73"/>
        <v>janeiro 2026</v>
      </c>
      <c r="J1629">
        <f t="shared" si="72"/>
        <v>2026</v>
      </c>
      <c r="K1629" t="str">
        <f>VLOOKUP(G1629,METRICS!C:D,2,0)</f>
        <v>Taxas Financeiras Diversas</v>
      </c>
      <c r="L1629" t="str">
        <f>VLOOKUP(K1629,METRICS!D:E,2,0)</f>
        <v>TAXAS CARTÃO DE CRÉDITO</v>
      </c>
    </row>
    <row r="1630" spans="1:12" ht="15" hidden="1">
      <c r="A1630" t="s">
        <v>1132</v>
      </c>
      <c r="B1630" t="s">
        <v>689</v>
      </c>
      <c r="C1630" t="s">
        <v>690</v>
      </c>
      <c r="D1630" t="s">
        <v>743</v>
      </c>
      <c r="E1630" t="s">
        <v>734</v>
      </c>
      <c r="F1630" t="s">
        <v>1272</v>
      </c>
      <c r="G1630" t="s">
        <v>665</v>
      </c>
      <c r="H1630" s="595">
        <v>-19.22</v>
      </c>
      <c r="I1630" t="str">
        <f t="shared" si="73"/>
        <v>janeiro 2026</v>
      </c>
      <c r="J1630">
        <f t="shared" si="72"/>
        <v>2026</v>
      </c>
      <c r="K1630" t="str">
        <f>VLOOKUP(G1630,METRICS!C:D,2,0)</f>
        <v>Taxas Financeiras Diversas</v>
      </c>
      <c r="L1630" t="str">
        <f>VLOOKUP(K1630,METRICS!D:E,2,0)</f>
        <v>TAXAS CARTÃO DE CRÉDITO</v>
      </c>
    </row>
    <row r="1631" spans="1:12" ht="15" hidden="1">
      <c r="A1631" t="s">
        <v>1132</v>
      </c>
      <c r="B1631" t="s">
        <v>689</v>
      </c>
      <c r="C1631" t="s">
        <v>690</v>
      </c>
      <c r="D1631" t="s">
        <v>733</v>
      </c>
      <c r="E1631" t="s">
        <v>734</v>
      </c>
      <c r="F1631" t="s">
        <v>1272</v>
      </c>
      <c r="G1631" t="s">
        <v>665</v>
      </c>
      <c r="H1631" s="595">
        <v>-14.14</v>
      </c>
      <c r="I1631" t="str">
        <f t="shared" si="73"/>
        <v>janeiro 2026</v>
      </c>
      <c r="J1631">
        <f t="shared" si="72"/>
        <v>2026</v>
      </c>
      <c r="K1631" t="str">
        <f>VLOOKUP(G1631,METRICS!C:D,2,0)</f>
        <v>Taxas Financeiras Diversas</v>
      </c>
      <c r="L1631" t="str">
        <f>VLOOKUP(K1631,METRICS!D:E,2,0)</f>
        <v>TAXAS CARTÃO DE CRÉDITO</v>
      </c>
    </row>
    <row r="1632" spans="1:12" ht="15" hidden="1">
      <c r="A1632" t="s">
        <v>1132</v>
      </c>
      <c r="B1632" t="s">
        <v>689</v>
      </c>
      <c r="C1632" t="s">
        <v>690</v>
      </c>
      <c r="D1632" t="s">
        <v>733</v>
      </c>
      <c r="E1632" t="s">
        <v>734</v>
      </c>
      <c r="F1632" t="s">
        <v>1272</v>
      </c>
      <c r="G1632" t="s">
        <v>665</v>
      </c>
      <c r="H1632" s="595">
        <v>-2.6</v>
      </c>
      <c r="I1632" t="str">
        <f t="shared" si="73"/>
        <v>janeiro 2026</v>
      </c>
      <c r="J1632">
        <f t="shared" si="72"/>
        <v>2026</v>
      </c>
      <c r="K1632" t="str">
        <f>VLOOKUP(G1632,METRICS!C:D,2,0)</f>
        <v>Taxas Financeiras Diversas</v>
      </c>
      <c r="L1632" t="str">
        <f>VLOOKUP(K1632,METRICS!D:E,2,0)</f>
        <v>TAXAS CARTÃO DE CRÉDITO</v>
      </c>
    </row>
    <row r="1633" spans="1:12" ht="15" hidden="1">
      <c r="A1633" t="s">
        <v>1132</v>
      </c>
      <c r="B1633" t="s">
        <v>689</v>
      </c>
      <c r="C1633" t="s">
        <v>690</v>
      </c>
      <c r="D1633" t="s">
        <v>743</v>
      </c>
      <c r="E1633" t="s">
        <v>734</v>
      </c>
      <c r="F1633" t="s">
        <v>1272</v>
      </c>
      <c r="G1633" t="s">
        <v>665</v>
      </c>
      <c r="H1633" s="595">
        <v>-3.72</v>
      </c>
      <c r="I1633" t="str">
        <f t="shared" si="73"/>
        <v>janeiro 2026</v>
      </c>
      <c r="J1633">
        <f t="shared" si="72"/>
        <v>2026</v>
      </c>
      <c r="K1633" t="str">
        <f>VLOOKUP(G1633,METRICS!C:D,2,0)</f>
        <v>Taxas Financeiras Diversas</v>
      </c>
      <c r="L1633" t="str">
        <f>VLOOKUP(K1633,METRICS!D:E,2,0)</f>
        <v>TAXAS CARTÃO DE CRÉDITO</v>
      </c>
    </row>
    <row r="1634" spans="1:12" ht="15" hidden="1">
      <c r="A1634" t="s">
        <v>1132</v>
      </c>
      <c r="B1634" t="s">
        <v>689</v>
      </c>
      <c r="C1634" t="s">
        <v>690</v>
      </c>
      <c r="D1634" t="s">
        <v>743</v>
      </c>
      <c r="E1634" t="s">
        <v>734</v>
      </c>
      <c r="F1634" t="s">
        <v>1272</v>
      </c>
      <c r="G1634" t="s">
        <v>665</v>
      </c>
      <c r="H1634" s="595">
        <v>-1.43</v>
      </c>
      <c r="I1634" t="str">
        <f t="shared" si="73"/>
        <v>janeiro 2026</v>
      </c>
      <c r="J1634">
        <f t="shared" si="72"/>
        <v>2026</v>
      </c>
      <c r="K1634" t="str">
        <f>VLOOKUP(G1634,METRICS!C:D,2,0)</f>
        <v>Taxas Financeiras Diversas</v>
      </c>
      <c r="L1634" t="str">
        <f>VLOOKUP(K1634,METRICS!D:E,2,0)</f>
        <v>TAXAS CARTÃO DE CRÉDITO</v>
      </c>
    </row>
    <row r="1635" spans="1:12" ht="15" hidden="1">
      <c r="A1635" t="s">
        <v>1132</v>
      </c>
      <c r="B1635" t="s">
        <v>689</v>
      </c>
      <c r="C1635" t="s">
        <v>690</v>
      </c>
      <c r="D1635" t="s">
        <v>733</v>
      </c>
      <c r="E1635" t="s">
        <v>734</v>
      </c>
      <c r="F1635" t="s">
        <v>1272</v>
      </c>
      <c r="G1635" t="s">
        <v>665</v>
      </c>
      <c r="H1635" s="595">
        <v>-4.18</v>
      </c>
      <c r="I1635" t="str">
        <f t="shared" si="73"/>
        <v>janeiro 2026</v>
      </c>
      <c r="J1635">
        <f t="shared" si="72"/>
        <v>2026</v>
      </c>
      <c r="K1635" t="str">
        <f>VLOOKUP(G1635,METRICS!C:D,2,0)</f>
        <v>Taxas Financeiras Diversas</v>
      </c>
      <c r="L1635" t="str">
        <f>VLOOKUP(K1635,METRICS!D:E,2,0)</f>
        <v>TAXAS CARTÃO DE CRÉDITO</v>
      </c>
    </row>
    <row r="1636" spans="1:12" ht="15" hidden="1">
      <c r="A1636" t="s">
        <v>1132</v>
      </c>
      <c r="B1636" t="s">
        <v>689</v>
      </c>
      <c r="C1636" t="s">
        <v>690</v>
      </c>
      <c r="D1636" t="s">
        <v>733</v>
      </c>
      <c r="E1636" t="s">
        <v>734</v>
      </c>
      <c r="F1636" t="s">
        <v>1272</v>
      </c>
      <c r="G1636" t="s">
        <v>665</v>
      </c>
      <c r="H1636" s="595">
        <v>-10.23</v>
      </c>
      <c r="I1636" t="str">
        <f t="shared" si="73"/>
        <v>janeiro 2026</v>
      </c>
      <c r="J1636">
        <f t="shared" si="72"/>
        <v>2026</v>
      </c>
      <c r="K1636" t="str">
        <f>VLOOKUP(G1636,METRICS!C:D,2,0)</f>
        <v>Taxas Financeiras Diversas</v>
      </c>
      <c r="L1636" t="str">
        <f>VLOOKUP(K1636,METRICS!D:E,2,0)</f>
        <v>TAXAS CARTÃO DE CRÉDITO</v>
      </c>
    </row>
    <row r="1637" spans="1:12" ht="15" hidden="1">
      <c r="A1637" t="s">
        <v>1132</v>
      </c>
      <c r="B1637" t="s">
        <v>689</v>
      </c>
      <c r="C1637" t="s">
        <v>690</v>
      </c>
      <c r="D1637" t="s">
        <v>733</v>
      </c>
      <c r="E1637" t="s">
        <v>734</v>
      </c>
      <c r="F1637" t="s">
        <v>1272</v>
      </c>
      <c r="G1637" t="s">
        <v>665</v>
      </c>
      <c r="H1637" s="595">
        <v>-3.75</v>
      </c>
      <c r="I1637" t="str">
        <f t="shared" si="73"/>
        <v>janeiro 2026</v>
      </c>
      <c r="J1637">
        <f t="shared" si="72"/>
        <v>2026</v>
      </c>
      <c r="K1637" t="str">
        <f>VLOOKUP(G1637,METRICS!C:D,2,0)</f>
        <v>Taxas Financeiras Diversas</v>
      </c>
      <c r="L1637" t="str">
        <f>VLOOKUP(K1637,METRICS!D:E,2,0)</f>
        <v>TAXAS CARTÃO DE CRÉDITO</v>
      </c>
    </row>
    <row r="1638" spans="1:12" ht="15" hidden="1">
      <c r="A1638" t="s">
        <v>1132</v>
      </c>
      <c r="B1638" t="s">
        <v>689</v>
      </c>
      <c r="C1638" t="s">
        <v>690</v>
      </c>
      <c r="D1638" t="s">
        <v>743</v>
      </c>
      <c r="E1638" t="s">
        <v>734</v>
      </c>
      <c r="F1638" t="s">
        <v>1272</v>
      </c>
      <c r="G1638" t="s">
        <v>665</v>
      </c>
      <c r="H1638" s="595">
        <v>-12.74</v>
      </c>
      <c r="I1638" t="str">
        <f t="shared" si="73"/>
        <v>janeiro 2026</v>
      </c>
      <c r="J1638">
        <f t="shared" si="72"/>
        <v>2026</v>
      </c>
      <c r="K1638" t="str">
        <f>VLOOKUP(G1638,METRICS!C:D,2,0)</f>
        <v>Taxas Financeiras Diversas</v>
      </c>
      <c r="L1638" t="str">
        <f>VLOOKUP(K1638,METRICS!D:E,2,0)</f>
        <v>TAXAS CARTÃO DE CRÉDITO</v>
      </c>
    </row>
    <row r="1639" spans="1:12" ht="15" hidden="1">
      <c r="A1639" t="s">
        <v>1132</v>
      </c>
      <c r="B1639" t="s">
        <v>689</v>
      </c>
      <c r="C1639" t="s">
        <v>690</v>
      </c>
      <c r="D1639" t="s">
        <v>733</v>
      </c>
      <c r="E1639" t="s">
        <v>734</v>
      </c>
      <c r="F1639" t="s">
        <v>1272</v>
      </c>
      <c r="G1639" t="s">
        <v>665</v>
      </c>
      <c r="H1639" s="595">
        <v>-2.63</v>
      </c>
      <c r="I1639" t="str">
        <f t="shared" si="73"/>
        <v>janeiro 2026</v>
      </c>
      <c r="J1639">
        <f t="shared" si="72"/>
        <v>2026</v>
      </c>
      <c r="K1639" t="str">
        <f>VLOOKUP(G1639,METRICS!C:D,2,0)</f>
        <v>Taxas Financeiras Diversas</v>
      </c>
      <c r="L1639" t="str">
        <f>VLOOKUP(K1639,METRICS!D:E,2,0)</f>
        <v>TAXAS CARTÃO DE CRÉDITO</v>
      </c>
    </row>
    <row r="1640" spans="1:12" ht="15" hidden="1">
      <c r="A1640" t="s">
        <v>1132</v>
      </c>
      <c r="B1640" t="s">
        <v>689</v>
      </c>
      <c r="C1640" t="s">
        <v>690</v>
      </c>
      <c r="D1640" t="s">
        <v>733</v>
      </c>
      <c r="E1640" t="s">
        <v>734</v>
      </c>
      <c r="F1640" t="s">
        <v>1272</v>
      </c>
      <c r="G1640" t="s">
        <v>665</v>
      </c>
      <c r="H1640" s="595">
        <v>-3.81</v>
      </c>
      <c r="I1640" t="str">
        <f t="shared" si="73"/>
        <v>janeiro 2026</v>
      </c>
      <c r="J1640">
        <f t="shared" si="72"/>
        <v>2026</v>
      </c>
      <c r="K1640" t="str">
        <f>VLOOKUP(G1640,METRICS!C:D,2,0)</f>
        <v>Taxas Financeiras Diversas</v>
      </c>
      <c r="L1640" t="str">
        <f>VLOOKUP(K1640,METRICS!D:E,2,0)</f>
        <v>TAXAS CARTÃO DE CRÉDITO</v>
      </c>
    </row>
    <row r="1641" spans="1:12" ht="15" hidden="1">
      <c r="A1641" t="s">
        <v>1132</v>
      </c>
      <c r="B1641" t="s">
        <v>689</v>
      </c>
      <c r="C1641" t="s">
        <v>690</v>
      </c>
      <c r="D1641" t="s">
        <v>743</v>
      </c>
      <c r="E1641" t="s">
        <v>734</v>
      </c>
      <c r="F1641" t="s">
        <v>1272</v>
      </c>
      <c r="G1641" t="s">
        <v>665</v>
      </c>
      <c r="H1641" s="595">
        <v>-1.43</v>
      </c>
      <c r="I1641" t="str">
        <f t="shared" si="73"/>
        <v>janeiro 2026</v>
      </c>
      <c r="J1641">
        <f t="shared" si="72"/>
        <v>2026</v>
      </c>
      <c r="K1641" t="str">
        <f>VLOOKUP(G1641,METRICS!C:D,2,0)</f>
        <v>Taxas Financeiras Diversas</v>
      </c>
      <c r="L1641" t="str">
        <f>VLOOKUP(K1641,METRICS!D:E,2,0)</f>
        <v>TAXAS CARTÃO DE CRÉDITO</v>
      </c>
    </row>
    <row r="1642" spans="1:12" ht="15" hidden="1">
      <c r="A1642" t="s">
        <v>1132</v>
      </c>
      <c r="B1642" t="s">
        <v>689</v>
      </c>
      <c r="C1642" t="s">
        <v>690</v>
      </c>
      <c r="D1642" t="s">
        <v>733</v>
      </c>
      <c r="E1642" t="s">
        <v>734</v>
      </c>
      <c r="F1642" t="s">
        <v>1272</v>
      </c>
      <c r="G1642" t="s">
        <v>665</v>
      </c>
      <c r="H1642" s="595">
        <v>-0.56000000000000005</v>
      </c>
      <c r="I1642" t="str">
        <f t="shared" si="73"/>
        <v>janeiro 2026</v>
      </c>
      <c r="J1642">
        <f t="shared" si="72"/>
        <v>2026</v>
      </c>
      <c r="K1642" t="str">
        <f>VLOOKUP(G1642,METRICS!C:D,2,0)</f>
        <v>Taxas Financeiras Diversas</v>
      </c>
      <c r="L1642" t="str">
        <f>VLOOKUP(K1642,METRICS!D:E,2,0)</f>
        <v>TAXAS CARTÃO DE CRÉDITO</v>
      </c>
    </row>
    <row r="1643" spans="1:12" ht="15" hidden="1">
      <c r="A1643" t="s">
        <v>1132</v>
      </c>
      <c r="B1643" t="s">
        <v>689</v>
      </c>
      <c r="C1643" t="s">
        <v>690</v>
      </c>
      <c r="D1643" t="s">
        <v>733</v>
      </c>
      <c r="E1643" t="s">
        <v>734</v>
      </c>
      <c r="F1643" t="s">
        <v>1272</v>
      </c>
      <c r="G1643" t="s">
        <v>665</v>
      </c>
      <c r="H1643" s="595">
        <v>-13.17</v>
      </c>
      <c r="I1643" t="str">
        <f t="shared" si="73"/>
        <v>janeiro 2026</v>
      </c>
      <c r="J1643">
        <f t="shared" si="72"/>
        <v>2026</v>
      </c>
      <c r="K1643" t="str">
        <f>VLOOKUP(G1643,METRICS!C:D,2,0)</f>
        <v>Taxas Financeiras Diversas</v>
      </c>
      <c r="L1643" t="str">
        <f>VLOOKUP(K1643,METRICS!D:E,2,0)</f>
        <v>TAXAS CARTÃO DE CRÉDITO</v>
      </c>
    </row>
    <row r="1644" spans="1:12" ht="15" hidden="1">
      <c r="A1644" t="s">
        <v>1132</v>
      </c>
      <c r="B1644" t="s">
        <v>689</v>
      </c>
      <c r="C1644" t="s">
        <v>690</v>
      </c>
      <c r="D1644" t="s">
        <v>733</v>
      </c>
      <c r="E1644" t="s">
        <v>734</v>
      </c>
      <c r="F1644" t="s">
        <v>1272</v>
      </c>
      <c r="G1644" t="s">
        <v>665</v>
      </c>
      <c r="H1644" s="595">
        <v>-2.21</v>
      </c>
      <c r="I1644" t="str">
        <f t="shared" si="73"/>
        <v>janeiro 2026</v>
      </c>
      <c r="J1644">
        <f t="shared" si="72"/>
        <v>2026</v>
      </c>
      <c r="K1644" t="str">
        <f>VLOOKUP(G1644,METRICS!C:D,2,0)</f>
        <v>Taxas Financeiras Diversas</v>
      </c>
      <c r="L1644" t="str">
        <f>VLOOKUP(K1644,METRICS!D:E,2,0)</f>
        <v>TAXAS CARTÃO DE CRÉDITO</v>
      </c>
    </row>
    <row r="1645" spans="1:12" ht="15" hidden="1">
      <c r="A1645" t="s">
        <v>1132</v>
      </c>
      <c r="B1645" t="s">
        <v>689</v>
      </c>
      <c r="C1645" t="s">
        <v>690</v>
      </c>
      <c r="D1645" t="s">
        <v>733</v>
      </c>
      <c r="E1645" t="s">
        <v>734</v>
      </c>
      <c r="F1645" t="s">
        <v>1272</v>
      </c>
      <c r="G1645" t="s">
        <v>665</v>
      </c>
      <c r="H1645" s="595">
        <v>-1.71</v>
      </c>
      <c r="I1645" t="str">
        <f t="shared" si="73"/>
        <v>janeiro 2026</v>
      </c>
      <c r="J1645">
        <f t="shared" si="72"/>
        <v>2026</v>
      </c>
      <c r="K1645" t="str">
        <f>VLOOKUP(G1645,METRICS!C:D,2,0)</f>
        <v>Taxas Financeiras Diversas</v>
      </c>
      <c r="L1645" t="str">
        <f>VLOOKUP(K1645,METRICS!D:E,2,0)</f>
        <v>TAXAS CARTÃO DE CRÉDITO</v>
      </c>
    </row>
    <row r="1646" spans="1:12" ht="15" hidden="1">
      <c r="A1646" t="s">
        <v>1132</v>
      </c>
      <c r="B1646" t="s">
        <v>689</v>
      </c>
      <c r="C1646" t="s">
        <v>690</v>
      </c>
      <c r="D1646" t="s">
        <v>743</v>
      </c>
      <c r="E1646" t="s">
        <v>734</v>
      </c>
      <c r="F1646" t="s">
        <v>1272</v>
      </c>
      <c r="G1646" t="s">
        <v>665</v>
      </c>
      <c r="H1646" s="595">
        <v>-12.7</v>
      </c>
      <c r="I1646" t="str">
        <f t="shared" si="73"/>
        <v>janeiro 2026</v>
      </c>
      <c r="J1646">
        <f t="shared" si="72"/>
        <v>2026</v>
      </c>
      <c r="K1646" t="str">
        <f>VLOOKUP(G1646,METRICS!C:D,2,0)</f>
        <v>Taxas Financeiras Diversas</v>
      </c>
      <c r="L1646" t="str">
        <f>VLOOKUP(K1646,METRICS!D:E,2,0)</f>
        <v>TAXAS CARTÃO DE CRÉDITO</v>
      </c>
    </row>
    <row r="1647" spans="1:12" ht="15" hidden="1">
      <c r="A1647" t="s">
        <v>1132</v>
      </c>
      <c r="B1647" t="s">
        <v>689</v>
      </c>
      <c r="C1647" t="s">
        <v>690</v>
      </c>
      <c r="D1647" t="s">
        <v>743</v>
      </c>
      <c r="E1647" t="s">
        <v>734</v>
      </c>
      <c r="F1647" t="s">
        <v>1272</v>
      </c>
      <c r="G1647" t="s">
        <v>665</v>
      </c>
      <c r="H1647" s="595">
        <v>-7.86</v>
      </c>
      <c r="I1647" t="str">
        <f t="shared" si="73"/>
        <v>janeiro 2026</v>
      </c>
      <c r="J1647">
        <f t="shared" si="72"/>
        <v>2026</v>
      </c>
      <c r="K1647" t="str">
        <f>VLOOKUP(G1647,METRICS!C:D,2,0)</f>
        <v>Taxas Financeiras Diversas</v>
      </c>
      <c r="L1647" t="str">
        <f>VLOOKUP(K1647,METRICS!D:E,2,0)</f>
        <v>TAXAS CARTÃO DE CRÉDITO</v>
      </c>
    </row>
    <row r="1648" spans="1:12" ht="15" hidden="1">
      <c r="A1648" t="s">
        <v>1132</v>
      </c>
      <c r="B1648" t="s">
        <v>689</v>
      </c>
      <c r="C1648" t="s">
        <v>690</v>
      </c>
      <c r="D1648" t="s">
        <v>743</v>
      </c>
      <c r="E1648" t="s">
        <v>734</v>
      </c>
      <c r="F1648" t="s">
        <v>1272</v>
      </c>
      <c r="G1648" t="s">
        <v>665</v>
      </c>
      <c r="H1648" s="595">
        <v>-6.1</v>
      </c>
      <c r="I1648" t="str">
        <f t="shared" si="73"/>
        <v>janeiro 2026</v>
      </c>
      <c r="J1648">
        <f t="shared" si="72"/>
        <v>2026</v>
      </c>
      <c r="K1648" t="str">
        <f>VLOOKUP(G1648,METRICS!C:D,2,0)</f>
        <v>Taxas Financeiras Diversas</v>
      </c>
      <c r="L1648" t="str">
        <f>VLOOKUP(K1648,METRICS!D:E,2,0)</f>
        <v>TAXAS CARTÃO DE CRÉDITO</v>
      </c>
    </row>
    <row r="1649" spans="1:12" ht="15" hidden="1">
      <c r="A1649" t="s">
        <v>1132</v>
      </c>
      <c r="B1649" t="s">
        <v>689</v>
      </c>
      <c r="C1649" t="s">
        <v>690</v>
      </c>
      <c r="D1649" t="s">
        <v>743</v>
      </c>
      <c r="E1649" t="s">
        <v>734</v>
      </c>
      <c r="F1649" t="s">
        <v>1272</v>
      </c>
      <c r="G1649" t="s">
        <v>665</v>
      </c>
      <c r="H1649" s="595">
        <v>-7.24</v>
      </c>
      <c r="I1649" t="str">
        <f t="shared" si="73"/>
        <v>janeiro 2026</v>
      </c>
      <c r="J1649">
        <f t="shared" si="72"/>
        <v>2026</v>
      </c>
      <c r="K1649" t="str">
        <f>VLOOKUP(G1649,METRICS!C:D,2,0)</f>
        <v>Taxas Financeiras Diversas</v>
      </c>
      <c r="L1649" t="str">
        <f>VLOOKUP(K1649,METRICS!D:E,2,0)</f>
        <v>TAXAS CARTÃO DE CRÉDITO</v>
      </c>
    </row>
    <row r="1650" spans="1:12" ht="15" hidden="1">
      <c r="A1650" t="s">
        <v>1132</v>
      </c>
      <c r="B1650" t="s">
        <v>689</v>
      </c>
      <c r="C1650" t="s">
        <v>690</v>
      </c>
      <c r="D1650" t="s">
        <v>753</v>
      </c>
      <c r="E1650" t="s">
        <v>734</v>
      </c>
      <c r="F1650" t="s">
        <v>1272</v>
      </c>
      <c r="G1650" t="s">
        <v>665</v>
      </c>
      <c r="H1650" s="595">
        <v>-32.369999999999997</v>
      </c>
      <c r="I1650" t="str">
        <f t="shared" si="73"/>
        <v>janeiro 2026</v>
      </c>
      <c r="J1650">
        <f t="shared" si="72"/>
        <v>2026</v>
      </c>
      <c r="K1650" t="str">
        <f>VLOOKUP(G1650,METRICS!C:D,2,0)</f>
        <v>Taxas Financeiras Diversas</v>
      </c>
      <c r="L1650" t="str">
        <f>VLOOKUP(K1650,METRICS!D:E,2,0)</f>
        <v>TAXAS CARTÃO DE CRÉDITO</v>
      </c>
    </row>
    <row r="1651" spans="1:12" ht="15" hidden="1">
      <c r="A1651" t="s">
        <v>1132</v>
      </c>
      <c r="B1651" t="s">
        <v>689</v>
      </c>
      <c r="C1651" t="s">
        <v>690</v>
      </c>
      <c r="D1651" t="s">
        <v>733</v>
      </c>
      <c r="E1651" t="s">
        <v>734</v>
      </c>
      <c r="F1651" t="s">
        <v>1272</v>
      </c>
      <c r="G1651" t="s">
        <v>665</v>
      </c>
      <c r="H1651" s="595">
        <v>-0.61</v>
      </c>
      <c r="I1651" t="str">
        <f t="shared" si="73"/>
        <v>janeiro 2026</v>
      </c>
      <c r="J1651">
        <f t="shared" si="72"/>
        <v>2026</v>
      </c>
      <c r="K1651" t="str">
        <f>VLOOKUP(G1651,METRICS!C:D,2,0)</f>
        <v>Taxas Financeiras Diversas</v>
      </c>
      <c r="L1651" t="str">
        <f>VLOOKUP(K1651,METRICS!D:E,2,0)</f>
        <v>TAXAS CARTÃO DE CRÉDITO</v>
      </c>
    </row>
    <row r="1652" spans="1:12" ht="15" hidden="1">
      <c r="A1652" t="s">
        <v>1132</v>
      </c>
      <c r="B1652" t="s">
        <v>689</v>
      </c>
      <c r="C1652" t="s">
        <v>690</v>
      </c>
      <c r="D1652" t="s">
        <v>743</v>
      </c>
      <c r="E1652" t="s">
        <v>734</v>
      </c>
      <c r="F1652" t="s">
        <v>1272</v>
      </c>
      <c r="G1652" t="s">
        <v>665</v>
      </c>
      <c r="H1652" s="595">
        <v>-4.99</v>
      </c>
      <c r="I1652" t="str">
        <f t="shared" si="73"/>
        <v>janeiro 2026</v>
      </c>
      <c r="J1652">
        <f t="shared" ref="J1652:J1715" si="74">YEAR(A1652)</f>
        <v>2026</v>
      </c>
      <c r="K1652" t="str">
        <f>VLOOKUP(G1652,METRICS!C:D,2,0)</f>
        <v>Taxas Financeiras Diversas</v>
      </c>
      <c r="L1652" t="str">
        <f>VLOOKUP(K1652,METRICS!D:E,2,0)</f>
        <v>TAXAS CARTÃO DE CRÉDITO</v>
      </c>
    </row>
    <row r="1653" spans="1:12" ht="15" hidden="1">
      <c r="A1653" t="s">
        <v>1132</v>
      </c>
      <c r="B1653" t="s">
        <v>689</v>
      </c>
      <c r="C1653" t="s">
        <v>690</v>
      </c>
      <c r="D1653" t="s">
        <v>860</v>
      </c>
      <c r="E1653" t="s">
        <v>734</v>
      </c>
      <c r="F1653" t="s">
        <v>1272</v>
      </c>
      <c r="G1653" t="s">
        <v>665</v>
      </c>
      <c r="H1653" s="595">
        <v>-7.69</v>
      </c>
      <c r="I1653" t="str">
        <f t="shared" si="73"/>
        <v>janeiro 2026</v>
      </c>
      <c r="J1653">
        <f t="shared" si="74"/>
        <v>2026</v>
      </c>
      <c r="K1653" t="str">
        <f>VLOOKUP(G1653,METRICS!C:D,2,0)</f>
        <v>Taxas Financeiras Diversas</v>
      </c>
      <c r="L1653" t="str">
        <f>VLOOKUP(K1653,METRICS!D:E,2,0)</f>
        <v>TAXAS CARTÃO DE CRÉDITO</v>
      </c>
    </row>
    <row r="1654" spans="1:12" ht="15" hidden="1">
      <c r="A1654" t="s">
        <v>1132</v>
      </c>
      <c r="B1654" t="s">
        <v>689</v>
      </c>
      <c r="C1654" t="s">
        <v>690</v>
      </c>
      <c r="D1654" t="s">
        <v>743</v>
      </c>
      <c r="E1654" t="s">
        <v>734</v>
      </c>
      <c r="F1654" t="s">
        <v>1272</v>
      </c>
      <c r="G1654" t="s">
        <v>665</v>
      </c>
      <c r="H1654" s="595">
        <v>-0.87</v>
      </c>
      <c r="I1654" t="str">
        <f t="shared" si="73"/>
        <v>janeiro 2026</v>
      </c>
      <c r="J1654">
        <f t="shared" si="74"/>
        <v>2026</v>
      </c>
      <c r="K1654" t="str">
        <f>VLOOKUP(G1654,METRICS!C:D,2,0)</f>
        <v>Taxas Financeiras Diversas</v>
      </c>
      <c r="L1654" t="str">
        <f>VLOOKUP(K1654,METRICS!D:E,2,0)</f>
        <v>TAXAS CARTÃO DE CRÉDITO</v>
      </c>
    </row>
    <row r="1655" spans="1:12" ht="15" hidden="1">
      <c r="A1655" t="s">
        <v>1132</v>
      </c>
      <c r="B1655" t="s">
        <v>689</v>
      </c>
      <c r="C1655" t="s">
        <v>690</v>
      </c>
      <c r="D1655" t="s">
        <v>743</v>
      </c>
      <c r="E1655" t="s">
        <v>734</v>
      </c>
      <c r="F1655" t="s">
        <v>1272</v>
      </c>
      <c r="G1655" t="s">
        <v>665</v>
      </c>
      <c r="H1655" s="595">
        <v>-1.91</v>
      </c>
      <c r="I1655" t="str">
        <f t="shared" si="73"/>
        <v>janeiro 2026</v>
      </c>
      <c r="J1655">
        <f t="shared" si="74"/>
        <v>2026</v>
      </c>
      <c r="K1655" t="str">
        <f>VLOOKUP(G1655,METRICS!C:D,2,0)</f>
        <v>Taxas Financeiras Diversas</v>
      </c>
      <c r="L1655" t="str">
        <f>VLOOKUP(K1655,METRICS!D:E,2,0)</f>
        <v>TAXAS CARTÃO DE CRÉDITO</v>
      </c>
    </row>
    <row r="1656" spans="1:12" ht="15" hidden="1">
      <c r="A1656" t="s">
        <v>1132</v>
      </c>
      <c r="B1656" t="s">
        <v>689</v>
      </c>
      <c r="C1656" t="s">
        <v>690</v>
      </c>
      <c r="D1656" t="s">
        <v>733</v>
      </c>
      <c r="E1656" t="s">
        <v>734</v>
      </c>
      <c r="F1656" t="s">
        <v>1272</v>
      </c>
      <c r="G1656" t="s">
        <v>665</v>
      </c>
      <c r="H1656" s="595">
        <v>-1.1000000000000001</v>
      </c>
      <c r="I1656" t="str">
        <f t="shared" si="73"/>
        <v>janeiro 2026</v>
      </c>
      <c r="J1656">
        <f t="shared" si="74"/>
        <v>2026</v>
      </c>
      <c r="K1656" t="str">
        <f>VLOOKUP(G1656,METRICS!C:D,2,0)</f>
        <v>Taxas Financeiras Diversas</v>
      </c>
      <c r="L1656" t="str">
        <f>VLOOKUP(K1656,METRICS!D:E,2,0)</f>
        <v>TAXAS CARTÃO DE CRÉDITO</v>
      </c>
    </row>
    <row r="1657" spans="1:12" ht="15" hidden="1">
      <c r="A1657" t="s">
        <v>1132</v>
      </c>
      <c r="B1657" t="s">
        <v>689</v>
      </c>
      <c r="C1657" t="s">
        <v>690</v>
      </c>
      <c r="D1657" t="s">
        <v>733</v>
      </c>
      <c r="E1657" t="s">
        <v>734</v>
      </c>
      <c r="F1657" t="s">
        <v>1272</v>
      </c>
      <c r="G1657" t="s">
        <v>665</v>
      </c>
      <c r="H1657" s="595">
        <v>-13.61</v>
      </c>
      <c r="I1657" t="str">
        <f t="shared" ref="I1657:I1699" si="75">TEXT(A1657, "mmmm aaaa")</f>
        <v>janeiro 2026</v>
      </c>
      <c r="J1657">
        <f t="shared" si="74"/>
        <v>2026</v>
      </c>
      <c r="K1657" t="str">
        <f>VLOOKUP(G1657,METRICS!C:D,2,0)</f>
        <v>Taxas Financeiras Diversas</v>
      </c>
      <c r="L1657" t="str">
        <f>VLOOKUP(K1657,METRICS!D:E,2,0)</f>
        <v>TAXAS CARTÃO DE CRÉDITO</v>
      </c>
    </row>
    <row r="1658" spans="1:12" ht="15" hidden="1">
      <c r="A1658" t="s">
        <v>1132</v>
      </c>
      <c r="B1658" t="s">
        <v>689</v>
      </c>
      <c r="C1658" t="s">
        <v>690</v>
      </c>
      <c r="D1658" t="s">
        <v>743</v>
      </c>
      <c r="E1658" t="s">
        <v>734</v>
      </c>
      <c r="F1658" t="s">
        <v>1272</v>
      </c>
      <c r="G1658" t="s">
        <v>665</v>
      </c>
      <c r="H1658" s="595">
        <v>-6.7</v>
      </c>
      <c r="I1658" t="str">
        <f t="shared" si="75"/>
        <v>janeiro 2026</v>
      </c>
      <c r="J1658">
        <f t="shared" si="74"/>
        <v>2026</v>
      </c>
      <c r="K1658" t="str">
        <f>VLOOKUP(G1658,METRICS!C:D,2,0)</f>
        <v>Taxas Financeiras Diversas</v>
      </c>
      <c r="L1658" t="str">
        <f>VLOOKUP(K1658,METRICS!D:E,2,0)</f>
        <v>TAXAS CARTÃO DE CRÉDITO</v>
      </c>
    </row>
    <row r="1659" spans="1:12" ht="15" hidden="1">
      <c r="A1659" t="s">
        <v>1132</v>
      </c>
      <c r="B1659" t="s">
        <v>689</v>
      </c>
      <c r="C1659" t="s">
        <v>690</v>
      </c>
      <c r="D1659" t="s">
        <v>733</v>
      </c>
      <c r="E1659" t="s">
        <v>734</v>
      </c>
      <c r="F1659" t="s">
        <v>1272</v>
      </c>
      <c r="G1659" t="s">
        <v>665</v>
      </c>
      <c r="H1659" s="595">
        <v>-3.72</v>
      </c>
      <c r="I1659" t="str">
        <f t="shared" si="75"/>
        <v>janeiro 2026</v>
      </c>
      <c r="J1659">
        <f t="shared" si="74"/>
        <v>2026</v>
      </c>
      <c r="K1659" t="str">
        <f>VLOOKUP(G1659,METRICS!C:D,2,0)</f>
        <v>Taxas Financeiras Diversas</v>
      </c>
      <c r="L1659" t="str">
        <f>VLOOKUP(K1659,METRICS!D:E,2,0)</f>
        <v>TAXAS CARTÃO DE CRÉDITO</v>
      </c>
    </row>
    <row r="1660" spans="1:12" ht="15" hidden="1">
      <c r="A1660" t="s">
        <v>1132</v>
      </c>
      <c r="B1660" t="s">
        <v>689</v>
      </c>
      <c r="C1660" t="s">
        <v>690</v>
      </c>
      <c r="D1660" t="s">
        <v>860</v>
      </c>
      <c r="E1660" t="s">
        <v>734</v>
      </c>
      <c r="F1660" t="s">
        <v>1272</v>
      </c>
      <c r="G1660" t="s">
        <v>665</v>
      </c>
      <c r="H1660" s="595">
        <v>-5.75</v>
      </c>
      <c r="I1660" t="str">
        <f t="shared" si="75"/>
        <v>janeiro 2026</v>
      </c>
      <c r="J1660">
        <f t="shared" si="74"/>
        <v>2026</v>
      </c>
      <c r="K1660" t="str">
        <f>VLOOKUP(G1660,METRICS!C:D,2,0)</f>
        <v>Taxas Financeiras Diversas</v>
      </c>
      <c r="L1660" t="str">
        <f>VLOOKUP(K1660,METRICS!D:E,2,0)</f>
        <v>TAXAS CARTÃO DE CRÉDITO</v>
      </c>
    </row>
    <row r="1661" spans="1:12" ht="15" hidden="1">
      <c r="A1661" t="s">
        <v>1132</v>
      </c>
      <c r="B1661" t="s">
        <v>689</v>
      </c>
      <c r="C1661" t="s">
        <v>690</v>
      </c>
      <c r="D1661" t="s">
        <v>733</v>
      </c>
      <c r="E1661" t="s">
        <v>734</v>
      </c>
      <c r="F1661" t="s">
        <v>1272</v>
      </c>
      <c r="G1661" t="s">
        <v>665</v>
      </c>
      <c r="H1661" s="595">
        <v>-3.97</v>
      </c>
      <c r="I1661" t="str">
        <f t="shared" si="75"/>
        <v>janeiro 2026</v>
      </c>
      <c r="J1661">
        <f t="shared" si="74"/>
        <v>2026</v>
      </c>
      <c r="K1661" t="str">
        <f>VLOOKUP(G1661,METRICS!C:D,2,0)</f>
        <v>Taxas Financeiras Diversas</v>
      </c>
      <c r="L1661" t="str">
        <f>VLOOKUP(K1661,METRICS!D:E,2,0)</f>
        <v>TAXAS CARTÃO DE CRÉDITO</v>
      </c>
    </row>
    <row r="1662" spans="1:12" ht="15" hidden="1">
      <c r="A1662" t="s">
        <v>1132</v>
      </c>
      <c r="B1662" t="s">
        <v>689</v>
      </c>
      <c r="C1662" t="s">
        <v>690</v>
      </c>
      <c r="D1662" t="s">
        <v>733</v>
      </c>
      <c r="E1662" t="s">
        <v>734</v>
      </c>
      <c r="F1662" t="s">
        <v>1272</v>
      </c>
      <c r="G1662" t="s">
        <v>665</v>
      </c>
      <c r="H1662" s="595">
        <v>-14.3</v>
      </c>
      <c r="I1662" t="str">
        <f t="shared" si="75"/>
        <v>janeiro 2026</v>
      </c>
      <c r="J1662">
        <f t="shared" si="74"/>
        <v>2026</v>
      </c>
      <c r="K1662" t="str">
        <f>VLOOKUP(G1662,METRICS!C:D,2,0)</f>
        <v>Taxas Financeiras Diversas</v>
      </c>
      <c r="L1662" t="str">
        <f>VLOOKUP(K1662,METRICS!D:E,2,0)</f>
        <v>TAXAS CARTÃO DE CRÉDITO</v>
      </c>
    </row>
    <row r="1663" spans="1:12" ht="15" hidden="1">
      <c r="A1663" t="s">
        <v>1132</v>
      </c>
      <c r="B1663" t="s">
        <v>689</v>
      </c>
      <c r="C1663" t="s">
        <v>690</v>
      </c>
      <c r="D1663" t="s">
        <v>733</v>
      </c>
      <c r="E1663" t="s">
        <v>734</v>
      </c>
      <c r="F1663" t="s">
        <v>1272</v>
      </c>
      <c r="G1663" t="s">
        <v>665</v>
      </c>
      <c r="H1663" s="595">
        <v>-0.28999999999999998</v>
      </c>
      <c r="I1663" t="str">
        <f t="shared" si="75"/>
        <v>janeiro 2026</v>
      </c>
      <c r="J1663">
        <f t="shared" si="74"/>
        <v>2026</v>
      </c>
      <c r="K1663" t="str">
        <f>VLOOKUP(G1663,METRICS!C:D,2,0)</f>
        <v>Taxas Financeiras Diversas</v>
      </c>
      <c r="L1663" t="str">
        <f>VLOOKUP(K1663,METRICS!D:E,2,0)</f>
        <v>TAXAS CARTÃO DE CRÉDITO</v>
      </c>
    </row>
    <row r="1664" spans="1:12" ht="15" hidden="1">
      <c r="A1664" t="s">
        <v>1132</v>
      </c>
      <c r="B1664" t="s">
        <v>689</v>
      </c>
      <c r="C1664" t="s">
        <v>690</v>
      </c>
      <c r="D1664" t="s">
        <v>743</v>
      </c>
      <c r="E1664" t="s">
        <v>734</v>
      </c>
      <c r="F1664" t="s">
        <v>1272</v>
      </c>
      <c r="G1664" t="s">
        <v>665</v>
      </c>
      <c r="H1664" s="595">
        <v>-5.48</v>
      </c>
      <c r="I1664" t="str">
        <f t="shared" si="75"/>
        <v>janeiro 2026</v>
      </c>
      <c r="J1664">
        <f t="shared" si="74"/>
        <v>2026</v>
      </c>
      <c r="K1664" t="str">
        <f>VLOOKUP(G1664,METRICS!C:D,2,0)</f>
        <v>Taxas Financeiras Diversas</v>
      </c>
      <c r="L1664" t="str">
        <f>VLOOKUP(K1664,METRICS!D:E,2,0)</f>
        <v>TAXAS CARTÃO DE CRÉDITO</v>
      </c>
    </row>
    <row r="1665" spans="1:12" ht="15" hidden="1">
      <c r="A1665" t="s">
        <v>1132</v>
      </c>
      <c r="B1665" t="s">
        <v>689</v>
      </c>
      <c r="C1665" t="s">
        <v>690</v>
      </c>
      <c r="D1665" t="s">
        <v>733</v>
      </c>
      <c r="E1665" t="s">
        <v>734</v>
      </c>
      <c r="F1665" t="s">
        <v>1272</v>
      </c>
      <c r="G1665" t="s">
        <v>665</v>
      </c>
      <c r="H1665" s="595">
        <v>-0.96</v>
      </c>
      <c r="I1665" t="str">
        <f t="shared" si="75"/>
        <v>janeiro 2026</v>
      </c>
      <c r="J1665">
        <f t="shared" si="74"/>
        <v>2026</v>
      </c>
      <c r="K1665" t="str">
        <f>VLOOKUP(G1665,METRICS!C:D,2,0)</f>
        <v>Taxas Financeiras Diversas</v>
      </c>
      <c r="L1665" t="str">
        <f>VLOOKUP(K1665,METRICS!D:E,2,0)</f>
        <v>TAXAS CARTÃO DE CRÉDITO</v>
      </c>
    </row>
    <row r="1666" spans="1:12" ht="15" hidden="1">
      <c r="A1666" t="s">
        <v>1132</v>
      </c>
      <c r="B1666" t="s">
        <v>689</v>
      </c>
      <c r="C1666" t="s">
        <v>690</v>
      </c>
      <c r="D1666" t="s">
        <v>743</v>
      </c>
      <c r="E1666" t="s">
        <v>734</v>
      </c>
      <c r="F1666" t="s">
        <v>1272</v>
      </c>
      <c r="G1666" t="s">
        <v>665</v>
      </c>
      <c r="H1666" s="595">
        <v>-1.43</v>
      </c>
      <c r="I1666" t="str">
        <f t="shared" si="75"/>
        <v>janeiro 2026</v>
      </c>
      <c r="J1666">
        <f t="shared" si="74"/>
        <v>2026</v>
      </c>
      <c r="K1666" t="str">
        <f>VLOOKUP(G1666,METRICS!C:D,2,0)</f>
        <v>Taxas Financeiras Diversas</v>
      </c>
      <c r="L1666" t="str">
        <f>VLOOKUP(K1666,METRICS!D:E,2,0)</f>
        <v>TAXAS CARTÃO DE CRÉDITO</v>
      </c>
    </row>
    <row r="1667" spans="1:12" ht="15" hidden="1">
      <c r="A1667" t="s">
        <v>1132</v>
      </c>
      <c r="B1667" t="s">
        <v>689</v>
      </c>
      <c r="C1667" t="s">
        <v>690</v>
      </c>
      <c r="D1667" t="s">
        <v>817</v>
      </c>
      <c r="E1667" s="155" t="s">
        <v>544</v>
      </c>
      <c r="F1667" t="s">
        <v>1272</v>
      </c>
      <c r="G1667" t="s">
        <v>664</v>
      </c>
      <c r="H1667" s="595">
        <v>-360</v>
      </c>
      <c r="I1667" t="str">
        <f t="shared" si="75"/>
        <v>janeiro 2026</v>
      </c>
      <c r="J1667">
        <f t="shared" si="74"/>
        <v>2026</v>
      </c>
      <c r="K1667" t="str">
        <f>VLOOKUP(G1667,METRICS!C:D,2,0)</f>
        <v>Colaborador Extra</v>
      </c>
      <c r="L1667" t="str">
        <f>VLOOKUP(K1667,METRICS!D:E,2,0)</f>
        <v>PESSOAL</v>
      </c>
    </row>
    <row r="1668" spans="1:12" ht="15" hidden="1">
      <c r="A1668" t="s">
        <v>1132</v>
      </c>
      <c r="B1668" t="s">
        <v>689</v>
      </c>
      <c r="C1668" t="s">
        <v>690</v>
      </c>
      <c r="D1668" t="s">
        <v>733</v>
      </c>
      <c r="E1668" t="s">
        <v>734</v>
      </c>
      <c r="F1668" t="s">
        <v>1272</v>
      </c>
      <c r="G1668" t="s">
        <v>665</v>
      </c>
      <c r="H1668" s="595">
        <v>-14.33</v>
      </c>
      <c r="I1668" t="str">
        <f t="shared" si="75"/>
        <v>janeiro 2026</v>
      </c>
      <c r="J1668">
        <f t="shared" si="74"/>
        <v>2026</v>
      </c>
      <c r="K1668" t="str">
        <f>VLOOKUP(G1668,METRICS!C:D,2,0)</f>
        <v>Taxas Financeiras Diversas</v>
      </c>
      <c r="L1668" t="str">
        <f>VLOOKUP(K1668,METRICS!D:E,2,0)</f>
        <v>TAXAS CARTÃO DE CRÉDITO</v>
      </c>
    </row>
    <row r="1669" spans="1:12" ht="15" hidden="1">
      <c r="A1669" t="s">
        <v>1132</v>
      </c>
      <c r="B1669" t="s">
        <v>689</v>
      </c>
      <c r="C1669" t="s">
        <v>690</v>
      </c>
      <c r="D1669" t="s">
        <v>733</v>
      </c>
      <c r="E1669" t="s">
        <v>734</v>
      </c>
      <c r="F1669" t="s">
        <v>1272</v>
      </c>
      <c r="G1669" t="s">
        <v>665</v>
      </c>
      <c r="H1669" s="595">
        <v>-5.99</v>
      </c>
      <c r="I1669" t="str">
        <f t="shared" si="75"/>
        <v>janeiro 2026</v>
      </c>
      <c r="J1669">
        <f t="shared" si="74"/>
        <v>2026</v>
      </c>
      <c r="K1669" t="str">
        <f>VLOOKUP(G1669,METRICS!C:D,2,0)</f>
        <v>Taxas Financeiras Diversas</v>
      </c>
      <c r="L1669" t="str">
        <f>VLOOKUP(K1669,METRICS!D:E,2,0)</f>
        <v>TAXAS CARTÃO DE CRÉDITO</v>
      </c>
    </row>
    <row r="1670" spans="1:12" ht="15" hidden="1">
      <c r="A1670" t="s">
        <v>1132</v>
      </c>
      <c r="B1670" t="s">
        <v>689</v>
      </c>
      <c r="C1670" t="s">
        <v>690</v>
      </c>
      <c r="D1670" t="s">
        <v>733</v>
      </c>
      <c r="E1670" t="s">
        <v>734</v>
      </c>
      <c r="F1670" t="s">
        <v>1272</v>
      </c>
      <c r="G1670" t="s">
        <v>665</v>
      </c>
      <c r="H1670" s="595">
        <v>-1.36</v>
      </c>
      <c r="I1670" t="str">
        <f t="shared" si="75"/>
        <v>janeiro 2026</v>
      </c>
      <c r="J1670">
        <f t="shared" si="74"/>
        <v>2026</v>
      </c>
      <c r="K1670" t="str">
        <f>VLOOKUP(G1670,METRICS!C:D,2,0)</f>
        <v>Taxas Financeiras Diversas</v>
      </c>
      <c r="L1670" t="str">
        <f>VLOOKUP(K1670,METRICS!D:E,2,0)</f>
        <v>TAXAS CARTÃO DE CRÉDITO</v>
      </c>
    </row>
    <row r="1671" spans="1:12" ht="15" hidden="1">
      <c r="A1671" t="s">
        <v>1132</v>
      </c>
      <c r="B1671" t="s">
        <v>689</v>
      </c>
      <c r="C1671" t="s">
        <v>690</v>
      </c>
      <c r="D1671" t="s">
        <v>733</v>
      </c>
      <c r="E1671" t="s">
        <v>734</v>
      </c>
      <c r="F1671" t="s">
        <v>1272</v>
      </c>
      <c r="G1671" t="s">
        <v>665</v>
      </c>
      <c r="H1671" s="595">
        <v>-5.01</v>
      </c>
      <c r="I1671" t="str">
        <f t="shared" si="75"/>
        <v>janeiro 2026</v>
      </c>
      <c r="J1671">
        <f t="shared" si="74"/>
        <v>2026</v>
      </c>
      <c r="K1671" t="str">
        <f>VLOOKUP(G1671,METRICS!C:D,2,0)</f>
        <v>Taxas Financeiras Diversas</v>
      </c>
      <c r="L1671" t="str">
        <f>VLOOKUP(K1671,METRICS!D:E,2,0)</f>
        <v>TAXAS CARTÃO DE CRÉDITO</v>
      </c>
    </row>
    <row r="1672" spans="1:12" ht="15" hidden="1">
      <c r="A1672" t="s">
        <v>1132</v>
      </c>
      <c r="B1672" t="s">
        <v>689</v>
      </c>
      <c r="C1672" t="s">
        <v>690</v>
      </c>
      <c r="D1672" t="s">
        <v>733</v>
      </c>
      <c r="E1672" t="s">
        <v>734</v>
      </c>
      <c r="F1672" t="s">
        <v>1272</v>
      </c>
      <c r="G1672" t="s">
        <v>665</v>
      </c>
      <c r="H1672" s="595">
        <v>-6.45</v>
      </c>
      <c r="I1672" t="str">
        <f t="shared" si="75"/>
        <v>janeiro 2026</v>
      </c>
      <c r="J1672">
        <f t="shared" si="74"/>
        <v>2026</v>
      </c>
      <c r="K1672" t="str">
        <f>VLOOKUP(G1672,METRICS!C:D,2,0)</f>
        <v>Taxas Financeiras Diversas</v>
      </c>
      <c r="L1672" t="str">
        <f>VLOOKUP(K1672,METRICS!D:E,2,0)</f>
        <v>TAXAS CARTÃO DE CRÉDITO</v>
      </c>
    </row>
    <row r="1673" spans="1:12" ht="15" hidden="1">
      <c r="A1673" t="s">
        <v>1132</v>
      </c>
      <c r="B1673" t="s">
        <v>689</v>
      </c>
      <c r="C1673" t="s">
        <v>690</v>
      </c>
      <c r="D1673" t="s">
        <v>743</v>
      </c>
      <c r="E1673" t="s">
        <v>734</v>
      </c>
      <c r="F1673" t="s">
        <v>1272</v>
      </c>
      <c r="G1673" t="s">
        <v>665</v>
      </c>
      <c r="H1673" s="595">
        <v>-9.18</v>
      </c>
      <c r="I1673" t="str">
        <f t="shared" si="75"/>
        <v>janeiro 2026</v>
      </c>
      <c r="J1673">
        <f t="shared" si="74"/>
        <v>2026</v>
      </c>
      <c r="K1673" t="str">
        <f>VLOOKUP(G1673,METRICS!C:D,2,0)</f>
        <v>Taxas Financeiras Diversas</v>
      </c>
      <c r="L1673" t="str">
        <f>VLOOKUP(K1673,METRICS!D:E,2,0)</f>
        <v>TAXAS CARTÃO DE CRÉDITO</v>
      </c>
    </row>
    <row r="1674" spans="1:12" ht="15" hidden="1">
      <c r="A1674" t="s">
        <v>1132</v>
      </c>
      <c r="B1674" t="s">
        <v>689</v>
      </c>
      <c r="C1674" t="s">
        <v>690</v>
      </c>
      <c r="D1674" t="s">
        <v>860</v>
      </c>
      <c r="E1674" t="s">
        <v>734</v>
      </c>
      <c r="F1674" t="s">
        <v>1272</v>
      </c>
      <c r="G1674" t="s">
        <v>665</v>
      </c>
      <c r="H1674" s="595">
        <v>-20.49</v>
      </c>
      <c r="I1674" t="str">
        <f t="shared" si="75"/>
        <v>janeiro 2026</v>
      </c>
      <c r="J1674">
        <f t="shared" si="74"/>
        <v>2026</v>
      </c>
      <c r="K1674" t="str">
        <f>VLOOKUP(G1674,METRICS!C:D,2,0)</f>
        <v>Taxas Financeiras Diversas</v>
      </c>
      <c r="L1674" t="str">
        <f>VLOOKUP(K1674,METRICS!D:E,2,0)</f>
        <v>TAXAS CARTÃO DE CRÉDITO</v>
      </c>
    </row>
    <row r="1675" spans="1:12" ht="15" hidden="1">
      <c r="A1675" t="s">
        <v>1132</v>
      </c>
      <c r="B1675" t="s">
        <v>689</v>
      </c>
      <c r="C1675" t="s">
        <v>690</v>
      </c>
      <c r="D1675" t="s">
        <v>860</v>
      </c>
      <c r="E1675" t="s">
        <v>734</v>
      </c>
      <c r="F1675" t="s">
        <v>1272</v>
      </c>
      <c r="G1675" t="s">
        <v>665</v>
      </c>
      <c r="H1675" s="595">
        <v>-31.68</v>
      </c>
      <c r="I1675" t="str">
        <f t="shared" si="75"/>
        <v>janeiro 2026</v>
      </c>
      <c r="J1675">
        <f t="shared" si="74"/>
        <v>2026</v>
      </c>
      <c r="K1675" t="str">
        <f>VLOOKUP(G1675,METRICS!C:D,2,0)</f>
        <v>Taxas Financeiras Diversas</v>
      </c>
      <c r="L1675" t="str">
        <f>VLOOKUP(K1675,METRICS!D:E,2,0)</f>
        <v>TAXAS CARTÃO DE CRÉDITO</v>
      </c>
    </row>
    <row r="1676" spans="1:12" ht="15" hidden="1">
      <c r="A1676" t="s">
        <v>1132</v>
      </c>
      <c r="B1676" t="s">
        <v>689</v>
      </c>
      <c r="C1676" t="s">
        <v>690</v>
      </c>
      <c r="D1676" t="s">
        <v>733</v>
      </c>
      <c r="E1676" t="s">
        <v>734</v>
      </c>
      <c r="F1676" t="s">
        <v>1272</v>
      </c>
      <c r="G1676" t="s">
        <v>665</v>
      </c>
      <c r="H1676" s="595">
        <v>-0.17</v>
      </c>
      <c r="I1676" t="str">
        <f t="shared" si="75"/>
        <v>janeiro 2026</v>
      </c>
      <c r="J1676">
        <f t="shared" si="74"/>
        <v>2026</v>
      </c>
      <c r="K1676" t="str">
        <f>VLOOKUP(G1676,METRICS!C:D,2,0)</f>
        <v>Taxas Financeiras Diversas</v>
      </c>
      <c r="L1676" t="str">
        <f>VLOOKUP(K1676,METRICS!D:E,2,0)</f>
        <v>TAXAS CARTÃO DE CRÉDITO</v>
      </c>
    </row>
    <row r="1677" spans="1:12" ht="15" hidden="1">
      <c r="A1677" t="s">
        <v>1132</v>
      </c>
      <c r="B1677" t="s">
        <v>689</v>
      </c>
      <c r="C1677" t="s">
        <v>690</v>
      </c>
      <c r="D1677" t="s">
        <v>743</v>
      </c>
      <c r="E1677" t="s">
        <v>734</v>
      </c>
      <c r="F1677" t="s">
        <v>1272</v>
      </c>
      <c r="G1677" t="s">
        <v>665</v>
      </c>
      <c r="H1677" s="595">
        <v>-7.5</v>
      </c>
      <c r="I1677" t="str">
        <f t="shared" si="75"/>
        <v>janeiro 2026</v>
      </c>
      <c r="J1677">
        <f t="shared" si="74"/>
        <v>2026</v>
      </c>
      <c r="K1677" t="str">
        <f>VLOOKUP(G1677,METRICS!C:D,2,0)</f>
        <v>Taxas Financeiras Diversas</v>
      </c>
      <c r="L1677" t="str">
        <f>VLOOKUP(K1677,METRICS!D:E,2,0)</f>
        <v>TAXAS CARTÃO DE CRÉDITO</v>
      </c>
    </row>
    <row r="1678" spans="1:12" ht="15" hidden="1">
      <c r="A1678" t="s">
        <v>1132</v>
      </c>
      <c r="B1678" t="s">
        <v>689</v>
      </c>
      <c r="C1678" t="s">
        <v>690</v>
      </c>
      <c r="D1678" t="s">
        <v>753</v>
      </c>
      <c r="E1678" t="s">
        <v>734</v>
      </c>
      <c r="F1678" t="s">
        <v>1272</v>
      </c>
      <c r="G1678" t="s">
        <v>665</v>
      </c>
      <c r="H1678" s="595">
        <v>-2.93</v>
      </c>
      <c r="I1678" t="str">
        <f t="shared" si="75"/>
        <v>janeiro 2026</v>
      </c>
      <c r="J1678">
        <f t="shared" si="74"/>
        <v>2026</v>
      </c>
      <c r="K1678" t="str">
        <f>VLOOKUP(G1678,METRICS!C:D,2,0)</f>
        <v>Taxas Financeiras Diversas</v>
      </c>
      <c r="L1678" t="str">
        <f>VLOOKUP(K1678,METRICS!D:E,2,0)</f>
        <v>TAXAS CARTÃO DE CRÉDITO</v>
      </c>
    </row>
    <row r="1679" spans="1:12" ht="15" hidden="1">
      <c r="A1679" t="s">
        <v>1132</v>
      </c>
      <c r="B1679" t="s">
        <v>689</v>
      </c>
      <c r="C1679" t="s">
        <v>690</v>
      </c>
      <c r="D1679" t="s">
        <v>743</v>
      </c>
      <c r="E1679" t="s">
        <v>734</v>
      </c>
      <c r="F1679" t="s">
        <v>1272</v>
      </c>
      <c r="G1679" t="s">
        <v>665</v>
      </c>
      <c r="H1679" s="595">
        <v>-7.5</v>
      </c>
      <c r="I1679" t="str">
        <f t="shared" si="75"/>
        <v>janeiro 2026</v>
      </c>
      <c r="J1679">
        <f t="shared" si="74"/>
        <v>2026</v>
      </c>
      <c r="K1679" t="str">
        <f>VLOOKUP(G1679,METRICS!C:D,2,0)</f>
        <v>Taxas Financeiras Diversas</v>
      </c>
      <c r="L1679" t="str">
        <f>VLOOKUP(K1679,METRICS!D:E,2,0)</f>
        <v>TAXAS CARTÃO DE CRÉDITO</v>
      </c>
    </row>
    <row r="1680" spans="1:12" ht="15" hidden="1">
      <c r="A1680" t="s">
        <v>1132</v>
      </c>
      <c r="B1680" t="s">
        <v>689</v>
      </c>
      <c r="C1680" t="s">
        <v>690</v>
      </c>
      <c r="D1680" t="s">
        <v>753</v>
      </c>
      <c r="E1680" t="s">
        <v>734</v>
      </c>
      <c r="F1680" t="s">
        <v>1272</v>
      </c>
      <c r="G1680" t="s">
        <v>665</v>
      </c>
      <c r="H1680" s="595">
        <v>-40.36</v>
      </c>
      <c r="I1680" t="str">
        <f t="shared" si="75"/>
        <v>janeiro 2026</v>
      </c>
      <c r="J1680">
        <f t="shared" si="74"/>
        <v>2026</v>
      </c>
      <c r="K1680" t="str">
        <f>VLOOKUP(G1680,METRICS!C:D,2,0)</f>
        <v>Taxas Financeiras Diversas</v>
      </c>
      <c r="L1680" t="str">
        <f>VLOOKUP(K1680,METRICS!D:E,2,0)</f>
        <v>TAXAS CARTÃO DE CRÉDITO</v>
      </c>
    </row>
    <row r="1681" spans="1:12" ht="15" hidden="1">
      <c r="A1681" t="s">
        <v>1132</v>
      </c>
      <c r="B1681" t="s">
        <v>689</v>
      </c>
      <c r="C1681" t="s">
        <v>690</v>
      </c>
      <c r="D1681" t="s">
        <v>733</v>
      </c>
      <c r="E1681" t="s">
        <v>734</v>
      </c>
      <c r="F1681" t="s">
        <v>1272</v>
      </c>
      <c r="G1681" t="s">
        <v>665</v>
      </c>
      <c r="H1681" s="595">
        <v>-3.72</v>
      </c>
      <c r="I1681" t="str">
        <f t="shared" si="75"/>
        <v>janeiro 2026</v>
      </c>
      <c r="J1681">
        <f t="shared" si="74"/>
        <v>2026</v>
      </c>
      <c r="K1681" t="str">
        <f>VLOOKUP(G1681,METRICS!C:D,2,0)</f>
        <v>Taxas Financeiras Diversas</v>
      </c>
      <c r="L1681" t="str">
        <f>VLOOKUP(K1681,METRICS!D:E,2,0)</f>
        <v>TAXAS CARTÃO DE CRÉDITO</v>
      </c>
    </row>
    <row r="1682" spans="1:12" ht="15" hidden="1">
      <c r="A1682" t="s">
        <v>1132</v>
      </c>
      <c r="B1682" t="s">
        <v>689</v>
      </c>
      <c r="C1682" t="s">
        <v>690</v>
      </c>
      <c r="D1682" t="s">
        <v>743</v>
      </c>
      <c r="E1682" t="s">
        <v>734</v>
      </c>
      <c r="F1682" t="s">
        <v>1272</v>
      </c>
      <c r="G1682" t="s">
        <v>665</v>
      </c>
      <c r="H1682" s="595">
        <v>-32.72</v>
      </c>
      <c r="I1682" t="str">
        <f t="shared" si="75"/>
        <v>janeiro 2026</v>
      </c>
      <c r="J1682">
        <f t="shared" si="74"/>
        <v>2026</v>
      </c>
      <c r="K1682" t="str">
        <f>VLOOKUP(G1682,METRICS!C:D,2,0)</f>
        <v>Taxas Financeiras Diversas</v>
      </c>
      <c r="L1682" t="str">
        <f>VLOOKUP(K1682,METRICS!D:E,2,0)</f>
        <v>TAXAS CARTÃO DE CRÉDITO</v>
      </c>
    </row>
    <row r="1683" spans="1:12" ht="15" hidden="1">
      <c r="A1683" t="s">
        <v>1132</v>
      </c>
      <c r="B1683" t="s">
        <v>689</v>
      </c>
      <c r="C1683" t="s">
        <v>690</v>
      </c>
      <c r="D1683" t="s">
        <v>733</v>
      </c>
      <c r="E1683" t="s">
        <v>734</v>
      </c>
      <c r="F1683" t="s">
        <v>1272</v>
      </c>
      <c r="G1683" t="s">
        <v>665</v>
      </c>
      <c r="H1683" s="595">
        <v>-1.07</v>
      </c>
      <c r="I1683" t="str">
        <f t="shared" si="75"/>
        <v>janeiro 2026</v>
      </c>
      <c r="J1683">
        <f t="shared" si="74"/>
        <v>2026</v>
      </c>
      <c r="K1683" t="str">
        <f>VLOOKUP(G1683,METRICS!C:D,2,0)</f>
        <v>Taxas Financeiras Diversas</v>
      </c>
      <c r="L1683" t="str">
        <f>VLOOKUP(K1683,METRICS!D:E,2,0)</f>
        <v>TAXAS CARTÃO DE CRÉDITO</v>
      </c>
    </row>
    <row r="1684" spans="1:12" ht="15" hidden="1">
      <c r="A1684" t="s">
        <v>1132</v>
      </c>
      <c r="B1684" t="s">
        <v>689</v>
      </c>
      <c r="C1684" t="s">
        <v>690</v>
      </c>
      <c r="D1684" t="s">
        <v>743</v>
      </c>
      <c r="E1684" t="s">
        <v>734</v>
      </c>
      <c r="F1684" t="s">
        <v>1272</v>
      </c>
      <c r="G1684" t="s">
        <v>665</v>
      </c>
      <c r="H1684" s="595">
        <v>-4.8</v>
      </c>
      <c r="I1684" t="str">
        <f t="shared" si="75"/>
        <v>janeiro 2026</v>
      </c>
      <c r="J1684">
        <f t="shared" si="74"/>
        <v>2026</v>
      </c>
      <c r="K1684" t="str">
        <f>VLOOKUP(G1684,METRICS!C:D,2,0)</f>
        <v>Taxas Financeiras Diversas</v>
      </c>
      <c r="L1684" t="str">
        <f>VLOOKUP(K1684,METRICS!D:E,2,0)</f>
        <v>TAXAS CARTÃO DE CRÉDITO</v>
      </c>
    </row>
    <row r="1685" spans="1:12" ht="15" hidden="1">
      <c r="A1685" t="s">
        <v>1132</v>
      </c>
      <c r="B1685" t="s">
        <v>689</v>
      </c>
      <c r="C1685" t="s">
        <v>690</v>
      </c>
      <c r="D1685" t="s">
        <v>860</v>
      </c>
      <c r="E1685" t="s">
        <v>734</v>
      </c>
      <c r="F1685" t="s">
        <v>1272</v>
      </c>
      <c r="G1685" t="s">
        <v>665</v>
      </c>
      <c r="H1685" s="595">
        <v>-5.07</v>
      </c>
      <c r="I1685" t="str">
        <f t="shared" si="75"/>
        <v>janeiro 2026</v>
      </c>
      <c r="J1685">
        <f t="shared" si="74"/>
        <v>2026</v>
      </c>
      <c r="K1685" t="str">
        <f>VLOOKUP(G1685,METRICS!C:D,2,0)</f>
        <v>Taxas Financeiras Diversas</v>
      </c>
      <c r="L1685" t="str">
        <f>VLOOKUP(K1685,METRICS!D:E,2,0)</f>
        <v>TAXAS CARTÃO DE CRÉDITO</v>
      </c>
    </row>
    <row r="1686" spans="1:12" ht="15" hidden="1">
      <c r="A1686" t="s">
        <v>1132</v>
      </c>
      <c r="B1686" t="s">
        <v>689</v>
      </c>
      <c r="C1686" t="s">
        <v>690</v>
      </c>
      <c r="D1686" t="s">
        <v>743</v>
      </c>
      <c r="E1686" t="s">
        <v>734</v>
      </c>
      <c r="F1686" t="s">
        <v>1272</v>
      </c>
      <c r="G1686" t="s">
        <v>665</v>
      </c>
      <c r="H1686" s="595">
        <v>-7.76</v>
      </c>
      <c r="I1686" t="str">
        <f t="shared" si="75"/>
        <v>janeiro 2026</v>
      </c>
      <c r="J1686">
        <f t="shared" si="74"/>
        <v>2026</v>
      </c>
      <c r="K1686" t="str">
        <f>VLOOKUP(G1686,METRICS!C:D,2,0)</f>
        <v>Taxas Financeiras Diversas</v>
      </c>
      <c r="L1686" t="str">
        <f>VLOOKUP(K1686,METRICS!D:E,2,0)</f>
        <v>TAXAS CARTÃO DE CRÉDITO</v>
      </c>
    </row>
    <row r="1687" spans="1:12" ht="15" hidden="1">
      <c r="A1687" t="s">
        <v>1132</v>
      </c>
      <c r="B1687" t="s">
        <v>689</v>
      </c>
      <c r="C1687" t="s">
        <v>690</v>
      </c>
      <c r="D1687" t="s">
        <v>733</v>
      </c>
      <c r="E1687" t="s">
        <v>734</v>
      </c>
      <c r="F1687" t="s">
        <v>1272</v>
      </c>
      <c r="G1687" t="s">
        <v>665</v>
      </c>
      <c r="H1687" s="595">
        <v>-1.81</v>
      </c>
      <c r="I1687" t="str">
        <f t="shared" si="75"/>
        <v>janeiro 2026</v>
      </c>
      <c r="J1687">
        <f t="shared" si="74"/>
        <v>2026</v>
      </c>
      <c r="K1687" t="str">
        <f>VLOOKUP(G1687,METRICS!C:D,2,0)</f>
        <v>Taxas Financeiras Diversas</v>
      </c>
      <c r="L1687" t="str">
        <f>VLOOKUP(K1687,METRICS!D:E,2,0)</f>
        <v>TAXAS CARTÃO DE CRÉDITO</v>
      </c>
    </row>
    <row r="1688" spans="1:12" ht="15" hidden="1">
      <c r="A1688" t="s">
        <v>1132</v>
      </c>
      <c r="B1688" t="s">
        <v>689</v>
      </c>
      <c r="C1688" t="s">
        <v>690</v>
      </c>
      <c r="D1688" t="s">
        <v>733</v>
      </c>
      <c r="E1688" t="s">
        <v>734</v>
      </c>
      <c r="F1688" t="s">
        <v>1272</v>
      </c>
      <c r="G1688" t="s">
        <v>665</v>
      </c>
      <c r="H1688" s="595">
        <v>-7.98</v>
      </c>
      <c r="I1688" t="str">
        <f t="shared" si="75"/>
        <v>janeiro 2026</v>
      </c>
      <c r="J1688">
        <f t="shared" si="74"/>
        <v>2026</v>
      </c>
      <c r="K1688" t="str">
        <f>VLOOKUP(G1688,METRICS!C:D,2,0)</f>
        <v>Taxas Financeiras Diversas</v>
      </c>
      <c r="L1688" t="str">
        <f>VLOOKUP(K1688,METRICS!D:E,2,0)</f>
        <v>TAXAS CARTÃO DE CRÉDITO</v>
      </c>
    </row>
    <row r="1689" spans="1:12" ht="15" hidden="1">
      <c r="A1689" t="s">
        <v>1132</v>
      </c>
      <c r="B1689" t="s">
        <v>689</v>
      </c>
      <c r="C1689" t="s">
        <v>690</v>
      </c>
      <c r="D1689" t="s">
        <v>733</v>
      </c>
      <c r="E1689" t="s">
        <v>734</v>
      </c>
      <c r="F1689" t="s">
        <v>1272</v>
      </c>
      <c r="G1689" t="s">
        <v>665</v>
      </c>
      <c r="H1689" s="595">
        <v>-10.36</v>
      </c>
      <c r="I1689" t="str">
        <f t="shared" si="75"/>
        <v>janeiro 2026</v>
      </c>
      <c r="J1689">
        <f t="shared" si="74"/>
        <v>2026</v>
      </c>
      <c r="K1689" t="str">
        <f>VLOOKUP(G1689,METRICS!C:D,2,0)</f>
        <v>Taxas Financeiras Diversas</v>
      </c>
      <c r="L1689" t="str">
        <f>VLOOKUP(K1689,METRICS!D:E,2,0)</f>
        <v>TAXAS CARTÃO DE CRÉDITO</v>
      </c>
    </row>
    <row r="1690" spans="1:12" ht="15" hidden="1">
      <c r="A1690" t="s">
        <v>1132</v>
      </c>
      <c r="B1690" t="s">
        <v>689</v>
      </c>
      <c r="C1690" t="s">
        <v>690</v>
      </c>
      <c r="D1690" t="s">
        <v>733</v>
      </c>
      <c r="E1690" t="s">
        <v>734</v>
      </c>
      <c r="F1690" t="s">
        <v>1272</v>
      </c>
      <c r="G1690" t="s">
        <v>665</v>
      </c>
      <c r="H1690" s="595">
        <v>-7.64</v>
      </c>
      <c r="I1690" t="str">
        <f t="shared" si="75"/>
        <v>janeiro 2026</v>
      </c>
      <c r="J1690">
        <f t="shared" si="74"/>
        <v>2026</v>
      </c>
      <c r="K1690" t="str">
        <f>VLOOKUP(G1690,METRICS!C:D,2,0)</f>
        <v>Taxas Financeiras Diversas</v>
      </c>
      <c r="L1690" t="str">
        <f>VLOOKUP(K1690,METRICS!D:E,2,0)</f>
        <v>TAXAS CARTÃO DE CRÉDITO</v>
      </c>
    </row>
    <row r="1691" spans="1:12" ht="15" hidden="1">
      <c r="A1691" t="s">
        <v>1132</v>
      </c>
      <c r="B1691" t="s">
        <v>689</v>
      </c>
      <c r="C1691" t="s">
        <v>690</v>
      </c>
      <c r="D1691" t="s">
        <v>743</v>
      </c>
      <c r="E1691" t="s">
        <v>734</v>
      </c>
      <c r="F1691" t="s">
        <v>1272</v>
      </c>
      <c r="G1691" t="s">
        <v>665</v>
      </c>
      <c r="H1691" s="595">
        <v>-1.49</v>
      </c>
      <c r="I1691" t="str">
        <f t="shared" si="75"/>
        <v>janeiro 2026</v>
      </c>
      <c r="J1691">
        <f t="shared" si="74"/>
        <v>2026</v>
      </c>
      <c r="K1691" t="str">
        <f>VLOOKUP(G1691,METRICS!C:D,2,0)</f>
        <v>Taxas Financeiras Diversas</v>
      </c>
      <c r="L1691" t="str">
        <f>VLOOKUP(K1691,METRICS!D:E,2,0)</f>
        <v>TAXAS CARTÃO DE CRÉDITO</v>
      </c>
    </row>
    <row r="1692" spans="1:12" ht="15" hidden="1">
      <c r="A1692" t="s">
        <v>1132</v>
      </c>
      <c r="B1692" t="s">
        <v>689</v>
      </c>
      <c r="C1692" t="s">
        <v>690</v>
      </c>
      <c r="D1692" t="s">
        <v>860</v>
      </c>
      <c r="E1692" t="s">
        <v>734</v>
      </c>
      <c r="F1692" t="s">
        <v>1272</v>
      </c>
      <c r="G1692" t="s">
        <v>665</v>
      </c>
      <c r="H1692" s="595">
        <v>-19.77</v>
      </c>
      <c r="I1692" t="str">
        <f t="shared" si="75"/>
        <v>janeiro 2026</v>
      </c>
      <c r="J1692">
        <f t="shared" si="74"/>
        <v>2026</v>
      </c>
      <c r="K1692" t="str">
        <f>VLOOKUP(G1692,METRICS!C:D,2,0)</f>
        <v>Taxas Financeiras Diversas</v>
      </c>
      <c r="L1692" t="str">
        <f>VLOOKUP(K1692,METRICS!D:E,2,0)</f>
        <v>TAXAS CARTÃO DE CRÉDITO</v>
      </c>
    </row>
    <row r="1693" spans="1:12" ht="15" hidden="1">
      <c r="A1693" t="s">
        <v>1132</v>
      </c>
      <c r="B1693" t="s">
        <v>689</v>
      </c>
      <c r="C1693" t="s">
        <v>690</v>
      </c>
      <c r="D1693" t="s">
        <v>860</v>
      </c>
      <c r="E1693" t="s">
        <v>734</v>
      </c>
      <c r="F1693" t="s">
        <v>1272</v>
      </c>
      <c r="G1693" t="s">
        <v>665</v>
      </c>
      <c r="H1693" s="595">
        <v>-24.26</v>
      </c>
      <c r="I1693" t="str">
        <f t="shared" si="75"/>
        <v>janeiro 2026</v>
      </c>
      <c r="J1693">
        <f t="shared" si="74"/>
        <v>2026</v>
      </c>
      <c r="K1693" t="str">
        <f>VLOOKUP(G1693,METRICS!C:D,2,0)</f>
        <v>Taxas Financeiras Diversas</v>
      </c>
      <c r="L1693" t="str">
        <f>VLOOKUP(K1693,METRICS!D:E,2,0)</f>
        <v>TAXAS CARTÃO DE CRÉDITO</v>
      </c>
    </row>
    <row r="1694" spans="1:12" ht="15" hidden="1">
      <c r="A1694" t="s">
        <v>1132</v>
      </c>
      <c r="B1694" t="s">
        <v>689</v>
      </c>
      <c r="C1694" t="s">
        <v>690</v>
      </c>
      <c r="D1694" t="s">
        <v>733</v>
      </c>
      <c r="E1694" t="s">
        <v>734</v>
      </c>
      <c r="F1694" t="s">
        <v>1272</v>
      </c>
      <c r="G1694" t="s">
        <v>665</v>
      </c>
      <c r="H1694" s="595">
        <v>-2.0699999999999998</v>
      </c>
      <c r="I1694" t="str">
        <f t="shared" si="75"/>
        <v>janeiro 2026</v>
      </c>
      <c r="J1694">
        <f t="shared" si="74"/>
        <v>2026</v>
      </c>
      <c r="K1694" t="str">
        <f>VLOOKUP(G1694,METRICS!C:D,2,0)</f>
        <v>Taxas Financeiras Diversas</v>
      </c>
      <c r="L1694" t="str">
        <f>VLOOKUP(K1694,METRICS!D:E,2,0)</f>
        <v>TAXAS CARTÃO DE CRÉDITO</v>
      </c>
    </row>
    <row r="1695" spans="1:12" ht="15" hidden="1">
      <c r="A1695" t="s">
        <v>1133</v>
      </c>
      <c r="B1695" t="s">
        <v>689</v>
      </c>
      <c r="C1695" t="s">
        <v>690</v>
      </c>
      <c r="D1695" t="s">
        <v>743</v>
      </c>
      <c r="E1695" t="s">
        <v>734</v>
      </c>
      <c r="F1695" t="s">
        <v>1272</v>
      </c>
      <c r="G1695" t="s">
        <v>665</v>
      </c>
      <c r="H1695" s="595">
        <v>-8.07</v>
      </c>
      <c r="I1695" t="str">
        <f t="shared" si="75"/>
        <v>janeiro 2026</v>
      </c>
      <c r="J1695">
        <f t="shared" si="74"/>
        <v>2026</v>
      </c>
      <c r="K1695" t="str">
        <f>VLOOKUP(G1695,METRICS!C:D,2,0)</f>
        <v>Taxas Financeiras Diversas</v>
      </c>
      <c r="L1695" t="str">
        <f>VLOOKUP(K1695,METRICS!D:E,2,0)</f>
        <v>TAXAS CARTÃO DE CRÉDITO</v>
      </c>
    </row>
    <row r="1696" spans="1:12" ht="15" hidden="1">
      <c r="A1696" t="s">
        <v>1133</v>
      </c>
      <c r="B1696" t="s">
        <v>612</v>
      </c>
      <c r="C1696" t="s">
        <v>690</v>
      </c>
      <c r="D1696" t="s">
        <v>1134</v>
      </c>
      <c r="E1696" t="s">
        <v>1135</v>
      </c>
      <c r="F1696" t="s">
        <v>1272</v>
      </c>
      <c r="G1696" t="s">
        <v>636</v>
      </c>
      <c r="H1696" s="595">
        <v>-312</v>
      </c>
      <c r="I1696" t="str">
        <f t="shared" si="75"/>
        <v>janeiro 2026</v>
      </c>
      <c r="J1696">
        <f t="shared" si="74"/>
        <v>2026</v>
      </c>
      <c r="K1696" t="str">
        <f>VLOOKUP(G1696,METRICS!C:D,2,0)</f>
        <v>Secos - Mercearia</v>
      </c>
      <c r="L1696" t="str">
        <f>VLOOKUP(K1696,METRICS!D:E,2,0)</f>
        <v>CUSTOS DOS PRODUTOS VENDIDOS</v>
      </c>
    </row>
    <row r="1697" spans="1:12" ht="15" hidden="1">
      <c r="A1697" t="s">
        <v>1133</v>
      </c>
      <c r="B1697" t="s">
        <v>689</v>
      </c>
      <c r="C1697" t="s">
        <v>690</v>
      </c>
      <c r="D1697" t="s">
        <v>733</v>
      </c>
      <c r="E1697" t="s">
        <v>734</v>
      </c>
      <c r="F1697" t="s">
        <v>1272</v>
      </c>
      <c r="G1697" t="s">
        <v>665</v>
      </c>
      <c r="H1697" s="595">
        <v>-3.75</v>
      </c>
      <c r="I1697" t="str">
        <f t="shared" si="75"/>
        <v>janeiro 2026</v>
      </c>
      <c r="J1697">
        <f t="shared" si="74"/>
        <v>2026</v>
      </c>
      <c r="K1697" t="str">
        <f>VLOOKUP(G1697,METRICS!C:D,2,0)</f>
        <v>Taxas Financeiras Diversas</v>
      </c>
      <c r="L1697" t="str">
        <f>VLOOKUP(K1697,METRICS!D:E,2,0)</f>
        <v>TAXAS CARTÃO DE CRÉDITO</v>
      </c>
    </row>
    <row r="1698" spans="1:12" ht="15" hidden="1">
      <c r="A1698" t="s">
        <v>1133</v>
      </c>
      <c r="B1698" t="s">
        <v>689</v>
      </c>
      <c r="C1698" t="s">
        <v>690</v>
      </c>
      <c r="D1698" t="s">
        <v>733</v>
      </c>
      <c r="E1698" t="s">
        <v>734</v>
      </c>
      <c r="F1698" t="s">
        <v>1272</v>
      </c>
      <c r="G1698" t="s">
        <v>665</v>
      </c>
      <c r="H1698" s="595">
        <v>-8.02</v>
      </c>
      <c r="I1698" t="str">
        <f t="shared" si="75"/>
        <v>janeiro 2026</v>
      </c>
      <c r="J1698">
        <f t="shared" si="74"/>
        <v>2026</v>
      </c>
      <c r="K1698" t="str">
        <f>VLOOKUP(G1698,METRICS!C:D,2,0)</f>
        <v>Taxas Financeiras Diversas</v>
      </c>
      <c r="L1698" t="str">
        <f>VLOOKUP(K1698,METRICS!D:E,2,0)</f>
        <v>TAXAS CARTÃO DE CRÉDITO</v>
      </c>
    </row>
    <row r="1699" spans="1:12" ht="15" hidden="1">
      <c r="A1699" t="s">
        <v>1133</v>
      </c>
      <c r="B1699" t="s">
        <v>689</v>
      </c>
      <c r="C1699" t="s">
        <v>690</v>
      </c>
      <c r="D1699" t="s">
        <v>743</v>
      </c>
      <c r="E1699" t="s">
        <v>734</v>
      </c>
      <c r="F1699" t="s">
        <v>1272</v>
      </c>
      <c r="G1699" t="s">
        <v>665</v>
      </c>
      <c r="H1699" s="595">
        <v>-5.95</v>
      </c>
      <c r="I1699" t="str">
        <f t="shared" si="75"/>
        <v>janeiro 2026</v>
      </c>
      <c r="J1699">
        <f t="shared" si="74"/>
        <v>2026</v>
      </c>
      <c r="K1699" t="str">
        <f>VLOOKUP(G1699,METRICS!C:D,2,0)</f>
        <v>Taxas Financeiras Diversas</v>
      </c>
      <c r="L1699" t="str">
        <f>VLOOKUP(K1699,METRICS!D:E,2,0)</f>
        <v>TAXAS CARTÃO DE CRÉDITO</v>
      </c>
    </row>
    <row r="1700" spans="1:12" ht="15" hidden="1">
      <c r="A1700" t="s">
        <v>1133</v>
      </c>
      <c r="B1700" t="s">
        <v>689</v>
      </c>
      <c r="C1700" t="s">
        <v>690</v>
      </c>
      <c r="D1700" t="s">
        <v>743</v>
      </c>
      <c r="E1700" t="s">
        <v>734</v>
      </c>
      <c r="F1700" t="s">
        <v>1272</v>
      </c>
      <c r="G1700" t="s">
        <v>665</v>
      </c>
      <c r="H1700" s="595">
        <v>-7.64</v>
      </c>
      <c r="I1700" t="str">
        <f t="shared" ref="I1700:I1739" si="76">TEXT(A1700, "mmmm aaaa")</f>
        <v>janeiro 2026</v>
      </c>
      <c r="J1700">
        <f t="shared" si="74"/>
        <v>2026</v>
      </c>
      <c r="K1700" t="str">
        <f>VLOOKUP(G1700,METRICS!C:D,2,0)</f>
        <v>Taxas Financeiras Diversas</v>
      </c>
      <c r="L1700" t="str">
        <f>VLOOKUP(K1700,METRICS!D:E,2,0)</f>
        <v>TAXAS CARTÃO DE CRÉDITO</v>
      </c>
    </row>
    <row r="1701" spans="1:12" ht="15" hidden="1">
      <c r="A1701" t="s">
        <v>1133</v>
      </c>
      <c r="B1701" t="s">
        <v>689</v>
      </c>
      <c r="C1701" t="s">
        <v>690</v>
      </c>
      <c r="D1701" t="s">
        <v>753</v>
      </c>
      <c r="E1701" t="s">
        <v>734</v>
      </c>
      <c r="F1701" t="s">
        <v>1272</v>
      </c>
      <c r="G1701" t="s">
        <v>665</v>
      </c>
      <c r="H1701" s="595">
        <v>-9.7200000000000006</v>
      </c>
      <c r="I1701" t="str">
        <f t="shared" si="76"/>
        <v>janeiro 2026</v>
      </c>
      <c r="J1701">
        <f t="shared" si="74"/>
        <v>2026</v>
      </c>
      <c r="K1701" t="str">
        <f>VLOOKUP(G1701,METRICS!C:D,2,0)</f>
        <v>Taxas Financeiras Diversas</v>
      </c>
      <c r="L1701" t="str">
        <f>VLOOKUP(K1701,METRICS!D:E,2,0)</f>
        <v>TAXAS CARTÃO DE CRÉDITO</v>
      </c>
    </row>
    <row r="1702" spans="1:12" ht="15" hidden="1">
      <c r="A1702" t="s">
        <v>1133</v>
      </c>
      <c r="B1702" t="s">
        <v>689</v>
      </c>
      <c r="C1702" t="s">
        <v>690</v>
      </c>
      <c r="D1702" t="s">
        <v>733</v>
      </c>
      <c r="E1702" t="s">
        <v>734</v>
      </c>
      <c r="F1702" t="s">
        <v>1272</v>
      </c>
      <c r="G1702" t="s">
        <v>665</v>
      </c>
      <c r="H1702" s="595">
        <v>-2.93</v>
      </c>
      <c r="I1702" t="str">
        <f t="shared" si="76"/>
        <v>janeiro 2026</v>
      </c>
      <c r="J1702">
        <f t="shared" si="74"/>
        <v>2026</v>
      </c>
      <c r="K1702" t="str">
        <f>VLOOKUP(G1702,METRICS!C:D,2,0)</f>
        <v>Taxas Financeiras Diversas</v>
      </c>
      <c r="L1702" t="str">
        <f>VLOOKUP(K1702,METRICS!D:E,2,0)</f>
        <v>TAXAS CARTÃO DE CRÉDITO</v>
      </c>
    </row>
    <row r="1703" spans="1:12" ht="15" hidden="1">
      <c r="A1703" t="s">
        <v>1133</v>
      </c>
      <c r="B1703" t="s">
        <v>689</v>
      </c>
      <c r="C1703" t="s">
        <v>690</v>
      </c>
      <c r="D1703" t="s">
        <v>743</v>
      </c>
      <c r="E1703" t="s">
        <v>734</v>
      </c>
      <c r="F1703" t="s">
        <v>1272</v>
      </c>
      <c r="G1703" t="s">
        <v>665</v>
      </c>
      <c r="H1703" s="595">
        <v>-8.07</v>
      </c>
      <c r="I1703" t="str">
        <f t="shared" si="76"/>
        <v>janeiro 2026</v>
      </c>
      <c r="J1703">
        <f t="shared" si="74"/>
        <v>2026</v>
      </c>
      <c r="K1703" t="str">
        <f>VLOOKUP(G1703,METRICS!C:D,2,0)</f>
        <v>Taxas Financeiras Diversas</v>
      </c>
      <c r="L1703" t="str">
        <f>VLOOKUP(K1703,METRICS!D:E,2,0)</f>
        <v>TAXAS CARTÃO DE CRÉDITO</v>
      </c>
    </row>
    <row r="1704" spans="1:12" ht="15" hidden="1">
      <c r="A1704" t="s">
        <v>1133</v>
      </c>
      <c r="B1704" t="s">
        <v>689</v>
      </c>
      <c r="C1704" t="s">
        <v>690</v>
      </c>
      <c r="D1704" t="s">
        <v>733</v>
      </c>
      <c r="E1704" t="s">
        <v>734</v>
      </c>
      <c r="F1704" t="s">
        <v>1272</v>
      </c>
      <c r="G1704" t="s">
        <v>665</v>
      </c>
      <c r="H1704" s="595">
        <v>-3.98</v>
      </c>
      <c r="I1704" t="str">
        <f t="shared" si="76"/>
        <v>janeiro 2026</v>
      </c>
      <c r="J1704">
        <f t="shared" si="74"/>
        <v>2026</v>
      </c>
      <c r="K1704" t="str">
        <f>VLOOKUP(G1704,METRICS!C:D,2,0)</f>
        <v>Taxas Financeiras Diversas</v>
      </c>
      <c r="L1704" t="str">
        <f>VLOOKUP(K1704,METRICS!D:E,2,0)</f>
        <v>TAXAS CARTÃO DE CRÉDITO</v>
      </c>
    </row>
    <row r="1705" spans="1:12" ht="15" hidden="1">
      <c r="A1705" t="s">
        <v>1133</v>
      </c>
      <c r="B1705" t="s">
        <v>689</v>
      </c>
      <c r="C1705" t="s">
        <v>690</v>
      </c>
      <c r="D1705" t="s">
        <v>733</v>
      </c>
      <c r="E1705" t="s">
        <v>734</v>
      </c>
      <c r="F1705" t="s">
        <v>1272</v>
      </c>
      <c r="G1705" t="s">
        <v>665</v>
      </c>
      <c r="H1705" s="595">
        <v>-2.6</v>
      </c>
      <c r="I1705" t="str">
        <f t="shared" si="76"/>
        <v>janeiro 2026</v>
      </c>
      <c r="J1705">
        <f t="shared" si="74"/>
        <v>2026</v>
      </c>
      <c r="K1705" t="str">
        <f>VLOOKUP(G1705,METRICS!C:D,2,0)</f>
        <v>Taxas Financeiras Diversas</v>
      </c>
      <c r="L1705" t="str">
        <f>VLOOKUP(K1705,METRICS!D:E,2,0)</f>
        <v>TAXAS CARTÃO DE CRÉDITO</v>
      </c>
    </row>
    <row r="1706" spans="1:12" ht="15" hidden="1">
      <c r="A1706" t="s">
        <v>1133</v>
      </c>
      <c r="B1706" t="s">
        <v>689</v>
      </c>
      <c r="C1706" t="s">
        <v>690</v>
      </c>
      <c r="D1706" t="s">
        <v>743</v>
      </c>
      <c r="E1706" t="s">
        <v>734</v>
      </c>
      <c r="F1706" t="s">
        <v>1272</v>
      </c>
      <c r="G1706" t="s">
        <v>665</v>
      </c>
      <c r="H1706" s="595">
        <v>-21.27</v>
      </c>
      <c r="I1706" t="str">
        <f t="shared" si="76"/>
        <v>janeiro 2026</v>
      </c>
      <c r="J1706">
        <f t="shared" si="74"/>
        <v>2026</v>
      </c>
      <c r="K1706" t="str">
        <f>VLOOKUP(G1706,METRICS!C:D,2,0)</f>
        <v>Taxas Financeiras Diversas</v>
      </c>
      <c r="L1706" t="str">
        <f>VLOOKUP(K1706,METRICS!D:E,2,0)</f>
        <v>TAXAS CARTÃO DE CRÉDITO</v>
      </c>
    </row>
    <row r="1707" spans="1:12" ht="15" hidden="1">
      <c r="A1707" t="s">
        <v>1133</v>
      </c>
      <c r="B1707" t="s">
        <v>689</v>
      </c>
      <c r="C1707" t="s">
        <v>690</v>
      </c>
      <c r="D1707" t="s">
        <v>743</v>
      </c>
      <c r="E1707" t="s">
        <v>734</v>
      </c>
      <c r="F1707" t="s">
        <v>1272</v>
      </c>
      <c r="G1707" t="s">
        <v>665</v>
      </c>
      <c r="H1707" s="595">
        <v>-8.07</v>
      </c>
      <c r="I1707" t="str">
        <f t="shared" si="76"/>
        <v>janeiro 2026</v>
      </c>
      <c r="J1707">
        <f t="shared" si="74"/>
        <v>2026</v>
      </c>
      <c r="K1707" t="str">
        <f>VLOOKUP(G1707,METRICS!C:D,2,0)</f>
        <v>Taxas Financeiras Diversas</v>
      </c>
      <c r="L1707" t="str">
        <f>VLOOKUP(K1707,METRICS!D:E,2,0)</f>
        <v>TAXAS CARTÃO DE CRÉDITO</v>
      </c>
    </row>
    <row r="1708" spans="1:12" ht="15" hidden="1">
      <c r="A1708" t="s">
        <v>1133</v>
      </c>
      <c r="B1708" t="s">
        <v>689</v>
      </c>
      <c r="C1708" t="s">
        <v>690</v>
      </c>
      <c r="D1708" t="s">
        <v>733</v>
      </c>
      <c r="E1708" t="s">
        <v>734</v>
      </c>
      <c r="F1708" t="s">
        <v>1272</v>
      </c>
      <c r="G1708" t="s">
        <v>665</v>
      </c>
      <c r="H1708" s="595">
        <v>-0.84</v>
      </c>
      <c r="I1708" t="str">
        <f t="shared" si="76"/>
        <v>janeiro 2026</v>
      </c>
      <c r="J1708">
        <f t="shared" si="74"/>
        <v>2026</v>
      </c>
      <c r="K1708" t="str">
        <f>VLOOKUP(G1708,METRICS!C:D,2,0)</f>
        <v>Taxas Financeiras Diversas</v>
      </c>
      <c r="L1708" t="str">
        <f>VLOOKUP(K1708,METRICS!D:E,2,0)</f>
        <v>TAXAS CARTÃO DE CRÉDITO</v>
      </c>
    </row>
    <row r="1709" spans="1:12" ht="15" hidden="1">
      <c r="A1709" t="s">
        <v>1133</v>
      </c>
      <c r="B1709" t="s">
        <v>689</v>
      </c>
      <c r="C1709" t="s">
        <v>690</v>
      </c>
      <c r="D1709" t="s">
        <v>743</v>
      </c>
      <c r="E1709" t="s">
        <v>734</v>
      </c>
      <c r="F1709" t="s">
        <v>1272</v>
      </c>
      <c r="G1709" t="s">
        <v>665</v>
      </c>
      <c r="H1709" s="595">
        <v>-2.33</v>
      </c>
      <c r="I1709" t="str">
        <f t="shared" si="76"/>
        <v>janeiro 2026</v>
      </c>
      <c r="J1709">
        <f t="shared" si="74"/>
        <v>2026</v>
      </c>
      <c r="K1709" t="str">
        <f>VLOOKUP(G1709,METRICS!C:D,2,0)</f>
        <v>Taxas Financeiras Diversas</v>
      </c>
      <c r="L1709" t="str">
        <f>VLOOKUP(K1709,METRICS!D:E,2,0)</f>
        <v>TAXAS CARTÃO DE CRÉDITO</v>
      </c>
    </row>
    <row r="1710" spans="1:12" ht="15" hidden="1">
      <c r="A1710" t="s">
        <v>1133</v>
      </c>
      <c r="B1710" t="s">
        <v>689</v>
      </c>
      <c r="C1710" t="s">
        <v>690</v>
      </c>
      <c r="D1710" t="s">
        <v>733</v>
      </c>
      <c r="E1710" t="s">
        <v>734</v>
      </c>
      <c r="F1710" t="s">
        <v>1272</v>
      </c>
      <c r="G1710" t="s">
        <v>665</v>
      </c>
      <c r="H1710" s="595">
        <v>-11.78</v>
      </c>
      <c r="I1710" t="str">
        <f t="shared" si="76"/>
        <v>janeiro 2026</v>
      </c>
      <c r="J1710">
        <f t="shared" si="74"/>
        <v>2026</v>
      </c>
      <c r="K1710" t="str">
        <f>VLOOKUP(G1710,METRICS!C:D,2,0)</f>
        <v>Taxas Financeiras Diversas</v>
      </c>
      <c r="L1710" t="str">
        <f>VLOOKUP(K1710,METRICS!D:E,2,0)</f>
        <v>TAXAS CARTÃO DE CRÉDITO</v>
      </c>
    </row>
    <row r="1711" spans="1:12" ht="15" hidden="1">
      <c r="A1711" t="s">
        <v>1133</v>
      </c>
      <c r="B1711" t="s">
        <v>689</v>
      </c>
      <c r="C1711" t="s">
        <v>690</v>
      </c>
      <c r="D1711" t="s">
        <v>733</v>
      </c>
      <c r="E1711" t="s">
        <v>734</v>
      </c>
      <c r="F1711" t="s">
        <v>1272</v>
      </c>
      <c r="G1711" t="s">
        <v>665</v>
      </c>
      <c r="H1711" s="595">
        <v>-4.29</v>
      </c>
      <c r="I1711" t="str">
        <f t="shared" si="76"/>
        <v>janeiro 2026</v>
      </c>
      <c r="J1711">
        <f t="shared" si="74"/>
        <v>2026</v>
      </c>
      <c r="K1711" t="str">
        <f>VLOOKUP(G1711,METRICS!C:D,2,0)</f>
        <v>Taxas Financeiras Diversas</v>
      </c>
      <c r="L1711" t="str">
        <f>VLOOKUP(K1711,METRICS!D:E,2,0)</f>
        <v>TAXAS CARTÃO DE CRÉDITO</v>
      </c>
    </row>
    <row r="1712" spans="1:12" ht="15" hidden="1">
      <c r="A1712" t="s">
        <v>1133</v>
      </c>
      <c r="B1712" t="s">
        <v>689</v>
      </c>
      <c r="C1712" t="s">
        <v>690</v>
      </c>
      <c r="D1712" t="s">
        <v>743</v>
      </c>
      <c r="E1712" t="s">
        <v>734</v>
      </c>
      <c r="F1712" t="s">
        <v>1272</v>
      </c>
      <c r="G1712" t="s">
        <v>665</v>
      </c>
      <c r="H1712" s="595">
        <v>-8.06</v>
      </c>
      <c r="I1712" t="str">
        <f t="shared" si="76"/>
        <v>janeiro 2026</v>
      </c>
      <c r="J1712">
        <f t="shared" si="74"/>
        <v>2026</v>
      </c>
      <c r="K1712" t="str">
        <f>VLOOKUP(G1712,METRICS!C:D,2,0)</f>
        <v>Taxas Financeiras Diversas</v>
      </c>
      <c r="L1712" t="str">
        <f>VLOOKUP(K1712,METRICS!D:E,2,0)</f>
        <v>TAXAS CARTÃO DE CRÉDITO</v>
      </c>
    </row>
    <row r="1713" spans="1:12" ht="15" hidden="1">
      <c r="A1713" t="s">
        <v>1133</v>
      </c>
      <c r="B1713" t="s">
        <v>689</v>
      </c>
      <c r="C1713" t="s">
        <v>690</v>
      </c>
      <c r="D1713" t="s">
        <v>743</v>
      </c>
      <c r="E1713" t="s">
        <v>734</v>
      </c>
      <c r="F1713" t="s">
        <v>1272</v>
      </c>
      <c r="G1713" t="s">
        <v>665</v>
      </c>
      <c r="H1713" s="595">
        <v>-6.74</v>
      </c>
      <c r="I1713" t="str">
        <f t="shared" si="76"/>
        <v>janeiro 2026</v>
      </c>
      <c r="J1713">
        <f t="shared" si="74"/>
        <v>2026</v>
      </c>
      <c r="K1713" t="str">
        <f>VLOOKUP(G1713,METRICS!C:D,2,0)</f>
        <v>Taxas Financeiras Diversas</v>
      </c>
      <c r="L1713" t="str">
        <f>VLOOKUP(K1713,METRICS!D:E,2,0)</f>
        <v>TAXAS CARTÃO DE CRÉDITO</v>
      </c>
    </row>
    <row r="1714" spans="1:12" ht="15" hidden="1">
      <c r="A1714" t="s">
        <v>1133</v>
      </c>
      <c r="B1714" t="s">
        <v>689</v>
      </c>
      <c r="C1714" t="s">
        <v>690</v>
      </c>
      <c r="D1714" t="s">
        <v>733</v>
      </c>
      <c r="E1714" t="s">
        <v>734</v>
      </c>
      <c r="F1714" t="s">
        <v>1272</v>
      </c>
      <c r="G1714" t="s">
        <v>665</v>
      </c>
      <c r="H1714" s="595">
        <v>-2.62</v>
      </c>
      <c r="I1714" t="str">
        <f t="shared" si="76"/>
        <v>janeiro 2026</v>
      </c>
      <c r="J1714">
        <f t="shared" si="74"/>
        <v>2026</v>
      </c>
      <c r="K1714" t="str">
        <f>VLOOKUP(G1714,METRICS!C:D,2,0)</f>
        <v>Taxas Financeiras Diversas</v>
      </c>
      <c r="L1714" t="str">
        <f>VLOOKUP(K1714,METRICS!D:E,2,0)</f>
        <v>TAXAS CARTÃO DE CRÉDITO</v>
      </c>
    </row>
    <row r="1715" spans="1:12" ht="15" hidden="1">
      <c r="A1715" t="s">
        <v>1133</v>
      </c>
      <c r="B1715" t="s">
        <v>689</v>
      </c>
      <c r="C1715" t="s">
        <v>690</v>
      </c>
      <c r="D1715" t="s">
        <v>733</v>
      </c>
      <c r="E1715" t="s">
        <v>734</v>
      </c>
      <c r="F1715" t="s">
        <v>1272</v>
      </c>
      <c r="G1715" t="s">
        <v>665</v>
      </c>
      <c r="H1715" s="595">
        <v>-6.92</v>
      </c>
      <c r="I1715" t="str">
        <f t="shared" si="76"/>
        <v>janeiro 2026</v>
      </c>
      <c r="J1715">
        <f t="shared" si="74"/>
        <v>2026</v>
      </c>
      <c r="K1715" t="str">
        <f>VLOOKUP(G1715,METRICS!C:D,2,0)</f>
        <v>Taxas Financeiras Diversas</v>
      </c>
      <c r="L1715" t="str">
        <f>VLOOKUP(K1715,METRICS!D:E,2,0)</f>
        <v>TAXAS CARTÃO DE CRÉDITO</v>
      </c>
    </row>
    <row r="1716" spans="1:12" ht="15" hidden="1">
      <c r="A1716" t="s">
        <v>1133</v>
      </c>
      <c r="B1716" t="s">
        <v>689</v>
      </c>
      <c r="C1716" t="s">
        <v>690</v>
      </c>
      <c r="D1716" t="s">
        <v>733</v>
      </c>
      <c r="E1716" t="s">
        <v>734</v>
      </c>
      <c r="F1716" t="s">
        <v>1272</v>
      </c>
      <c r="G1716" t="s">
        <v>665</v>
      </c>
      <c r="H1716" s="595">
        <v>-3.78</v>
      </c>
      <c r="I1716" t="str">
        <f t="shared" si="76"/>
        <v>janeiro 2026</v>
      </c>
      <c r="J1716">
        <f t="shared" ref="J1716:J1779" si="77">YEAR(A1716)</f>
        <v>2026</v>
      </c>
      <c r="K1716" t="str">
        <f>VLOOKUP(G1716,METRICS!C:D,2,0)</f>
        <v>Taxas Financeiras Diversas</v>
      </c>
      <c r="L1716" t="str">
        <f>VLOOKUP(K1716,METRICS!D:E,2,0)</f>
        <v>TAXAS CARTÃO DE CRÉDITO</v>
      </c>
    </row>
    <row r="1717" spans="1:12" ht="15" hidden="1">
      <c r="A1717" t="s">
        <v>1133</v>
      </c>
      <c r="B1717" t="s">
        <v>689</v>
      </c>
      <c r="C1717" t="s">
        <v>690</v>
      </c>
      <c r="D1717" t="s">
        <v>743</v>
      </c>
      <c r="E1717" t="s">
        <v>734</v>
      </c>
      <c r="F1717" t="s">
        <v>1272</v>
      </c>
      <c r="G1717" t="s">
        <v>665</v>
      </c>
      <c r="H1717" s="595">
        <v>-9.6300000000000008</v>
      </c>
      <c r="I1717" t="str">
        <f t="shared" si="76"/>
        <v>janeiro 2026</v>
      </c>
      <c r="J1717">
        <f t="shared" si="77"/>
        <v>2026</v>
      </c>
      <c r="K1717" t="str">
        <f>VLOOKUP(G1717,METRICS!C:D,2,0)</f>
        <v>Taxas Financeiras Diversas</v>
      </c>
      <c r="L1717" t="str">
        <f>VLOOKUP(K1717,METRICS!D:E,2,0)</f>
        <v>TAXAS CARTÃO DE CRÉDITO</v>
      </c>
    </row>
    <row r="1718" spans="1:12" ht="15" hidden="1">
      <c r="A1718" t="s">
        <v>1133</v>
      </c>
      <c r="B1718" t="s">
        <v>689</v>
      </c>
      <c r="C1718" t="s">
        <v>690</v>
      </c>
      <c r="D1718" t="s">
        <v>733</v>
      </c>
      <c r="E1718" t="s">
        <v>734</v>
      </c>
      <c r="F1718" t="s">
        <v>1272</v>
      </c>
      <c r="G1718" t="s">
        <v>665</v>
      </c>
      <c r="H1718" s="595">
        <v>-11.31</v>
      </c>
      <c r="I1718" t="str">
        <f t="shared" si="76"/>
        <v>janeiro 2026</v>
      </c>
      <c r="J1718">
        <f t="shared" si="77"/>
        <v>2026</v>
      </c>
      <c r="K1718" t="str">
        <f>VLOOKUP(G1718,METRICS!C:D,2,0)</f>
        <v>Taxas Financeiras Diversas</v>
      </c>
      <c r="L1718" t="str">
        <f>VLOOKUP(K1718,METRICS!D:E,2,0)</f>
        <v>TAXAS CARTÃO DE CRÉDITO</v>
      </c>
    </row>
    <row r="1719" spans="1:12" ht="15" hidden="1">
      <c r="A1719" t="s">
        <v>1133</v>
      </c>
      <c r="B1719" t="s">
        <v>689</v>
      </c>
      <c r="C1719" t="s">
        <v>690</v>
      </c>
      <c r="D1719" t="s">
        <v>733</v>
      </c>
      <c r="E1719" t="s">
        <v>734</v>
      </c>
      <c r="F1719" t="s">
        <v>1272</v>
      </c>
      <c r="G1719" t="s">
        <v>665</v>
      </c>
      <c r="H1719" s="595">
        <v>-9.19</v>
      </c>
      <c r="I1719" t="str">
        <f t="shared" si="76"/>
        <v>janeiro 2026</v>
      </c>
      <c r="J1719">
        <f t="shared" si="77"/>
        <v>2026</v>
      </c>
      <c r="K1719" t="str">
        <f>VLOOKUP(G1719,METRICS!C:D,2,0)</f>
        <v>Taxas Financeiras Diversas</v>
      </c>
      <c r="L1719" t="str">
        <f>VLOOKUP(K1719,METRICS!D:E,2,0)</f>
        <v>TAXAS CARTÃO DE CRÉDITO</v>
      </c>
    </row>
    <row r="1720" spans="1:12" ht="15" hidden="1">
      <c r="A1720" t="s">
        <v>1133</v>
      </c>
      <c r="B1720" t="s">
        <v>689</v>
      </c>
      <c r="C1720" t="s">
        <v>690</v>
      </c>
      <c r="D1720" t="s">
        <v>753</v>
      </c>
      <c r="E1720" t="s">
        <v>734</v>
      </c>
      <c r="F1720" t="s">
        <v>1272</v>
      </c>
      <c r="G1720" t="s">
        <v>665</v>
      </c>
      <c r="H1720" s="595">
        <v>-22.38</v>
      </c>
      <c r="I1720" t="str">
        <f t="shared" si="76"/>
        <v>janeiro 2026</v>
      </c>
      <c r="J1720">
        <f t="shared" si="77"/>
        <v>2026</v>
      </c>
      <c r="K1720" t="str">
        <f>VLOOKUP(G1720,METRICS!C:D,2,0)</f>
        <v>Taxas Financeiras Diversas</v>
      </c>
      <c r="L1720" t="str">
        <f>VLOOKUP(K1720,METRICS!D:E,2,0)</f>
        <v>TAXAS CARTÃO DE CRÉDITO</v>
      </c>
    </row>
    <row r="1721" spans="1:12" ht="15" hidden="1">
      <c r="A1721" t="s">
        <v>1133</v>
      </c>
      <c r="B1721" t="s">
        <v>689</v>
      </c>
      <c r="C1721" t="s">
        <v>690</v>
      </c>
      <c r="D1721" t="s">
        <v>743</v>
      </c>
      <c r="E1721" t="s">
        <v>734</v>
      </c>
      <c r="F1721" t="s">
        <v>1272</v>
      </c>
      <c r="G1721" t="s">
        <v>665</v>
      </c>
      <c r="H1721" s="595">
        <v>-7.72</v>
      </c>
      <c r="I1721" t="str">
        <f t="shared" si="76"/>
        <v>janeiro 2026</v>
      </c>
      <c r="J1721">
        <f t="shared" si="77"/>
        <v>2026</v>
      </c>
      <c r="K1721" t="str">
        <f>VLOOKUP(G1721,METRICS!C:D,2,0)</f>
        <v>Taxas Financeiras Diversas</v>
      </c>
      <c r="L1721" t="str">
        <f>VLOOKUP(K1721,METRICS!D:E,2,0)</f>
        <v>TAXAS CARTÃO DE CRÉDITO</v>
      </c>
    </row>
    <row r="1722" spans="1:12" ht="15" hidden="1">
      <c r="A1722" t="s">
        <v>1133</v>
      </c>
      <c r="B1722" t="s">
        <v>689</v>
      </c>
      <c r="C1722" t="s">
        <v>690</v>
      </c>
      <c r="D1722" t="s">
        <v>733</v>
      </c>
      <c r="E1722" t="s">
        <v>734</v>
      </c>
      <c r="F1722" t="s">
        <v>1272</v>
      </c>
      <c r="G1722" t="s">
        <v>665</v>
      </c>
      <c r="H1722" s="595">
        <v>-1.0900000000000001</v>
      </c>
      <c r="I1722" t="str">
        <f t="shared" si="76"/>
        <v>janeiro 2026</v>
      </c>
      <c r="J1722">
        <f t="shared" si="77"/>
        <v>2026</v>
      </c>
      <c r="K1722" t="str">
        <f>VLOOKUP(G1722,METRICS!C:D,2,0)</f>
        <v>Taxas Financeiras Diversas</v>
      </c>
      <c r="L1722" t="str">
        <f>VLOOKUP(K1722,METRICS!D:E,2,0)</f>
        <v>TAXAS CARTÃO DE CRÉDITO</v>
      </c>
    </row>
    <row r="1723" spans="1:12" ht="15" hidden="1">
      <c r="A1723" t="s">
        <v>1133</v>
      </c>
      <c r="B1723" t="s">
        <v>689</v>
      </c>
      <c r="C1723" t="s">
        <v>690</v>
      </c>
      <c r="D1723" t="s">
        <v>743</v>
      </c>
      <c r="E1723" t="s">
        <v>734</v>
      </c>
      <c r="F1723" t="s">
        <v>1272</v>
      </c>
      <c r="G1723" t="s">
        <v>665</v>
      </c>
      <c r="H1723" s="595">
        <v>-1.9</v>
      </c>
      <c r="I1723" t="str">
        <f t="shared" si="76"/>
        <v>janeiro 2026</v>
      </c>
      <c r="J1723">
        <f t="shared" si="77"/>
        <v>2026</v>
      </c>
      <c r="K1723" t="str">
        <f>VLOOKUP(G1723,METRICS!C:D,2,0)</f>
        <v>Taxas Financeiras Diversas</v>
      </c>
      <c r="L1723" t="str">
        <f>VLOOKUP(K1723,METRICS!D:E,2,0)</f>
        <v>TAXAS CARTÃO DE CRÉDITO</v>
      </c>
    </row>
    <row r="1724" spans="1:12" ht="15" hidden="1">
      <c r="A1724" t="s">
        <v>1133</v>
      </c>
      <c r="B1724" t="s">
        <v>689</v>
      </c>
      <c r="C1724" t="s">
        <v>690</v>
      </c>
      <c r="D1724" t="s">
        <v>860</v>
      </c>
      <c r="E1724" t="s">
        <v>734</v>
      </c>
      <c r="F1724" t="s">
        <v>1272</v>
      </c>
      <c r="G1724" t="s">
        <v>665</v>
      </c>
      <c r="H1724" s="595">
        <v>-0.85</v>
      </c>
      <c r="I1724" t="str">
        <f t="shared" si="76"/>
        <v>janeiro 2026</v>
      </c>
      <c r="J1724">
        <f t="shared" si="77"/>
        <v>2026</v>
      </c>
      <c r="K1724" t="str">
        <f>VLOOKUP(G1724,METRICS!C:D,2,0)</f>
        <v>Taxas Financeiras Diversas</v>
      </c>
      <c r="L1724" t="str">
        <f>VLOOKUP(K1724,METRICS!D:E,2,0)</f>
        <v>TAXAS CARTÃO DE CRÉDITO</v>
      </c>
    </row>
    <row r="1725" spans="1:12" ht="15" hidden="1">
      <c r="A1725" t="s">
        <v>1133</v>
      </c>
      <c r="B1725" t="s">
        <v>689</v>
      </c>
      <c r="C1725" t="s">
        <v>690</v>
      </c>
      <c r="D1725" t="s">
        <v>733</v>
      </c>
      <c r="E1725" t="s">
        <v>734</v>
      </c>
      <c r="F1725" t="s">
        <v>1272</v>
      </c>
      <c r="G1725" t="s">
        <v>665</v>
      </c>
      <c r="H1725" s="595">
        <v>-9.6999999999999993</v>
      </c>
      <c r="I1725" t="str">
        <f t="shared" si="76"/>
        <v>janeiro 2026</v>
      </c>
      <c r="J1725">
        <f t="shared" si="77"/>
        <v>2026</v>
      </c>
      <c r="K1725" t="str">
        <f>VLOOKUP(G1725,METRICS!C:D,2,0)</f>
        <v>Taxas Financeiras Diversas</v>
      </c>
      <c r="L1725" t="str">
        <f>VLOOKUP(K1725,METRICS!D:E,2,0)</f>
        <v>TAXAS CARTÃO DE CRÉDITO</v>
      </c>
    </row>
    <row r="1726" spans="1:12" ht="15" hidden="1">
      <c r="A1726" t="s">
        <v>1133</v>
      </c>
      <c r="B1726" t="s">
        <v>689</v>
      </c>
      <c r="C1726" t="s">
        <v>690</v>
      </c>
      <c r="D1726" t="s">
        <v>733</v>
      </c>
      <c r="E1726" t="s">
        <v>734</v>
      </c>
      <c r="F1726" t="s">
        <v>1272</v>
      </c>
      <c r="G1726" t="s">
        <v>665</v>
      </c>
      <c r="H1726" s="595">
        <v>-8.6300000000000008</v>
      </c>
      <c r="I1726" t="str">
        <f t="shared" si="76"/>
        <v>janeiro 2026</v>
      </c>
      <c r="J1726">
        <f t="shared" si="77"/>
        <v>2026</v>
      </c>
      <c r="K1726" t="str">
        <f>VLOOKUP(G1726,METRICS!C:D,2,0)</f>
        <v>Taxas Financeiras Diversas</v>
      </c>
      <c r="L1726" t="str">
        <f>VLOOKUP(K1726,METRICS!D:E,2,0)</f>
        <v>TAXAS CARTÃO DE CRÉDITO</v>
      </c>
    </row>
    <row r="1727" spans="1:12" ht="15" hidden="1">
      <c r="A1727" t="s">
        <v>1133</v>
      </c>
      <c r="B1727" t="s">
        <v>689</v>
      </c>
      <c r="C1727" t="s">
        <v>690</v>
      </c>
      <c r="D1727" t="s">
        <v>733</v>
      </c>
      <c r="E1727" t="s">
        <v>734</v>
      </c>
      <c r="F1727" t="s">
        <v>1272</v>
      </c>
      <c r="G1727" t="s">
        <v>665</v>
      </c>
      <c r="H1727" s="595">
        <v>-11.93</v>
      </c>
      <c r="I1727" t="str">
        <f t="shared" si="76"/>
        <v>janeiro 2026</v>
      </c>
      <c r="J1727">
        <f t="shared" si="77"/>
        <v>2026</v>
      </c>
      <c r="K1727" t="str">
        <f>VLOOKUP(G1727,METRICS!C:D,2,0)</f>
        <v>Taxas Financeiras Diversas</v>
      </c>
      <c r="L1727" t="str">
        <f>VLOOKUP(K1727,METRICS!D:E,2,0)</f>
        <v>TAXAS CARTÃO DE CRÉDITO</v>
      </c>
    </row>
    <row r="1728" spans="1:12" ht="15" hidden="1">
      <c r="A1728" t="s">
        <v>1133</v>
      </c>
      <c r="B1728" t="s">
        <v>689</v>
      </c>
      <c r="C1728" t="s">
        <v>690</v>
      </c>
      <c r="D1728" t="s">
        <v>743</v>
      </c>
      <c r="E1728" t="s">
        <v>734</v>
      </c>
      <c r="F1728" t="s">
        <v>1272</v>
      </c>
      <c r="G1728" t="s">
        <v>665</v>
      </c>
      <c r="H1728" s="595">
        <v>-8.02</v>
      </c>
      <c r="I1728" t="str">
        <f t="shared" si="76"/>
        <v>janeiro 2026</v>
      </c>
      <c r="J1728">
        <f t="shared" si="77"/>
        <v>2026</v>
      </c>
      <c r="K1728" t="str">
        <f>VLOOKUP(G1728,METRICS!C:D,2,0)</f>
        <v>Taxas Financeiras Diversas</v>
      </c>
      <c r="L1728" t="str">
        <f>VLOOKUP(K1728,METRICS!D:E,2,0)</f>
        <v>TAXAS CARTÃO DE CRÉDITO</v>
      </c>
    </row>
    <row r="1729" spans="1:12" ht="15" hidden="1">
      <c r="A1729" t="s">
        <v>1133</v>
      </c>
      <c r="B1729" t="s">
        <v>689</v>
      </c>
      <c r="C1729" t="s">
        <v>690</v>
      </c>
      <c r="D1729" t="s">
        <v>733</v>
      </c>
      <c r="E1729" t="s">
        <v>734</v>
      </c>
      <c r="F1729" t="s">
        <v>1272</v>
      </c>
      <c r="G1729" t="s">
        <v>665</v>
      </c>
      <c r="H1729" s="595">
        <v>-3.7</v>
      </c>
      <c r="I1729" t="str">
        <f t="shared" si="76"/>
        <v>janeiro 2026</v>
      </c>
      <c r="J1729">
        <f t="shared" si="77"/>
        <v>2026</v>
      </c>
      <c r="K1729" t="str">
        <f>VLOOKUP(G1729,METRICS!C:D,2,0)</f>
        <v>Taxas Financeiras Diversas</v>
      </c>
      <c r="L1729" t="str">
        <f>VLOOKUP(K1729,METRICS!D:E,2,0)</f>
        <v>TAXAS CARTÃO DE CRÉDITO</v>
      </c>
    </row>
    <row r="1730" spans="1:12" ht="15" hidden="1">
      <c r="A1730" t="s">
        <v>1133</v>
      </c>
      <c r="B1730" t="s">
        <v>689</v>
      </c>
      <c r="C1730" t="s">
        <v>690</v>
      </c>
      <c r="D1730" t="s">
        <v>743</v>
      </c>
      <c r="E1730" t="s">
        <v>734</v>
      </c>
      <c r="F1730" t="s">
        <v>1272</v>
      </c>
      <c r="G1730" t="s">
        <v>665</v>
      </c>
      <c r="H1730" s="595">
        <v>-28.17</v>
      </c>
      <c r="I1730" t="str">
        <f t="shared" si="76"/>
        <v>janeiro 2026</v>
      </c>
      <c r="J1730">
        <f t="shared" si="77"/>
        <v>2026</v>
      </c>
      <c r="K1730" t="str">
        <f>VLOOKUP(G1730,METRICS!C:D,2,0)</f>
        <v>Taxas Financeiras Diversas</v>
      </c>
      <c r="L1730" t="str">
        <f>VLOOKUP(K1730,METRICS!D:E,2,0)</f>
        <v>TAXAS CARTÃO DE CRÉDITO</v>
      </c>
    </row>
    <row r="1731" spans="1:12" ht="15" hidden="1">
      <c r="A1731" t="s">
        <v>1133</v>
      </c>
      <c r="B1731" t="s">
        <v>689</v>
      </c>
      <c r="C1731" t="s">
        <v>690</v>
      </c>
      <c r="D1731" t="s">
        <v>743</v>
      </c>
      <c r="E1731" t="s">
        <v>734</v>
      </c>
      <c r="F1731" t="s">
        <v>1272</v>
      </c>
      <c r="G1731" t="s">
        <v>665</v>
      </c>
      <c r="H1731" s="595">
        <v>-9.07</v>
      </c>
      <c r="I1731" t="str">
        <f t="shared" si="76"/>
        <v>janeiro 2026</v>
      </c>
      <c r="J1731">
        <f t="shared" si="77"/>
        <v>2026</v>
      </c>
      <c r="K1731" t="str">
        <f>VLOOKUP(G1731,METRICS!C:D,2,0)</f>
        <v>Taxas Financeiras Diversas</v>
      </c>
      <c r="L1731" t="str">
        <f>VLOOKUP(K1731,METRICS!D:E,2,0)</f>
        <v>TAXAS CARTÃO DE CRÉDITO</v>
      </c>
    </row>
    <row r="1732" spans="1:12" ht="15" hidden="1">
      <c r="A1732" t="s">
        <v>1133</v>
      </c>
      <c r="B1732" t="s">
        <v>689</v>
      </c>
      <c r="C1732" t="s">
        <v>690</v>
      </c>
      <c r="D1732" t="s">
        <v>860</v>
      </c>
      <c r="E1732" t="s">
        <v>734</v>
      </c>
      <c r="F1732" t="s">
        <v>1272</v>
      </c>
      <c r="G1732" t="s">
        <v>665</v>
      </c>
      <c r="H1732" s="595">
        <v>-3.88</v>
      </c>
      <c r="I1732" t="str">
        <f t="shared" si="76"/>
        <v>janeiro 2026</v>
      </c>
      <c r="J1732">
        <f t="shared" si="77"/>
        <v>2026</v>
      </c>
      <c r="K1732" t="str">
        <f>VLOOKUP(G1732,METRICS!C:D,2,0)</f>
        <v>Taxas Financeiras Diversas</v>
      </c>
      <c r="L1732" t="str">
        <f>VLOOKUP(K1732,METRICS!D:E,2,0)</f>
        <v>TAXAS CARTÃO DE CRÉDITO</v>
      </c>
    </row>
    <row r="1733" spans="1:12" ht="15" hidden="1">
      <c r="A1733" t="s">
        <v>1133</v>
      </c>
      <c r="B1733" t="s">
        <v>689</v>
      </c>
      <c r="C1733" t="s">
        <v>690</v>
      </c>
      <c r="D1733" t="s">
        <v>743</v>
      </c>
      <c r="E1733" t="s">
        <v>734</v>
      </c>
      <c r="F1733" t="s">
        <v>1272</v>
      </c>
      <c r="G1733" t="s">
        <v>665</v>
      </c>
      <c r="H1733" s="595">
        <v>-5.99</v>
      </c>
      <c r="I1733" t="str">
        <f t="shared" si="76"/>
        <v>janeiro 2026</v>
      </c>
      <c r="J1733">
        <f t="shared" si="77"/>
        <v>2026</v>
      </c>
      <c r="K1733" t="str">
        <f>VLOOKUP(G1733,METRICS!C:D,2,0)</f>
        <v>Taxas Financeiras Diversas</v>
      </c>
      <c r="L1733" t="str">
        <f>VLOOKUP(K1733,METRICS!D:E,2,0)</f>
        <v>TAXAS CARTÃO DE CRÉDITO</v>
      </c>
    </row>
    <row r="1734" spans="1:12" ht="15" hidden="1">
      <c r="A1734" t="s">
        <v>1133</v>
      </c>
      <c r="B1734" t="s">
        <v>689</v>
      </c>
      <c r="C1734" t="s">
        <v>690</v>
      </c>
      <c r="D1734" t="s">
        <v>753</v>
      </c>
      <c r="E1734" t="s">
        <v>734</v>
      </c>
      <c r="F1734" t="s">
        <v>1272</v>
      </c>
      <c r="G1734" t="s">
        <v>665</v>
      </c>
      <c r="H1734" s="595">
        <v>-25.23</v>
      </c>
      <c r="I1734" t="str">
        <f t="shared" si="76"/>
        <v>janeiro 2026</v>
      </c>
      <c r="J1734">
        <f t="shared" si="77"/>
        <v>2026</v>
      </c>
      <c r="K1734" t="str">
        <f>VLOOKUP(G1734,METRICS!C:D,2,0)</f>
        <v>Taxas Financeiras Diversas</v>
      </c>
      <c r="L1734" t="str">
        <f>VLOOKUP(K1734,METRICS!D:E,2,0)</f>
        <v>TAXAS CARTÃO DE CRÉDITO</v>
      </c>
    </row>
    <row r="1735" spans="1:12" ht="15" hidden="1">
      <c r="A1735" t="s">
        <v>1133</v>
      </c>
      <c r="B1735" t="s">
        <v>689</v>
      </c>
      <c r="C1735" t="s">
        <v>690</v>
      </c>
      <c r="D1735" t="s">
        <v>733</v>
      </c>
      <c r="E1735" t="s">
        <v>734</v>
      </c>
      <c r="F1735" t="s">
        <v>1272</v>
      </c>
      <c r="G1735" t="s">
        <v>665</v>
      </c>
      <c r="H1735" s="595">
        <v>-4.4000000000000004</v>
      </c>
      <c r="I1735" t="str">
        <f t="shared" si="76"/>
        <v>janeiro 2026</v>
      </c>
      <c r="J1735">
        <f t="shared" si="77"/>
        <v>2026</v>
      </c>
      <c r="K1735" t="str">
        <f>VLOOKUP(G1735,METRICS!C:D,2,0)</f>
        <v>Taxas Financeiras Diversas</v>
      </c>
      <c r="L1735" t="str">
        <f>VLOOKUP(K1735,METRICS!D:E,2,0)</f>
        <v>TAXAS CARTÃO DE CRÉDITO</v>
      </c>
    </row>
    <row r="1736" spans="1:12" ht="15" hidden="1">
      <c r="A1736" t="s">
        <v>1133</v>
      </c>
      <c r="B1736" t="s">
        <v>689</v>
      </c>
      <c r="C1736" t="s">
        <v>690</v>
      </c>
      <c r="D1736" t="s">
        <v>743</v>
      </c>
      <c r="E1736" t="s">
        <v>734</v>
      </c>
      <c r="F1736" t="s">
        <v>1272</v>
      </c>
      <c r="G1736" t="s">
        <v>665</v>
      </c>
      <c r="H1736" s="595">
        <v>-2.93</v>
      </c>
      <c r="I1736" t="str">
        <f t="shared" si="76"/>
        <v>janeiro 2026</v>
      </c>
      <c r="J1736">
        <f t="shared" si="77"/>
        <v>2026</v>
      </c>
      <c r="K1736" t="str">
        <f>VLOOKUP(G1736,METRICS!C:D,2,0)</f>
        <v>Taxas Financeiras Diversas</v>
      </c>
      <c r="L1736" t="str">
        <f>VLOOKUP(K1736,METRICS!D:E,2,0)</f>
        <v>TAXAS CARTÃO DE CRÉDITO</v>
      </c>
    </row>
    <row r="1737" spans="1:12" ht="15" hidden="1">
      <c r="A1737" t="s">
        <v>1133</v>
      </c>
      <c r="B1737" t="s">
        <v>689</v>
      </c>
      <c r="C1737" t="s">
        <v>690</v>
      </c>
      <c r="D1737" t="s">
        <v>753</v>
      </c>
      <c r="E1737" t="s">
        <v>734</v>
      </c>
      <c r="F1737" t="s">
        <v>1272</v>
      </c>
      <c r="G1737" t="s">
        <v>665</v>
      </c>
      <c r="H1737" s="595">
        <v>-55.23</v>
      </c>
      <c r="I1737" t="str">
        <f t="shared" si="76"/>
        <v>janeiro 2026</v>
      </c>
      <c r="J1737">
        <f t="shared" si="77"/>
        <v>2026</v>
      </c>
      <c r="K1737" t="str">
        <f>VLOOKUP(G1737,METRICS!C:D,2,0)</f>
        <v>Taxas Financeiras Diversas</v>
      </c>
      <c r="L1737" t="str">
        <f>VLOOKUP(K1737,METRICS!D:E,2,0)</f>
        <v>TAXAS CARTÃO DE CRÉDITO</v>
      </c>
    </row>
    <row r="1738" spans="1:12" ht="15" hidden="1">
      <c r="A1738" t="s">
        <v>1133</v>
      </c>
      <c r="B1738" t="s">
        <v>689</v>
      </c>
      <c r="C1738" t="s">
        <v>690</v>
      </c>
      <c r="D1738" t="s">
        <v>733</v>
      </c>
      <c r="E1738" t="s">
        <v>734</v>
      </c>
      <c r="F1738" t="s">
        <v>1272</v>
      </c>
      <c r="G1738" t="s">
        <v>665</v>
      </c>
      <c r="H1738" s="595">
        <v>-7.08</v>
      </c>
      <c r="I1738" t="str">
        <f t="shared" si="76"/>
        <v>janeiro 2026</v>
      </c>
      <c r="J1738">
        <f t="shared" si="77"/>
        <v>2026</v>
      </c>
      <c r="K1738" t="str">
        <f>VLOOKUP(G1738,METRICS!C:D,2,0)</f>
        <v>Taxas Financeiras Diversas</v>
      </c>
      <c r="L1738" t="str">
        <f>VLOOKUP(K1738,METRICS!D:E,2,0)</f>
        <v>TAXAS CARTÃO DE CRÉDITO</v>
      </c>
    </row>
    <row r="1739" spans="1:12" ht="15" hidden="1">
      <c r="A1739" t="s">
        <v>1133</v>
      </c>
      <c r="B1739" t="s">
        <v>689</v>
      </c>
      <c r="C1739" t="s">
        <v>690</v>
      </c>
      <c r="D1739" t="s">
        <v>743</v>
      </c>
      <c r="E1739" t="s">
        <v>734</v>
      </c>
      <c r="F1739" t="s">
        <v>1272</v>
      </c>
      <c r="G1739" t="s">
        <v>665</v>
      </c>
      <c r="H1739" s="595">
        <v>-7.19</v>
      </c>
      <c r="I1739" t="str">
        <f t="shared" si="76"/>
        <v>janeiro 2026</v>
      </c>
      <c r="J1739">
        <f t="shared" si="77"/>
        <v>2026</v>
      </c>
      <c r="K1739" t="str">
        <f>VLOOKUP(G1739,METRICS!C:D,2,0)</f>
        <v>Taxas Financeiras Diversas</v>
      </c>
      <c r="L1739" t="str">
        <f>VLOOKUP(K1739,METRICS!D:E,2,0)</f>
        <v>TAXAS CARTÃO DE CRÉDITO</v>
      </c>
    </row>
    <row r="1740" spans="1:12" ht="15" hidden="1">
      <c r="A1740" t="s">
        <v>1133</v>
      </c>
      <c r="B1740" t="s">
        <v>689</v>
      </c>
      <c r="C1740" t="s">
        <v>690</v>
      </c>
      <c r="D1740" t="s">
        <v>733</v>
      </c>
      <c r="E1740" t="s">
        <v>734</v>
      </c>
      <c r="F1740" t="s">
        <v>1272</v>
      </c>
      <c r="G1740" t="s">
        <v>665</v>
      </c>
      <c r="H1740" s="595">
        <v>-10.62</v>
      </c>
      <c r="I1740" t="str">
        <f t="shared" ref="I1740:I1783" si="78">TEXT(A1740, "mmmm aaaa")</f>
        <v>janeiro 2026</v>
      </c>
      <c r="J1740">
        <f t="shared" si="77"/>
        <v>2026</v>
      </c>
      <c r="K1740" t="str">
        <f>VLOOKUP(G1740,METRICS!C:D,2,0)</f>
        <v>Taxas Financeiras Diversas</v>
      </c>
      <c r="L1740" t="str">
        <f>VLOOKUP(K1740,METRICS!D:E,2,0)</f>
        <v>TAXAS CARTÃO DE CRÉDITO</v>
      </c>
    </row>
    <row r="1741" spans="1:12" ht="15" hidden="1">
      <c r="A1741" t="s">
        <v>1133</v>
      </c>
      <c r="B1741" t="s">
        <v>689</v>
      </c>
      <c r="C1741" t="s">
        <v>690</v>
      </c>
      <c r="D1741" t="s">
        <v>733</v>
      </c>
      <c r="E1741" t="s">
        <v>734</v>
      </c>
      <c r="F1741" t="s">
        <v>1272</v>
      </c>
      <c r="G1741" t="s">
        <v>665</v>
      </c>
      <c r="H1741" s="595">
        <v>-2.59</v>
      </c>
      <c r="I1741" t="str">
        <f t="shared" si="78"/>
        <v>janeiro 2026</v>
      </c>
      <c r="J1741">
        <f t="shared" si="77"/>
        <v>2026</v>
      </c>
      <c r="K1741" t="str">
        <f>VLOOKUP(G1741,METRICS!C:D,2,0)</f>
        <v>Taxas Financeiras Diversas</v>
      </c>
      <c r="L1741" t="str">
        <f>VLOOKUP(K1741,METRICS!D:E,2,0)</f>
        <v>TAXAS CARTÃO DE CRÉDITO</v>
      </c>
    </row>
    <row r="1742" spans="1:12" ht="15" hidden="1">
      <c r="A1742" t="s">
        <v>1133</v>
      </c>
      <c r="B1742" t="s">
        <v>689</v>
      </c>
      <c r="C1742" t="s">
        <v>690</v>
      </c>
      <c r="D1742" t="s">
        <v>733</v>
      </c>
      <c r="E1742" t="s">
        <v>734</v>
      </c>
      <c r="F1742" t="s">
        <v>1272</v>
      </c>
      <c r="G1742" t="s">
        <v>665</v>
      </c>
      <c r="H1742" s="595">
        <v>-9.3699999999999992</v>
      </c>
      <c r="I1742" t="str">
        <f t="shared" si="78"/>
        <v>janeiro 2026</v>
      </c>
      <c r="J1742">
        <f t="shared" si="77"/>
        <v>2026</v>
      </c>
      <c r="K1742" t="str">
        <f>VLOOKUP(G1742,METRICS!C:D,2,0)</f>
        <v>Taxas Financeiras Diversas</v>
      </c>
      <c r="L1742" t="str">
        <f>VLOOKUP(K1742,METRICS!D:E,2,0)</f>
        <v>TAXAS CARTÃO DE CRÉDITO</v>
      </c>
    </row>
    <row r="1743" spans="1:12" ht="15" hidden="1">
      <c r="A1743" t="s">
        <v>1133</v>
      </c>
      <c r="B1743" t="s">
        <v>689</v>
      </c>
      <c r="C1743" t="s">
        <v>690</v>
      </c>
      <c r="D1743" t="s">
        <v>733</v>
      </c>
      <c r="E1743" t="s">
        <v>734</v>
      </c>
      <c r="F1743" t="s">
        <v>1272</v>
      </c>
      <c r="G1743" t="s">
        <v>665</v>
      </c>
      <c r="H1743" s="595">
        <v>-8.84</v>
      </c>
      <c r="I1743" t="str">
        <f t="shared" si="78"/>
        <v>janeiro 2026</v>
      </c>
      <c r="J1743">
        <f t="shared" si="77"/>
        <v>2026</v>
      </c>
      <c r="K1743" t="str">
        <f>VLOOKUP(G1743,METRICS!C:D,2,0)</f>
        <v>Taxas Financeiras Diversas</v>
      </c>
      <c r="L1743" t="str">
        <f>VLOOKUP(K1743,METRICS!D:E,2,0)</f>
        <v>TAXAS CARTÃO DE CRÉDITO</v>
      </c>
    </row>
    <row r="1744" spans="1:12" ht="15" hidden="1">
      <c r="A1744" t="s">
        <v>1133</v>
      </c>
      <c r="B1744" t="s">
        <v>689</v>
      </c>
      <c r="C1744" t="s">
        <v>690</v>
      </c>
      <c r="D1744" t="s">
        <v>733</v>
      </c>
      <c r="E1744" t="s">
        <v>734</v>
      </c>
      <c r="F1744" t="s">
        <v>1272</v>
      </c>
      <c r="G1744" t="s">
        <v>665</v>
      </c>
      <c r="H1744" s="595">
        <v>-2.15</v>
      </c>
      <c r="I1744" t="str">
        <f t="shared" si="78"/>
        <v>janeiro 2026</v>
      </c>
      <c r="J1744">
        <f t="shared" si="77"/>
        <v>2026</v>
      </c>
      <c r="K1744" t="str">
        <f>VLOOKUP(G1744,METRICS!C:D,2,0)</f>
        <v>Taxas Financeiras Diversas</v>
      </c>
      <c r="L1744" t="str">
        <f>VLOOKUP(K1744,METRICS!D:E,2,0)</f>
        <v>TAXAS CARTÃO DE CRÉDITO</v>
      </c>
    </row>
    <row r="1745" spans="1:12" ht="15" hidden="1">
      <c r="A1745" t="s">
        <v>1133</v>
      </c>
      <c r="B1745" t="s">
        <v>689</v>
      </c>
      <c r="C1745" t="s">
        <v>690</v>
      </c>
      <c r="D1745" t="s">
        <v>733</v>
      </c>
      <c r="E1745" t="s">
        <v>734</v>
      </c>
      <c r="F1745" t="s">
        <v>1272</v>
      </c>
      <c r="G1745" t="s">
        <v>665</v>
      </c>
      <c r="H1745" s="595">
        <v>-3.33</v>
      </c>
      <c r="I1745" t="str">
        <f t="shared" si="78"/>
        <v>janeiro 2026</v>
      </c>
      <c r="J1745">
        <f t="shared" si="77"/>
        <v>2026</v>
      </c>
      <c r="K1745" t="str">
        <f>VLOOKUP(G1745,METRICS!C:D,2,0)</f>
        <v>Taxas Financeiras Diversas</v>
      </c>
      <c r="L1745" t="str">
        <f>VLOOKUP(K1745,METRICS!D:E,2,0)</f>
        <v>TAXAS CARTÃO DE CRÉDITO</v>
      </c>
    </row>
    <row r="1746" spans="1:12" ht="15" hidden="1">
      <c r="A1746" t="s">
        <v>1133</v>
      </c>
      <c r="B1746" t="s">
        <v>689</v>
      </c>
      <c r="C1746" t="s">
        <v>690</v>
      </c>
      <c r="D1746" t="s">
        <v>733</v>
      </c>
      <c r="E1746" t="s">
        <v>734</v>
      </c>
      <c r="F1746" t="s">
        <v>1272</v>
      </c>
      <c r="G1746" t="s">
        <v>665</v>
      </c>
      <c r="H1746" s="595">
        <v>-4.29</v>
      </c>
      <c r="I1746" t="str">
        <f t="shared" si="78"/>
        <v>janeiro 2026</v>
      </c>
      <c r="J1746">
        <f t="shared" si="77"/>
        <v>2026</v>
      </c>
      <c r="K1746" t="str">
        <f>VLOOKUP(G1746,METRICS!C:D,2,0)</f>
        <v>Taxas Financeiras Diversas</v>
      </c>
      <c r="L1746" t="str">
        <f>VLOOKUP(K1746,METRICS!D:E,2,0)</f>
        <v>TAXAS CARTÃO DE CRÉDITO</v>
      </c>
    </row>
    <row r="1747" spans="1:12" ht="15" hidden="1">
      <c r="A1747" t="s">
        <v>1133</v>
      </c>
      <c r="B1747" t="s">
        <v>689</v>
      </c>
      <c r="C1747" t="s">
        <v>690</v>
      </c>
      <c r="D1747" t="s">
        <v>733</v>
      </c>
      <c r="E1747" t="s">
        <v>734</v>
      </c>
      <c r="F1747" t="s">
        <v>1272</v>
      </c>
      <c r="G1747" t="s">
        <v>665</v>
      </c>
      <c r="H1747" s="595">
        <v>-10.210000000000001</v>
      </c>
      <c r="I1747" t="str">
        <f t="shared" si="78"/>
        <v>janeiro 2026</v>
      </c>
      <c r="J1747">
        <f t="shared" si="77"/>
        <v>2026</v>
      </c>
      <c r="K1747" t="str">
        <f>VLOOKUP(G1747,METRICS!C:D,2,0)</f>
        <v>Taxas Financeiras Diversas</v>
      </c>
      <c r="L1747" t="str">
        <f>VLOOKUP(K1747,METRICS!D:E,2,0)</f>
        <v>TAXAS CARTÃO DE CRÉDITO</v>
      </c>
    </row>
    <row r="1748" spans="1:12" ht="15" hidden="1">
      <c r="A1748" t="s">
        <v>1133</v>
      </c>
      <c r="B1748" t="s">
        <v>689</v>
      </c>
      <c r="C1748" t="s">
        <v>690</v>
      </c>
      <c r="D1748" t="s">
        <v>753</v>
      </c>
      <c r="E1748" t="s">
        <v>734</v>
      </c>
      <c r="F1748" t="s">
        <v>1272</v>
      </c>
      <c r="G1748" t="s">
        <v>665</v>
      </c>
      <c r="H1748" s="595">
        <v>-2.68</v>
      </c>
      <c r="I1748" t="str">
        <f t="shared" si="78"/>
        <v>janeiro 2026</v>
      </c>
      <c r="J1748">
        <f t="shared" si="77"/>
        <v>2026</v>
      </c>
      <c r="K1748" t="str">
        <f>VLOOKUP(G1748,METRICS!C:D,2,0)</f>
        <v>Taxas Financeiras Diversas</v>
      </c>
      <c r="L1748" t="str">
        <f>VLOOKUP(K1748,METRICS!D:E,2,0)</f>
        <v>TAXAS CARTÃO DE CRÉDITO</v>
      </c>
    </row>
    <row r="1749" spans="1:12" ht="15" hidden="1">
      <c r="A1749" t="s">
        <v>1133</v>
      </c>
      <c r="B1749" t="s">
        <v>689</v>
      </c>
      <c r="C1749" t="s">
        <v>690</v>
      </c>
      <c r="D1749" t="s">
        <v>733</v>
      </c>
      <c r="E1749" t="s">
        <v>734</v>
      </c>
      <c r="F1749" t="s">
        <v>1272</v>
      </c>
      <c r="G1749" t="s">
        <v>665</v>
      </c>
      <c r="H1749" s="595">
        <v>-4.29</v>
      </c>
      <c r="I1749" t="str">
        <f t="shared" si="78"/>
        <v>janeiro 2026</v>
      </c>
      <c r="J1749">
        <f t="shared" si="77"/>
        <v>2026</v>
      </c>
      <c r="K1749" t="str">
        <f>VLOOKUP(G1749,METRICS!C:D,2,0)</f>
        <v>Taxas Financeiras Diversas</v>
      </c>
      <c r="L1749" t="str">
        <f>VLOOKUP(K1749,METRICS!D:E,2,0)</f>
        <v>TAXAS CARTÃO DE CRÉDITO</v>
      </c>
    </row>
    <row r="1750" spans="1:12" ht="15" hidden="1">
      <c r="A1750" t="s">
        <v>1133</v>
      </c>
      <c r="B1750" t="s">
        <v>689</v>
      </c>
      <c r="C1750" t="s">
        <v>690</v>
      </c>
      <c r="D1750" t="s">
        <v>733</v>
      </c>
      <c r="E1750" t="s">
        <v>734</v>
      </c>
      <c r="F1750" t="s">
        <v>1272</v>
      </c>
      <c r="G1750" t="s">
        <v>665</v>
      </c>
      <c r="H1750" s="595">
        <v>-8.06</v>
      </c>
      <c r="I1750" t="str">
        <f t="shared" si="78"/>
        <v>janeiro 2026</v>
      </c>
      <c r="J1750">
        <f t="shared" si="77"/>
        <v>2026</v>
      </c>
      <c r="K1750" t="str">
        <f>VLOOKUP(G1750,METRICS!C:D,2,0)</f>
        <v>Taxas Financeiras Diversas</v>
      </c>
      <c r="L1750" t="str">
        <f>VLOOKUP(K1750,METRICS!D:E,2,0)</f>
        <v>TAXAS CARTÃO DE CRÉDITO</v>
      </c>
    </row>
    <row r="1751" spans="1:12" ht="15" hidden="1">
      <c r="A1751" t="s">
        <v>1133</v>
      </c>
      <c r="B1751" t="s">
        <v>689</v>
      </c>
      <c r="C1751" t="s">
        <v>690</v>
      </c>
      <c r="D1751" t="s">
        <v>733</v>
      </c>
      <c r="E1751" t="s">
        <v>734</v>
      </c>
      <c r="F1751" t="s">
        <v>1272</v>
      </c>
      <c r="G1751" t="s">
        <v>665</v>
      </c>
      <c r="H1751" s="595">
        <v>-2.93</v>
      </c>
      <c r="I1751" t="str">
        <f t="shared" si="78"/>
        <v>janeiro 2026</v>
      </c>
      <c r="J1751">
        <f t="shared" si="77"/>
        <v>2026</v>
      </c>
      <c r="K1751" t="str">
        <f>VLOOKUP(G1751,METRICS!C:D,2,0)</f>
        <v>Taxas Financeiras Diversas</v>
      </c>
      <c r="L1751" t="str">
        <f>VLOOKUP(K1751,METRICS!D:E,2,0)</f>
        <v>TAXAS CARTÃO DE CRÉDITO</v>
      </c>
    </row>
    <row r="1752" spans="1:12" ht="15" hidden="1">
      <c r="A1752" t="s">
        <v>1133</v>
      </c>
      <c r="B1752" t="s">
        <v>689</v>
      </c>
      <c r="C1752" t="s">
        <v>690</v>
      </c>
      <c r="D1752" t="s">
        <v>743</v>
      </c>
      <c r="E1752" t="s">
        <v>734</v>
      </c>
      <c r="F1752" t="s">
        <v>1272</v>
      </c>
      <c r="G1752" t="s">
        <v>665</v>
      </c>
      <c r="H1752" s="595">
        <v>-28.59</v>
      </c>
      <c r="I1752" t="str">
        <f t="shared" si="78"/>
        <v>janeiro 2026</v>
      </c>
      <c r="J1752">
        <f t="shared" si="77"/>
        <v>2026</v>
      </c>
      <c r="K1752" t="str">
        <f>VLOOKUP(G1752,METRICS!C:D,2,0)</f>
        <v>Taxas Financeiras Diversas</v>
      </c>
      <c r="L1752" t="str">
        <f>VLOOKUP(K1752,METRICS!D:E,2,0)</f>
        <v>TAXAS CARTÃO DE CRÉDITO</v>
      </c>
    </row>
    <row r="1753" spans="1:12" ht="15" hidden="1">
      <c r="A1753" t="s">
        <v>1133</v>
      </c>
      <c r="B1753" t="s">
        <v>689</v>
      </c>
      <c r="C1753" t="s">
        <v>690</v>
      </c>
      <c r="D1753" t="s">
        <v>743</v>
      </c>
      <c r="E1753" t="s">
        <v>734</v>
      </c>
      <c r="F1753" t="s">
        <v>1272</v>
      </c>
      <c r="G1753" t="s">
        <v>665</v>
      </c>
      <c r="H1753" s="595">
        <v>-0.9</v>
      </c>
      <c r="I1753" t="str">
        <f t="shared" si="78"/>
        <v>janeiro 2026</v>
      </c>
      <c r="J1753">
        <f t="shared" si="77"/>
        <v>2026</v>
      </c>
      <c r="K1753" t="str">
        <f>VLOOKUP(G1753,METRICS!C:D,2,0)</f>
        <v>Taxas Financeiras Diversas</v>
      </c>
      <c r="L1753" t="str">
        <f>VLOOKUP(K1753,METRICS!D:E,2,0)</f>
        <v>TAXAS CARTÃO DE CRÉDITO</v>
      </c>
    </row>
    <row r="1754" spans="1:12" ht="15" hidden="1">
      <c r="A1754" t="s">
        <v>1133</v>
      </c>
      <c r="B1754" t="s">
        <v>689</v>
      </c>
      <c r="C1754" t="s">
        <v>690</v>
      </c>
      <c r="D1754" t="s">
        <v>743</v>
      </c>
      <c r="E1754" t="s">
        <v>734</v>
      </c>
      <c r="F1754" t="s">
        <v>1272</v>
      </c>
      <c r="G1754" t="s">
        <v>665</v>
      </c>
      <c r="H1754" s="595">
        <v>-3.54</v>
      </c>
      <c r="I1754" t="str">
        <f t="shared" si="78"/>
        <v>janeiro 2026</v>
      </c>
      <c r="J1754">
        <f t="shared" si="77"/>
        <v>2026</v>
      </c>
      <c r="K1754" t="str">
        <f>VLOOKUP(G1754,METRICS!C:D,2,0)</f>
        <v>Taxas Financeiras Diversas</v>
      </c>
      <c r="L1754" t="str">
        <f>VLOOKUP(K1754,METRICS!D:E,2,0)</f>
        <v>TAXAS CARTÃO DE CRÉDITO</v>
      </c>
    </row>
    <row r="1755" spans="1:12" ht="15" hidden="1">
      <c r="A1755" t="s">
        <v>1133</v>
      </c>
      <c r="B1755" t="s">
        <v>689</v>
      </c>
      <c r="C1755" t="s">
        <v>690</v>
      </c>
      <c r="D1755" t="s">
        <v>743</v>
      </c>
      <c r="E1755" t="s">
        <v>734</v>
      </c>
      <c r="F1755" t="s">
        <v>1272</v>
      </c>
      <c r="G1755" t="s">
        <v>665</v>
      </c>
      <c r="H1755" s="595">
        <v>-10.23</v>
      </c>
      <c r="I1755" t="str">
        <f t="shared" si="78"/>
        <v>janeiro 2026</v>
      </c>
      <c r="J1755">
        <f t="shared" si="77"/>
        <v>2026</v>
      </c>
      <c r="K1755" t="str">
        <f>VLOOKUP(G1755,METRICS!C:D,2,0)</f>
        <v>Taxas Financeiras Diversas</v>
      </c>
      <c r="L1755" t="str">
        <f>VLOOKUP(K1755,METRICS!D:E,2,0)</f>
        <v>TAXAS CARTÃO DE CRÉDITO</v>
      </c>
    </row>
    <row r="1756" spans="1:12" ht="15" hidden="1">
      <c r="A1756" t="s">
        <v>1133</v>
      </c>
      <c r="B1756" t="s">
        <v>689</v>
      </c>
      <c r="C1756" t="s">
        <v>690</v>
      </c>
      <c r="D1756" t="s">
        <v>743</v>
      </c>
      <c r="E1756" t="s">
        <v>734</v>
      </c>
      <c r="F1756" t="s">
        <v>1272</v>
      </c>
      <c r="G1756" t="s">
        <v>665</v>
      </c>
      <c r="H1756" s="595">
        <v>-6.19</v>
      </c>
      <c r="I1756" t="str">
        <f t="shared" si="78"/>
        <v>janeiro 2026</v>
      </c>
      <c r="J1756">
        <f t="shared" si="77"/>
        <v>2026</v>
      </c>
      <c r="K1756" t="str">
        <f>VLOOKUP(G1756,METRICS!C:D,2,0)</f>
        <v>Taxas Financeiras Diversas</v>
      </c>
      <c r="L1756" t="str">
        <f>VLOOKUP(K1756,METRICS!D:E,2,0)</f>
        <v>TAXAS CARTÃO DE CRÉDITO</v>
      </c>
    </row>
    <row r="1757" spans="1:12" ht="15" hidden="1">
      <c r="A1757" t="s">
        <v>1133</v>
      </c>
      <c r="B1757" t="s">
        <v>689</v>
      </c>
      <c r="C1757" t="s">
        <v>690</v>
      </c>
      <c r="D1757" t="s">
        <v>733</v>
      </c>
      <c r="E1757" t="s">
        <v>734</v>
      </c>
      <c r="F1757" t="s">
        <v>1272</v>
      </c>
      <c r="G1757" t="s">
        <v>665</v>
      </c>
      <c r="H1757" s="595">
        <v>-1.65</v>
      </c>
      <c r="I1757" t="str">
        <f t="shared" si="78"/>
        <v>janeiro 2026</v>
      </c>
      <c r="J1757">
        <f t="shared" si="77"/>
        <v>2026</v>
      </c>
      <c r="K1757" t="str">
        <f>VLOOKUP(G1757,METRICS!C:D,2,0)</f>
        <v>Taxas Financeiras Diversas</v>
      </c>
      <c r="L1757" t="str">
        <f>VLOOKUP(K1757,METRICS!D:E,2,0)</f>
        <v>TAXAS CARTÃO DE CRÉDITO</v>
      </c>
    </row>
    <row r="1758" spans="1:12" ht="15" hidden="1">
      <c r="A1758" t="s">
        <v>1133</v>
      </c>
      <c r="B1758" t="s">
        <v>689</v>
      </c>
      <c r="C1758" t="s">
        <v>690</v>
      </c>
      <c r="D1758" t="s">
        <v>743</v>
      </c>
      <c r="E1758" t="s">
        <v>734</v>
      </c>
      <c r="F1758" t="s">
        <v>1272</v>
      </c>
      <c r="G1758" t="s">
        <v>665</v>
      </c>
      <c r="H1758" s="595">
        <v>-3.27</v>
      </c>
      <c r="I1758" t="str">
        <f t="shared" si="78"/>
        <v>janeiro 2026</v>
      </c>
      <c r="J1758">
        <f t="shared" si="77"/>
        <v>2026</v>
      </c>
      <c r="K1758" t="str">
        <f>VLOOKUP(G1758,METRICS!C:D,2,0)</f>
        <v>Taxas Financeiras Diversas</v>
      </c>
      <c r="L1758" t="str">
        <f>VLOOKUP(K1758,METRICS!D:E,2,0)</f>
        <v>TAXAS CARTÃO DE CRÉDITO</v>
      </c>
    </row>
    <row r="1759" spans="1:12" ht="15" hidden="1">
      <c r="A1759" t="s">
        <v>1133</v>
      </c>
      <c r="B1759" t="s">
        <v>689</v>
      </c>
      <c r="C1759" t="s">
        <v>690</v>
      </c>
      <c r="D1759" t="s">
        <v>733</v>
      </c>
      <c r="E1759" t="s">
        <v>734</v>
      </c>
      <c r="F1759" t="s">
        <v>1272</v>
      </c>
      <c r="G1759" t="s">
        <v>665</v>
      </c>
      <c r="H1759" s="595">
        <v>-1.8</v>
      </c>
      <c r="I1759" t="str">
        <f t="shared" si="78"/>
        <v>janeiro 2026</v>
      </c>
      <c r="J1759">
        <f t="shared" si="77"/>
        <v>2026</v>
      </c>
      <c r="K1759" t="str">
        <f>VLOOKUP(G1759,METRICS!C:D,2,0)</f>
        <v>Taxas Financeiras Diversas</v>
      </c>
      <c r="L1759" t="str">
        <f>VLOOKUP(K1759,METRICS!D:E,2,0)</f>
        <v>TAXAS CARTÃO DE CRÉDITO</v>
      </c>
    </row>
    <row r="1760" spans="1:12" ht="15" hidden="1">
      <c r="A1760" t="s">
        <v>1133</v>
      </c>
      <c r="B1760" t="s">
        <v>689</v>
      </c>
      <c r="C1760" t="s">
        <v>690</v>
      </c>
      <c r="D1760" t="s">
        <v>860</v>
      </c>
      <c r="E1760" t="s">
        <v>734</v>
      </c>
      <c r="F1760" t="s">
        <v>1272</v>
      </c>
      <c r="G1760" t="s">
        <v>665</v>
      </c>
      <c r="H1760" s="595">
        <v>-6.54</v>
      </c>
      <c r="I1760" t="str">
        <f t="shared" si="78"/>
        <v>janeiro 2026</v>
      </c>
      <c r="J1760">
        <f t="shared" si="77"/>
        <v>2026</v>
      </c>
      <c r="K1760" t="str">
        <f>VLOOKUP(G1760,METRICS!C:D,2,0)</f>
        <v>Taxas Financeiras Diversas</v>
      </c>
      <c r="L1760" t="str">
        <f>VLOOKUP(K1760,METRICS!D:E,2,0)</f>
        <v>TAXAS CARTÃO DE CRÉDITO</v>
      </c>
    </row>
    <row r="1761" spans="1:12" ht="15" hidden="1">
      <c r="A1761" t="s">
        <v>1133</v>
      </c>
      <c r="B1761" t="s">
        <v>689</v>
      </c>
      <c r="C1761" t="s">
        <v>690</v>
      </c>
      <c r="D1761" t="s">
        <v>743</v>
      </c>
      <c r="E1761" t="s">
        <v>734</v>
      </c>
      <c r="F1761" t="s">
        <v>1272</v>
      </c>
      <c r="G1761" t="s">
        <v>665</v>
      </c>
      <c r="H1761" s="595">
        <v>-7.01</v>
      </c>
      <c r="I1761" t="str">
        <f t="shared" si="78"/>
        <v>janeiro 2026</v>
      </c>
      <c r="J1761">
        <f t="shared" si="77"/>
        <v>2026</v>
      </c>
      <c r="K1761" t="str">
        <f>VLOOKUP(G1761,METRICS!C:D,2,0)</f>
        <v>Taxas Financeiras Diversas</v>
      </c>
      <c r="L1761" t="str">
        <f>VLOOKUP(K1761,METRICS!D:E,2,0)</f>
        <v>TAXAS CARTÃO DE CRÉDITO</v>
      </c>
    </row>
    <row r="1762" spans="1:12" ht="15" hidden="1">
      <c r="A1762" t="s">
        <v>1133</v>
      </c>
      <c r="B1762" t="s">
        <v>689</v>
      </c>
      <c r="C1762" t="s">
        <v>690</v>
      </c>
      <c r="D1762" t="s">
        <v>743</v>
      </c>
      <c r="E1762" t="s">
        <v>734</v>
      </c>
      <c r="F1762" t="s">
        <v>1272</v>
      </c>
      <c r="G1762" t="s">
        <v>665</v>
      </c>
      <c r="H1762" s="595">
        <v>-14.3</v>
      </c>
      <c r="I1762" t="str">
        <f t="shared" si="78"/>
        <v>janeiro 2026</v>
      </c>
      <c r="J1762">
        <f t="shared" si="77"/>
        <v>2026</v>
      </c>
      <c r="K1762" t="str">
        <f>VLOOKUP(G1762,METRICS!C:D,2,0)</f>
        <v>Taxas Financeiras Diversas</v>
      </c>
      <c r="L1762" t="str">
        <f>VLOOKUP(K1762,METRICS!D:E,2,0)</f>
        <v>TAXAS CARTÃO DE CRÉDITO</v>
      </c>
    </row>
    <row r="1763" spans="1:12" ht="15" hidden="1">
      <c r="A1763" t="s">
        <v>1133</v>
      </c>
      <c r="B1763" t="s">
        <v>689</v>
      </c>
      <c r="C1763" t="s">
        <v>690</v>
      </c>
      <c r="D1763" t="s">
        <v>743</v>
      </c>
      <c r="E1763" t="s">
        <v>734</v>
      </c>
      <c r="F1763" t="s">
        <v>1272</v>
      </c>
      <c r="G1763" t="s">
        <v>665</v>
      </c>
      <c r="H1763" s="595">
        <v>-7.58</v>
      </c>
      <c r="I1763" t="str">
        <f t="shared" si="78"/>
        <v>janeiro 2026</v>
      </c>
      <c r="J1763">
        <f t="shared" si="77"/>
        <v>2026</v>
      </c>
      <c r="K1763" t="str">
        <f>VLOOKUP(G1763,METRICS!C:D,2,0)</f>
        <v>Taxas Financeiras Diversas</v>
      </c>
      <c r="L1763" t="str">
        <f>VLOOKUP(K1763,METRICS!D:E,2,0)</f>
        <v>TAXAS CARTÃO DE CRÉDITO</v>
      </c>
    </row>
    <row r="1764" spans="1:12" ht="15" hidden="1">
      <c r="A1764" t="s">
        <v>1133</v>
      </c>
      <c r="B1764" t="s">
        <v>689</v>
      </c>
      <c r="C1764" t="s">
        <v>690</v>
      </c>
      <c r="D1764" t="s">
        <v>733</v>
      </c>
      <c r="E1764" t="s">
        <v>734</v>
      </c>
      <c r="F1764" t="s">
        <v>1272</v>
      </c>
      <c r="G1764" t="s">
        <v>665</v>
      </c>
      <c r="H1764" s="595">
        <v>-2.27</v>
      </c>
      <c r="I1764" t="str">
        <f t="shared" si="78"/>
        <v>janeiro 2026</v>
      </c>
      <c r="J1764">
        <f t="shared" si="77"/>
        <v>2026</v>
      </c>
      <c r="K1764" t="str">
        <f>VLOOKUP(G1764,METRICS!C:D,2,0)</f>
        <v>Taxas Financeiras Diversas</v>
      </c>
      <c r="L1764" t="str">
        <f>VLOOKUP(K1764,METRICS!D:E,2,0)</f>
        <v>TAXAS CARTÃO DE CRÉDITO</v>
      </c>
    </row>
    <row r="1765" spans="1:12" ht="15" hidden="1">
      <c r="A1765" t="s">
        <v>1133</v>
      </c>
      <c r="B1765" t="s">
        <v>689</v>
      </c>
      <c r="C1765" t="s">
        <v>690</v>
      </c>
      <c r="D1765" t="s">
        <v>733</v>
      </c>
      <c r="E1765" t="s">
        <v>734</v>
      </c>
      <c r="F1765" t="s">
        <v>1272</v>
      </c>
      <c r="G1765" t="s">
        <v>665</v>
      </c>
      <c r="H1765" s="595">
        <v>-7.24</v>
      </c>
      <c r="I1765" t="str">
        <f t="shared" si="78"/>
        <v>janeiro 2026</v>
      </c>
      <c r="J1765">
        <f t="shared" si="77"/>
        <v>2026</v>
      </c>
      <c r="K1765" t="str">
        <f>VLOOKUP(G1765,METRICS!C:D,2,0)</f>
        <v>Taxas Financeiras Diversas</v>
      </c>
      <c r="L1765" t="str">
        <f>VLOOKUP(K1765,METRICS!D:E,2,0)</f>
        <v>TAXAS CARTÃO DE CRÉDITO</v>
      </c>
    </row>
    <row r="1766" spans="1:12" ht="15" hidden="1">
      <c r="A1766" t="s">
        <v>1133</v>
      </c>
      <c r="B1766" t="s">
        <v>689</v>
      </c>
      <c r="C1766" t="s">
        <v>690</v>
      </c>
      <c r="D1766" t="s">
        <v>743</v>
      </c>
      <c r="E1766" t="s">
        <v>734</v>
      </c>
      <c r="F1766" t="s">
        <v>1272</v>
      </c>
      <c r="G1766" t="s">
        <v>665</v>
      </c>
      <c r="H1766" s="595">
        <v>-4.8499999999999996</v>
      </c>
      <c r="I1766" t="str">
        <f t="shared" si="78"/>
        <v>janeiro 2026</v>
      </c>
      <c r="J1766">
        <f t="shared" si="77"/>
        <v>2026</v>
      </c>
      <c r="K1766" t="str">
        <f>VLOOKUP(G1766,METRICS!C:D,2,0)</f>
        <v>Taxas Financeiras Diversas</v>
      </c>
      <c r="L1766" t="str">
        <f>VLOOKUP(K1766,METRICS!D:E,2,0)</f>
        <v>TAXAS CARTÃO DE CRÉDITO</v>
      </c>
    </row>
    <row r="1767" spans="1:12" ht="15" hidden="1">
      <c r="A1767" t="s">
        <v>1133</v>
      </c>
      <c r="B1767" t="s">
        <v>689</v>
      </c>
      <c r="C1767" t="s">
        <v>690</v>
      </c>
      <c r="D1767" t="s">
        <v>753</v>
      </c>
      <c r="E1767" t="s">
        <v>734</v>
      </c>
      <c r="F1767" t="s">
        <v>1272</v>
      </c>
      <c r="G1767" t="s">
        <v>665</v>
      </c>
      <c r="H1767" s="595">
        <v>-43.95</v>
      </c>
      <c r="I1767" t="str">
        <f t="shared" si="78"/>
        <v>janeiro 2026</v>
      </c>
      <c r="J1767">
        <f t="shared" si="77"/>
        <v>2026</v>
      </c>
      <c r="K1767" t="str">
        <f>VLOOKUP(G1767,METRICS!C:D,2,0)</f>
        <v>Taxas Financeiras Diversas</v>
      </c>
      <c r="L1767" t="str">
        <f>VLOOKUP(K1767,METRICS!D:E,2,0)</f>
        <v>TAXAS CARTÃO DE CRÉDITO</v>
      </c>
    </row>
    <row r="1768" spans="1:12" ht="15" hidden="1">
      <c r="A1768" t="s">
        <v>1133</v>
      </c>
      <c r="B1768" t="s">
        <v>689</v>
      </c>
      <c r="C1768" t="s">
        <v>690</v>
      </c>
      <c r="D1768" t="s">
        <v>733</v>
      </c>
      <c r="E1768" t="s">
        <v>734</v>
      </c>
      <c r="F1768" t="s">
        <v>1272</v>
      </c>
      <c r="G1768" t="s">
        <v>665</v>
      </c>
      <c r="H1768" s="595">
        <v>-4.43</v>
      </c>
      <c r="I1768" t="str">
        <f t="shared" si="78"/>
        <v>janeiro 2026</v>
      </c>
      <c r="J1768">
        <f t="shared" si="77"/>
        <v>2026</v>
      </c>
      <c r="K1768" t="str">
        <f>VLOOKUP(G1768,METRICS!C:D,2,0)</f>
        <v>Taxas Financeiras Diversas</v>
      </c>
      <c r="L1768" t="str">
        <f>VLOOKUP(K1768,METRICS!D:E,2,0)</f>
        <v>TAXAS CARTÃO DE CRÉDITO</v>
      </c>
    </row>
    <row r="1769" spans="1:12" ht="15" hidden="1">
      <c r="A1769" t="s">
        <v>1133</v>
      </c>
      <c r="B1769" t="s">
        <v>689</v>
      </c>
      <c r="C1769" t="s">
        <v>690</v>
      </c>
      <c r="D1769" t="s">
        <v>860</v>
      </c>
      <c r="E1769" t="s">
        <v>734</v>
      </c>
      <c r="F1769" t="s">
        <v>1272</v>
      </c>
      <c r="G1769" t="s">
        <v>665</v>
      </c>
      <c r="H1769" s="595">
        <v>-2.5099999999999998</v>
      </c>
      <c r="I1769" t="str">
        <f t="shared" si="78"/>
        <v>janeiro 2026</v>
      </c>
      <c r="J1769">
        <f t="shared" si="77"/>
        <v>2026</v>
      </c>
      <c r="K1769" t="str">
        <f>VLOOKUP(G1769,METRICS!C:D,2,0)</f>
        <v>Taxas Financeiras Diversas</v>
      </c>
      <c r="L1769" t="str">
        <f>VLOOKUP(K1769,METRICS!D:E,2,0)</f>
        <v>TAXAS CARTÃO DE CRÉDITO</v>
      </c>
    </row>
    <row r="1770" spans="1:12" ht="15" hidden="1">
      <c r="A1770" t="s">
        <v>1136</v>
      </c>
      <c r="B1770" t="s">
        <v>612</v>
      </c>
      <c r="C1770" t="s">
        <v>690</v>
      </c>
      <c r="D1770" t="s">
        <v>1137</v>
      </c>
      <c r="E1770" t="s">
        <v>1005</v>
      </c>
      <c r="F1770" t="s">
        <v>1272</v>
      </c>
      <c r="G1770" t="s">
        <v>608</v>
      </c>
      <c r="H1770" s="595">
        <v>-2520</v>
      </c>
      <c r="I1770" t="str">
        <f t="shared" si="78"/>
        <v>janeiro 2026</v>
      </c>
      <c r="J1770">
        <f t="shared" si="77"/>
        <v>2026</v>
      </c>
      <c r="K1770" t="str">
        <f>VLOOKUP(G1770,METRICS!C:D,2,0)</f>
        <v>Bebidas não Alcoolicas</v>
      </c>
      <c r="L1770" t="str">
        <f>VLOOKUP(K1770,METRICS!D:E,2,0)</f>
        <v>CUSTOS DOS PRODUTOS VENDIDOS</v>
      </c>
    </row>
    <row r="1771" spans="1:12" ht="15" hidden="1">
      <c r="A1771" t="s">
        <v>1136</v>
      </c>
      <c r="B1771" t="s">
        <v>689</v>
      </c>
      <c r="C1771" t="s">
        <v>690</v>
      </c>
      <c r="D1771" t="s">
        <v>733</v>
      </c>
      <c r="E1771" t="s">
        <v>734</v>
      </c>
      <c r="F1771" t="s">
        <v>1272</v>
      </c>
      <c r="G1771" t="s">
        <v>665</v>
      </c>
      <c r="H1771" s="595">
        <v>-42.72</v>
      </c>
      <c r="I1771" t="str">
        <f t="shared" si="78"/>
        <v>janeiro 2026</v>
      </c>
      <c r="J1771">
        <f t="shared" si="77"/>
        <v>2026</v>
      </c>
      <c r="K1771" t="str">
        <f>VLOOKUP(G1771,METRICS!C:D,2,0)</f>
        <v>Taxas Financeiras Diversas</v>
      </c>
      <c r="L1771" t="str">
        <f>VLOOKUP(K1771,METRICS!D:E,2,0)</f>
        <v>TAXAS CARTÃO DE CRÉDITO</v>
      </c>
    </row>
    <row r="1772" spans="1:12" ht="15" hidden="1">
      <c r="A1772" t="s">
        <v>1136</v>
      </c>
      <c r="B1772" t="s">
        <v>689</v>
      </c>
      <c r="C1772" t="s">
        <v>690</v>
      </c>
      <c r="D1772" t="s">
        <v>753</v>
      </c>
      <c r="E1772" t="s">
        <v>734</v>
      </c>
      <c r="F1772" t="s">
        <v>1272</v>
      </c>
      <c r="G1772" t="s">
        <v>665</v>
      </c>
      <c r="H1772" s="595">
        <v>-23.4</v>
      </c>
      <c r="I1772" t="str">
        <f t="shared" si="78"/>
        <v>janeiro 2026</v>
      </c>
      <c r="J1772">
        <f t="shared" si="77"/>
        <v>2026</v>
      </c>
      <c r="K1772" t="str">
        <f>VLOOKUP(G1772,METRICS!C:D,2,0)</f>
        <v>Taxas Financeiras Diversas</v>
      </c>
      <c r="L1772" t="str">
        <f>VLOOKUP(K1772,METRICS!D:E,2,0)</f>
        <v>TAXAS CARTÃO DE CRÉDITO</v>
      </c>
    </row>
    <row r="1773" spans="1:12" ht="15" hidden="1">
      <c r="A1773" t="s">
        <v>1136</v>
      </c>
      <c r="B1773" t="s">
        <v>612</v>
      </c>
      <c r="C1773" t="s">
        <v>690</v>
      </c>
      <c r="D1773" t="s">
        <v>1138</v>
      </c>
      <c r="E1773" t="s">
        <v>1139</v>
      </c>
      <c r="F1773" t="s">
        <v>1272</v>
      </c>
      <c r="G1773" t="s">
        <v>636</v>
      </c>
      <c r="H1773" s="595">
        <v>-1382.15</v>
      </c>
      <c r="I1773" t="str">
        <f t="shared" si="78"/>
        <v>janeiro 2026</v>
      </c>
      <c r="J1773">
        <f t="shared" si="77"/>
        <v>2026</v>
      </c>
      <c r="K1773" t="str">
        <f>VLOOKUP(G1773,METRICS!C:D,2,0)</f>
        <v>Secos - Mercearia</v>
      </c>
      <c r="L1773" t="str">
        <f>VLOOKUP(K1773,METRICS!D:E,2,0)</f>
        <v>CUSTOS DOS PRODUTOS VENDIDOS</v>
      </c>
    </row>
    <row r="1774" spans="1:12" ht="15" hidden="1">
      <c r="A1774" t="s">
        <v>1136</v>
      </c>
      <c r="B1774" t="s">
        <v>612</v>
      </c>
      <c r="C1774" t="s">
        <v>690</v>
      </c>
      <c r="D1774" t="s">
        <v>1140</v>
      </c>
      <c r="E1774" t="s">
        <v>736</v>
      </c>
      <c r="F1774" t="s">
        <v>1272</v>
      </c>
      <c r="G1774" t="s">
        <v>636</v>
      </c>
      <c r="H1774" s="595">
        <v>-778.8</v>
      </c>
      <c r="I1774" t="str">
        <f t="shared" si="78"/>
        <v>janeiro 2026</v>
      </c>
      <c r="J1774">
        <f t="shared" si="77"/>
        <v>2026</v>
      </c>
      <c r="K1774" t="str">
        <f>VLOOKUP(G1774,METRICS!C:D,2,0)</f>
        <v>Secos - Mercearia</v>
      </c>
      <c r="L1774" t="str">
        <f>VLOOKUP(K1774,METRICS!D:E,2,0)</f>
        <v>CUSTOS DOS PRODUTOS VENDIDOS</v>
      </c>
    </row>
    <row r="1775" spans="1:12" ht="15" hidden="1">
      <c r="A1775" t="s">
        <v>1136</v>
      </c>
      <c r="B1775" t="s">
        <v>689</v>
      </c>
      <c r="C1775" t="s">
        <v>690</v>
      </c>
      <c r="D1775" t="s">
        <v>743</v>
      </c>
      <c r="E1775" t="s">
        <v>734</v>
      </c>
      <c r="F1775" t="s">
        <v>1272</v>
      </c>
      <c r="G1775" t="s">
        <v>665</v>
      </c>
      <c r="H1775" s="595">
        <v>-5.17</v>
      </c>
      <c r="I1775" t="str">
        <f t="shared" si="78"/>
        <v>janeiro 2026</v>
      </c>
      <c r="J1775">
        <f t="shared" si="77"/>
        <v>2026</v>
      </c>
      <c r="K1775" t="str">
        <f>VLOOKUP(G1775,METRICS!C:D,2,0)</f>
        <v>Taxas Financeiras Diversas</v>
      </c>
      <c r="L1775" t="str">
        <f>VLOOKUP(K1775,METRICS!D:E,2,0)</f>
        <v>TAXAS CARTÃO DE CRÉDITO</v>
      </c>
    </row>
    <row r="1776" spans="1:12" ht="15" hidden="1">
      <c r="A1776" t="s">
        <v>1136</v>
      </c>
      <c r="B1776" t="s">
        <v>689</v>
      </c>
      <c r="C1776" t="s">
        <v>690</v>
      </c>
      <c r="D1776" t="s">
        <v>743</v>
      </c>
      <c r="E1776" t="s">
        <v>734</v>
      </c>
      <c r="F1776" t="s">
        <v>1272</v>
      </c>
      <c r="G1776" t="s">
        <v>665</v>
      </c>
      <c r="H1776" s="595">
        <v>-15.38</v>
      </c>
      <c r="I1776" t="str">
        <f t="shared" si="78"/>
        <v>janeiro 2026</v>
      </c>
      <c r="J1776">
        <f t="shared" si="77"/>
        <v>2026</v>
      </c>
      <c r="K1776" t="str">
        <f>VLOOKUP(G1776,METRICS!C:D,2,0)</f>
        <v>Taxas Financeiras Diversas</v>
      </c>
      <c r="L1776" t="str">
        <f>VLOOKUP(K1776,METRICS!D:E,2,0)</f>
        <v>TAXAS CARTÃO DE CRÉDITO</v>
      </c>
    </row>
    <row r="1777" spans="1:12" ht="15" hidden="1">
      <c r="A1777" t="s">
        <v>1136</v>
      </c>
      <c r="B1777" t="s">
        <v>689</v>
      </c>
      <c r="C1777" t="s">
        <v>690</v>
      </c>
      <c r="D1777" t="s">
        <v>743</v>
      </c>
      <c r="E1777" t="s">
        <v>734</v>
      </c>
      <c r="F1777" t="s">
        <v>1272</v>
      </c>
      <c r="G1777" t="s">
        <v>665</v>
      </c>
      <c r="H1777" s="595">
        <v>-2.86</v>
      </c>
      <c r="I1777" t="str">
        <f t="shared" si="78"/>
        <v>janeiro 2026</v>
      </c>
      <c r="J1777">
        <f t="shared" si="77"/>
        <v>2026</v>
      </c>
      <c r="K1777" t="str">
        <f>VLOOKUP(G1777,METRICS!C:D,2,0)</f>
        <v>Taxas Financeiras Diversas</v>
      </c>
      <c r="L1777" t="str">
        <f>VLOOKUP(K1777,METRICS!D:E,2,0)</f>
        <v>TAXAS CARTÃO DE CRÉDITO</v>
      </c>
    </row>
    <row r="1778" spans="1:12" ht="15" hidden="1">
      <c r="A1778" t="s">
        <v>1136</v>
      </c>
      <c r="B1778" t="s">
        <v>689</v>
      </c>
      <c r="C1778" t="s">
        <v>690</v>
      </c>
      <c r="D1778" t="s">
        <v>743</v>
      </c>
      <c r="E1778" t="s">
        <v>734</v>
      </c>
      <c r="F1778" t="s">
        <v>1272</v>
      </c>
      <c r="G1778" t="s">
        <v>665</v>
      </c>
      <c r="H1778" s="595">
        <v>-11.85</v>
      </c>
      <c r="I1778" t="str">
        <f t="shared" si="78"/>
        <v>janeiro 2026</v>
      </c>
      <c r="J1778">
        <f t="shared" si="77"/>
        <v>2026</v>
      </c>
      <c r="K1778" t="str">
        <f>VLOOKUP(G1778,METRICS!C:D,2,0)</f>
        <v>Taxas Financeiras Diversas</v>
      </c>
      <c r="L1778" t="str">
        <f>VLOOKUP(K1778,METRICS!D:E,2,0)</f>
        <v>TAXAS CARTÃO DE CRÉDITO</v>
      </c>
    </row>
    <row r="1779" spans="1:12" ht="15" hidden="1">
      <c r="A1779" t="s">
        <v>1136</v>
      </c>
      <c r="B1779" t="s">
        <v>612</v>
      </c>
      <c r="C1779" t="s">
        <v>690</v>
      </c>
      <c r="D1779" t="s">
        <v>1141</v>
      </c>
      <c r="E1779" t="s">
        <v>824</v>
      </c>
      <c r="F1779" t="s">
        <v>1272</v>
      </c>
      <c r="G1779" t="s">
        <v>413</v>
      </c>
      <c r="H1779" s="595">
        <v>-390</v>
      </c>
      <c r="I1779" t="str">
        <f t="shared" si="78"/>
        <v>janeiro 2026</v>
      </c>
      <c r="J1779">
        <f t="shared" si="77"/>
        <v>2026</v>
      </c>
      <c r="K1779" t="str">
        <f>VLOOKUP(G1779,METRICS!C:D,2,0)</f>
        <v>Pescados</v>
      </c>
      <c r="L1779" t="str">
        <f>VLOOKUP(K1779,METRICS!D:E,2,0)</f>
        <v>CUSTOS DOS PRODUTOS VENDIDOS</v>
      </c>
    </row>
    <row r="1780" spans="1:12" ht="15" hidden="1">
      <c r="A1780" t="s">
        <v>1136</v>
      </c>
      <c r="B1780" t="s">
        <v>689</v>
      </c>
      <c r="C1780" t="s">
        <v>690</v>
      </c>
      <c r="D1780" t="s">
        <v>733</v>
      </c>
      <c r="E1780" t="s">
        <v>734</v>
      </c>
      <c r="F1780" t="s">
        <v>1272</v>
      </c>
      <c r="G1780" t="s">
        <v>665</v>
      </c>
      <c r="H1780" s="595">
        <v>-3.24</v>
      </c>
      <c r="I1780" t="str">
        <f t="shared" si="78"/>
        <v>janeiro 2026</v>
      </c>
      <c r="J1780">
        <f t="shared" ref="J1780:J1843" si="79">YEAR(A1780)</f>
        <v>2026</v>
      </c>
      <c r="K1780" t="str">
        <f>VLOOKUP(G1780,METRICS!C:D,2,0)</f>
        <v>Taxas Financeiras Diversas</v>
      </c>
      <c r="L1780" t="str">
        <f>VLOOKUP(K1780,METRICS!D:E,2,0)</f>
        <v>TAXAS CARTÃO DE CRÉDITO</v>
      </c>
    </row>
    <row r="1781" spans="1:12" ht="15" hidden="1">
      <c r="A1781" t="s">
        <v>1136</v>
      </c>
      <c r="B1781" t="s">
        <v>689</v>
      </c>
      <c r="C1781" t="s">
        <v>690</v>
      </c>
      <c r="D1781" t="s">
        <v>733</v>
      </c>
      <c r="E1781" t="s">
        <v>734</v>
      </c>
      <c r="F1781" t="s">
        <v>1272</v>
      </c>
      <c r="G1781" t="s">
        <v>665</v>
      </c>
      <c r="H1781" s="595">
        <v>-34.82</v>
      </c>
      <c r="I1781" t="str">
        <f t="shared" si="78"/>
        <v>janeiro 2026</v>
      </c>
      <c r="J1781">
        <f t="shared" si="79"/>
        <v>2026</v>
      </c>
      <c r="K1781" t="str">
        <f>VLOOKUP(G1781,METRICS!C:D,2,0)</f>
        <v>Taxas Financeiras Diversas</v>
      </c>
      <c r="L1781" t="str">
        <f>VLOOKUP(K1781,METRICS!D:E,2,0)</f>
        <v>TAXAS CARTÃO DE CRÉDITO</v>
      </c>
    </row>
    <row r="1782" spans="1:12" ht="15" hidden="1">
      <c r="A1782" t="s">
        <v>1136</v>
      </c>
      <c r="B1782" t="s">
        <v>689</v>
      </c>
      <c r="C1782" t="s">
        <v>690</v>
      </c>
      <c r="D1782" t="s">
        <v>753</v>
      </c>
      <c r="E1782" t="s">
        <v>734</v>
      </c>
      <c r="F1782" t="s">
        <v>1272</v>
      </c>
      <c r="G1782" t="s">
        <v>665</v>
      </c>
      <c r="H1782" s="595">
        <v>-10.83</v>
      </c>
      <c r="I1782" t="str">
        <f t="shared" si="78"/>
        <v>janeiro 2026</v>
      </c>
      <c r="J1782">
        <f t="shared" si="79"/>
        <v>2026</v>
      </c>
      <c r="K1782" t="str">
        <f>VLOOKUP(G1782,METRICS!C:D,2,0)</f>
        <v>Taxas Financeiras Diversas</v>
      </c>
      <c r="L1782" t="str">
        <f>VLOOKUP(K1782,METRICS!D:E,2,0)</f>
        <v>TAXAS CARTÃO DE CRÉDITO</v>
      </c>
    </row>
    <row r="1783" spans="1:12" ht="15" hidden="1">
      <c r="A1783" t="s">
        <v>1136</v>
      </c>
      <c r="B1783" t="s">
        <v>689</v>
      </c>
      <c r="C1783" t="s">
        <v>690</v>
      </c>
      <c r="D1783" t="s">
        <v>743</v>
      </c>
      <c r="E1783" t="s">
        <v>734</v>
      </c>
      <c r="F1783" t="s">
        <v>1272</v>
      </c>
      <c r="G1783" t="s">
        <v>665</v>
      </c>
      <c r="H1783" s="595">
        <v>-12.88</v>
      </c>
      <c r="I1783" t="str">
        <f t="shared" si="78"/>
        <v>janeiro 2026</v>
      </c>
      <c r="J1783">
        <f t="shared" si="79"/>
        <v>2026</v>
      </c>
      <c r="K1783" t="str">
        <f>VLOOKUP(G1783,METRICS!C:D,2,0)</f>
        <v>Taxas Financeiras Diversas</v>
      </c>
      <c r="L1783" t="str">
        <f>VLOOKUP(K1783,METRICS!D:E,2,0)</f>
        <v>TAXAS CARTÃO DE CRÉDITO</v>
      </c>
    </row>
    <row r="1784" spans="1:12" ht="15" hidden="1">
      <c r="A1784" t="s">
        <v>1136</v>
      </c>
      <c r="B1784" t="s">
        <v>689</v>
      </c>
      <c r="C1784" t="s">
        <v>690</v>
      </c>
      <c r="D1784" t="s">
        <v>733</v>
      </c>
      <c r="E1784" t="s">
        <v>734</v>
      </c>
      <c r="F1784" t="s">
        <v>1272</v>
      </c>
      <c r="G1784" t="s">
        <v>665</v>
      </c>
      <c r="H1784" s="595">
        <v>-20.7</v>
      </c>
      <c r="I1784" t="str">
        <f t="shared" ref="I1784:I1819" si="80">TEXT(A1784, "mmmm aaaa")</f>
        <v>janeiro 2026</v>
      </c>
      <c r="J1784">
        <f t="shared" si="79"/>
        <v>2026</v>
      </c>
      <c r="K1784" t="str">
        <f>VLOOKUP(G1784,METRICS!C:D,2,0)</f>
        <v>Taxas Financeiras Diversas</v>
      </c>
      <c r="L1784" t="str">
        <f>VLOOKUP(K1784,METRICS!D:E,2,0)</f>
        <v>TAXAS CARTÃO DE CRÉDITO</v>
      </c>
    </row>
    <row r="1785" spans="1:12" ht="15" hidden="1">
      <c r="A1785" t="s">
        <v>1136</v>
      </c>
      <c r="B1785" t="s">
        <v>689</v>
      </c>
      <c r="C1785" t="s">
        <v>690</v>
      </c>
      <c r="D1785" t="s">
        <v>743</v>
      </c>
      <c r="E1785" t="s">
        <v>734</v>
      </c>
      <c r="F1785" t="s">
        <v>1272</v>
      </c>
      <c r="G1785" t="s">
        <v>665</v>
      </c>
      <c r="H1785" s="595">
        <v>-2.5499999999999998</v>
      </c>
      <c r="I1785" t="str">
        <f t="shared" si="80"/>
        <v>janeiro 2026</v>
      </c>
      <c r="J1785">
        <f t="shared" si="79"/>
        <v>2026</v>
      </c>
      <c r="K1785" t="str">
        <f>VLOOKUP(G1785,METRICS!C:D,2,0)</f>
        <v>Taxas Financeiras Diversas</v>
      </c>
      <c r="L1785" t="str">
        <f>VLOOKUP(K1785,METRICS!D:E,2,0)</f>
        <v>TAXAS CARTÃO DE CRÉDITO</v>
      </c>
    </row>
    <row r="1786" spans="1:12" ht="15" hidden="1">
      <c r="A1786" t="s">
        <v>1136</v>
      </c>
      <c r="B1786" t="s">
        <v>612</v>
      </c>
      <c r="C1786" t="s">
        <v>690</v>
      </c>
      <c r="D1786" t="s">
        <v>1142</v>
      </c>
      <c r="E1786" t="s">
        <v>1012</v>
      </c>
      <c r="F1786" t="s">
        <v>1272</v>
      </c>
      <c r="G1786" t="s">
        <v>611</v>
      </c>
      <c r="H1786" s="595">
        <v>-800.64</v>
      </c>
      <c r="I1786" t="str">
        <f t="shared" si="80"/>
        <v>janeiro 2026</v>
      </c>
      <c r="J1786">
        <f t="shared" si="79"/>
        <v>2026</v>
      </c>
      <c r="K1786" t="str">
        <f>VLOOKUP(G1786,METRICS!C:D,2,0)</f>
        <v>Bebidas Alcoólicas</v>
      </c>
      <c r="L1786" t="str">
        <f>VLOOKUP(K1786,METRICS!D:E,2,0)</f>
        <v>CUSTOS DOS PRODUTOS VENDIDOS</v>
      </c>
    </row>
    <row r="1787" spans="1:12" ht="15" hidden="1">
      <c r="A1787" t="s">
        <v>1136</v>
      </c>
      <c r="B1787" t="s">
        <v>612</v>
      </c>
      <c r="C1787" t="s">
        <v>690</v>
      </c>
      <c r="D1787" t="s">
        <v>1143</v>
      </c>
      <c r="E1787" t="s">
        <v>942</v>
      </c>
      <c r="F1787" t="s">
        <v>1272</v>
      </c>
      <c r="G1787" t="s">
        <v>609</v>
      </c>
      <c r="H1787" s="595">
        <v>-1001.81</v>
      </c>
      <c r="I1787" t="str">
        <f t="shared" si="80"/>
        <v>janeiro 2026</v>
      </c>
      <c r="J1787">
        <f t="shared" si="79"/>
        <v>2026</v>
      </c>
      <c r="K1787" t="str">
        <f>VLOOKUP(G1787,METRICS!C:D,2,0)</f>
        <v>Carnes e Aves</v>
      </c>
      <c r="L1787" t="str">
        <f>VLOOKUP(K1787,METRICS!D:E,2,0)</f>
        <v>CUSTOS DOS PRODUTOS VENDIDOS</v>
      </c>
    </row>
    <row r="1788" spans="1:12" ht="15" hidden="1">
      <c r="A1788" t="s">
        <v>1136</v>
      </c>
      <c r="B1788" t="s">
        <v>689</v>
      </c>
      <c r="C1788" t="s">
        <v>690</v>
      </c>
      <c r="D1788" t="s">
        <v>1144</v>
      </c>
      <c r="E1788" t="s">
        <v>1145</v>
      </c>
      <c r="F1788" t="s">
        <v>1272</v>
      </c>
      <c r="G1788" t="s">
        <v>676</v>
      </c>
      <c r="H1788" s="595">
        <v>-7200</v>
      </c>
      <c r="I1788" t="str">
        <f t="shared" si="80"/>
        <v>janeiro 2026</v>
      </c>
      <c r="J1788">
        <f t="shared" si="79"/>
        <v>2026</v>
      </c>
      <c r="K1788" t="str">
        <f>VLOOKUP(G1788,METRICS!C:D,2,0)</f>
        <v>Propaganda, Publicidade e Patrocínio</v>
      </c>
      <c r="L1788" t="str">
        <f>VLOOKUP(K1788,METRICS!D:E,2,0)</f>
        <v>MARKETING</v>
      </c>
    </row>
    <row r="1789" spans="1:12" ht="15" hidden="1">
      <c r="A1789" t="s">
        <v>1136</v>
      </c>
      <c r="B1789" t="s">
        <v>689</v>
      </c>
      <c r="C1789" t="s">
        <v>690</v>
      </c>
      <c r="D1789" t="s">
        <v>743</v>
      </c>
      <c r="E1789" t="s">
        <v>734</v>
      </c>
      <c r="F1789" t="s">
        <v>1272</v>
      </c>
      <c r="G1789" t="s">
        <v>665</v>
      </c>
      <c r="H1789" s="595">
        <v>-9.11</v>
      </c>
      <c r="I1789" t="str">
        <f t="shared" si="80"/>
        <v>janeiro 2026</v>
      </c>
      <c r="J1789">
        <f t="shared" si="79"/>
        <v>2026</v>
      </c>
      <c r="K1789" t="str">
        <f>VLOOKUP(G1789,METRICS!C:D,2,0)</f>
        <v>Taxas Financeiras Diversas</v>
      </c>
      <c r="L1789" t="str">
        <f>VLOOKUP(K1789,METRICS!D:E,2,0)</f>
        <v>TAXAS CARTÃO DE CRÉDITO</v>
      </c>
    </row>
    <row r="1790" spans="1:12" ht="15" hidden="1">
      <c r="A1790" t="s">
        <v>1136</v>
      </c>
      <c r="B1790" t="s">
        <v>689</v>
      </c>
      <c r="C1790" t="s">
        <v>690</v>
      </c>
      <c r="D1790" t="s">
        <v>743</v>
      </c>
      <c r="E1790" t="s">
        <v>734</v>
      </c>
      <c r="F1790" t="s">
        <v>1272</v>
      </c>
      <c r="G1790" t="s">
        <v>665</v>
      </c>
      <c r="H1790" s="595">
        <v>-2.61</v>
      </c>
      <c r="I1790" t="str">
        <f t="shared" si="80"/>
        <v>janeiro 2026</v>
      </c>
      <c r="J1790">
        <f t="shared" si="79"/>
        <v>2026</v>
      </c>
      <c r="K1790" t="str">
        <f>VLOOKUP(G1790,METRICS!C:D,2,0)</f>
        <v>Taxas Financeiras Diversas</v>
      </c>
      <c r="L1790" t="str">
        <f>VLOOKUP(K1790,METRICS!D:E,2,0)</f>
        <v>TAXAS CARTÃO DE CRÉDITO</v>
      </c>
    </row>
    <row r="1791" spans="1:12" ht="15" hidden="1">
      <c r="A1791" t="s">
        <v>1136</v>
      </c>
      <c r="B1791" t="s">
        <v>689</v>
      </c>
      <c r="C1791" t="s">
        <v>690</v>
      </c>
      <c r="D1791" t="s">
        <v>743</v>
      </c>
      <c r="E1791" t="s">
        <v>734</v>
      </c>
      <c r="F1791" t="s">
        <v>1272</v>
      </c>
      <c r="G1791" t="s">
        <v>665</v>
      </c>
      <c r="H1791" s="595">
        <v>-5.41</v>
      </c>
      <c r="I1791" t="str">
        <f t="shared" si="80"/>
        <v>janeiro 2026</v>
      </c>
      <c r="J1791">
        <f t="shared" si="79"/>
        <v>2026</v>
      </c>
      <c r="K1791" t="str">
        <f>VLOOKUP(G1791,METRICS!C:D,2,0)</f>
        <v>Taxas Financeiras Diversas</v>
      </c>
      <c r="L1791" t="str">
        <f>VLOOKUP(K1791,METRICS!D:E,2,0)</f>
        <v>TAXAS CARTÃO DE CRÉDITO</v>
      </c>
    </row>
    <row r="1792" spans="1:12" ht="15" hidden="1">
      <c r="A1792" t="s">
        <v>1136</v>
      </c>
      <c r="B1792" t="s">
        <v>612</v>
      </c>
      <c r="C1792" t="s">
        <v>690</v>
      </c>
      <c r="D1792" t="s">
        <v>1146</v>
      </c>
      <c r="E1792" t="s">
        <v>832</v>
      </c>
      <c r="F1792" t="s">
        <v>1272</v>
      </c>
      <c r="G1792" t="s">
        <v>633</v>
      </c>
      <c r="H1792" s="595">
        <v>-231.35</v>
      </c>
      <c r="I1792" t="str">
        <f t="shared" si="80"/>
        <v>janeiro 2026</v>
      </c>
      <c r="J1792">
        <f t="shared" si="79"/>
        <v>2026</v>
      </c>
      <c r="K1792" t="str">
        <f>VLOOKUP(G1792,METRICS!C:D,2,0)</f>
        <v>Paes, Massas e Salgados</v>
      </c>
      <c r="L1792" t="str">
        <f>VLOOKUP(K1792,METRICS!D:E,2,0)</f>
        <v>CUSTOS DOS PRODUTOS VENDIDOS</v>
      </c>
    </row>
    <row r="1793" spans="1:12" ht="15" hidden="1">
      <c r="A1793" t="s">
        <v>1136</v>
      </c>
      <c r="B1793" t="s">
        <v>612</v>
      </c>
      <c r="C1793" t="s">
        <v>690</v>
      </c>
      <c r="D1793" t="s">
        <v>1147</v>
      </c>
      <c r="E1793" t="s">
        <v>752</v>
      </c>
      <c r="F1793" t="s">
        <v>1272</v>
      </c>
      <c r="G1793" t="s">
        <v>605</v>
      </c>
      <c r="H1793" s="595">
        <v>-4788.95</v>
      </c>
      <c r="I1793" t="str">
        <f t="shared" si="80"/>
        <v>janeiro 2026</v>
      </c>
      <c r="J1793">
        <f t="shared" si="79"/>
        <v>2026</v>
      </c>
      <c r="K1793" t="str">
        <f>VLOOKUP(G1793,METRICS!C:D,2,0)</f>
        <v>Beneficios</v>
      </c>
      <c r="L1793" t="str">
        <f>VLOOKUP(K1793,METRICS!D:E,2,0)</f>
        <v>PESSOAL</v>
      </c>
    </row>
    <row r="1794" spans="1:12" ht="15" hidden="1">
      <c r="A1794" t="s">
        <v>1136</v>
      </c>
      <c r="B1794" t="s">
        <v>689</v>
      </c>
      <c r="C1794" t="s">
        <v>690</v>
      </c>
      <c r="D1794" t="s">
        <v>733</v>
      </c>
      <c r="E1794" t="s">
        <v>734</v>
      </c>
      <c r="F1794" t="s">
        <v>1272</v>
      </c>
      <c r="G1794" t="s">
        <v>665</v>
      </c>
      <c r="H1794" s="595">
        <v>-9.9700000000000006</v>
      </c>
      <c r="I1794" t="str">
        <f t="shared" si="80"/>
        <v>janeiro 2026</v>
      </c>
      <c r="J1794">
        <f t="shared" si="79"/>
        <v>2026</v>
      </c>
      <c r="K1794" t="str">
        <f>VLOOKUP(G1794,METRICS!C:D,2,0)</f>
        <v>Taxas Financeiras Diversas</v>
      </c>
      <c r="L1794" t="str">
        <f>VLOOKUP(K1794,METRICS!D:E,2,0)</f>
        <v>TAXAS CARTÃO DE CRÉDITO</v>
      </c>
    </row>
    <row r="1795" spans="1:12" ht="15" hidden="1">
      <c r="A1795" t="s">
        <v>1136</v>
      </c>
      <c r="B1795" t="s">
        <v>689</v>
      </c>
      <c r="C1795" t="s">
        <v>690</v>
      </c>
      <c r="D1795" t="s">
        <v>733</v>
      </c>
      <c r="E1795" t="s">
        <v>734</v>
      </c>
      <c r="F1795" t="s">
        <v>1272</v>
      </c>
      <c r="G1795" t="s">
        <v>665</v>
      </c>
      <c r="H1795" s="595">
        <v>-5.24</v>
      </c>
      <c r="I1795" t="str">
        <f t="shared" si="80"/>
        <v>janeiro 2026</v>
      </c>
      <c r="J1795">
        <f t="shared" si="79"/>
        <v>2026</v>
      </c>
      <c r="K1795" t="str">
        <f>VLOOKUP(G1795,METRICS!C:D,2,0)</f>
        <v>Taxas Financeiras Diversas</v>
      </c>
      <c r="L1795" t="str">
        <f>VLOOKUP(K1795,METRICS!D:E,2,0)</f>
        <v>TAXAS CARTÃO DE CRÉDITO</v>
      </c>
    </row>
    <row r="1796" spans="1:12" ht="15" hidden="1">
      <c r="A1796" t="s">
        <v>1136</v>
      </c>
      <c r="B1796" t="s">
        <v>689</v>
      </c>
      <c r="C1796" t="s">
        <v>690</v>
      </c>
      <c r="D1796" t="s">
        <v>733</v>
      </c>
      <c r="E1796" t="s">
        <v>734</v>
      </c>
      <c r="F1796" t="s">
        <v>1272</v>
      </c>
      <c r="G1796" t="s">
        <v>665</v>
      </c>
      <c r="H1796" s="595">
        <v>-20.329999999999998</v>
      </c>
      <c r="I1796" t="str">
        <f t="shared" si="80"/>
        <v>janeiro 2026</v>
      </c>
      <c r="J1796">
        <f t="shared" si="79"/>
        <v>2026</v>
      </c>
      <c r="K1796" t="str">
        <f>VLOOKUP(G1796,METRICS!C:D,2,0)</f>
        <v>Taxas Financeiras Diversas</v>
      </c>
      <c r="L1796" t="str">
        <f>VLOOKUP(K1796,METRICS!D:E,2,0)</f>
        <v>TAXAS CARTÃO DE CRÉDITO</v>
      </c>
    </row>
    <row r="1797" spans="1:12" ht="15" hidden="1">
      <c r="A1797" t="s">
        <v>1136</v>
      </c>
      <c r="B1797" t="s">
        <v>689</v>
      </c>
      <c r="C1797" t="s">
        <v>690</v>
      </c>
      <c r="D1797" t="s">
        <v>756</v>
      </c>
      <c r="E1797" t="s">
        <v>757</v>
      </c>
      <c r="F1797" t="s">
        <v>1272</v>
      </c>
      <c r="G1797" t="s">
        <v>666</v>
      </c>
      <c r="H1797" s="595">
        <v>-43.98</v>
      </c>
      <c r="I1797" t="str">
        <f t="shared" si="80"/>
        <v>janeiro 2026</v>
      </c>
      <c r="J1797">
        <f t="shared" si="79"/>
        <v>2026</v>
      </c>
      <c r="K1797" t="str">
        <f>VLOOKUP(G1797,METRICS!C:D,2,0)</f>
        <v>Encargos Bancarios</v>
      </c>
      <c r="L1797" t="str">
        <f>VLOOKUP(K1797,METRICS!D:E,2,0)</f>
        <v>DESPESAS FINANCEIRAS</v>
      </c>
    </row>
    <row r="1798" spans="1:12" ht="15" hidden="1">
      <c r="A1798" t="s">
        <v>1136</v>
      </c>
      <c r="B1798" t="s">
        <v>689</v>
      </c>
      <c r="C1798" t="s">
        <v>690</v>
      </c>
      <c r="D1798" t="s">
        <v>733</v>
      </c>
      <c r="E1798" t="s">
        <v>734</v>
      </c>
      <c r="F1798" t="s">
        <v>1272</v>
      </c>
      <c r="G1798" t="s">
        <v>665</v>
      </c>
      <c r="H1798" s="595">
        <v>-16.89</v>
      </c>
      <c r="I1798" t="str">
        <f t="shared" si="80"/>
        <v>janeiro 2026</v>
      </c>
      <c r="J1798">
        <f t="shared" si="79"/>
        <v>2026</v>
      </c>
      <c r="K1798" t="str">
        <f>VLOOKUP(G1798,METRICS!C:D,2,0)</f>
        <v>Taxas Financeiras Diversas</v>
      </c>
      <c r="L1798" t="str">
        <f>VLOOKUP(K1798,METRICS!D:E,2,0)</f>
        <v>TAXAS CARTÃO DE CRÉDITO</v>
      </c>
    </row>
    <row r="1799" spans="1:12" ht="15" hidden="1">
      <c r="A1799" t="s">
        <v>1136</v>
      </c>
      <c r="B1799" t="s">
        <v>612</v>
      </c>
      <c r="C1799" t="s">
        <v>690</v>
      </c>
      <c r="D1799" t="s">
        <v>1148</v>
      </c>
      <c r="E1799" t="s">
        <v>770</v>
      </c>
      <c r="F1799" t="s">
        <v>1272</v>
      </c>
      <c r="G1799" t="s">
        <v>630</v>
      </c>
      <c r="H1799" s="595">
        <v>-1603.61</v>
      </c>
      <c r="I1799" t="str">
        <f t="shared" si="80"/>
        <v>janeiro 2026</v>
      </c>
      <c r="J1799">
        <f t="shared" si="79"/>
        <v>2026</v>
      </c>
      <c r="K1799" t="str">
        <f>VLOOKUP(G1799,METRICS!C:D,2,0)</f>
        <v>Material de Copa e Limpeza</v>
      </c>
      <c r="L1799" t="str">
        <f>VLOOKUP(K1799,METRICS!D:E,2,0)</f>
        <v>ADMINISTRATIVA</v>
      </c>
    </row>
    <row r="1800" spans="1:12" ht="15" hidden="1">
      <c r="A1800" t="s">
        <v>1136</v>
      </c>
      <c r="B1800" t="s">
        <v>612</v>
      </c>
      <c r="C1800" t="s">
        <v>690</v>
      </c>
      <c r="D1800" t="s">
        <v>1149</v>
      </c>
      <c r="E1800" t="s">
        <v>748</v>
      </c>
      <c r="F1800" t="s">
        <v>1272</v>
      </c>
      <c r="G1800" t="s">
        <v>620</v>
      </c>
      <c r="H1800" s="595">
        <v>-134.22</v>
      </c>
      <c r="I1800" t="str">
        <f t="shared" si="80"/>
        <v>janeiro 2026</v>
      </c>
      <c r="J1800">
        <f t="shared" si="79"/>
        <v>2026</v>
      </c>
      <c r="K1800" t="str">
        <f>VLOOKUP(G1800,METRICS!C:D,2,0)</f>
        <v>Hortifruti</v>
      </c>
      <c r="L1800" t="str">
        <f>VLOOKUP(K1800,METRICS!D:E,2,0)</f>
        <v>CUSTOS DOS PRODUTOS VENDIDOS</v>
      </c>
    </row>
    <row r="1801" spans="1:12" ht="15" hidden="1">
      <c r="A1801" t="s">
        <v>1136</v>
      </c>
      <c r="B1801" t="s">
        <v>689</v>
      </c>
      <c r="C1801" t="s">
        <v>690</v>
      </c>
      <c r="D1801" t="s">
        <v>883</v>
      </c>
      <c r="E1801" t="s">
        <v>746</v>
      </c>
      <c r="F1801" t="s">
        <v>1272</v>
      </c>
      <c r="G1801" t="s">
        <v>669</v>
      </c>
      <c r="H1801" s="595">
        <v>-31.45</v>
      </c>
      <c r="I1801" t="str">
        <f t="shared" si="80"/>
        <v>janeiro 2026</v>
      </c>
      <c r="J1801">
        <f t="shared" si="79"/>
        <v>2026</v>
      </c>
      <c r="K1801" t="str">
        <f>VLOOKUP(G1801,METRICS!C:D,2,0)</f>
        <v>Taxas Financeiras Diversas</v>
      </c>
      <c r="L1801" t="str">
        <f>VLOOKUP(K1801,METRICS!D:E,2,0)</f>
        <v>TAXAS CARTÃO DE CRÉDITO</v>
      </c>
    </row>
    <row r="1802" spans="1:12" ht="15" hidden="1">
      <c r="A1802" t="s">
        <v>1136</v>
      </c>
      <c r="B1802" t="s">
        <v>612</v>
      </c>
      <c r="C1802" t="s">
        <v>690</v>
      </c>
      <c r="D1802" t="s">
        <v>1150</v>
      </c>
      <c r="E1802" t="s">
        <v>752</v>
      </c>
      <c r="F1802" t="s">
        <v>1272</v>
      </c>
      <c r="G1802" t="s">
        <v>609</v>
      </c>
      <c r="H1802" s="595">
        <v>-2368.66</v>
      </c>
      <c r="I1802" t="str">
        <f t="shared" si="80"/>
        <v>janeiro 2026</v>
      </c>
      <c r="J1802">
        <f t="shared" si="79"/>
        <v>2026</v>
      </c>
      <c r="K1802" t="str">
        <f>VLOOKUP(G1802,METRICS!C:D,2,0)</f>
        <v>Carnes e Aves</v>
      </c>
      <c r="L1802" t="str">
        <f>VLOOKUP(K1802,METRICS!D:E,2,0)</f>
        <v>CUSTOS DOS PRODUTOS VENDIDOS</v>
      </c>
    </row>
    <row r="1803" spans="1:12" ht="15" hidden="1">
      <c r="A1803" t="s">
        <v>1136</v>
      </c>
      <c r="B1803" t="s">
        <v>689</v>
      </c>
      <c r="C1803" t="s">
        <v>690</v>
      </c>
      <c r="D1803" t="s">
        <v>743</v>
      </c>
      <c r="E1803" t="s">
        <v>734</v>
      </c>
      <c r="F1803" t="s">
        <v>1272</v>
      </c>
      <c r="G1803" t="s">
        <v>665</v>
      </c>
      <c r="H1803" s="595">
        <v>-5.0199999999999996</v>
      </c>
      <c r="I1803" t="str">
        <f t="shared" si="80"/>
        <v>janeiro 2026</v>
      </c>
      <c r="J1803">
        <f t="shared" si="79"/>
        <v>2026</v>
      </c>
      <c r="K1803" t="str">
        <f>VLOOKUP(G1803,METRICS!C:D,2,0)</f>
        <v>Taxas Financeiras Diversas</v>
      </c>
      <c r="L1803" t="str">
        <f>VLOOKUP(K1803,METRICS!D:E,2,0)</f>
        <v>TAXAS CARTÃO DE CRÉDITO</v>
      </c>
    </row>
    <row r="1804" spans="1:12" ht="15" hidden="1">
      <c r="A1804" t="s">
        <v>1136</v>
      </c>
      <c r="B1804" t="s">
        <v>689</v>
      </c>
      <c r="C1804" t="s">
        <v>690</v>
      </c>
      <c r="D1804" t="s">
        <v>733</v>
      </c>
      <c r="E1804" t="s">
        <v>734</v>
      </c>
      <c r="F1804" t="s">
        <v>1272</v>
      </c>
      <c r="G1804" t="s">
        <v>665</v>
      </c>
      <c r="H1804" s="595">
        <v>-3.97</v>
      </c>
      <c r="I1804" t="str">
        <f t="shared" si="80"/>
        <v>janeiro 2026</v>
      </c>
      <c r="J1804">
        <f t="shared" si="79"/>
        <v>2026</v>
      </c>
      <c r="K1804" t="str">
        <f>VLOOKUP(G1804,METRICS!C:D,2,0)</f>
        <v>Taxas Financeiras Diversas</v>
      </c>
      <c r="L1804" t="str">
        <f>VLOOKUP(K1804,METRICS!D:E,2,0)</f>
        <v>TAXAS CARTÃO DE CRÉDITO</v>
      </c>
    </row>
    <row r="1805" spans="1:12" ht="15" hidden="1">
      <c r="A1805" t="s">
        <v>1136</v>
      </c>
      <c r="B1805" t="s">
        <v>612</v>
      </c>
      <c r="C1805" t="s">
        <v>690</v>
      </c>
      <c r="D1805" t="s">
        <v>1151</v>
      </c>
      <c r="E1805" t="s">
        <v>794</v>
      </c>
      <c r="F1805" t="s">
        <v>1272</v>
      </c>
      <c r="G1805" t="s">
        <v>607</v>
      </c>
      <c r="H1805" s="595">
        <v>-118.8</v>
      </c>
      <c r="I1805" t="str">
        <f t="shared" si="80"/>
        <v>janeiro 2026</v>
      </c>
      <c r="J1805">
        <f t="shared" si="79"/>
        <v>2026</v>
      </c>
      <c r="K1805" t="str">
        <f>VLOOKUP(G1805,METRICS!C:D,2,0)</f>
        <v>Bebidas Alcoólicas</v>
      </c>
      <c r="L1805" t="str">
        <f>VLOOKUP(K1805,METRICS!D:E,2,0)</f>
        <v>CUSTOS DOS PRODUTOS VENDIDOS</v>
      </c>
    </row>
    <row r="1806" spans="1:12" ht="15" hidden="1">
      <c r="A1806" t="s">
        <v>1136</v>
      </c>
      <c r="B1806" t="s">
        <v>612</v>
      </c>
      <c r="C1806" t="s">
        <v>690</v>
      </c>
      <c r="D1806" t="s">
        <v>1152</v>
      </c>
      <c r="E1806" t="s">
        <v>1153</v>
      </c>
      <c r="F1806" t="s">
        <v>1272</v>
      </c>
      <c r="G1806" t="s">
        <v>636</v>
      </c>
      <c r="H1806" s="595">
        <v>-480</v>
      </c>
      <c r="I1806" t="str">
        <f t="shared" si="80"/>
        <v>janeiro 2026</v>
      </c>
      <c r="J1806">
        <f t="shared" si="79"/>
        <v>2026</v>
      </c>
      <c r="K1806" t="str">
        <f>VLOOKUP(G1806,METRICS!C:D,2,0)</f>
        <v>Secos - Mercearia</v>
      </c>
      <c r="L1806" t="str">
        <f>VLOOKUP(K1806,METRICS!D:E,2,0)</f>
        <v>CUSTOS DOS PRODUTOS VENDIDOS</v>
      </c>
    </row>
    <row r="1807" spans="1:12" ht="15" hidden="1">
      <c r="A1807" t="s">
        <v>1136</v>
      </c>
      <c r="B1807" t="s">
        <v>689</v>
      </c>
      <c r="C1807" t="s">
        <v>690</v>
      </c>
      <c r="D1807" t="s">
        <v>743</v>
      </c>
      <c r="E1807" t="s">
        <v>734</v>
      </c>
      <c r="F1807" t="s">
        <v>1272</v>
      </c>
      <c r="G1807" t="s">
        <v>665</v>
      </c>
      <c r="H1807" s="595">
        <v>-18.079999999999998</v>
      </c>
      <c r="I1807" t="str">
        <f t="shared" si="80"/>
        <v>janeiro 2026</v>
      </c>
      <c r="J1807">
        <f t="shared" si="79"/>
        <v>2026</v>
      </c>
      <c r="K1807" t="str">
        <f>VLOOKUP(G1807,METRICS!C:D,2,0)</f>
        <v>Taxas Financeiras Diversas</v>
      </c>
      <c r="L1807" t="str">
        <f>VLOOKUP(K1807,METRICS!D:E,2,0)</f>
        <v>TAXAS CARTÃO DE CRÉDITO</v>
      </c>
    </row>
    <row r="1808" spans="1:12" ht="15" hidden="1">
      <c r="A1808" t="s">
        <v>1136</v>
      </c>
      <c r="B1808" t="s">
        <v>689</v>
      </c>
      <c r="C1808" t="s">
        <v>690</v>
      </c>
      <c r="D1808" t="s">
        <v>743</v>
      </c>
      <c r="E1808" t="s">
        <v>734</v>
      </c>
      <c r="F1808" t="s">
        <v>1272</v>
      </c>
      <c r="G1808" t="s">
        <v>665</v>
      </c>
      <c r="H1808" s="595">
        <v>-14.83</v>
      </c>
      <c r="I1808" t="str">
        <f t="shared" si="80"/>
        <v>janeiro 2026</v>
      </c>
      <c r="J1808">
        <f t="shared" si="79"/>
        <v>2026</v>
      </c>
      <c r="K1808" t="str">
        <f>VLOOKUP(G1808,METRICS!C:D,2,0)</f>
        <v>Taxas Financeiras Diversas</v>
      </c>
      <c r="L1808" t="str">
        <f>VLOOKUP(K1808,METRICS!D:E,2,0)</f>
        <v>TAXAS CARTÃO DE CRÉDITO</v>
      </c>
    </row>
    <row r="1809" spans="1:12" ht="15" hidden="1">
      <c r="A1809" t="s">
        <v>1136</v>
      </c>
      <c r="B1809" t="s">
        <v>689</v>
      </c>
      <c r="C1809" t="s">
        <v>690</v>
      </c>
      <c r="D1809" t="s">
        <v>733</v>
      </c>
      <c r="E1809" t="s">
        <v>734</v>
      </c>
      <c r="F1809" t="s">
        <v>1272</v>
      </c>
      <c r="G1809" t="s">
        <v>665</v>
      </c>
      <c r="H1809" s="595">
        <v>-10.55</v>
      </c>
      <c r="I1809" t="str">
        <f t="shared" si="80"/>
        <v>janeiro 2026</v>
      </c>
      <c r="J1809">
        <f t="shared" si="79"/>
        <v>2026</v>
      </c>
      <c r="K1809" t="str">
        <f>VLOOKUP(G1809,METRICS!C:D,2,0)</f>
        <v>Taxas Financeiras Diversas</v>
      </c>
      <c r="L1809" t="str">
        <f>VLOOKUP(K1809,METRICS!D:E,2,0)</f>
        <v>TAXAS CARTÃO DE CRÉDITO</v>
      </c>
    </row>
    <row r="1810" spans="1:12" ht="15" hidden="1">
      <c r="A1810" t="s">
        <v>1136</v>
      </c>
      <c r="B1810" t="s">
        <v>612</v>
      </c>
      <c r="C1810" t="s">
        <v>690</v>
      </c>
      <c r="D1810" t="s">
        <v>1154</v>
      </c>
      <c r="E1810" t="s">
        <v>774</v>
      </c>
      <c r="F1810" t="s">
        <v>1272</v>
      </c>
      <c r="G1810" s="518" t="s">
        <v>629</v>
      </c>
      <c r="H1810" s="595">
        <v>-2991.66</v>
      </c>
      <c r="I1810" t="str">
        <f t="shared" si="80"/>
        <v>janeiro 2026</v>
      </c>
      <c r="J1810">
        <f t="shared" si="79"/>
        <v>2026</v>
      </c>
      <c r="K1810" t="str">
        <f>VLOOKUP(G1810,METRICS!C:D,2,0)</f>
        <v>Material de limpeza</v>
      </c>
      <c r="L1810" t="str">
        <f>VLOOKUP(K1810,METRICS!D:E,2,0)</f>
        <v>OPERAÇÃO</v>
      </c>
    </row>
    <row r="1811" spans="1:12" ht="15" hidden="1">
      <c r="A1811" t="s">
        <v>1136</v>
      </c>
      <c r="B1811" t="s">
        <v>689</v>
      </c>
      <c r="C1811" t="s">
        <v>690</v>
      </c>
      <c r="D1811" t="s">
        <v>733</v>
      </c>
      <c r="E1811" t="s">
        <v>734</v>
      </c>
      <c r="F1811" t="s">
        <v>1272</v>
      </c>
      <c r="G1811" t="s">
        <v>665</v>
      </c>
      <c r="H1811" s="595">
        <v>-1.7</v>
      </c>
      <c r="I1811" t="str">
        <f t="shared" si="80"/>
        <v>janeiro 2026</v>
      </c>
      <c r="J1811">
        <f t="shared" si="79"/>
        <v>2026</v>
      </c>
      <c r="K1811" t="str">
        <f>VLOOKUP(G1811,METRICS!C:D,2,0)</f>
        <v>Taxas Financeiras Diversas</v>
      </c>
      <c r="L1811" t="str">
        <f>VLOOKUP(K1811,METRICS!D:E,2,0)</f>
        <v>TAXAS CARTÃO DE CRÉDITO</v>
      </c>
    </row>
    <row r="1812" spans="1:12" ht="15" hidden="1">
      <c r="A1812" t="s">
        <v>1136</v>
      </c>
      <c r="B1812" t="s">
        <v>612</v>
      </c>
      <c r="C1812" t="s">
        <v>690</v>
      </c>
      <c r="D1812" t="s">
        <v>1155</v>
      </c>
      <c r="E1812" t="s">
        <v>1156</v>
      </c>
      <c r="F1812" t="s">
        <v>1272</v>
      </c>
      <c r="G1812" t="s">
        <v>615</v>
      </c>
      <c r="H1812" s="595">
        <v>-900</v>
      </c>
      <c r="I1812" t="str">
        <f t="shared" si="80"/>
        <v>janeiro 2026</v>
      </c>
      <c r="J1812">
        <f t="shared" si="79"/>
        <v>2026</v>
      </c>
      <c r="K1812" t="str">
        <f>VLOOKUP(G1812,METRICS!C:D,2,0)</f>
        <v>Embalagens</v>
      </c>
      <c r="L1812" t="str">
        <f>VLOOKUP(K1812,METRICS!D:E,2,0)</f>
        <v>OPERAÇÃO</v>
      </c>
    </row>
    <row r="1813" spans="1:12" ht="15" hidden="1">
      <c r="A1813" t="s">
        <v>1136</v>
      </c>
      <c r="B1813" t="s">
        <v>612</v>
      </c>
      <c r="C1813" t="s">
        <v>690</v>
      </c>
      <c r="D1813" t="s">
        <v>1157</v>
      </c>
      <c r="E1813" t="s">
        <v>745</v>
      </c>
      <c r="F1813" t="s">
        <v>1272</v>
      </c>
      <c r="G1813" t="s">
        <v>620</v>
      </c>
      <c r="H1813" s="595">
        <v>-461</v>
      </c>
      <c r="I1813" t="str">
        <f t="shared" si="80"/>
        <v>janeiro 2026</v>
      </c>
      <c r="J1813">
        <f t="shared" si="79"/>
        <v>2026</v>
      </c>
      <c r="K1813" t="str">
        <f>VLOOKUP(G1813,METRICS!C:D,2,0)</f>
        <v>Hortifruti</v>
      </c>
      <c r="L1813" t="str">
        <f>VLOOKUP(K1813,METRICS!D:E,2,0)</f>
        <v>CUSTOS DOS PRODUTOS VENDIDOS</v>
      </c>
    </row>
    <row r="1814" spans="1:12" ht="15" hidden="1">
      <c r="A1814" t="s">
        <v>1136</v>
      </c>
      <c r="B1814" t="s">
        <v>689</v>
      </c>
      <c r="C1814" t="s">
        <v>690</v>
      </c>
      <c r="D1814" t="s">
        <v>743</v>
      </c>
      <c r="E1814" t="s">
        <v>734</v>
      </c>
      <c r="F1814" t="s">
        <v>1272</v>
      </c>
      <c r="G1814" t="s">
        <v>665</v>
      </c>
      <c r="H1814" s="595">
        <v>-2.6</v>
      </c>
      <c r="I1814" t="str">
        <f t="shared" si="80"/>
        <v>janeiro 2026</v>
      </c>
      <c r="J1814">
        <f t="shared" si="79"/>
        <v>2026</v>
      </c>
      <c r="K1814" t="str">
        <f>VLOOKUP(G1814,METRICS!C:D,2,0)</f>
        <v>Taxas Financeiras Diversas</v>
      </c>
      <c r="L1814" t="str">
        <f>VLOOKUP(K1814,METRICS!D:E,2,0)</f>
        <v>TAXAS CARTÃO DE CRÉDITO</v>
      </c>
    </row>
    <row r="1815" spans="1:12" ht="15" hidden="1">
      <c r="A1815" t="s">
        <v>1136</v>
      </c>
      <c r="B1815" t="s">
        <v>689</v>
      </c>
      <c r="C1815" t="s">
        <v>690</v>
      </c>
      <c r="D1815" t="s">
        <v>733</v>
      </c>
      <c r="E1815" t="s">
        <v>734</v>
      </c>
      <c r="F1815" t="s">
        <v>1272</v>
      </c>
      <c r="G1815" t="s">
        <v>665</v>
      </c>
      <c r="H1815" s="595">
        <v>-13.22</v>
      </c>
      <c r="I1815" t="str">
        <f t="shared" si="80"/>
        <v>janeiro 2026</v>
      </c>
      <c r="J1815">
        <f t="shared" si="79"/>
        <v>2026</v>
      </c>
      <c r="K1815" t="str">
        <f>VLOOKUP(G1815,METRICS!C:D,2,0)</f>
        <v>Taxas Financeiras Diversas</v>
      </c>
      <c r="L1815" t="str">
        <f>VLOOKUP(K1815,METRICS!D:E,2,0)</f>
        <v>TAXAS CARTÃO DE CRÉDITO</v>
      </c>
    </row>
    <row r="1816" spans="1:12" ht="15" hidden="1">
      <c r="A1816" t="s">
        <v>1136</v>
      </c>
      <c r="B1816" t="s">
        <v>612</v>
      </c>
      <c r="C1816" t="s">
        <v>690</v>
      </c>
      <c r="D1816" t="s">
        <v>1158</v>
      </c>
      <c r="E1816" t="s">
        <v>727</v>
      </c>
      <c r="F1816" t="s">
        <v>1272</v>
      </c>
      <c r="G1816" t="s">
        <v>620</v>
      </c>
      <c r="H1816" s="595">
        <v>-6337.16</v>
      </c>
      <c r="I1816" t="str">
        <f t="shared" si="80"/>
        <v>janeiro 2026</v>
      </c>
      <c r="J1816">
        <f t="shared" si="79"/>
        <v>2026</v>
      </c>
      <c r="K1816" t="str">
        <f>VLOOKUP(G1816,METRICS!C:D,2,0)</f>
        <v>Hortifruti</v>
      </c>
      <c r="L1816" t="str">
        <f>VLOOKUP(K1816,METRICS!D:E,2,0)</f>
        <v>CUSTOS DOS PRODUTOS VENDIDOS</v>
      </c>
    </row>
    <row r="1817" spans="1:12" ht="15" hidden="1">
      <c r="A1817" t="s">
        <v>1136</v>
      </c>
      <c r="B1817" t="s">
        <v>612</v>
      </c>
      <c r="C1817" t="s">
        <v>690</v>
      </c>
      <c r="D1817" t="s">
        <v>1159</v>
      </c>
      <c r="E1817" t="s">
        <v>844</v>
      </c>
      <c r="F1817" t="s">
        <v>1272</v>
      </c>
      <c r="G1817" t="s">
        <v>636</v>
      </c>
      <c r="H1817" s="595">
        <v>-701.2</v>
      </c>
      <c r="I1817" t="str">
        <f t="shared" si="80"/>
        <v>janeiro 2026</v>
      </c>
      <c r="J1817">
        <f t="shared" si="79"/>
        <v>2026</v>
      </c>
      <c r="K1817" t="str">
        <f>VLOOKUP(G1817,METRICS!C:D,2,0)</f>
        <v>Secos - Mercearia</v>
      </c>
      <c r="L1817" t="str">
        <f>VLOOKUP(K1817,METRICS!D:E,2,0)</f>
        <v>CUSTOS DOS PRODUTOS VENDIDOS</v>
      </c>
    </row>
    <row r="1818" spans="1:12" ht="15" hidden="1">
      <c r="A1818" t="s">
        <v>1136</v>
      </c>
      <c r="B1818" t="s">
        <v>612</v>
      </c>
      <c r="C1818" t="s">
        <v>690</v>
      </c>
      <c r="D1818" t="s">
        <v>1160</v>
      </c>
      <c r="E1818" t="s">
        <v>765</v>
      </c>
      <c r="F1818" t="s">
        <v>1272</v>
      </c>
      <c r="G1818" t="s">
        <v>619</v>
      </c>
      <c r="H1818" s="595">
        <v>-509.6</v>
      </c>
      <c r="I1818" t="str">
        <f t="shared" si="80"/>
        <v>janeiro 2026</v>
      </c>
      <c r="J1818">
        <f t="shared" si="79"/>
        <v>2026</v>
      </c>
      <c r="K1818" t="str">
        <f>VLOOKUP(G1818,METRICS!C:D,2,0)</f>
        <v>Gelo</v>
      </c>
      <c r="L1818" t="str">
        <f>VLOOKUP(K1818,METRICS!D:E,2,0)</f>
        <v>CUSTOS DOS PRODUTOS VENDIDOS</v>
      </c>
    </row>
    <row r="1819" spans="1:12" ht="15" hidden="1">
      <c r="A1819" t="s">
        <v>1136</v>
      </c>
      <c r="B1819" t="s">
        <v>689</v>
      </c>
      <c r="C1819" t="s">
        <v>690</v>
      </c>
      <c r="D1819" t="s">
        <v>743</v>
      </c>
      <c r="E1819" t="s">
        <v>734</v>
      </c>
      <c r="F1819" t="s">
        <v>1272</v>
      </c>
      <c r="G1819" t="s">
        <v>665</v>
      </c>
      <c r="H1819" s="595">
        <v>-14.01</v>
      </c>
      <c r="I1819" t="str">
        <f t="shared" si="80"/>
        <v>janeiro 2026</v>
      </c>
      <c r="J1819">
        <f t="shared" si="79"/>
        <v>2026</v>
      </c>
      <c r="K1819" t="str">
        <f>VLOOKUP(G1819,METRICS!C:D,2,0)</f>
        <v>Taxas Financeiras Diversas</v>
      </c>
      <c r="L1819" t="str">
        <f>VLOOKUP(K1819,METRICS!D:E,2,0)</f>
        <v>TAXAS CARTÃO DE CRÉDITO</v>
      </c>
    </row>
    <row r="1820" spans="1:12" ht="15" hidden="1">
      <c r="A1820" t="s">
        <v>1136</v>
      </c>
      <c r="B1820" t="s">
        <v>612</v>
      </c>
      <c r="C1820" t="s">
        <v>690</v>
      </c>
      <c r="D1820" t="s">
        <v>1161</v>
      </c>
      <c r="E1820" t="s">
        <v>1162</v>
      </c>
      <c r="F1820" t="s">
        <v>1272</v>
      </c>
      <c r="G1820" t="s">
        <v>625</v>
      </c>
      <c r="H1820" s="595">
        <v>-340.4</v>
      </c>
      <c r="I1820" t="str">
        <f t="shared" ref="I1820:I1858" si="81">TEXT(A1820, "mmmm aaaa")</f>
        <v>janeiro 2026</v>
      </c>
      <c r="J1820">
        <f t="shared" si="79"/>
        <v>2026</v>
      </c>
      <c r="K1820" t="str">
        <f>VLOOKUP(G1820,METRICS!C:D,2,0)</f>
        <v>Manutenção e Conservação</v>
      </c>
      <c r="L1820" t="str">
        <f>VLOOKUP(K1820,METRICS!D:E,2,0)</f>
        <v>OPERAÇÃO</v>
      </c>
    </row>
    <row r="1821" spans="1:12" ht="15" hidden="1">
      <c r="A1821" t="s">
        <v>1136</v>
      </c>
      <c r="B1821" t="s">
        <v>689</v>
      </c>
      <c r="C1821" t="s">
        <v>690</v>
      </c>
      <c r="D1821" t="s">
        <v>860</v>
      </c>
      <c r="E1821" t="s">
        <v>734</v>
      </c>
      <c r="F1821" t="s">
        <v>1272</v>
      </c>
      <c r="G1821" t="s">
        <v>665</v>
      </c>
      <c r="H1821" s="595">
        <v>-3.89</v>
      </c>
      <c r="I1821" t="str">
        <f t="shared" si="81"/>
        <v>janeiro 2026</v>
      </c>
      <c r="J1821">
        <f t="shared" si="79"/>
        <v>2026</v>
      </c>
      <c r="K1821" t="str">
        <f>VLOOKUP(G1821,METRICS!C:D,2,0)</f>
        <v>Taxas Financeiras Diversas</v>
      </c>
      <c r="L1821" t="str">
        <f>VLOOKUP(K1821,METRICS!D:E,2,0)</f>
        <v>TAXAS CARTÃO DE CRÉDITO</v>
      </c>
    </row>
    <row r="1822" spans="1:12" ht="15" hidden="1">
      <c r="A1822" t="s">
        <v>1136</v>
      </c>
      <c r="B1822" t="s">
        <v>689</v>
      </c>
      <c r="C1822" t="s">
        <v>690</v>
      </c>
      <c r="D1822" t="s">
        <v>733</v>
      </c>
      <c r="E1822" t="s">
        <v>734</v>
      </c>
      <c r="F1822" t="s">
        <v>1272</v>
      </c>
      <c r="G1822" t="s">
        <v>665</v>
      </c>
      <c r="H1822" s="595">
        <v>-10.01</v>
      </c>
      <c r="I1822" t="str">
        <f t="shared" si="81"/>
        <v>janeiro 2026</v>
      </c>
      <c r="J1822">
        <f t="shared" si="79"/>
        <v>2026</v>
      </c>
      <c r="K1822" t="str">
        <f>VLOOKUP(G1822,METRICS!C:D,2,0)</f>
        <v>Taxas Financeiras Diversas</v>
      </c>
      <c r="L1822" t="str">
        <f>VLOOKUP(K1822,METRICS!D:E,2,0)</f>
        <v>TAXAS CARTÃO DE CRÉDITO</v>
      </c>
    </row>
    <row r="1823" spans="1:12" ht="15" hidden="1">
      <c r="A1823" t="s">
        <v>1136</v>
      </c>
      <c r="B1823" t="s">
        <v>689</v>
      </c>
      <c r="C1823" t="s">
        <v>690</v>
      </c>
      <c r="D1823" t="s">
        <v>733</v>
      </c>
      <c r="E1823" t="s">
        <v>734</v>
      </c>
      <c r="F1823" t="s">
        <v>1272</v>
      </c>
      <c r="G1823" t="s">
        <v>665</v>
      </c>
      <c r="H1823" s="595">
        <v>-13.22</v>
      </c>
      <c r="I1823" t="str">
        <f t="shared" si="81"/>
        <v>janeiro 2026</v>
      </c>
      <c r="J1823">
        <f t="shared" si="79"/>
        <v>2026</v>
      </c>
      <c r="K1823" t="str">
        <f>VLOOKUP(G1823,METRICS!C:D,2,0)</f>
        <v>Taxas Financeiras Diversas</v>
      </c>
      <c r="L1823" t="str">
        <f>VLOOKUP(K1823,METRICS!D:E,2,0)</f>
        <v>TAXAS CARTÃO DE CRÉDITO</v>
      </c>
    </row>
    <row r="1824" spans="1:12" ht="15" hidden="1">
      <c r="A1824" t="s">
        <v>1136</v>
      </c>
      <c r="B1824" t="s">
        <v>689</v>
      </c>
      <c r="C1824" t="s">
        <v>690</v>
      </c>
      <c r="D1824" t="s">
        <v>743</v>
      </c>
      <c r="E1824" t="s">
        <v>734</v>
      </c>
      <c r="F1824" t="s">
        <v>1272</v>
      </c>
      <c r="G1824" t="s">
        <v>665</v>
      </c>
      <c r="H1824" s="595">
        <v>-7.32</v>
      </c>
      <c r="I1824" t="str">
        <f t="shared" si="81"/>
        <v>janeiro 2026</v>
      </c>
      <c r="J1824">
        <f t="shared" si="79"/>
        <v>2026</v>
      </c>
      <c r="K1824" t="str">
        <f>VLOOKUP(G1824,METRICS!C:D,2,0)</f>
        <v>Taxas Financeiras Diversas</v>
      </c>
      <c r="L1824" t="str">
        <f>VLOOKUP(K1824,METRICS!D:E,2,0)</f>
        <v>TAXAS CARTÃO DE CRÉDITO</v>
      </c>
    </row>
    <row r="1825" spans="1:12" ht="15" hidden="1">
      <c r="A1825" t="s">
        <v>1136</v>
      </c>
      <c r="B1825" t="s">
        <v>612</v>
      </c>
      <c r="C1825" t="s">
        <v>690</v>
      </c>
      <c r="D1825" t="s">
        <v>1163</v>
      </c>
      <c r="E1825" t="s">
        <v>936</v>
      </c>
      <c r="F1825" t="s">
        <v>1272</v>
      </c>
      <c r="G1825" t="s">
        <v>283</v>
      </c>
      <c r="H1825" s="595">
        <v>-2794</v>
      </c>
      <c r="I1825" t="str">
        <f t="shared" si="81"/>
        <v>janeiro 2026</v>
      </c>
      <c r="J1825">
        <f t="shared" si="79"/>
        <v>2026</v>
      </c>
      <c r="K1825" t="str">
        <f>VLOOKUP(G1825,METRICS!C:D,2,0)</f>
        <v>Hostess</v>
      </c>
      <c r="L1825" t="str">
        <f>VLOOKUP(K1825,METRICS!D:E,2,0)</f>
        <v>OPERAÇÃO</v>
      </c>
    </row>
    <row r="1826" spans="1:12" ht="15" hidden="1">
      <c r="A1826" t="s">
        <v>1136</v>
      </c>
      <c r="B1826" t="s">
        <v>689</v>
      </c>
      <c r="C1826" t="s">
        <v>690</v>
      </c>
      <c r="D1826" t="s">
        <v>733</v>
      </c>
      <c r="E1826" t="s">
        <v>734</v>
      </c>
      <c r="F1826" t="s">
        <v>1272</v>
      </c>
      <c r="G1826" t="s">
        <v>665</v>
      </c>
      <c r="H1826" s="595">
        <v>-4.01</v>
      </c>
      <c r="I1826" t="str">
        <f t="shared" si="81"/>
        <v>janeiro 2026</v>
      </c>
      <c r="J1826">
        <f t="shared" si="79"/>
        <v>2026</v>
      </c>
      <c r="K1826" t="str">
        <f>VLOOKUP(G1826,METRICS!C:D,2,0)</f>
        <v>Taxas Financeiras Diversas</v>
      </c>
      <c r="L1826" t="str">
        <f>VLOOKUP(K1826,METRICS!D:E,2,0)</f>
        <v>TAXAS CARTÃO DE CRÉDITO</v>
      </c>
    </row>
    <row r="1827" spans="1:12" ht="15" hidden="1">
      <c r="A1827" t="s">
        <v>1164</v>
      </c>
      <c r="B1827" t="s">
        <v>689</v>
      </c>
      <c r="C1827" t="s">
        <v>690</v>
      </c>
      <c r="D1827" t="s">
        <v>733</v>
      </c>
      <c r="E1827" t="s">
        <v>734</v>
      </c>
      <c r="F1827" t="s">
        <v>1272</v>
      </c>
      <c r="G1827" t="s">
        <v>665</v>
      </c>
      <c r="H1827" s="595">
        <v>-6.4</v>
      </c>
      <c r="I1827" t="str">
        <f t="shared" si="81"/>
        <v>janeiro 2026</v>
      </c>
      <c r="J1827">
        <f t="shared" si="79"/>
        <v>2026</v>
      </c>
      <c r="K1827" t="str">
        <f>VLOOKUP(G1827,METRICS!C:D,2,0)</f>
        <v>Taxas Financeiras Diversas</v>
      </c>
      <c r="L1827" t="str">
        <f>VLOOKUP(K1827,METRICS!D:E,2,0)</f>
        <v>TAXAS CARTÃO DE CRÉDITO</v>
      </c>
    </row>
    <row r="1828" spans="1:12" ht="15" hidden="1">
      <c r="A1828" t="s">
        <v>1164</v>
      </c>
      <c r="B1828" t="s">
        <v>612</v>
      </c>
      <c r="C1828" t="s">
        <v>690</v>
      </c>
      <c r="D1828" t="s">
        <v>1165</v>
      </c>
      <c r="E1828" t="s">
        <v>811</v>
      </c>
      <c r="F1828" t="s">
        <v>1272</v>
      </c>
      <c r="G1828" t="s">
        <v>636</v>
      </c>
      <c r="H1828" s="595">
        <v>-1496.33</v>
      </c>
      <c r="I1828" t="str">
        <f t="shared" si="81"/>
        <v>janeiro 2026</v>
      </c>
      <c r="J1828">
        <f t="shared" si="79"/>
        <v>2026</v>
      </c>
      <c r="K1828" t="str">
        <f>VLOOKUP(G1828,METRICS!C:D,2,0)</f>
        <v>Secos - Mercearia</v>
      </c>
      <c r="L1828" t="str">
        <f>VLOOKUP(K1828,METRICS!D:E,2,0)</f>
        <v>CUSTOS DOS PRODUTOS VENDIDOS</v>
      </c>
    </row>
    <row r="1829" spans="1:12" ht="15" hidden="1">
      <c r="A1829" t="s">
        <v>1164</v>
      </c>
      <c r="B1829" t="s">
        <v>689</v>
      </c>
      <c r="C1829" t="s">
        <v>690</v>
      </c>
      <c r="D1829" t="s">
        <v>743</v>
      </c>
      <c r="E1829" t="s">
        <v>734</v>
      </c>
      <c r="F1829" t="s">
        <v>1272</v>
      </c>
      <c r="G1829" t="s">
        <v>665</v>
      </c>
      <c r="H1829" s="595">
        <v>-9.31</v>
      </c>
      <c r="I1829" t="str">
        <f t="shared" si="81"/>
        <v>janeiro 2026</v>
      </c>
      <c r="J1829">
        <f t="shared" si="79"/>
        <v>2026</v>
      </c>
      <c r="K1829" t="str">
        <f>VLOOKUP(G1829,METRICS!C:D,2,0)</f>
        <v>Taxas Financeiras Diversas</v>
      </c>
      <c r="L1829" t="str">
        <f>VLOOKUP(K1829,METRICS!D:E,2,0)</f>
        <v>TAXAS CARTÃO DE CRÉDITO</v>
      </c>
    </row>
    <row r="1830" spans="1:12" ht="15" hidden="1">
      <c r="A1830" t="s">
        <v>1164</v>
      </c>
      <c r="B1830" t="s">
        <v>689</v>
      </c>
      <c r="C1830" t="s">
        <v>690</v>
      </c>
      <c r="D1830" t="s">
        <v>733</v>
      </c>
      <c r="E1830" t="s">
        <v>734</v>
      </c>
      <c r="F1830" t="s">
        <v>1272</v>
      </c>
      <c r="G1830" t="s">
        <v>665</v>
      </c>
      <c r="H1830" s="595">
        <v>-28.81</v>
      </c>
      <c r="I1830" t="str">
        <f t="shared" si="81"/>
        <v>janeiro 2026</v>
      </c>
      <c r="J1830">
        <f t="shared" si="79"/>
        <v>2026</v>
      </c>
      <c r="K1830" t="str">
        <f>VLOOKUP(G1830,METRICS!C:D,2,0)</f>
        <v>Taxas Financeiras Diversas</v>
      </c>
      <c r="L1830" t="str">
        <f>VLOOKUP(K1830,METRICS!D:E,2,0)</f>
        <v>TAXAS CARTÃO DE CRÉDITO</v>
      </c>
    </row>
    <row r="1831" spans="1:12" ht="15" hidden="1">
      <c r="A1831" t="s">
        <v>1164</v>
      </c>
      <c r="B1831" t="s">
        <v>689</v>
      </c>
      <c r="C1831" t="s">
        <v>690</v>
      </c>
      <c r="D1831" t="s">
        <v>743</v>
      </c>
      <c r="E1831" t="s">
        <v>734</v>
      </c>
      <c r="F1831" t="s">
        <v>1272</v>
      </c>
      <c r="G1831" t="s">
        <v>665</v>
      </c>
      <c r="H1831" s="595">
        <v>-0.59</v>
      </c>
      <c r="I1831" t="str">
        <f t="shared" si="81"/>
        <v>janeiro 2026</v>
      </c>
      <c r="J1831">
        <f t="shared" si="79"/>
        <v>2026</v>
      </c>
      <c r="K1831" t="str">
        <f>VLOOKUP(G1831,METRICS!C:D,2,0)</f>
        <v>Taxas Financeiras Diversas</v>
      </c>
      <c r="L1831" t="str">
        <f>VLOOKUP(K1831,METRICS!D:E,2,0)</f>
        <v>TAXAS CARTÃO DE CRÉDITO</v>
      </c>
    </row>
    <row r="1832" spans="1:12" ht="15" hidden="1">
      <c r="A1832" t="s">
        <v>1164</v>
      </c>
      <c r="B1832" t="s">
        <v>689</v>
      </c>
      <c r="C1832" t="s">
        <v>690</v>
      </c>
      <c r="D1832" t="s">
        <v>733</v>
      </c>
      <c r="E1832" t="s">
        <v>734</v>
      </c>
      <c r="F1832" t="s">
        <v>1272</v>
      </c>
      <c r="G1832" t="s">
        <v>665</v>
      </c>
      <c r="H1832" s="595">
        <v>-29.07</v>
      </c>
      <c r="I1832" t="str">
        <f t="shared" si="81"/>
        <v>janeiro 2026</v>
      </c>
      <c r="J1832">
        <f t="shared" si="79"/>
        <v>2026</v>
      </c>
      <c r="K1832" t="str">
        <f>VLOOKUP(G1832,METRICS!C:D,2,0)</f>
        <v>Taxas Financeiras Diversas</v>
      </c>
      <c r="L1832" t="str">
        <f>VLOOKUP(K1832,METRICS!D:E,2,0)</f>
        <v>TAXAS CARTÃO DE CRÉDITO</v>
      </c>
    </row>
    <row r="1833" spans="1:12" ht="15" hidden="1">
      <c r="A1833" t="s">
        <v>1164</v>
      </c>
      <c r="B1833" t="s">
        <v>689</v>
      </c>
      <c r="C1833" t="s">
        <v>690</v>
      </c>
      <c r="D1833" t="s">
        <v>756</v>
      </c>
      <c r="E1833" t="s">
        <v>757</v>
      </c>
      <c r="F1833" t="s">
        <v>1272</v>
      </c>
      <c r="G1833" t="s">
        <v>666</v>
      </c>
      <c r="H1833" s="595">
        <v>-45.2</v>
      </c>
      <c r="I1833" t="str">
        <f t="shared" si="81"/>
        <v>janeiro 2026</v>
      </c>
      <c r="J1833">
        <f t="shared" si="79"/>
        <v>2026</v>
      </c>
      <c r="K1833" t="str">
        <f>VLOOKUP(G1833,METRICS!C:D,2,0)</f>
        <v>Encargos Bancarios</v>
      </c>
      <c r="L1833" t="str">
        <f>VLOOKUP(K1833,METRICS!D:E,2,0)</f>
        <v>DESPESAS FINANCEIRAS</v>
      </c>
    </row>
    <row r="1834" spans="1:12" ht="15" hidden="1">
      <c r="A1834" t="s">
        <v>1164</v>
      </c>
      <c r="B1834" t="s">
        <v>689</v>
      </c>
      <c r="C1834" t="s">
        <v>690</v>
      </c>
      <c r="D1834" t="s">
        <v>733</v>
      </c>
      <c r="E1834" t="s">
        <v>734</v>
      </c>
      <c r="F1834" t="s">
        <v>1272</v>
      </c>
      <c r="G1834" t="s">
        <v>665</v>
      </c>
      <c r="H1834" s="595">
        <v>-18.16</v>
      </c>
      <c r="I1834" t="str">
        <f t="shared" si="81"/>
        <v>janeiro 2026</v>
      </c>
      <c r="J1834">
        <f t="shared" si="79"/>
        <v>2026</v>
      </c>
      <c r="K1834" t="str">
        <f>VLOOKUP(G1834,METRICS!C:D,2,0)</f>
        <v>Taxas Financeiras Diversas</v>
      </c>
      <c r="L1834" t="str">
        <f>VLOOKUP(K1834,METRICS!D:E,2,0)</f>
        <v>TAXAS CARTÃO DE CRÉDITO</v>
      </c>
    </row>
    <row r="1835" spans="1:12" ht="15" hidden="1">
      <c r="A1835" t="s">
        <v>1164</v>
      </c>
      <c r="B1835" t="s">
        <v>612</v>
      </c>
      <c r="C1835" t="s">
        <v>690</v>
      </c>
      <c r="D1835" t="s">
        <v>1166</v>
      </c>
      <c r="E1835" t="s">
        <v>748</v>
      </c>
      <c r="F1835" t="s">
        <v>1272</v>
      </c>
      <c r="G1835" t="s">
        <v>605</v>
      </c>
      <c r="H1835" s="595">
        <v>-1482.25</v>
      </c>
      <c r="I1835" t="str">
        <f t="shared" si="81"/>
        <v>janeiro 2026</v>
      </c>
      <c r="J1835">
        <f t="shared" si="79"/>
        <v>2026</v>
      </c>
      <c r="K1835" t="str">
        <f>VLOOKUP(G1835,METRICS!C:D,2,0)</f>
        <v>Beneficios</v>
      </c>
      <c r="L1835" t="str">
        <f>VLOOKUP(K1835,METRICS!D:E,2,0)</f>
        <v>PESSOAL</v>
      </c>
    </row>
    <row r="1836" spans="1:12" ht="15" hidden="1">
      <c r="A1836" t="s">
        <v>1164</v>
      </c>
      <c r="B1836" t="s">
        <v>689</v>
      </c>
      <c r="C1836" t="s">
        <v>690</v>
      </c>
      <c r="D1836" t="s">
        <v>733</v>
      </c>
      <c r="E1836" t="s">
        <v>734</v>
      </c>
      <c r="F1836" t="s">
        <v>1272</v>
      </c>
      <c r="G1836" t="s">
        <v>665</v>
      </c>
      <c r="H1836" s="595">
        <v>-4.54</v>
      </c>
      <c r="I1836" t="str">
        <f t="shared" si="81"/>
        <v>janeiro 2026</v>
      </c>
      <c r="J1836">
        <f t="shared" si="79"/>
        <v>2026</v>
      </c>
      <c r="K1836" t="str">
        <f>VLOOKUP(G1836,METRICS!C:D,2,0)</f>
        <v>Taxas Financeiras Diversas</v>
      </c>
      <c r="L1836" t="str">
        <f>VLOOKUP(K1836,METRICS!D:E,2,0)</f>
        <v>TAXAS CARTÃO DE CRÉDITO</v>
      </c>
    </row>
    <row r="1837" spans="1:12" ht="15" hidden="1">
      <c r="A1837" t="s">
        <v>1164</v>
      </c>
      <c r="B1837" t="s">
        <v>689</v>
      </c>
      <c r="C1837" t="s">
        <v>690</v>
      </c>
      <c r="D1837" t="s">
        <v>743</v>
      </c>
      <c r="E1837" t="s">
        <v>734</v>
      </c>
      <c r="F1837" t="s">
        <v>1272</v>
      </c>
      <c r="G1837" t="s">
        <v>665</v>
      </c>
      <c r="H1837" s="595">
        <v>-2.7</v>
      </c>
      <c r="I1837" t="str">
        <f t="shared" si="81"/>
        <v>janeiro 2026</v>
      </c>
      <c r="J1837">
        <f t="shared" si="79"/>
        <v>2026</v>
      </c>
      <c r="K1837" t="str">
        <f>VLOOKUP(G1837,METRICS!C:D,2,0)</f>
        <v>Taxas Financeiras Diversas</v>
      </c>
      <c r="L1837" t="str">
        <f>VLOOKUP(K1837,METRICS!D:E,2,0)</f>
        <v>TAXAS CARTÃO DE CRÉDITO</v>
      </c>
    </row>
    <row r="1838" spans="1:12" ht="15" hidden="1">
      <c r="A1838" t="s">
        <v>1164</v>
      </c>
      <c r="B1838" t="s">
        <v>612</v>
      </c>
      <c r="C1838" t="s">
        <v>690</v>
      </c>
      <c r="D1838" t="s">
        <v>1167</v>
      </c>
      <c r="E1838" t="s">
        <v>767</v>
      </c>
      <c r="F1838" t="s">
        <v>1272</v>
      </c>
      <c r="G1838" t="s">
        <v>413</v>
      </c>
      <c r="H1838" s="595">
        <v>-1536</v>
      </c>
      <c r="I1838" t="str">
        <f t="shared" si="81"/>
        <v>janeiro 2026</v>
      </c>
      <c r="J1838">
        <f t="shared" si="79"/>
        <v>2026</v>
      </c>
      <c r="K1838" t="str">
        <f>VLOOKUP(G1838,METRICS!C:D,2,0)</f>
        <v>Pescados</v>
      </c>
      <c r="L1838" t="str">
        <f>VLOOKUP(K1838,METRICS!D:E,2,0)</f>
        <v>CUSTOS DOS PRODUTOS VENDIDOS</v>
      </c>
    </row>
    <row r="1839" spans="1:12" ht="15" hidden="1">
      <c r="A1839" t="s">
        <v>1164</v>
      </c>
      <c r="B1839" t="s">
        <v>689</v>
      </c>
      <c r="C1839" t="s">
        <v>690</v>
      </c>
      <c r="D1839" t="s">
        <v>733</v>
      </c>
      <c r="E1839" t="s">
        <v>734</v>
      </c>
      <c r="F1839" t="s">
        <v>1272</v>
      </c>
      <c r="G1839" t="s">
        <v>665</v>
      </c>
      <c r="H1839" s="595">
        <v>-4.54</v>
      </c>
      <c r="I1839" t="str">
        <f t="shared" si="81"/>
        <v>janeiro 2026</v>
      </c>
      <c r="J1839">
        <f t="shared" si="79"/>
        <v>2026</v>
      </c>
      <c r="K1839" t="str">
        <f>VLOOKUP(G1839,METRICS!C:D,2,0)</f>
        <v>Taxas Financeiras Diversas</v>
      </c>
      <c r="L1839" t="str">
        <f>VLOOKUP(K1839,METRICS!D:E,2,0)</f>
        <v>TAXAS CARTÃO DE CRÉDITO</v>
      </c>
    </row>
    <row r="1840" spans="1:12" ht="15" hidden="1">
      <c r="A1840" t="s">
        <v>1164</v>
      </c>
      <c r="B1840" t="s">
        <v>689</v>
      </c>
      <c r="C1840" t="s">
        <v>690</v>
      </c>
      <c r="D1840" t="s">
        <v>733</v>
      </c>
      <c r="E1840" t="s">
        <v>734</v>
      </c>
      <c r="F1840" t="s">
        <v>1272</v>
      </c>
      <c r="G1840" t="s">
        <v>665</v>
      </c>
      <c r="H1840" s="595">
        <v>-3.16</v>
      </c>
      <c r="I1840" t="str">
        <f t="shared" si="81"/>
        <v>janeiro 2026</v>
      </c>
      <c r="J1840">
        <f t="shared" si="79"/>
        <v>2026</v>
      </c>
      <c r="K1840" t="str">
        <f>VLOOKUP(G1840,METRICS!C:D,2,0)</f>
        <v>Taxas Financeiras Diversas</v>
      </c>
      <c r="L1840" t="str">
        <f>VLOOKUP(K1840,METRICS!D:E,2,0)</f>
        <v>TAXAS CARTÃO DE CRÉDITO</v>
      </c>
    </row>
    <row r="1841" spans="1:12" ht="15" hidden="1">
      <c r="A1841" t="s">
        <v>1164</v>
      </c>
      <c r="B1841" t="s">
        <v>612</v>
      </c>
      <c r="C1841" t="s">
        <v>690</v>
      </c>
      <c r="D1841" t="s">
        <v>1168</v>
      </c>
      <c r="E1841" t="s">
        <v>834</v>
      </c>
      <c r="F1841" t="s">
        <v>1272</v>
      </c>
      <c r="G1841" t="s">
        <v>413</v>
      </c>
      <c r="H1841" s="595">
        <v>-390.5</v>
      </c>
      <c r="I1841" t="str">
        <f t="shared" si="81"/>
        <v>janeiro 2026</v>
      </c>
      <c r="J1841">
        <f t="shared" si="79"/>
        <v>2026</v>
      </c>
      <c r="K1841" t="str">
        <f>VLOOKUP(G1841,METRICS!C:D,2,0)</f>
        <v>Pescados</v>
      </c>
      <c r="L1841" t="str">
        <f>VLOOKUP(K1841,METRICS!D:E,2,0)</f>
        <v>CUSTOS DOS PRODUTOS VENDIDOS</v>
      </c>
    </row>
    <row r="1842" spans="1:12" ht="15" hidden="1">
      <c r="A1842" s="593" t="s">
        <v>1164</v>
      </c>
      <c r="B1842" s="593" t="s">
        <v>612</v>
      </c>
      <c r="C1842" s="593" t="s">
        <v>690</v>
      </c>
      <c r="D1842" s="593" t="s">
        <v>1169</v>
      </c>
      <c r="E1842" s="593" t="s">
        <v>892</v>
      </c>
      <c r="F1842" s="593" t="s">
        <v>1272</v>
      </c>
      <c r="G1842" t="s">
        <v>615</v>
      </c>
      <c r="H1842" s="594">
        <v>-180</v>
      </c>
      <c r="I1842" s="593" t="str">
        <f t="shared" si="81"/>
        <v>janeiro 2026</v>
      </c>
      <c r="J1842" s="593">
        <f t="shared" si="79"/>
        <v>2026</v>
      </c>
      <c r="K1842" s="593" t="str">
        <f>VLOOKUP(G1842,METRICS!C:D,2,0)</f>
        <v>Embalagens</v>
      </c>
      <c r="L1842" s="593" t="str">
        <f>VLOOKUP(K1842,METRICS!D:E,2,0)</f>
        <v>OPERAÇÃO</v>
      </c>
    </row>
    <row r="1843" spans="1:12" ht="15" hidden="1">
      <c r="A1843" t="s">
        <v>1164</v>
      </c>
      <c r="B1843" t="s">
        <v>612</v>
      </c>
      <c r="C1843" t="s">
        <v>690</v>
      </c>
      <c r="D1843" t="s">
        <v>1170</v>
      </c>
      <c r="E1843" t="s">
        <v>1171</v>
      </c>
      <c r="F1843" t="s">
        <v>1272</v>
      </c>
      <c r="G1843" t="s">
        <v>615</v>
      </c>
      <c r="H1843" s="595">
        <v>-358.6</v>
      </c>
      <c r="I1843" t="str">
        <f t="shared" si="81"/>
        <v>janeiro 2026</v>
      </c>
      <c r="J1843">
        <f t="shared" si="79"/>
        <v>2026</v>
      </c>
      <c r="K1843" t="str">
        <f>VLOOKUP(G1843,METRICS!C:D,2,0)</f>
        <v>Embalagens</v>
      </c>
      <c r="L1843" t="str">
        <f>VLOOKUP(K1843,METRICS!D:E,2,0)</f>
        <v>OPERAÇÃO</v>
      </c>
    </row>
    <row r="1844" spans="1:12" ht="15" hidden="1">
      <c r="A1844" t="s">
        <v>1164</v>
      </c>
      <c r="B1844" t="s">
        <v>689</v>
      </c>
      <c r="C1844" t="s">
        <v>690</v>
      </c>
      <c r="D1844" t="s">
        <v>733</v>
      </c>
      <c r="E1844" t="s">
        <v>734</v>
      </c>
      <c r="F1844" t="s">
        <v>1272</v>
      </c>
      <c r="G1844" t="s">
        <v>665</v>
      </c>
      <c r="H1844" s="595">
        <v>-2.39</v>
      </c>
      <c r="I1844" t="str">
        <f t="shared" si="81"/>
        <v>janeiro 2026</v>
      </c>
      <c r="J1844">
        <f t="shared" ref="J1844:J1907" si="82">YEAR(A1844)</f>
        <v>2026</v>
      </c>
      <c r="K1844" t="str">
        <f>VLOOKUP(G1844,METRICS!C:D,2,0)</f>
        <v>Taxas Financeiras Diversas</v>
      </c>
      <c r="L1844" t="str">
        <f>VLOOKUP(K1844,METRICS!D:E,2,0)</f>
        <v>TAXAS CARTÃO DE CRÉDITO</v>
      </c>
    </row>
    <row r="1845" spans="1:12" ht="15" hidden="1">
      <c r="A1845" t="s">
        <v>1164</v>
      </c>
      <c r="B1845" t="s">
        <v>689</v>
      </c>
      <c r="C1845" t="s">
        <v>690</v>
      </c>
      <c r="D1845" t="s">
        <v>733</v>
      </c>
      <c r="E1845" t="s">
        <v>734</v>
      </c>
      <c r="F1845" t="s">
        <v>1272</v>
      </c>
      <c r="G1845" t="s">
        <v>665</v>
      </c>
      <c r="H1845" s="595">
        <v>-23.69</v>
      </c>
      <c r="I1845" t="str">
        <f t="shared" si="81"/>
        <v>janeiro 2026</v>
      </c>
      <c r="J1845">
        <f t="shared" si="82"/>
        <v>2026</v>
      </c>
      <c r="K1845" t="str">
        <f>VLOOKUP(G1845,METRICS!C:D,2,0)</f>
        <v>Taxas Financeiras Diversas</v>
      </c>
      <c r="L1845" t="str">
        <f>VLOOKUP(K1845,METRICS!D:E,2,0)</f>
        <v>TAXAS CARTÃO DE CRÉDITO</v>
      </c>
    </row>
    <row r="1846" spans="1:12" ht="15" hidden="1">
      <c r="A1846" t="s">
        <v>1164</v>
      </c>
      <c r="B1846" t="s">
        <v>689</v>
      </c>
      <c r="C1846" t="s">
        <v>690</v>
      </c>
      <c r="D1846" t="s">
        <v>743</v>
      </c>
      <c r="E1846" t="s">
        <v>734</v>
      </c>
      <c r="F1846" t="s">
        <v>1272</v>
      </c>
      <c r="G1846" t="s">
        <v>665</v>
      </c>
      <c r="H1846" s="595">
        <v>-1.62</v>
      </c>
      <c r="I1846" t="str">
        <f t="shared" si="81"/>
        <v>janeiro 2026</v>
      </c>
      <c r="J1846">
        <f t="shared" si="82"/>
        <v>2026</v>
      </c>
      <c r="K1846" t="str">
        <f>VLOOKUP(G1846,METRICS!C:D,2,0)</f>
        <v>Taxas Financeiras Diversas</v>
      </c>
      <c r="L1846" t="str">
        <f>VLOOKUP(K1846,METRICS!D:E,2,0)</f>
        <v>TAXAS CARTÃO DE CRÉDITO</v>
      </c>
    </row>
    <row r="1847" spans="1:12" ht="15" hidden="1">
      <c r="A1847" t="s">
        <v>1164</v>
      </c>
      <c r="B1847" t="s">
        <v>689</v>
      </c>
      <c r="C1847" t="s">
        <v>690</v>
      </c>
      <c r="D1847" t="s">
        <v>743</v>
      </c>
      <c r="E1847" t="s">
        <v>734</v>
      </c>
      <c r="F1847" t="s">
        <v>1272</v>
      </c>
      <c r="G1847" t="s">
        <v>665</v>
      </c>
      <c r="H1847" s="595">
        <v>-7.23</v>
      </c>
      <c r="I1847" t="str">
        <f t="shared" si="81"/>
        <v>janeiro 2026</v>
      </c>
      <c r="J1847">
        <f t="shared" si="82"/>
        <v>2026</v>
      </c>
      <c r="K1847" t="str">
        <f>VLOOKUP(G1847,METRICS!C:D,2,0)</f>
        <v>Taxas Financeiras Diversas</v>
      </c>
      <c r="L1847" t="str">
        <f>VLOOKUP(K1847,METRICS!D:E,2,0)</f>
        <v>TAXAS CARTÃO DE CRÉDITO</v>
      </c>
    </row>
    <row r="1848" spans="1:12" ht="15" hidden="1">
      <c r="A1848" t="s">
        <v>1164</v>
      </c>
      <c r="B1848" t="s">
        <v>689</v>
      </c>
      <c r="C1848" t="s">
        <v>690</v>
      </c>
      <c r="D1848" t="s">
        <v>743</v>
      </c>
      <c r="E1848" t="s">
        <v>734</v>
      </c>
      <c r="F1848" t="s">
        <v>1272</v>
      </c>
      <c r="G1848" t="s">
        <v>665</v>
      </c>
      <c r="H1848" s="595">
        <v>-1.42</v>
      </c>
      <c r="I1848" t="str">
        <f t="shared" si="81"/>
        <v>janeiro 2026</v>
      </c>
      <c r="J1848">
        <f t="shared" si="82"/>
        <v>2026</v>
      </c>
      <c r="K1848" t="str">
        <f>VLOOKUP(G1848,METRICS!C:D,2,0)</f>
        <v>Taxas Financeiras Diversas</v>
      </c>
      <c r="L1848" t="str">
        <f>VLOOKUP(K1848,METRICS!D:E,2,0)</f>
        <v>TAXAS CARTÃO DE CRÉDITO</v>
      </c>
    </row>
    <row r="1849" spans="1:12" ht="15" hidden="1">
      <c r="A1849" t="s">
        <v>1164</v>
      </c>
      <c r="B1849" t="s">
        <v>689</v>
      </c>
      <c r="C1849" t="s">
        <v>690</v>
      </c>
      <c r="D1849" t="s">
        <v>733</v>
      </c>
      <c r="E1849" t="s">
        <v>734</v>
      </c>
      <c r="F1849" t="s">
        <v>1272</v>
      </c>
      <c r="G1849" t="s">
        <v>665</v>
      </c>
      <c r="H1849" s="595">
        <v>-6.92</v>
      </c>
      <c r="I1849" t="str">
        <f t="shared" si="81"/>
        <v>janeiro 2026</v>
      </c>
      <c r="J1849">
        <f t="shared" si="82"/>
        <v>2026</v>
      </c>
      <c r="K1849" t="str">
        <f>VLOOKUP(G1849,METRICS!C:D,2,0)</f>
        <v>Taxas Financeiras Diversas</v>
      </c>
      <c r="L1849" t="str">
        <f>VLOOKUP(K1849,METRICS!D:E,2,0)</f>
        <v>TAXAS CARTÃO DE CRÉDITO</v>
      </c>
    </row>
    <row r="1850" spans="1:12" ht="15" hidden="1">
      <c r="A1850" t="s">
        <v>1164</v>
      </c>
      <c r="B1850" t="s">
        <v>612</v>
      </c>
      <c r="C1850" t="s">
        <v>690</v>
      </c>
      <c r="D1850" t="s">
        <v>1172</v>
      </c>
      <c r="E1850" t="s">
        <v>750</v>
      </c>
      <c r="F1850" t="s">
        <v>1272</v>
      </c>
      <c r="G1850" t="s">
        <v>610</v>
      </c>
      <c r="H1850" s="595">
        <v>-3184</v>
      </c>
      <c r="I1850" t="str">
        <f t="shared" si="81"/>
        <v>janeiro 2026</v>
      </c>
      <c r="J1850">
        <f t="shared" si="82"/>
        <v>2026</v>
      </c>
      <c r="K1850" t="str">
        <f>VLOOKUP(G1850,METRICS!C:D,2,0)</f>
        <v>Carvão</v>
      </c>
      <c r="L1850" t="str">
        <f>VLOOKUP(K1850,METRICS!D:E,2,0)</f>
        <v>CUSTOS DOS PRODUTOS VENDIDOS</v>
      </c>
    </row>
    <row r="1851" spans="1:12" ht="15" hidden="1">
      <c r="A1851" t="s">
        <v>1164</v>
      </c>
      <c r="B1851" t="s">
        <v>689</v>
      </c>
      <c r="C1851" t="s">
        <v>690</v>
      </c>
      <c r="D1851" t="s">
        <v>883</v>
      </c>
      <c r="E1851" t="s">
        <v>746</v>
      </c>
      <c r="F1851" t="s">
        <v>1272</v>
      </c>
      <c r="G1851" t="s">
        <v>669</v>
      </c>
      <c r="H1851" s="595">
        <v>-205.71</v>
      </c>
      <c r="I1851" t="str">
        <f t="shared" si="81"/>
        <v>janeiro 2026</v>
      </c>
      <c r="J1851">
        <f t="shared" si="82"/>
        <v>2026</v>
      </c>
      <c r="K1851" t="str">
        <f>VLOOKUP(G1851,METRICS!C:D,2,0)</f>
        <v>Taxas Financeiras Diversas</v>
      </c>
      <c r="L1851" t="str">
        <f>VLOOKUP(K1851,METRICS!D:E,2,0)</f>
        <v>TAXAS CARTÃO DE CRÉDITO</v>
      </c>
    </row>
    <row r="1852" spans="1:12" ht="15" hidden="1">
      <c r="A1852" t="s">
        <v>1164</v>
      </c>
      <c r="B1852" t="s">
        <v>612</v>
      </c>
      <c r="C1852" t="s">
        <v>690</v>
      </c>
      <c r="D1852" t="s">
        <v>1173</v>
      </c>
      <c r="E1852" t="s">
        <v>898</v>
      </c>
      <c r="F1852" t="s">
        <v>1272</v>
      </c>
      <c r="G1852" t="s">
        <v>609</v>
      </c>
      <c r="H1852" s="595">
        <v>-1740</v>
      </c>
      <c r="I1852" t="str">
        <f t="shared" si="81"/>
        <v>janeiro 2026</v>
      </c>
      <c r="J1852">
        <f t="shared" si="82"/>
        <v>2026</v>
      </c>
      <c r="K1852" t="str">
        <f>VLOOKUP(G1852,METRICS!C:D,2,0)</f>
        <v>Carnes e Aves</v>
      </c>
      <c r="L1852" t="str">
        <f>VLOOKUP(K1852,METRICS!D:E,2,0)</f>
        <v>CUSTOS DOS PRODUTOS VENDIDOS</v>
      </c>
    </row>
    <row r="1853" spans="1:12" ht="15" hidden="1">
      <c r="A1853" t="s">
        <v>1164</v>
      </c>
      <c r="B1853" t="s">
        <v>689</v>
      </c>
      <c r="C1853" t="s">
        <v>690</v>
      </c>
      <c r="D1853" t="s">
        <v>733</v>
      </c>
      <c r="E1853" t="s">
        <v>734</v>
      </c>
      <c r="F1853" t="s">
        <v>1272</v>
      </c>
      <c r="G1853" t="s">
        <v>665</v>
      </c>
      <c r="H1853" s="595">
        <v>-1.17</v>
      </c>
      <c r="I1853" t="str">
        <f t="shared" si="81"/>
        <v>janeiro 2026</v>
      </c>
      <c r="J1853">
        <f t="shared" si="82"/>
        <v>2026</v>
      </c>
      <c r="K1853" t="str">
        <f>VLOOKUP(G1853,METRICS!C:D,2,0)</f>
        <v>Taxas Financeiras Diversas</v>
      </c>
      <c r="L1853" t="str">
        <f>VLOOKUP(K1853,METRICS!D:E,2,0)</f>
        <v>TAXAS CARTÃO DE CRÉDITO</v>
      </c>
    </row>
    <row r="1854" spans="1:12" ht="15" hidden="1">
      <c r="A1854" t="s">
        <v>1164</v>
      </c>
      <c r="B1854" t="s">
        <v>612</v>
      </c>
      <c r="C1854" t="s">
        <v>690</v>
      </c>
      <c r="D1854" t="s">
        <v>1174</v>
      </c>
      <c r="E1854" t="s">
        <v>828</v>
      </c>
      <c r="F1854" t="s">
        <v>1272</v>
      </c>
      <c r="G1854" t="s">
        <v>636</v>
      </c>
      <c r="H1854" s="595">
        <v>-3555.61</v>
      </c>
      <c r="I1854" t="str">
        <f t="shared" si="81"/>
        <v>janeiro 2026</v>
      </c>
      <c r="J1854">
        <f t="shared" si="82"/>
        <v>2026</v>
      </c>
      <c r="K1854" t="str">
        <f>VLOOKUP(G1854,METRICS!C:D,2,0)</f>
        <v>Secos - Mercearia</v>
      </c>
      <c r="L1854" t="str">
        <f>VLOOKUP(K1854,METRICS!D:E,2,0)</f>
        <v>CUSTOS DOS PRODUTOS VENDIDOS</v>
      </c>
    </row>
    <row r="1855" spans="1:12" ht="15" hidden="1">
      <c r="A1855" t="s">
        <v>1164</v>
      </c>
      <c r="B1855" t="s">
        <v>689</v>
      </c>
      <c r="C1855" t="s">
        <v>690</v>
      </c>
      <c r="D1855" t="s">
        <v>743</v>
      </c>
      <c r="E1855" t="s">
        <v>734</v>
      </c>
      <c r="F1855" t="s">
        <v>1272</v>
      </c>
      <c r="G1855" t="s">
        <v>665</v>
      </c>
      <c r="H1855" s="595">
        <v>-7.22</v>
      </c>
      <c r="I1855" t="str">
        <f t="shared" si="81"/>
        <v>janeiro 2026</v>
      </c>
      <c r="J1855">
        <f t="shared" si="82"/>
        <v>2026</v>
      </c>
      <c r="K1855" t="str">
        <f>VLOOKUP(G1855,METRICS!C:D,2,0)</f>
        <v>Taxas Financeiras Diversas</v>
      </c>
      <c r="L1855" t="str">
        <f>VLOOKUP(K1855,METRICS!D:E,2,0)</f>
        <v>TAXAS CARTÃO DE CRÉDITO</v>
      </c>
    </row>
    <row r="1856" spans="1:12" ht="15" hidden="1">
      <c r="A1856" t="s">
        <v>1164</v>
      </c>
      <c r="B1856" t="s">
        <v>689</v>
      </c>
      <c r="C1856" t="s">
        <v>690</v>
      </c>
      <c r="D1856" t="s">
        <v>743</v>
      </c>
      <c r="E1856" t="s">
        <v>734</v>
      </c>
      <c r="F1856" t="s">
        <v>1272</v>
      </c>
      <c r="G1856" t="s">
        <v>665</v>
      </c>
      <c r="H1856" s="595">
        <v>-7.84</v>
      </c>
      <c r="I1856" t="str">
        <f t="shared" si="81"/>
        <v>janeiro 2026</v>
      </c>
      <c r="J1856">
        <f t="shared" si="82"/>
        <v>2026</v>
      </c>
      <c r="K1856" t="str">
        <f>VLOOKUP(G1856,METRICS!C:D,2,0)</f>
        <v>Taxas Financeiras Diversas</v>
      </c>
      <c r="L1856" t="str">
        <f>VLOOKUP(K1856,METRICS!D:E,2,0)</f>
        <v>TAXAS CARTÃO DE CRÉDITO</v>
      </c>
    </row>
    <row r="1857" spans="1:12" ht="15" hidden="1">
      <c r="A1857" t="s">
        <v>1164</v>
      </c>
      <c r="B1857" t="s">
        <v>689</v>
      </c>
      <c r="C1857" t="s">
        <v>690</v>
      </c>
      <c r="D1857" t="s">
        <v>733</v>
      </c>
      <c r="E1857" t="s">
        <v>734</v>
      </c>
      <c r="F1857" t="s">
        <v>1272</v>
      </c>
      <c r="G1857" t="s">
        <v>665</v>
      </c>
      <c r="H1857" s="595">
        <v>-12.75</v>
      </c>
      <c r="I1857" t="str">
        <f t="shared" si="81"/>
        <v>janeiro 2026</v>
      </c>
      <c r="J1857">
        <f t="shared" si="82"/>
        <v>2026</v>
      </c>
      <c r="K1857" t="str">
        <f>VLOOKUP(G1857,METRICS!C:D,2,0)</f>
        <v>Taxas Financeiras Diversas</v>
      </c>
      <c r="L1857" t="str">
        <f>VLOOKUP(K1857,METRICS!D:E,2,0)</f>
        <v>TAXAS CARTÃO DE CRÉDITO</v>
      </c>
    </row>
    <row r="1858" spans="1:12" ht="15" hidden="1">
      <c r="A1858" t="s">
        <v>1164</v>
      </c>
      <c r="B1858" t="s">
        <v>689</v>
      </c>
      <c r="C1858" t="s">
        <v>690</v>
      </c>
      <c r="D1858" t="s">
        <v>733</v>
      </c>
      <c r="E1858" t="s">
        <v>734</v>
      </c>
      <c r="F1858" t="s">
        <v>1272</v>
      </c>
      <c r="G1858" t="s">
        <v>665</v>
      </c>
      <c r="H1858" s="595">
        <v>-1.98</v>
      </c>
      <c r="I1858" t="str">
        <f t="shared" si="81"/>
        <v>janeiro 2026</v>
      </c>
      <c r="J1858">
        <f t="shared" si="82"/>
        <v>2026</v>
      </c>
      <c r="K1858" t="str">
        <f>VLOOKUP(G1858,METRICS!C:D,2,0)</f>
        <v>Taxas Financeiras Diversas</v>
      </c>
      <c r="L1858" t="str">
        <f>VLOOKUP(K1858,METRICS!D:E,2,0)</f>
        <v>TAXAS CARTÃO DE CRÉDITO</v>
      </c>
    </row>
    <row r="1859" spans="1:12" ht="15" hidden="1">
      <c r="A1859" t="s">
        <v>1164</v>
      </c>
      <c r="B1859" t="s">
        <v>689</v>
      </c>
      <c r="C1859" t="s">
        <v>690</v>
      </c>
      <c r="D1859" t="s">
        <v>753</v>
      </c>
      <c r="E1859" t="s">
        <v>734</v>
      </c>
      <c r="F1859" t="s">
        <v>1272</v>
      </c>
      <c r="G1859" t="s">
        <v>665</v>
      </c>
      <c r="H1859" s="595">
        <v>-12.34</v>
      </c>
      <c r="I1859" t="str">
        <f t="shared" ref="I1859:I1909" si="83">TEXT(A1859, "mmmm aaaa")</f>
        <v>janeiro 2026</v>
      </c>
      <c r="J1859">
        <f t="shared" si="82"/>
        <v>2026</v>
      </c>
      <c r="K1859" t="str">
        <f>VLOOKUP(G1859,METRICS!C:D,2,0)</f>
        <v>Taxas Financeiras Diversas</v>
      </c>
      <c r="L1859" t="str">
        <f>VLOOKUP(K1859,METRICS!D:E,2,0)</f>
        <v>TAXAS CARTÃO DE CRÉDITO</v>
      </c>
    </row>
    <row r="1860" spans="1:12" ht="15" hidden="1">
      <c r="A1860" t="s">
        <v>1164</v>
      </c>
      <c r="B1860" t="s">
        <v>612</v>
      </c>
      <c r="C1860" t="s">
        <v>690</v>
      </c>
      <c r="D1860" t="s">
        <v>1175</v>
      </c>
      <c r="E1860" t="s">
        <v>964</v>
      </c>
      <c r="F1860" t="s">
        <v>1272</v>
      </c>
      <c r="G1860" t="s">
        <v>607</v>
      </c>
      <c r="H1860" s="595">
        <v>-3932.12</v>
      </c>
      <c r="I1860" t="str">
        <f t="shared" si="83"/>
        <v>janeiro 2026</v>
      </c>
      <c r="J1860">
        <f t="shared" si="82"/>
        <v>2026</v>
      </c>
      <c r="K1860" t="str">
        <f>VLOOKUP(G1860,METRICS!C:D,2,0)</f>
        <v>Bebidas Alcoólicas</v>
      </c>
      <c r="L1860" t="str">
        <f>VLOOKUP(K1860,METRICS!D:E,2,0)</f>
        <v>CUSTOS DOS PRODUTOS VENDIDOS</v>
      </c>
    </row>
    <row r="1861" spans="1:12" ht="15" hidden="1">
      <c r="A1861" t="s">
        <v>1164</v>
      </c>
      <c r="B1861" t="s">
        <v>612</v>
      </c>
      <c r="C1861" t="s">
        <v>690</v>
      </c>
      <c r="D1861" t="s">
        <v>1176</v>
      </c>
      <c r="E1861" t="s">
        <v>1177</v>
      </c>
      <c r="F1861" t="s">
        <v>1272</v>
      </c>
      <c r="G1861" t="s">
        <v>623</v>
      </c>
      <c r="H1861" s="595">
        <v>-265</v>
      </c>
      <c r="I1861" t="str">
        <f t="shared" si="83"/>
        <v>janeiro 2026</v>
      </c>
      <c r="J1861">
        <f t="shared" si="82"/>
        <v>2026</v>
      </c>
      <c r="K1861" t="str">
        <f>VLOOKUP(G1861,METRICS!C:D,2,0)</f>
        <v>Secos - Mercearia</v>
      </c>
      <c r="L1861" t="str">
        <f>VLOOKUP(K1861,METRICS!D:E,2,0)</f>
        <v>CUSTOS DOS PRODUTOS VENDIDOS</v>
      </c>
    </row>
    <row r="1862" spans="1:12" ht="15" hidden="1">
      <c r="A1862" t="s">
        <v>1164</v>
      </c>
      <c r="B1862" t="s">
        <v>689</v>
      </c>
      <c r="C1862" t="s">
        <v>690</v>
      </c>
      <c r="D1862" t="s">
        <v>743</v>
      </c>
      <c r="E1862" t="s">
        <v>734</v>
      </c>
      <c r="F1862" t="s">
        <v>1272</v>
      </c>
      <c r="G1862" t="s">
        <v>665</v>
      </c>
      <c r="H1862" s="595">
        <v>-8.14</v>
      </c>
      <c r="I1862" t="str">
        <f t="shared" si="83"/>
        <v>janeiro 2026</v>
      </c>
      <c r="J1862">
        <f t="shared" si="82"/>
        <v>2026</v>
      </c>
      <c r="K1862" t="str">
        <f>VLOOKUP(G1862,METRICS!C:D,2,0)</f>
        <v>Taxas Financeiras Diversas</v>
      </c>
      <c r="L1862" t="str">
        <f>VLOOKUP(K1862,METRICS!D:E,2,0)</f>
        <v>TAXAS CARTÃO DE CRÉDITO</v>
      </c>
    </row>
    <row r="1863" spans="1:12" ht="15" hidden="1">
      <c r="A1863" t="s">
        <v>1164</v>
      </c>
      <c r="B1863" t="s">
        <v>612</v>
      </c>
      <c r="C1863" t="s">
        <v>690</v>
      </c>
      <c r="D1863" t="s">
        <v>1178</v>
      </c>
      <c r="E1863" t="s">
        <v>765</v>
      </c>
      <c r="F1863" t="s">
        <v>1272</v>
      </c>
      <c r="G1863" t="s">
        <v>619</v>
      </c>
      <c r="H1863" s="595">
        <v>-509.6</v>
      </c>
      <c r="I1863" t="str">
        <f t="shared" si="83"/>
        <v>janeiro 2026</v>
      </c>
      <c r="J1863">
        <f t="shared" si="82"/>
        <v>2026</v>
      </c>
      <c r="K1863" t="str">
        <f>VLOOKUP(G1863,METRICS!C:D,2,0)</f>
        <v>Gelo</v>
      </c>
      <c r="L1863" t="str">
        <f>VLOOKUP(K1863,METRICS!D:E,2,0)</f>
        <v>CUSTOS DOS PRODUTOS VENDIDOS</v>
      </c>
    </row>
    <row r="1864" spans="1:12" ht="15" hidden="1">
      <c r="A1864" t="s">
        <v>1164</v>
      </c>
      <c r="B1864" t="s">
        <v>689</v>
      </c>
      <c r="C1864" t="s">
        <v>690</v>
      </c>
      <c r="D1864" t="s">
        <v>743</v>
      </c>
      <c r="E1864" t="s">
        <v>734</v>
      </c>
      <c r="F1864" t="s">
        <v>1272</v>
      </c>
      <c r="G1864" t="s">
        <v>665</v>
      </c>
      <c r="H1864" s="595">
        <v>-22.12</v>
      </c>
      <c r="I1864" t="str">
        <f t="shared" si="83"/>
        <v>janeiro 2026</v>
      </c>
      <c r="J1864">
        <f t="shared" si="82"/>
        <v>2026</v>
      </c>
      <c r="K1864" t="str">
        <f>VLOOKUP(G1864,METRICS!C:D,2,0)</f>
        <v>Taxas Financeiras Diversas</v>
      </c>
      <c r="L1864" t="str">
        <f>VLOOKUP(K1864,METRICS!D:E,2,0)</f>
        <v>TAXAS CARTÃO DE CRÉDITO</v>
      </c>
    </row>
    <row r="1865" spans="1:12" ht="15" hidden="1">
      <c r="A1865" t="s">
        <v>1164</v>
      </c>
      <c r="B1865" t="s">
        <v>689</v>
      </c>
      <c r="C1865" t="s">
        <v>690</v>
      </c>
      <c r="D1865" t="s">
        <v>733</v>
      </c>
      <c r="E1865" t="s">
        <v>734</v>
      </c>
      <c r="F1865" t="s">
        <v>1272</v>
      </c>
      <c r="G1865" t="s">
        <v>665</v>
      </c>
      <c r="H1865" s="595">
        <v>-3.09</v>
      </c>
      <c r="I1865" t="str">
        <f t="shared" si="83"/>
        <v>janeiro 2026</v>
      </c>
      <c r="J1865">
        <f t="shared" si="82"/>
        <v>2026</v>
      </c>
      <c r="K1865" t="str">
        <f>VLOOKUP(G1865,METRICS!C:D,2,0)</f>
        <v>Taxas Financeiras Diversas</v>
      </c>
      <c r="L1865" t="str">
        <f>VLOOKUP(K1865,METRICS!D:E,2,0)</f>
        <v>TAXAS CARTÃO DE CRÉDITO</v>
      </c>
    </row>
    <row r="1866" spans="1:12" ht="15" hidden="1">
      <c r="A1866" t="s">
        <v>1164</v>
      </c>
      <c r="B1866" t="s">
        <v>689</v>
      </c>
      <c r="C1866" t="s">
        <v>690</v>
      </c>
      <c r="D1866" t="s">
        <v>733</v>
      </c>
      <c r="E1866" t="s">
        <v>734</v>
      </c>
      <c r="F1866" t="s">
        <v>1272</v>
      </c>
      <c r="G1866" t="s">
        <v>665</v>
      </c>
      <c r="H1866" s="595">
        <v>-3.07</v>
      </c>
      <c r="I1866" t="str">
        <f t="shared" si="83"/>
        <v>janeiro 2026</v>
      </c>
      <c r="J1866">
        <f t="shared" si="82"/>
        <v>2026</v>
      </c>
      <c r="K1866" t="str">
        <f>VLOOKUP(G1866,METRICS!C:D,2,0)</f>
        <v>Taxas Financeiras Diversas</v>
      </c>
      <c r="L1866" t="str">
        <f>VLOOKUP(K1866,METRICS!D:E,2,0)</f>
        <v>TAXAS CARTÃO DE CRÉDITO</v>
      </c>
    </row>
    <row r="1867" spans="1:12" ht="15" hidden="1">
      <c r="A1867" t="s">
        <v>1164</v>
      </c>
      <c r="B1867" t="s">
        <v>689</v>
      </c>
      <c r="C1867" t="s">
        <v>690</v>
      </c>
      <c r="D1867" t="s">
        <v>733</v>
      </c>
      <c r="E1867" t="s">
        <v>734</v>
      </c>
      <c r="F1867" t="s">
        <v>1272</v>
      </c>
      <c r="G1867" t="s">
        <v>665</v>
      </c>
      <c r="H1867" s="595">
        <v>-1.25</v>
      </c>
      <c r="I1867" t="str">
        <f t="shared" si="83"/>
        <v>janeiro 2026</v>
      </c>
      <c r="J1867">
        <f t="shared" si="82"/>
        <v>2026</v>
      </c>
      <c r="K1867" t="str">
        <f>VLOOKUP(G1867,METRICS!C:D,2,0)</f>
        <v>Taxas Financeiras Diversas</v>
      </c>
      <c r="L1867" t="str">
        <f>VLOOKUP(K1867,METRICS!D:E,2,0)</f>
        <v>TAXAS CARTÃO DE CRÉDITO</v>
      </c>
    </row>
    <row r="1868" spans="1:12" ht="15" hidden="1">
      <c r="A1868" t="s">
        <v>1164</v>
      </c>
      <c r="B1868" t="s">
        <v>689</v>
      </c>
      <c r="C1868" t="s">
        <v>690</v>
      </c>
      <c r="D1868" t="s">
        <v>743</v>
      </c>
      <c r="E1868" t="s">
        <v>734</v>
      </c>
      <c r="F1868" t="s">
        <v>1272</v>
      </c>
      <c r="G1868" t="s">
        <v>665</v>
      </c>
      <c r="H1868" s="595">
        <v>-12.15</v>
      </c>
      <c r="I1868" t="str">
        <f t="shared" si="83"/>
        <v>janeiro 2026</v>
      </c>
      <c r="J1868">
        <f t="shared" si="82"/>
        <v>2026</v>
      </c>
      <c r="K1868" t="str">
        <f>VLOOKUP(G1868,METRICS!C:D,2,0)</f>
        <v>Taxas Financeiras Diversas</v>
      </c>
      <c r="L1868" t="str">
        <f>VLOOKUP(K1868,METRICS!D:E,2,0)</f>
        <v>TAXAS CARTÃO DE CRÉDITO</v>
      </c>
    </row>
    <row r="1869" spans="1:12" ht="15" hidden="1">
      <c r="A1869" t="s">
        <v>1164</v>
      </c>
      <c r="B1869" t="s">
        <v>689</v>
      </c>
      <c r="C1869" t="s">
        <v>690</v>
      </c>
      <c r="D1869" t="s">
        <v>743</v>
      </c>
      <c r="E1869" t="s">
        <v>734</v>
      </c>
      <c r="F1869" t="s">
        <v>1272</v>
      </c>
      <c r="G1869" t="s">
        <v>665</v>
      </c>
      <c r="H1869" s="595">
        <v>-5.99</v>
      </c>
      <c r="I1869" t="str">
        <f t="shared" si="83"/>
        <v>janeiro 2026</v>
      </c>
      <c r="J1869">
        <f t="shared" si="82"/>
        <v>2026</v>
      </c>
      <c r="K1869" t="str">
        <f>VLOOKUP(G1869,METRICS!C:D,2,0)</f>
        <v>Taxas Financeiras Diversas</v>
      </c>
      <c r="L1869" t="str">
        <f>VLOOKUP(K1869,METRICS!D:E,2,0)</f>
        <v>TAXAS CARTÃO DE CRÉDITO</v>
      </c>
    </row>
    <row r="1870" spans="1:12" ht="15" hidden="1">
      <c r="A1870" t="s">
        <v>1164</v>
      </c>
      <c r="B1870" t="s">
        <v>689</v>
      </c>
      <c r="C1870" t="s">
        <v>690</v>
      </c>
      <c r="D1870" t="s">
        <v>733</v>
      </c>
      <c r="E1870" t="s">
        <v>734</v>
      </c>
      <c r="F1870" t="s">
        <v>1272</v>
      </c>
      <c r="G1870" t="s">
        <v>665</v>
      </c>
      <c r="H1870" s="595">
        <v>-1.67</v>
      </c>
      <c r="I1870" t="str">
        <f t="shared" si="83"/>
        <v>janeiro 2026</v>
      </c>
      <c r="J1870">
        <f t="shared" si="82"/>
        <v>2026</v>
      </c>
      <c r="K1870" t="str">
        <f>VLOOKUP(G1870,METRICS!C:D,2,0)</f>
        <v>Taxas Financeiras Diversas</v>
      </c>
      <c r="L1870" t="str">
        <f>VLOOKUP(K1870,METRICS!D:E,2,0)</f>
        <v>TAXAS CARTÃO DE CRÉDITO</v>
      </c>
    </row>
    <row r="1871" spans="1:12" ht="15" hidden="1">
      <c r="A1871" t="s">
        <v>1164</v>
      </c>
      <c r="B1871" t="s">
        <v>689</v>
      </c>
      <c r="C1871" t="s">
        <v>690</v>
      </c>
      <c r="D1871" t="s">
        <v>733</v>
      </c>
      <c r="E1871" t="s">
        <v>734</v>
      </c>
      <c r="F1871" t="s">
        <v>1272</v>
      </c>
      <c r="G1871" t="s">
        <v>665</v>
      </c>
      <c r="H1871" s="595">
        <v>-12.04</v>
      </c>
      <c r="I1871" t="str">
        <f t="shared" si="83"/>
        <v>janeiro 2026</v>
      </c>
      <c r="J1871">
        <f t="shared" si="82"/>
        <v>2026</v>
      </c>
      <c r="K1871" t="str">
        <f>VLOOKUP(G1871,METRICS!C:D,2,0)</f>
        <v>Taxas Financeiras Diversas</v>
      </c>
      <c r="L1871" t="str">
        <f>VLOOKUP(K1871,METRICS!D:E,2,0)</f>
        <v>TAXAS CARTÃO DE CRÉDITO</v>
      </c>
    </row>
    <row r="1872" spans="1:12" ht="15" hidden="1">
      <c r="A1872" t="s">
        <v>1164</v>
      </c>
      <c r="B1872" t="s">
        <v>689</v>
      </c>
      <c r="C1872" t="s">
        <v>690</v>
      </c>
      <c r="D1872" t="s">
        <v>743</v>
      </c>
      <c r="E1872" t="s">
        <v>734</v>
      </c>
      <c r="F1872" t="s">
        <v>1272</v>
      </c>
      <c r="G1872" t="s">
        <v>665</v>
      </c>
      <c r="H1872" s="595">
        <v>-29.7</v>
      </c>
      <c r="I1872" t="str">
        <f t="shared" si="83"/>
        <v>janeiro 2026</v>
      </c>
      <c r="J1872">
        <f t="shared" si="82"/>
        <v>2026</v>
      </c>
      <c r="K1872" t="str">
        <f>VLOOKUP(G1872,METRICS!C:D,2,0)</f>
        <v>Taxas Financeiras Diversas</v>
      </c>
      <c r="L1872" t="str">
        <f>VLOOKUP(K1872,METRICS!D:E,2,0)</f>
        <v>TAXAS CARTÃO DE CRÉDITO</v>
      </c>
    </row>
    <row r="1873" spans="1:12" ht="15" hidden="1">
      <c r="A1873" t="s">
        <v>1164</v>
      </c>
      <c r="B1873" t="s">
        <v>689</v>
      </c>
      <c r="C1873" t="s">
        <v>690</v>
      </c>
      <c r="D1873" t="s">
        <v>733</v>
      </c>
      <c r="E1873" t="s">
        <v>734</v>
      </c>
      <c r="F1873" t="s">
        <v>1272</v>
      </c>
      <c r="G1873" t="s">
        <v>665</v>
      </c>
      <c r="H1873" s="595">
        <v>-15.88</v>
      </c>
      <c r="I1873" t="str">
        <f t="shared" si="83"/>
        <v>janeiro 2026</v>
      </c>
      <c r="J1873">
        <f t="shared" si="82"/>
        <v>2026</v>
      </c>
      <c r="K1873" t="str">
        <f>VLOOKUP(G1873,METRICS!C:D,2,0)</f>
        <v>Taxas Financeiras Diversas</v>
      </c>
      <c r="L1873" t="str">
        <f>VLOOKUP(K1873,METRICS!D:E,2,0)</f>
        <v>TAXAS CARTÃO DE CRÉDITO</v>
      </c>
    </row>
    <row r="1874" spans="1:12" ht="15" hidden="1">
      <c r="A1874" t="s">
        <v>1164</v>
      </c>
      <c r="B1874" t="s">
        <v>689</v>
      </c>
      <c r="C1874" t="s">
        <v>690</v>
      </c>
      <c r="D1874" t="s">
        <v>733</v>
      </c>
      <c r="E1874" t="s">
        <v>734</v>
      </c>
      <c r="F1874" t="s">
        <v>1272</v>
      </c>
      <c r="G1874" t="s">
        <v>665</v>
      </c>
      <c r="H1874" s="595">
        <v>-3.19</v>
      </c>
      <c r="I1874" t="str">
        <f t="shared" si="83"/>
        <v>janeiro 2026</v>
      </c>
      <c r="J1874">
        <f t="shared" si="82"/>
        <v>2026</v>
      </c>
      <c r="K1874" t="str">
        <f>VLOOKUP(G1874,METRICS!C:D,2,0)</f>
        <v>Taxas Financeiras Diversas</v>
      </c>
      <c r="L1874" t="str">
        <f>VLOOKUP(K1874,METRICS!D:E,2,0)</f>
        <v>TAXAS CARTÃO DE CRÉDITO</v>
      </c>
    </row>
    <row r="1875" spans="1:12" ht="15" hidden="1">
      <c r="A1875" t="s">
        <v>1164</v>
      </c>
      <c r="B1875" t="s">
        <v>689</v>
      </c>
      <c r="C1875" t="s">
        <v>690</v>
      </c>
      <c r="D1875" t="s">
        <v>743</v>
      </c>
      <c r="E1875" t="s">
        <v>734</v>
      </c>
      <c r="F1875" t="s">
        <v>1272</v>
      </c>
      <c r="G1875" t="s">
        <v>665</v>
      </c>
      <c r="H1875" s="595">
        <v>-4.54</v>
      </c>
      <c r="I1875" t="str">
        <f t="shared" si="83"/>
        <v>janeiro 2026</v>
      </c>
      <c r="J1875">
        <f t="shared" si="82"/>
        <v>2026</v>
      </c>
      <c r="K1875" t="str">
        <f>VLOOKUP(G1875,METRICS!C:D,2,0)</f>
        <v>Taxas Financeiras Diversas</v>
      </c>
      <c r="L1875" t="str">
        <f>VLOOKUP(K1875,METRICS!D:E,2,0)</f>
        <v>TAXAS CARTÃO DE CRÉDITO</v>
      </c>
    </row>
    <row r="1876" spans="1:12" ht="15" hidden="1">
      <c r="A1876" t="s">
        <v>1164</v>
      </c>
      <c r="B1876" t="s">
        <v>689</v>
      </c>
      <c r="C1876" t="s">
        <v>690</v>
      </c>
      <c r="D1876" t="s">
        <v>733</v>
      </c>
      <c r="E1876" t="s">
        <v>734</v>
      </c>
      <c r="F1876" t="s">
        <v>1272</v>
      </c>
      <c r="G1876" t="s">
        <v>665</v>
      </c>
      <c r="H1876" s="595">
        <v>-4.33</v>
      </c>
      <c r="I1876" t="str">
        <f t="shared" si="83"/>
        <v>janeiro 2026</v>
      </c>
      <c r="J1876">
        <f t="shared" si="82"/>
        <v>2026</v>
      </c>
      <c r="K1876" t="str">
        <f>VLOOKUP(G1876,METRICS!C:D,2,0)</f>
        <v>Taxas Financeiras Diversas</v>
      </c>
      <c r="L1876" t="str">
        <f>VLOOKUP(K1876,METRICS!D:E,2,0)</f>
        <v>TAXAS CARTÃO DE CRÉDITO</v>
      </c>
    </row>
    <row r="1877" spans="1:12" ht="15" hidden="1">
      <c r="A1877" t="s">
        <v>1164</v>
      </c>
      <c r="B1877" t="s">
        <v>689</v>
      </c>
      <c r="C1877" t="s">
        <v>690</v>
      </c>
      <c r="D1877" t="s">
        <v>733</v>
      </c>
      <c r="E1877" t="s">
        <v>734</v>
      </c>
      <c r="F1877" t="s">
        <v>1272</v>
      </c>
      <c r="G1877" t="s">
        <v>665</v>
      </c>
      <c r="H1877" s="595">
        <v>-2.76</v>
      </c>
      <c r="I1877" t="str">
        <f t="shared" si="83"/>
        <v>janeiro 2026</v>
      </c>
      <c r="J1877">
        <f t="shared" si="82"/>
        <v>2026</v>
      </c>
      <c r="K1877" t="str">
        <f>VLOOKUP(G1877,METRICS!C:D,2,0)</f>
        <v>Taxas Financeiras Diversas</v>
      </c>
      <c r="L1877" t="str">
        <f>VLOOKUP(K1877,METRICS!D:E,2,0)</f>
        <v>TAXAS CARTÃO DE CRÉDITO</v>
      </c>
    </row>
    <row r="1878" spans="1:12" ht="15" hidden="1">
      <c r="A1878" t="s">
        <v>1164</v>
      </c>
      <c r="B1878" t="s">
        <v>689</v>
      </c>
      <c r="C1878" t="s">
        <v>690</v>
      </c>
      <c r="D1878" t="s">
        <v>743</v>
      </c>
      <c r="E1878" t="s">
        <v>734</v>
      </c>
      <c r="F1878" t="s">
        <v>1272</v>
      </c>
      <c r="G1878" t="s">
        <v>665</v>
      </c>
      <c r="H1878" s="595">
        <v>-9.7100000000000009</v>
      </c>
      <c r="I1878" t="str">
        <f t="shared" si="83"/>
        <v>janeiro 2026</v>
      </c>
      <c r="J1878">
        <f t="shared" si="82"/>
        <v>2026</v>
      </c>
      <c r="K1878" t="str">
        <f>VLOOKUP(G1878,METRICS!C:D,2,0)</f>
        <v>Taxas Financeiras Diversas</v>
      </c>
      <c r="L1878" t="str">
        <f>VLOOKUP(K1878,METRICS!D:E,2,0)</f>
        <v>TAXAS CARTÃO DE CRÉDITO</v>
      </c>
    </row>
    <row r="1879" spans="1:12" ht="15" hidden="1">
      <c r="A1879" t="s">
        <v>1164</v>
      </c>
      <c r="B1879" t="s">
        <v>612</v>
      </c>
      <c r="C1879" t="s">
        <v>690</v>
      </c>
      <c r="D1879" t="s">
        <v>1179</v>
      </c>
      <c r="E1879" t="s">
        <v>824</v>
      </c>
      <c r="F1879" t="s">
        <v>1272</v>
      </c>
      <c r="G1879" t="s">
        <v>413</v>
      </c>
      <c r="H1879" s="595">
        <v>-1040</v>
      </c>
      <c r="I1879" t="str">
        <f t="shared" si="83"/>
        <v>janeiro 2026</v>
      </c>
      <c r="J1879">
        <f t="shared" si="82"/>
        <v>2026</v>
      </c>
      <c r="K1879" t="str">
        <f>VLOOKUP(G1879,METRICS!C:D,2,0)</f>
        <v>Pescados</v>
      </c>
      <c r="L1879" t="str">
        <f>VLOOKUP(K1879,METRICS!D:E,2,0)</f>
        <v>CUSTOS DOS PRODUTOS VENDIDOS</v>
      </c>
    </row>
    <row r="1880" spans="1:12" ht="15" hidden="1">
      <c r="A1880" t="s">
        <v>1164</v>
      </c>
      <c r="B1880" t="s">
        <v>689</v>
      </c>
      <c r="C1880" t="s">
        <v>690</v>
      </c>
      <c r="D1880" t="s">
        <v>733</v>
      </c>
      <c r="E1880" t="s">
        <v>734</v>
      </c>
      <c r="F1880" t="s">
        <v>1272</v>
      </c>
      <c r="G1880" t="s">
        <v>665</v>
      </c>
      <c r="H1880" s="595">
        <v>-6.54</v>
      </c>
      <c r="I1880" t="str">
        <f t="shared" si="83"/>
        <v>janeiro 2026</v>
      </c>
      <c r="J1880">
        <f t="shared" si="82"/>
        <v>2026</v>
      </c>
      <c r="K1880" t="str">
        <f>VLOOKUP(G1880,METRICS!C:D,2,0)</f>
        <v>Taxas Financeiras Diversas</v>
      </c>
      <c r="L1880" t="str">
        <f>VLOOKUP(K1880,METRICS!D:E,2,0)</f>
        <v>TAXAS CARTÃO DE CRÉDITO</v>
      </c>
    </row>
    <row r="1881" spans="1:12" ht="15" hidden="1">
      <c r="A1881" t="s">
        <v>1164</v>
      </c>
      <c r="B1881" t="s">
        <v>689</v>
      </c>
      <c r="C1881" t="s">
        <v>690</v>
      </c>
      <c r="D1881" t="s">
        <v>733</v>
      </c>
      <c r="E1881" t="s">
        <v>734</v>
      </c>
      <c r="F1881" t="s">
        <v>1272</v>
      </c>
      <c r="G1881" t="s">
        <v>665</v>
      </c>
      <c r="H1881" s="595">
        <v>-0.35</v>
      </c>
      <c r="I1881" t="str">
        <f t="shared" si="83"/>
        <v>janeiro 2026</v>
      </c>
      <c r="J1881">
        <f t="shared" si="82"/>
        <v>2026</v>
      </c>
      <c r="K1881" t="str">
        <f>VLOOKUP(G1881,METRICS!C:D,2,0)</f>
        <v>Taxas Financeiras Diversas</v>
      </c>
      <c r="L1881" t="str">
        <f>VLOOKUP(K1881,METRICS!D:E,2,0)</f>
        <v>TAXAS CARTÃO DE CRÉDITO</v>
      </c>
    </row>
    <row r="1882" spans="1:12" ht="15" hidden="1">
      <c r="A1882" t="s">
        <v>1164</v>
      </c>
      <c r="B1882" t="s">
        <v>612</v>
      </c>
      <c r="C1882" t="s">
        <v>690</v>
      </c>
      <c r="D1882" t="s">
        <v>1180</v>
      </c>
      <c r="E1882" t="s">
        <v>767</v>
      </c>
      <c r="F1882" t="s">
        <v>1272</v>
      </c>
      <c r="G1882" t="s">
        <v>623</v>
      </c>
      <c r="H1882" s="595">
        <v>-489.6</v>
      </c>
      <c r="I1882" t="str">
        <f t="shared" si="83"/>
        <v>janeiro 2026</v>
      </c>
      <c r="J1882">
        <f t="shared" si="82"/>
        <v>2026</v>
      </c>
      <c r="K1882" t="str">
        <f>VLOOKUP(G1882,METRICS!C:D,2,0)</f>
        <v>Secos - Mercearia</v>
      </c>
      <c r="L1882" t="str">
        <f>VLOOKUP(K1882,METRICS!D:E,2,0)</f>
        <v>CUSTOS DOS PRODUTOS VENDIDOS</v>
      </c>
    </row>
    <row r="1883" spans="1:12" ht="15" hidden="1">
      <c r="A1883" t="s">
        <v>1164</v>
      </c>
      <c r="B1883" t="s">
        <v>689</v>
      </c>
      <c r="C1883" t="s">
        <v>690</v>
      </c>
      <c r="D1883" t="s">
        <v>733</v>
      </c>
      <c r="E1883" t="s">
        <v>734</v>
      </c>
      <c r="F1883" t="s">
        <v>1272</v>
      </c>
      <c r="G1883" t="s">
        <v>665</v>
      </c>
      <c r="H1883" s="595">
        <v>-4.54</v>
      </c>
      <c r="I1883" t="str">
        <f t="shared" si="83"/>
        <v>janeiro 2026</v>
      </c>
      <c r="J1883">
        <f t="shared" si="82"/>
        <v>2026</v>
      </c>
      <c r="K1883" t="str">
        <f>VLOOKUP(G1883,METRICS!C:D,2,0)</f>
        <v>Taxas Financeiras Diversas</v>
      </c>
      <c r="L1883" t="str">
        <f>VLOOKUP(K1883,METRICS!D:E,2,0)</f>
        <v>TAXAS CARTÃO DE CRÉDITO</v>
      </c>
    </row>
    <row r="1884" spans="1:12" ht="15" hidden="1">
      <c r="A1884" t="s">
        <v>1164</v>
      </c>
      <c r="B1884" t="s">
        <v>689</v>
      </c>
      <c r="C1884" t="s">
        <v>690</v>
      </c>
      <c r="D1884" t="s">
        <v>743</v>
      </c>
      <c r="E1884" t="s">
        <v>734</v>
      </c>
      <c r="F1884" t="s">
        <v>1272</v>
      </c>
      <c r="G1884" t="s">
        <v>665</v>
      </c>
      <c r="H1884" s="595">
        <v>-5.68</v>
      </c>
      <c r="I1884" t="str">
        <f t="shared" si="83"/>
        <v>janeiro 2026</v>
      </c>
      <c r="J1884">
        <f t="shared" si="82"/>
        <v>2026</v>
      </c>
      <c r="K1884" t="str">
        <f>VLOOKUP(G1884,METRICS!C:D,2,0)</f>
        <v>Taxas Financeiras Diversas</v>
      </c>
      <c r="L1884" t="str">
        <f>VLOOKUP(K1884,METRICS!D:E,2,0)</f>
        <v>TAXAS CARTÃO DE CRÉDITO</v>
      </c>
    </row>
    <row r="1885" spans="1:12" ht="15" hidden="1">
      <c r="A1885" t="s">
        <v>1164</v>
      </c>
      <c r="B1885" t="s">
        <v>689</v>
      </c>
      <c r="C1885" t="s">
        <v>690</v>
      </c>
      <c r="D1885" t="s">
        <v>733</v>
      </c>
      <c r="E1885" t="s">
        <v>734</v>
      </c>
      <c r="F1885" t="s">
        <v>1272</v>
      </c>
      <c r="G1885" t="s">
        <v>665</v>
      </c>
      <c r="H1885" s="595">
        <v>-7.21</v>
      </c>
      <c r="I1885" t="str">
        <f t="shared" si="83"/>
        <v>janeiro 2026</v>
      </c>
      <c r="J1885">
        <f t="shared" si="82"/>
        <v>2026</v>
      </c>
      <c r="K1885" t="str">
        <f>VLOOKUP(G1885,METRICS!C:D,2,0)</f>
        <v>Taxas Financeiras Diversas</v>
      </c>
      <c r="L1885" t="str">
        <f>VLOOKUP(K1885,METRICS!D:E,2,0)</f>
        <v>TAXAS CARTÃO DE CRÉDITO</v>
      </c>
    </row>
    <row r="1886" spans="1:12" ht="15" hidden="1">
      <c r="A1886" t="s">
        <v>1164</v>
      </c>
      <c r="B1886" t="s">
        <v>689</v>
      </c>
      <c r="C1886" t="s">
        <v>690</v>
      </c>
      <c r="D1886" t="s">
        <v>743</v>
      </c>
      <c r="E1886" t="s">
        <v>734</v>
      </c>
      <c r="F1886" t="s">
        <v>1272</v>
      </c>
      <c r="G1886" t="s">
        <v>665</v>
      </c>
      <c r="H1886" s="595">
        <v>-5.45</v>
      </c>
      <c r="I1886" t="str">
        <f t="shared" si="83"/>
        <v>janeiro 2026</v>
      </c>
      <c r="J1886">
        <f t="shared" si="82"/>
        <v>2026</v>
      </c>
      <c r="K1886" t="str">
        <f>VLOOKUP(G1886,METRICS!C:D,2,0)</f>
        <v>Taxas Financeiras Diversas</v>
      </c>
      <c r="L1886" t="str">
        <f>VLOOKUP(K1886,METRICS!D:E,2,0)</f>
        <v>TAXAS CARTÃO DE CRÉDITO</v>
      </c>
    </row>
    <row r="1887" spans="1:12" ht="15" hidden="1">
      <c r="A1887" t="s">
        <v>1164</v>
      </c>
      <c r="B1887" t="s">
        <v>689</v>
      </c>
      <c r="C1887" t="s">
        <v>690</v>
      </c>
      <c r="D1887" t="s">
        <v>743</v>
      </c>
      <c r="E1887" t="s">
        <v>734</v>
      </c>
      <c r="F1887" t="s">
        <v>1272</v>
      </c>
      <c r="G1887" t="s">
        <v>665</v>
      </c>
      <c r="H1887" s="595">
        <v>-6.14</v>
      </c>
      <c r="I1887" t="str">
        <f t="shared" si="83"/>
        <v>janeiro 2026</v>
      </c>
      <c r="J1887">
        <f t="shared" si="82"/>
        <v>2026</v>
      </c>
      <c r="K1887" t="str">
        <f>VLOOKUP(G1887,METRICS!C:D,2,0)</f>
        <v>Taxas Financeiras Diversas</v>
      </c>
      <c r="L1887" t="str">
        <f>VLOOKUP(K1887,METRICS!D:E,2,0)</f>
        <v>TAXAS CARTÃO DE CRÉDITO</v>
      </c>
    </row>
    <row r="1888" spans="1:12" ht="15" hidden="1">
      <c r="A1888" t="s">
        <v>1164</v>
      </c>
      <c r="B1888" t="s">
        <v>612</v>
      </c>
      <c r="C1888" t="s">
        <v>690</v>
      </c>
      <c r="D1888" t="s">
        <v>1181</v>
      </c>
      <c r="E1888" t="s">
        <v>802</v>
      </c>
      <c r="F1888" t="s">
        <v>1272</v>
      </c>
      <c r="G1888" t="s">
        <v>633</v>
      </c>
      <c r="H1888" s="595">
        <v>-576</v>
      </c>
      <c r="I1888" t="str">
        <f t="shared" si="83"/>
        <v>janeiro 2026</v>
      </c>
      <c r="J1888">
        <f t="shared" si="82"/>
        <v>2026</v>
      </c>
      <c r="K1888" t="str">
        <f>VLOOKUP(G1888,METRICS!C:D,2,0)</f>
        <v>Paes, Massas e Salgados</v>
      </c>
      <c r="L1888" t="str">
        <f>VLOOKUP(K1888,METRICS!D:E,2,0)</f>
        <v>CUSTOS DOS PRODUTOS VENDIDOS</v>
      </c>
    </row>
    <row r="1889" spans="1:12" ht="15" hidden="1">
      <c r="A1889" t="s">
        <v>1164</v>
      </c>
      <c r="B1889" t="s">
        <v>612</v>
      </c>
      <c r="C1889" t="s">
        <v>690</v>
      </c>
      <c r="D1889" t="s">
        <v>1182</v>
      </c>
      <c r="E1889" t="s">
        <v>866</v>
      </c>
      <c r="F1889" t="s">
        <v>1272</v>
      </c>
      <c r="G1889" t="s">
        <v>627</v>
      </c>
      <c r="H1889" s="595">
        <v>-3658.89</v>
      </c>
      <c r="I1889" t="str">
        <f t="shared" si="83"/>
        <v>janeiro 2026</v>
      </c>
      <c r="J1889">
        <f t="shared" si="82"/>
        <v>2026</v>
      </c>
      <c r="K1889" t="str">
        <f>VLOOKUP(G1889,METRICS!C:D,2,0)</f>
        <v>Manutenção e Conservação</v>
      </c>
      <c r="L1889" t="str">
        <f>VLOOKUP(K1889,METRICS!D:E,2,0)</f>
        <v>OPERAÇÃO</v>
      </c>
    </row>
    <row r="1890" spans="1:12" ht="15" hidden="1">
      <c r="A1890" t="s">
        <v>1164</v>
      </c>
      <c r="B1890" t="s">
        <v>689</v>
      </c>
      <c r="C1890" t="s">
        <v>690</v>
      </c>
      <c r="D1890" t="s">
        <v>733</v>
      </c>
      <c r="E1890" t="s">
        <v>734</v>
      </c>
      <c r="F1890" t="s">
        <v>1272</v>
      </c>
      <c r="G1890" t="s">
        <v>665</v>
      </c>
      <c r="H1890" s="595">
        <v>-62.89</v>
      </c>
      <c r="I1890" t="str">
        <f t="shared" si="83"/>
        <v>janeiro 2026</v>
      </c>
      <c r="J1890">
        <f t="shared" si="82"/>
        <v>2026</v>
      </c>
      <c r="K1890" t="str">
        <f>VLOOKUP(G1890,METRICS!C:D,2,0)</f>
        <v>Taxas Financeiras Diversas</v>
      </c>
      <c r="L1890" t="str">
        <f>VLOOKUP(K1890,METRICS!D:E,2,0)</f>
        <v>TAXAS CARTÃO DE CRÉDITO</v>
      </c>
    </row>
    <row r="1891" spans="1:12" ht="15" hidden="1">
      <c r="A1891" t="s">
        <v>1164</v>
      </c>
      <c r="B1891" t="s">
        <v>612</v>
      </c>
      <c r="C1891" t="s">
        <v>690</v>
      </c>
      <c r="D1891" t="s">
        <v>1183</v>
      </c>
      <c r="E1891" t="s">
        <v>830</v>
      </c>
      <c r="F1891" t="s">
        <v>1272</v>
      </c>
      <c r="G1891" t="s">
        <v>623</v>
      </c>
      <c r="H1891" s="595">
        <v>-407</v>
      </c>
      <c r="I1891" t="str">
        <f t="shared" si="83"/>
        <v>janeiro 2026</v>
      </c>
      <c r="J1891">
        <f t="shared" si="82"/>
        <v>2026</v>
      </c>
      <c r="K1891" t="str">
        <f>VLOOKUP(G1891,METRICS!C:D,2,0)</f>
        <v>Secos - Mercearia</v>
      </c>
      <c r="L1891" t="str">
        <f>VLOOKUP(K1891,METRICS!D:E,2,0)</f>
        <v>CUSTOS DOS PRODUTOS VENDIDOS</v>
      </c>
    </row>
    <row r="1892" spans="1:12" ht="15" hidden="1">
      <c r="A1892" t="s">
        <v>1164</v>
      </c>
      <c r="B1892" t="s">
        <v>689</v>
      </c>
      <c r="C1892" t="s">
        <v>690</v>
      </c>
      <c r="D1892" t="s">
        <v>733</v>
      </c>
      <c r="E1892" t="s">
        <v>734</v>
      </c>
      <c r="F1892" t="s">
        <v>1272</v>
      </c>
      <c r="G1892" t="s">
        <v>665</v>
      </c>
      <c r="H1892" s="595">
        <v>-3.09</v>
      </c>
      <c r="I1892" t="str">
        <f t="shared" si="83"/>
        <v>janeiro 2026</v>
      </c>
      <c r="J1892">
        <f t="shared" si="82"/>
        <v>2026</v>
      </c>
      <c r="K1892" t="str">
        <f>VLOOKUP(G1892,METRICS!C:D,2,0)</f>
        <v>Taxas Financeiras Diversas</v>
      </c>
      <c r="L1892" t="str">
        <f>VLOOKUP(K1892,METRICS!D:E,2,0)</f>
        <v>TAXAS CARTÃO DE CRÉDITO</v>
      </c>
    </row>
    <row r="1893" spans="1:12" ht="15" hidden="1">
      <c r="A1893" t="s">
        <v>1164</v>
      </c>
      <c r="B1893" t="s">
        <v>689</v>
      </c>
      <c r="C1893" t="s">
        <v>690</v>
      </c>
      <c r="D1893" t="s">
        <v>743</v>
      </c>
      <c r="E1893" t="s">
        <v>734</v>
      </c>
      <c r="F1893" t="s">
        <v>1272</v>
      </c>
      <c r="G1893" t="s">
        <v>665</v>
      </c>
      <c r="H1893" s="595">
        <v>-11.71</v>
      </c>
      <c r="I1893" t="str">
        <f t="shared" si="83"/>
        <v>janeiro 2026</v>
      </c>
      <c r="J1893">
        <f t="shared" si="82"/>
        <v>2026</v>
      </c>
      <c r="K1893" t="str">
        <f>VLOOKUP(G1893,METRICS!C:D,2,0)</f>
        <v>Taxas Financeiras Diversas</v>
      </c>
      <c r="L1893" t="str">
        <f>VLOOKUP(K1893,METRICS!D:E,2,0)</f>
        <v>TAXAS CARTÃO DE CRÉDITO</v>
      </c>
    </row>
    <row r="1894" spans="1:12" ht="15" hidden="1">
      <c r="A1894" t="s">
        <v>1164</v>
      </c>
      <c r="B1894" t="s">
        <v>612</v>
      </c>
      <c r="C1894" t="s">
        <v>690</v>
      </c>
      <c r="D1894" t="s">
        <v>1184</v>
      </c>
      <c r="E1894" t="s">
        <v>855</v>
      </c>
      <c r="F1894" t="s">
        <v>1272</v>
      </c>
      <c r="G1894" t="s">
        <v>609</v>
      </c>
      <c r="H1894" s="595">
        <v>-1569.57</v>
      </c>
      <c r="I1894" t="str">
        <f t="shared" si="83"/>
        <v>janeiro 2026</v>
      </c>
      <c r="J1894">
        <f t="shared" si="82"/>
        <v>2026</v>
      </c>
      <c r="K1894" t="str">
        <f>VLOOKUP(G1894,METRICS!C:D,2,0)</f>
        <v>Carnes e Aves</v>
      </c>
      <c r="L1894" t="str">
        <f>VLOOKUP(K1894,METRICS!D:E,2,0)</f>
        <v>CUSTOS DOS PRODUTOS VENDIDOS</v>
      </c>
    </row>
    <row r="1895" spans="1:12" ht="15" hidden="1">
      <c r="A1895" t="s">
        <v>1164</v>
      </c>
      <c r="B1895" t="s">
        <v>612</v>
      </c>
      <c r="C1895" t="s">
        <v>690</v>
      </c>
      <c r="D1895" t="s">
        <v>1185</v>
      </c>
      <c r="E1895" t="s">
        <v>738</v>
      </c>
      <c r="F1895" t="s">
        <v>1272</v>
      </c>
      <c r="G1895" t="s">
        <v>636</v>
      </c>
      <c r="H1895" s="595">
        <v>-347.34</v>
      </c>
      <c r="I1895" t="str">
        <f t="shared" si="83"/>
        <v>janeiro 2026</v>
      </c>
      <c r="J1895">
        <f t="shared" si="82"/>
        <v>2026</v>
      </c>
      <c r="K1895" t="str">
        <f>VLOOKUP(G1895,METRICS!C:D,2,0)</f>
        <v>Secos - Mercearia</v>
      </c>
      <c r="L1895" t="str">
        <f>VLOOKUP(K1895,METRICS!D:E,2,0)</f>
        <v>CUSTOS DOS PRODUTOS VENDIDOS</v>
      </c>
    </row>
    <row r="1896" spans="1:12" ht="15" hidden="1">
      <c r="A1896" t="s">
        <v>1164</v>
      </c>
      <c r="B1896" t="s">
        <v>689</v>
      </c>
      <c r="C1896" t="s">
        <v>690</v>
      </c>
      <c r="D1896" t="s">
        <v>743</v>
      </c>
      <c r="E1896" t="s">
        <v>734</v>
      </c>
      <c r="F1896" t="s">
        <v>1272</v>
      </c>
      <c r="G1896" t="s">
        <v>665</v>
      </c>
      <c r="H1896" s="595">
        <v>-8.25</v>
      </c>
      <c r="I1896" t="str">
        <f t="shared" si="83"/>
        <v>janeiro 2026</v>
      </c>
      <c r="J1896">
        <f t="shared" si="82"/>
        <v>2026</v>
      </c>
      <c r="K1896" t="str">
        <f>VLOOKUP(G1896,METRICS!C:D,2,0)</f>
        <v>Taxas Financeiras Diversas</v>
      </c>
      <c r="L1896" t="str">
        <f>VLOOKUP(K1896,METRICS!D:E,2,0)</f>
        <v>TAXAS CARTÃO DE CRÉDITO</v>
      </c>
    </row>
    <row r="1897" spans="1:12" ht="15" hidden="1">
      <c r="A1897" t="s">
        <v>1164</v>
      </c>
      <c r="B1897" t="s">
        <v>612</v>
      </c>
      <c r="C1897" t="s">
        <v>690</v>
      </c>
      <c r="D1897" t="s">
        <v>1186</v>
      </c>
      <c r="E1897" t="s">
        <v>811</v>
      </c>
      <c r="F1897" t="s">
        <v>1272</v>
      </c>
      <c r="G1897" t="s">
        <v>636</v>
      </c>
      <c r="H1897" s="595">
        <v>-2963.29</v>
      </c>
      <c r="I1897" t="str">
        <f t="shared" si="83"/>
        <v>janeiro 2026</v>
      </c>
      <c r="J1897">
        <f t="shared" si="82"/>
        <v>2026</v>
      </c>
      <c r="K1897" t="str">
        <f>VLOOKUP(G1897,METRICS!C:D,2,0)</f>
        <v>Secos - Mercearia</v>
      </c>
      <c r="L1897" t="str">
        <f>VLOOKUP(K1897,METRICS!D:E,2,0)</f>
        <v>CUSTOS DOS PRODUTOS VENDIDOS</v>
      </c>
    </row>
    <row r="1898" spans="1:12" ht="15" hidden="1">
      <c r="A1898" t="s">
        <v>1164</v>
      </c>
      <c r="B1898" t="s">
        <v>689</v>
      </c>
      <c r="C1898" t="s">
        <v>690</v>
      </c>
      <c r="D1898" t="s">
        <v>733</v>
      </c>
      <c r="E1898" t="s">
        <v>734</v>
      </c>
      <c r="F1898" t="s">
        <v>1272</v>
      </c>
      <c r="G1898" t="s">
        <v>665</v>
      </c>
      <c r="H1898" s="595">
        <v>-4.54</v>
      </c>
      <c r="I1898" t="str">
        <f t="shared" si="83"/>
        <v>janeiro 2026</v>
      </c>
      <c r="J1898">
        <f t="shared" si="82"/>
        <v>2026</v>
      </c>
      <c r="K1898" t="str">
        <f>VLOOKUP(G1898,METRICS!C:D,2,0)</f>
        <v>Taxas Financeiras Diversas</v>
      </c>
      <c r="L1898" t="str">
        <f>VLOOKUP(K1898,METRICS!D:E,2,0)</f>
        <v>TAXAS CARTÃO DE CRÉDITO</v>
      </c>
    </row>
    <row r="1899" spans="1:12" ht="15" hidden="1">
      <c r="A1899" t="s">
        <v>1164</v>
      </c>
      <c r="B1899" t="s">
        <v>689</v>
      </c>
      <c r="C1899" t="s">
        <v>690</v>
      </c>
      <c r="D1899" t="s">
        <v>733</v>
      </c>
      <c r="E1899" t="s">
        <v>734</v>
      </c>
      <c r="F1899" t="s">
        <v>1272</v>
      </c>
      <c r="G1899" t="s">
        <v>665</v>
      </c>
      <c r="H1899" s="595">
        <v>-3.43</v>
      </c>
      <c r="I1899" t="str">
        <f t="shared" si="83"/>
        <v>janeiro 2026</v>
      </c>
      <c r="J1899">
        <f t="shared" si="82"/>
        <v>2026</v>
      </c>
      <c r="K1899" t="str">
        <f>VLOOKUP(G1899,METRICS!C:D,2,0)</f>
        <v>Taxas Financeiras Diversas</v>
      </c>
      <c r="L1899" t="str">
        <f>VLOOKUP(K1899,METRICS!D:E,2,0)</f>
        <v>TAXAS CARTÃO DE CRÉDITO</v>
      </c>
    </row>
    <row r="1900" spans="1:12" ht="15" hidden="1">
      <c r="A1900" t="s">
        <v>1187</v>
      </c>
      <c r="B1900" t="s">
        <v>612</v>
      </c>
      <c r="C1900" t="s">
        <v>690</v>
      </c>
      <c r="D1900" t="s">
        <v>1188</v>
      </c>
      <c r="E1900" t="s">
        <v>857</v>
      </c>
      <c r="F1900" t="s">
        <v>1272</v>
      </c>
      <c r="G1900" t="s">
        <v>413</v>
      </c>
      <c r="H1900" s="595">
        <v>-330</v>
      </c>
      <c r="I1900" t="str">
        <f t="shared" si="83"/>
        <v>janeiro 2026</v>
      </c>
      <c r="J1900">
        <f t="shared" si="82"/>
        <v>2026</v>
      </c>
      <c r="K1900" t="str">
        <f>VLOOKUP(G1900,METRICS!C:D,2,0)</f>
        <v>Pescados</v>
      </c>
      <c r="L1900" t="str">
        <f>VLOOKUP(K1900,METRICS!D:E,2,0)</f>
        <v>CUSTOS DOS PRODUTOS VENDIDOS</v>
      </c>
    </row>
    <row r="1901" spans="1:12" ht="15" hidden="1">
      <c r="A1901" t="s">
        <v>1187</v>
      </c>
      <c r="B1901" t="s">
        <v>612</v>
      </c>
      <c r="C1901" t="s">
        <v>690</v>
      </c>
      <c r="D1901" t="s">
        <v>1189</v>
      </c>
      <c r="E1901" t="s">
        <v>752</v>
      </c>
      <c r="F1901" t="s">
        <v>1272</v>
      </c>
      <c r="G1901" t="s">
        <v>609</v>
      </c>
      <c r="H1901" s="595">
        <v>-2159.77</v>
      </c>
      <c r="I1901" t="str">
        <f t="shared" si="83"/>
        <v>janeiro 2026</v>
      </c>
      <c r="J1901">
        <f t="shared" si="82"/>
        <v>2026</v>
      </c>
      <c r="K1901" t="str">
        <f>VLOOKUP(G1901,METRICS!C:D,2,0)</f>
        <v>Carnes e Aves</v>
      </c>
      <c r="L1901" t="str">
        <f>VLOOKUP(K1901,METRICS!D:E,2,0)</f>
        <v>CUSTOS DOS PRODUTOS VENDIDOS</v>
      </c>
    </row>
    <row r="1902" spans="1:12" ht="15" hidden="1">
      <c r="A1902" t="s">
        <v>1187</v>
      </c>
      <c r="B1902" t="s">
        <v>689</v>
      </c>
      <c r="C1902" t="s">
        <v>690</v>
      </c>
      <c r="D1902" t="s">
        <v>756</v>
      </c>
      <c r="E1902" t="s">
        <v>757</v>
      </c>
      <c r="F1902" t="s">
        <v>1272</v>
      </c>
      <c r="G1902" t="s">
        <v>666</v>
      </c>
      <c r="H1902" s="595">
        <v>-41.7</v>
      </c>
      <c r="I1902" t="str">
        <f t="shared" si="83"/>
        <v>janeiro 2026</v>
      </c>
      <c r="J1902">
        <f t="shared" si="82"/>
        <v>2026</v>
      </c>
      <c r="K1902" t="str">
        <f>VLOOKUP(G1902,METRICS!C:D,2,0)</f>
        <v>Encargos Bancarios</v>
      </c>
      <c r="L1902" t="str">
        <f>VLOOKUP(K1902,METRICS!D:E,2,0)</f>
        <v>DESPESAS FINANCEIRAS</v>
      </c>
    </row>
    <row r="1903" spans="1:12" ht="15" hidden="1">
      <c r="A1903" t="s">
        <v>1187</v>
      </c>
      <c r="B1903" t="s">
        <v>612</v>
      </c>
      <c r="C1903" t="s">
        <v>690</v>
      </c>
      <c r="D1903" t="s">
        <v>1190</v>
      </c>
      <c r="E1903" t="s">
        <v>906</v>
      </c>
      <c r="F1903" t="s">
        <v>1272</v>
      </c>
      <c r="G1903" t="s">
        <v>628</v>
      </c>
      <c r="H1903" s="595">
        <v>-547.29999999999995</v>
      </c>
      <c r="I1903" t="str">
        <f t="shared" si="83"/>
        <v>janeiro 2026</v>
      </c>
      <c r="J1903">
        <f t="shared" si="82"/>
        <v>2026</v>
      </c>
      <c r="K1903" t="str">
        <f>VLOOKUP(G1903,METRICS!C:D,2,0)</f>
        <v>Material de Escritório</v>
      </c>
      <c r="L1903" t="str">
        <f>VLOOKUP(K1903,METRICS!D:E,2,0)</f>
        <v>ADMINISTRATIVA</v>
      </c>
    </row>
    <row r="1904" spans="1:12" ht="15" hidden="1">
      <c r="A1904" t="s">
        <v>1187</v>
      </c>
      <c r="B1904" t="s">
        <v>612</v>
      </c>
      <c r="C1904" t="s">
        <v>690</v>
      </c>
      <c r="D1904" t="s">
        <v>1191</v>
      </c>
      <c r="E1904" t="s">
        <v>841</v>
      </c>
      <c r="F1904" t="s">
        <v>1272</v>
      </c>
      <c r="G1904" t="s">
        <v>616</v>
      </c>
      <c r="H1904" s="595">
        <v>-400</v>
      </c>
      <c r="I1904" t="str">
        <f t="shared" si="83"/>
        <v>janeiro 2026</v>
      </c>
      <c r="J1904">
        <f t="shared" si="82"/>
        <v>2026</v>
      </c>
      <c r="K1904" t="str">
        <f>VLOOKUP(G1904,METRICS!C:D,2,0)</f>
        <v>Enlatados e Conservas</v>
      </c>
      <c r="L1904" t="str">
        <f>VLOOKUP(K1904,METRICS!D:E,2,0)</f>
        <v>CUSTOS DOS PRODUTOS VENDIDOS</v>
      </c>
    </row>
    <row r="1905" spans="1:12" ht="15" hidden="1">
      <c r="A1905" t="s">
        <v>1187</v>
      </c>
      <c r="B1905" t="s">
        <v>612</v>
      </c>
      <c r="C1905" t="s">
        <v>690</v>
      </c>
      <c r="D1905" t="s">
        <v>1192</v>
      </c>
      <c r="E1905" t="s">
        <v>990</v>
      </c>
      <c r="F1905" t="s">
        <v>1272</v>
      </c>
      <c r="G1905" t="s">
        <v>608</v>
      </c>
      <c r="H1905" s="595">
        <v>-2300.4</v>
      </c>
      <c r="I1905" t="str">
        <f t="shared" si="83"/>
        <v>janeiro 2026</v>
      </c>
      <c r="J1905">
        <f t="shared" si="82"/>
        <v>2026</v>
      </c>
      <c r="K1905" t="str">
        <f>VLOOKUP(G1905,METRICS!C:D,2,0)</f>
        <v>Bebidas não Alcoolicas</v>
      </c>
      <c r="L1905" t="str">
        <f>VLOOKUP(K1905,METRICS!D:E,2,0)</f>
        <v>CUSTOS DOS PRODUTOS VENDIDOS</v>
      </c>
    </row>
    <row r="1906" spans="1:12" ht="15" hidden="1">
      <c r="A1906" t="s">
        <v>1187</v>
      </c>
      <c r="B1906" t="s">
        <v>612</v>
      </c>
      <c r="C1906" t="s">
        <v>690</v>
      </c>
      <c r="D1906" t="s">
        <v>1193</v>
      </c>
      <c r="E1906" t="s">
        <v>906</v>
      </c>
      <c r="F1906" t="s">
        <v>1272</v>
      </c>
      <c r="G1906" t="s">
        <v>628</v>
      </c>
      <c r="H1906" s="595">
        <v>-1329.32</v>
      </c>
      <c r="I1906" t="str">
        <f t="shared" si="83"/>
        <v>janeiro 2026</v>
      </c>
      <c r="J1906">
        <f t="shared" si="82"/>
        <v>2026</v>
      </c>
      <c r="K1906" t="str">
        <f>VLOOKUP(G1906,METRICS!C:D,2,0)</f>
        <v>Material de Escritório</v>
      </c>
      <c r="L1906" t="str">
        <f>VLOOKUP(K1906,METRICS!D:E,2,0)</f>
        <v>ADMINISTRATIVA</v>
      </c>
    </row>
    <row r="1907" spans="1:12" ht="15" hidden="1">
      <c r="A1907" t="s">
        <v>1187</v>
      </c>
      <c r="B1907" t="s">
        <v>612</v>
      </c>
      <c r="C1907" t="s">
        <v>690</v>
      </c>
      <c r="D1907" t="s">
        <v>1194</v>
      </c>
      <c r="E1907" t="s">
        <v>752</v>
      </c>
      <c r="F1907" t="s">
        <v>1272</v>
      </c>
      <c r="G1907" t="s">
        <v>609</v>
      </c>
      <c r="H1907" s="595">
        <v>-509.64</v>
      </c>
      <c r="I1907" t="str">
        <f t="shared" si="83"/>
        <v>janeiro 2026</v>
      </c>
      <c r="J1907">
        <f t="shared" si="82"/>
        <v>2026</v>
      </c>
      <c r="K1907" t="str">
        <f>VLOOKUP(G1907,METRICS!C:D,2,0)</f>
        <v>Carnes e Aves</v>
      </c>
      <c r="L1907" t="str">
        <f>VLOOKUP(K1907,METRICS!D:E,2,0)</f>
        <v>CUSTOS DOS PRODUTOS VENDIDOS</v>
      </c>
    </row>
    <row r="1908" spans="1:12" ht="15" hidden="1">
      <c r="A1908" t="s">
        <v>1187</v>
      </c>
      <c r="B1908" t="s">
        <v>689</v>
      </c>
      <c r="C1908" t="s">
        <v>690</v>
      </c>
      <c r="D1908" t="s">
        <v>883</v>
      </c>
      <c r="E1908" t="s">
        <v>746</v>
      </c>
      <c r="F1908" t="s">
        <v>1272</v>
      </c>
      <c r="G1908" t="s">
        <v>669</v>
      </c>
      <c r="H1908" s="595">
        <v>-9.4600000000000009</v>
      </c>
      <c r="I1908" t="str">
        <f t="shared" si="83"/>
        <v>janeiro 2026</v>
      </c>
      <c r="J1908">
        <f t="shared" ref="J1908:J1973" si="84">YEAR(A1908)</f>
        <v>2026</v>
      </c>
      <c r="K1908" t="str">
        <f>VLOOKUP(G1908,METRICS!C:D,2,0)</f>
        <v>Taxas Financeiras Diversas</v>
      </c>
      <c r="L1908" t="str">
        <f>VLOOKUP(K1908,METRICS!D:E,2,0)</f>
        <v>TAXAS CARTÃO DE CRÉDITO</v>
      </c>
    </row>
    <row r="1909" spans="1:12" ht="15" hidden="1">
      <c r="A1909" t="s">
        <v>1195</v>
      </c>
      <c r="B1909" t="s">
        <v>612</v>
      </c>
      <c r="C1909" t="s">
        <v>690</v>
      </c>
      <c r="D1909" t="s">
        <v>1196</v>
      </c>
      <c r="E1909" t="s">
        <v>738</v>
      </c>
      <c r="F1909" t="s">
        <v>1272</v>
      </c>
      <c r="G1909" t="s">
        <v>607</v>
      </c>
      <c r="H1909" s="595">
        <v>-2599.88</v>
      </c>
      <c r="I1909" t="str">
        <f t="shared" si="83"/>
        <v>janeiro 2026</v>
      </c>
      <c r="J1909">
        <f t="shared" si="84"/>
        <v>2026</v>
      </c>
      <c r="K1909" t="str">
        <f>VLOOKUP(G1909,METRICS!C:D,2,0)</f>
        <v>Bebidas Alcoólicas</v>
      </c>
      <c r="L1909" t="str">
        <f>VLOOKUP(K1909,METRICS!D:E,2,0)</f>
        <v>CUSTOS DOS PRODUTOS VENDIDOS</v>
      </c>
    </row>
    <row r="1910" spans="1:12" ht="15" hidden="1">
      <c r="A1910" t="s">
        <v>1195</v>
      </c>
      <c r="B1910" t="s">
        <v>612</v>
      </c>
      <c r="C1910" t="s">
        <v>690</v>
      </c>
      <c r="D1910" t="s">
        <v>1197</v>
      </c>
      <c r="E1910" t="s">
        <v>794</v>
      </c>
      <c r="F1910" t="s">
        <v>1272</v>
      </c>
      <c r="G1910" t="s">
        <v>607</v>
      </c>
      <c r="H1910" s="595">
        <v>-118.8</v>
      </c>
      <c r="I1910" t="str">
        <f t="shared" ref="I1910:I1976" si="85">TEXT(A1910, "mmmm aaaa")</f>
        <v>janeiro 2026</v>
      </c>
      <c r="J1910">
        <f t="shared" si="84"/>
        <v>2026</v>
      </c>
      <c r="K1910" t="str">
        <f>VLOOKUP(G1910,METRICS!C:D,2,0)</f>
        <v>Bebidas Alcoólicas</v>
      </c>
      <c r="L1910" t="str">
        <f>VLOOKUP(K1910,METRICS!D:E,2,0)</f>
        <v>CUSTOS DOS PRODUTOS VENDIDOS</v>
      </c>
    </row>
    <row r="1911" spans="1:12" ht="15" hidden="1">
      <c r="A1911" t="s">
        <v>1195</v>
      </c>
      <c r="B1911" t="s">
        <v>612</v>
      </c>
      <c r="C1911" t="s">
        <v>690</v>
      </c>
      <c r="D1911" t="s">
        <v>1198</v>
      </c>
      <c r="E1911" t="s">
        <v>745</v>
      </c>
      <c r="F1911" t="s">
        <v>1272</v>
      </c>
      <c r="G1911" t="s">
        <v>620</v>
      </c>
      <c r="H1911" s="595">
        <v>-461</v>
      </c>
      <c r="I1911" t="str">
        <f t="shared" si="85"/>
        <v>janeiro 2026</v>
      </c>
      <c r="J1911">
        <f t="shared" si="84"/>
        <v>2026</v>
      </c>
      <c r="K1911" t="str">
        <f>VLOOKUP(G1911,METRICS!C:D,2,0)</f>
        <v>Hortifruti</v>
      </c>
      <c r="L1911" t="str">
        <f>VLOOKUP(K1911,METRICS!D:E,2,0)</f>
        <v>CUSTOS DOS PRODUTOS VENDIDOS</v>
      </c>
    </row>
    <row r="1912" spans="1:12" ht="15" hidden="1">
      <c r="A1912" t="s">
        <v>1195</v>
      </c>
      <c r="B1912" t="s">
        <v>612</v>
      </c>
      <c r="C1912" t="s">
        <v>690</v>
      </c>
      <c r="D1912" t="s">
        <v>1199</v>
      </c>
      <c r="E1912" t="s">
        <v>727</v>
      </c>
      <c r="F1912" t="s">
        <v>1272</v>
      </c>
      <c r="G1912" t="s">
        <v>620</v>
      </c>
      <c r="H1912" s="595">
        <v>-2936.58</v>
      </c>
      <c r="I1912" t="str">
        <f t="shared" si="85"/>
        <v>janeiro 2026</v>
      </c>
      <c r="J1912">
        <f t="shared" si="84"/>
        <v>2026</v>
      </c>
      <c r="K1912" t="str">
        <f>VLOOKUP(G1912,METRICS!C:D,2,0)</f>
        <v>Hortifruti</v>
      </c>
      <c r="L1912" t="str">
        <f>VLOOKUP(K1912,METRICS!D:E,2,0)</f>
        <v>CUSTOS DOS PRODUTOS VENDIDOS</v>
      </c>
    </row>
    <row r="1913" spans="1:12" ht="15" hidden="1">
      <c r="A1913" t="s">
        <v>1195</v>
      </c>
      <c r="B1913" t="s">
        <v>689</v>
      </c>
      <c r="C1913" t="s">
        <v>690</v>
      </c>
      <c r="D1913" t="s">
        <v>1200</v>
      </c>
      <c r="E1913" t="s">
        <v>892</v>
      </c>
      <c r="F1913" t="s">
        <v>1272</v>
      </c>
      <c r="G1913" t="s">
        <v>657</v>
      </c>
      <c r="H1913" s="595">
        <v>-350</v>
      </c>
      <c r="I1913" t="str">
        <f t="shared" si="85"/>
        <v>janeiro 2026</v>
      </c>
      <c r="J1913">
        <f t="shared" si="84"/>
        <v>2026</v>
      </c>
      <c r="K1913" t="str">
        <f>VLOOKUP(G1913,METRICS!C:D,2,0)</f>
        <v>Aluguel de Maquinas</v>
      </c>
      <c r="L1913" t="str">
        <f>VLOOKUP(K1913,METRICS!D:E,2,0)</f>
        <v>OPERAÇÃO</v>
      </c>
    </row>
    <row r="1914" spans="1:12" ht="15" hidden="1">
      <c r="A1914" t="s">
        <v>1195</v>
      </c>
      <c r="B1914" t="s">
        <v>612</v>
      </c>
      <c r="C1914" t="s">
        <v>690</v>
      </c>
      <c r="D1914" t="s">
        <v>1201</v>
      </c>
      <c r="E1914" t="s">
        <v>752</v>
      </c>
      <c r="F1914" t="s">
        <v>1272</v>
      </c>
      <c r="G1914" t="s">
        <v>609</v>
      </c>
      <c r="H1914" s="595">
        <v>-4793.3500000000004</v>
      </c>
      <c r="I1914" t="str">
        <f t="shared" si="85"/>
        <v>janeiro 2026</v>
      </c>
      <c r="J1914">
        <f t="shared" si="84"/>
        <v>2026</v>
      </c>
      <c r="K1914" t="str">
        <f>VLOOKUP(G1914,METRICS!C:D,2,0)</f>
        <v>Carnes e Aves</v>
      </c>
      <c r="L1914" t="str">
        <f>VLOOKUP(K1914,METRICS!D:E,2,0)</f>
        <v>CUSTOS DOS PRODUTOS VENDIDOS</v>
      </c>
    </row>
    <row r="1915" spans="1:12" ht="15" hidden="1">
      <c r="A1915" t="s">
        <v>1195</v>
      </c>
      <c r="B1915" t="s">
        <v>689</v>
      </c>
      <c r="C1915" t="s">
        <v>690</v>
      </c>
      <c r="D1915" t="s">
        <v>1202</v>
      </c>
      <c r="E1915" t="s">
        <v>1203</v>
      </c>
      <c r="F1915" t="s">
        <v>1272</v>
      </c>
      <c r="G1915" t="s">
        <v>660</v>
      </c>
      <c r="H1915" s="595">
        <v>-615.51</v>
      </c>
      <c r="I1915" t="str">
        <f t="shared" si="85"/>
        <v>janeiro 2026</v>
      </c>
      <c r="J1915">
        <f t="shared" si="84"/>
        <v>2026</v>
      </c>
      <c r="K1915" t="str">
        <f>VLOOKUP(G1915,METRICS!C:D,2,0)</f>
        <v>Telefone e Internet</v>
      </c>
      <c r="L1915" t="str">
        <f>VLOOKUP(K1915,METRICS!D:E,2,0)</f>
        <v>ADMINISTRATIVA</v>
      </c>
    </row>
    <row r="1916" spans="1:12" ht="15" hidden="1">
      <c r="A1916" t="s">
        <v>1195</v>
      </c>
      <c r="B1916" t="s">
        <v>612</v>
      </c>
      <c r="C1916" t="s">
        <v>690</v>
      </c>
      <c r="D1916" t="s">
        <v>1204</v>
      </c>
      <c r="E1916" t="s">
        <v>826</v>
      </c>
      <c r="F1916" t="s">
        <v>1272</v>
      </c>
      <c r="G1916" t="s">
        <v>633</v>
      </c>
      <c r="H1916" s="595">
        <v>-4495</v>
      </c>
      <c r="I1916" t="str">
        <f t="shared" si="85"/>
        <v>janeiro 2026</v>
      </c>
      <c r="J1916">
        <f t="shared" si="84"/>
        <v>2026</v>
      </c>
      <c r="K1916" t="str">
        <f>VLOOKUP(G1916,METRICS!C:D,2,0)</f>
        <v>Paes, Massas e Salgados</v>
      </c>
      <c r="L1916" t="str">
        <f>VLOOKUP(K1916,METRICS!D:E,2,0)</f>
        <v>CUSTOS DOS PRODUTOS VENDIDOS</v>
      </c>
    </row>
    <row r="1917" spans="1:12" ht="15" hidden="1">
      <c r="A1917" t="s">
        <v>1195</v>
      </c>
      <c r="B1917" t="s">
        <v>689</v>
      </c>
      <c r="C1917" t="s">
        <v>690</v>
      </c>
      <c r="D1917" t="s">
        <v>817</v>
      </c>
      <c r="E1917" s="155" t="s">
        <v>544</v>
      </c>
      <c r="F1917" t="s">
        <v>1272</v>
      </c>
      <c r="G1917" t="s">
        <v>664</v>
      </c>
      <c r="H1917" s="595">
        <v>-350</v>
      </c>
      <c r="I1917" t="str">
        <f t="shared" si="85"/>
        <v>janeiro 2026</v>
      </c>
      <c r="J1917">
        <f t="shared" si="84"/>
        <v>2026</v>
      </c>
      <c r="K1917" t="str">
        <f>VLOOKUP(G1917,METRICS!C:D,2,0)</f>
        <v>Colaborador Extra</v>
      </c>
      <c r="L1917" t="str">
        <f>VLOOKUP(K1917,METRICS!D:E,2,0)</f>
        <v>PESSOAL</v>
      </c>
    </row>
    <row r="1918" spans="1:12" ht="15" hidden="1">
      <c r="A1918" t="s">
        <v>1195</v>
      </c>
      <c r="B1918" t="s">
        <v>612</v>
      </c>
      <c r="C1918" t="s">
        <v>690</v>
      </c>
      <c r="D1918" t="s">
        <v>1205</v>
      </c>
      <c r="E1918" t="s">
        <v>830</v>
      </c>
      <c r="F1918" t="s">
        <v>1272</v>
      </c>
      <c r="G1918" t="s">
        <v>623</v>
      </c>
      <c r="H1918" s="595">
        <v>-407</v>
      </c>
      <c r="I1918" t="str">
        <f t="shared" si="85"/>
        <v>janeiro 2026</v>
      </c>
      <c r="J1918">
        <f t="shared" si="84"/>
        <v>2026</v>
      </c>
      <c r="K1918" t="str">
        <f>VLOOKUP(G1918,METRICS!C:D,2,0)</f>
        <v>Secos - Mercearia</v>
      </c>
      <c r="L1918" t="str">
        <f>VLOOKUP(K1918,METRICS!D:E,2,0)</f>
        <v>CUSTOS DOS PRODUTOS VENDIDOS</v>
      </c>
    </row>
    <row r="1919" spans="1:12" ht="15" hidden="1">
      <c r="A1919" t="s">
        <v>1195</v>
      </c>
      <c r="B1919" t="s">
        <v>612</v>
      </c>
      <c r="C1919" t="s">
        <v>690</v>
      </c>
      <c r="D1919" t="s">
        <v>1206</v>
      </c>
      <c r="E1919" t="s">
        <v>826</v>
      </c>
      <c r="F1919" t="s">
        <v>1272</v>
      </c>
      <c r="G1919" t="s">
        <v>633</v>
      </c>
      <c r="H1919" s="595">
        <v>-4576</v>
      </c>
      <c r="I1919" t="str">
        <f t="shared" si="85"/>
        <v>janeiro 2026</v>
      </c>
      <c r="J1919">
        <f t="shared" si="84"/>
        <v>2026</v>
      </c>
      <c r="K1919" t="str">
        <f>VLOOKUP(G1919,METRICS!C:D,2,0)</f>
        <v>Paes, Massas e Salgados</v>
      </c>
      <c r="L1919" t="str">
        <f>VLOOKUP(K1919,METRICS!D:E,2,0)</f>
        <v>CUSTOS DOS PRODUTOS VENDIDOS</v>
      </c>
    </row>
    <row r="1920" spans="1:12" ht="15" hidden="1">
      <c r="A1920" t="s">
        <v>1195</v>
      </c>
      <c r="B1920" t="s">
        <v>612</v>
      </c>
      <c r="C1920" t="s">
        <v>690</v>
      </c>
      <c r="D1920" t="s">
        <v>1207</v>
      </c>
      <c r="E1920" t="s">
        <v>727</v>
      </c>
      <c r="F1920" t="s">
        <v>1272</v>
      </c>
      <c r="G1920" t="s">
        <v>620</v>
      </c>
      <c r="H1920" s="595">
        <v>-1190.47</v>
      </c>
      <c r="I1920" t="str">
        <f t="shared" si="85"/>
        <v>janeiro 2026</v>
      </c>
      <c r="J1920">
        <f t="shared" si="84"/>
        <v>2026</v>
      </c>
      <c r="K1920" t="str">
        <f>VLOOKUP(G1920,METRICS!C:D,2,0)</f>
        <v>Hortifruti</v>
      </c>
      <c r="L1920" t="str">
        <f>VLOOKUP(K1920,METRICS!D:E,2,0)</f>
        <v>CUSTOS DOS PRODUTOS VENDIDOS</v>
      </c>
    </row>
    <row r="1921" spans="1:12" ht="15" hidden="1">
      <c r="A1921" t="s">
        <v>1195</v>
      </c>
      <c r="B1921" t="s">
        <v>689</v>
      </c>
      <c r="C1921" t="s">
        <v>690</v>
      </c>
      <c r="D1921" t="s">
        <v>756</v>
      </c>
      <c r="E1921" t="s">
        <v>757</v>
      </c>
      <c r="F1921" t="s">
        <v>1272</v>
      </c>
      <c r="G1921" t="s">
        <v>666</v>
      </c>
      <c r="H1921" s="595">
        <v>-54.68</v>
      </c>
      <c r="I1921" t="str">
        <f t="shared" si="85"/>
        <v>janeiro 2026</v>
      </c>
      <c r="J1921">
        <f t="shared" si="84"/>
        <v>2026</v>
      </c>
      <c r="K1921" t="str">
        <f>VLOOKUP(G1921,METRICS!C:D,2,0)</f>
        <v>Encargos Bancarios</v>
      </c>
      <c r="L1921" t="str">
        <f>VLOOKUP(K1921,METRICS!D:E,2,0)</f>
        <v>DESPESAS FINANCEIRAS</v>
      </c>
    </row>
    <row r="1922" spans="1:12" ht="15" hidden="1">
      <c r="A1922" t="s">
        <v>1195</v>
      </c>
      <c r="B1922" t="s">
        <v>612</v>
      </c>
      <c r="C1922" t="s">
        <v>690</v>
      </c>
      <c r="D1922" t="s">
        <v>1208</v>
      </c>
      <c r="E1922" t="s">
        <v>748</v>
      </c>
      <c r="F1922" t="s">
        <v>1272</v>
      </c>
      <c r="G1922" t="s">
        <v>620</v>
      </c>
      <c r="H1922" s="595">
        <v>-293.55</v>
      </c>
      <c r="I1922" t="str">
        <f t="shared" si="85"/>
        <v>janeiro 2026</v>
      </c>
      <c r="J1922">
        <f t="shared" si="84"/>
        <v>2026</v>
      </c>
      <c r="K1922" t="str">
        <f>VLOOKUP(G1922,METRICS!C:D,2,0)</f>
        <v>Hortifruti</v>
      </c>
      <c r="L1922" t="str">
        <f>VLOOKUP(K1922,METRICS!D:E,2,0)</f>
        <v>CUSTOS DOS PRODUTOS VENDIDOS</v>
      </c>
    </row>
    <row r="1923" spans="1:12" ht="15" hidden="1">
      <c r="A1923" t="s">
        <v>1195</v>
      </c>
      <c r="B1923" t="s">
        <v>689</v>
      </c>
      <c r="C1923" t="s">
        <v>690</v>
      </c>
      <c r="D1923" t="s">
        <v>883</v>
      </c>
      <c r="E1923" t="s">
        <v>746</v>
      </c>
      <c r="F1923" t="s">
        <v>1272</v>
      </c>
      <c r="G1923" t="s">
        <v>669</v>
      </c>
      <c r="H1923" s="595">
        <v>-25.96</v>
      </c>
      <c r="I1923" t="str">
        <f t="shared" si="85"/>
        <v>janeiro 2026</v>
      </c>
      <c r="J1923">
        <f t="shared" si="84"/>
        <v>2026</v>
      </c>
      <c r="K1923" t="str">
        <f>VLOOKUP(G1923,METRICS!C:D,2,0)</f>
        <v>Taxas Financeiras Diversas</v>
      </c>
      <c r="L1923" t="str">
        <f>VLOOKUP(K1923,METRICS!D:E,2,0)</f>
        <v>TAXAS CARTÃO DE CRÉDITO</v>
      </c>
    </row>
    <row r="1924" spans="1:12" ht="15" hidden="1">
      <c r="A1924" t="s">
        <v>1195</v>
      </c>
      <c r="B1924" t="s">
        <v>612</v>
      </c>
      <c r="C1924" t="s">
        <v>690</v>
      </c>
      <c r="D1924" t="s">
        <v>1209</v>
      </c>
      <c r="E1924" t="s">
        <v>1012</v>
      </c>
      <c r="F1924" t="s">
        <v>1272</v>
      </c>
      <c r="G1924" t="s">
        <v>611</v>
      </c>
      <c r="H1924" s="595">
        <v>-2924.95</v>
      </c>
      <c r="I1924" t="str">
        <f t="shared" si="85"/>
        <v>janeiro 2026</v>
      </c>
      <c r="J1924">
        <f t="shared" si="84"/>
        <v>2026</v>
      </c>
      <c r="K1924" t="str">
        <f>VLOOKUP(G1924,METRICS!C:D,2,0)</f>
        <v>Bebidas Alcoólicas</v>
      </c>
      <c r="L1924" t="str">
        <f>VLOOKUP(K1924,METRICS!D:E,2,0)</f>
        <v>CUSTOS DOS PRODUTOS VENDIDOS</v>
      </c>
    </row>
    <row r="1925" spans="1:12" ht="15" hidden="1">
      <c r="A1925" t="s">
        <v>1195</v>
      </c>
      <c r="B1925" t="s">
        <v>612</v>
      </c>
      <c r="C1925" t="s">
        <v>690</v>
      </c>
      <c r="D1925" t="s">
        <v>1210</v>
      </c>
      <c r="E1925" t="s">
        <v>770</v>
      </c>
      <c r="F1925" t="s">
        <v>1272</v>
      </c>
      <c r="G1925" t="s">
        <v>630</v>
      </c>
      <c r="H1925" s="595">
        <v>-620.16999999999996</v>
      </c>
      <c r="I1925" t="str">
        <f t="shared" si="85"/>
        <v>janeiro 2026</v>
      </c>
      <c r="J1925">
        <f t="shared" si="84"/>
        <v>2026</v>
      </c>
      <c r="K1925" t="str">
        <f>VLOOKUP(G1925,METRICS!C:D,2,0)</f>
        <v>Material de Copa e Limpeza</v>
      </c>
      <c r="L1925" t="str">
        <f>VLOOKUP(K1925,METRICS!D:E,2,0)</f>
        <v>ADMINISTRATIVA</v>
      </c>
    </row>
    <row r="1926" spans="1:12" ht="15" hidden="1">
      <c r="A1926" t="s">
        <v>1195</v>
      </c>
      <c r="B1926" t="s">
        <v>612</v>
      </c>
      <c r="C1926" t="s">
        <v>690</v>
      </c>
      <c r="D1926" t="s">
        <v>1211</v>
      </c>
      <c r="E1926" t="s">
        <v>878</v>
      </c>
      <c r="F1926" t="s">
        <v>1272</v>
      </c>
      <c r="G1926" t="s">
        <v>609</v>
      </c>
      <c r="H1926" s="595">
        <v>-704.03</v>
      </c>
      <c r="I1926" t="str">
        <f t="shared" si="85"/>
        <v>janeiro 2026</v>
      </c>
      <c r="J1926">
        <f t="shared" si="84"/>
        <v>2026</v>
      </c>
      <c r="K1926" t="str">
        <f>VLOOKUP(G1926,METRICS!C:D,2,0)</f>
        <v>Carnes e Aves</v>
      </c>
      <c r="L1926" t="str">
        <f>VLOOKUP(K1926,METRICS!D:E,2,0)</f>
        <v>CUSTOS DOS PRODUTOS VENDIDOS</v>
      </c>
    </row>
    <row r="1927" spans="1:12" ht="15" hidden="1">
      <c r="A1927" t="s">
        <v>1195</v>
      </c>
      <c r="B1927" t="s">
        <v>612</v>
      </c>
      <c r="C1927" t="s">
        <v>690</v>
      </c>
      <c r="D1927" t="s">
        <v>1212</v>
      </c>
      <c r="E1927" t="s">
        <v>878</v>
      </c>
      <c r="F1927" t="s">
        <v>1272</v>
      </c>
      <c r="G1927" t="s">
        <v>609</v>
      </c>
      <c r="H1927" s="595">
        <v>-5389.36</v>
      </c>
      <c r="I1927" t="str">
        <f t="shared" si="85"/>
        <v>janeiro 2026</v>
      </c>
      <c r="J1927">
        <f t="shared" si="84"/>
        <v>2026</v>
      </c>
      <c r="K1927" t="str">
        <f>VLOOKUP(G1927,METRICS!C:D,2,0)</f>
        <v>Carnes e Aves</v>
      </c>
      <c r="L1927" t="str">
        <f>VLOOKUP(K1927,METRICS!D:E,2,0)</f>
        <v>CUSTOS DOS PRODUTOS VENDIDOS</v>
      </c>
    </row>
    <row r="1928" spans="1:12" ht="15" hidden="1">
      <c r="A1928" t="s">
        <v>1195</v>
      </c>
      <c r="B1928" t="s">
        <v>612</v>
      </c>
      <c r="C1928" t="s">
        <v>690</v>
      </c>
      <c r="D1928" t="s">
        <v>1213</v>
      </c>
      <c r="E1928" t="s">
        <v>805</v>
      </c>
      <c r="F1928" t="s">
        <v>1272</v>
      </c>
      <c r="G1928" t="s">
        <v>609</v>
      </c>
      <c r="H1928" s="595">
        <v>-8777.25</v>
      </c>
      <c r="I1928" t="str">
        <f t="shared" si="85"/>
        <v>janeiro 2026</v>
      </c>
      <c r="J1928">
        <f t="shared" si="84"/>
        <v>2026</v>
      </c>
      <c r="K1928" t="str">
        <f>VLOOKUP(G1928,METRICS!C:D,2,0)</f>
        <v>Carnes e Aves</v>
      </c>
      <c r="L1928" t="str">
        <f>VLOOKUP(K1928,METRICS!D:E,2,0)</f>
        <v>CUSTOS DOS PRODUTOS VENDIDOS</v>
      </c>
    </row>
    <row r="1929" spans="1:12" ht="15" hidden="1">
      <c r="A1929" t="s">
        <v>1195</v>
      </c>
      <c r="B1929" t="s">
        <v>689</v>
      </c>
      <c r="C1929" t="s">
        <v>690</v>
      </c>
      <c r="D1929" t="s">
        <v>1214</v>
      </c>
      <c r="E1929" t="s">
        <v>786</v>
      </c>
      <c r="F1929" t="s">
        <v>1272</v>
      </c>
      <c r="G1929" s="518" t="s">
        <v>1736</v>
      </c>
      <c r="H1929" s="595">
        <v>-81.52</v>
      </c>
      <c r="I1929" t="str">
        <f t="shared" si="85"/>
        <v>janeiro 2026</v>
      </c>
      <c r="J1929">
        <f t="shared" si="84"/>
        <v>2026</v>
      </c>
      <c r="K1929" t="str">
        <f>VLOOKUP(G1929,METRICS!C:D,2,0)</f>
        <v>Sistema e Software OP</v>
      </c>
      <c r="L1929" t="str">
        <f>VLOOKUP(K1929,METRICS!D:E,2,0)</f>
        <v>OPERAÇÃO</v>
      </c>
    </row>
    <row r="1930" spans="1:12" ht="15" hidden="1">
      <c r="A1930" t="s">
        <v>1215</v>
      </c>
      <c r="B1930" t="s">
        <v>689</v>
      </c>
      <c r="C1930" t="s">
        <v>690</v>
      </c>
      <c r="D1930" t="s">
        <v>1216</v>
      </c>
      <c r="E1930" t="s">
        <v>1217</v>
      </c>
      <c r="F1930" t="s">
        <v>1272</v>
      </c>
      <c r="G1930" t="s">
        <v>626</v>
      </c>
      <c r="H1930" s="595">
        <v>-430</v>
      </c>
      <c r="I1930" t="str">
        <f t="shared" si="85"/>
        <v>janeiro 2026</v>
      </c>
      <c r="J1930">
        <f t="shared" si="84"/>
        <v>2026</v>
      </c>
      <c r="K1930" t="str">
        <f>VLOOKUP(G1930,METRICS!C:D,2,0)</f>
        <v>Manutenção e Conservação</v>
      </c>
      <c r="L1930" t="str">
        <f>VLOOKUP(K1930,METRICS!D:E,2,0)</f>
        <v>OPERAÇÃO</v>
      </c>
    </row>
    <row r="1931" spans="1:12" ht="15" hidden="1">
      <c r="A1931" t="s">
        <v>1215</v>
      </c>
      <c r="B1931" t="s">
        <v>689</v>
      </c>
      <c r="C1931" t="s">
        <v>690</v>
      </c>
      <c r="D1931" t="s">
        <v>1218</v>
      </c>
      <c r="E1931" t="s">
        <v>1219</v>
      </c>
      <c r="F1931" t="s">
        <v>1272</v>
      </c>
      <c r="G1931" t="s">
        <v>631</v>
      </c>
      <c r="H1931" s="595">
        <v>-7000</v>
      </c>
      <c r="I1931" t="str">
        <f t="shared" si="85"/>
        <v>janeiro 2026</v>
      </c>
      <c r="J1931">
        <f t="shared" si="84"/>
        <v>2026</v>
      </c>
      <c r="K1931" t="str">
        <f>VLOOKUP(G1931,METRICS!C:D,2,0)</f>
        <v>Midias Sociais</v>
      </c>
      <c r="L1931" t="str">
        <f>VLOOKUP(K1931,METRICS!D:E,2,0)</f>
        <v>MARKETING</v>
      </c>
    </row>
    <row r="1932" spans="1:12" ht="15" hidden="1">
      <c r="A1932" t="s">
        <v>1215</v>
      </c>
      <c r="B1932" t="s">
        <v>612</v>
      </c>
      <c r="C1932" t="s">
        <v>690</v>
      </c>
      <c r="D1932" t="s">
        <v>1220</v>
      </c>
      <c r="E1932" t="s">
        <v>748</v>
      </c>
      <c r="F1932" t="s">
        <v>1272</v>
      </c>
      <c r="G1932" t="s">
        <v>620</v>
      </c>
      <c r="H1932" s="595">
        <v>-238.1</v>
      </c>
      <c r="I1932" t="str">
        <f t="shared" si="85"/>
        <v>janeiro 2026</v>
      </c>
      <c r="J1932">
        <f t="shared" si="84"/>
        <v>2026</v>
      </c>
      <c r="K1932" t="str">
        <f>VLOOKUP(G1932,METRICS!C:D,2,0)</f>
        <v>Hortifruti</v>
      </c>
      <c r="L1932" t="str">
        <f>VLOOKUP(K1932,METRICS!D:E,2,0)</f>
        <v>CUSTOS DOS PRODUTOS VENDIDOS</v>
      </c>
    </row>
    <row r="1933" spans="1:12" ht="15" hidden="1">
      <c r="A1933" t="s">
        <v>1215</v>
      </c>
      <c r="B1933" t="s">
        <v>612</v>
      </c>
      <c r="C1933" t="s">
        <v>690</v>
      </c>
      <c r="D1933" t="s">
        <v>1221</v>
      </c>
      <c r="E1933" t="s">
        <v>878</v>
      </c>
      <c r="F1933" t="s">
        <v>1272</v>
      </c>
      <c r="G1933" t="s">
        <v>609</v>
      </c>
      <c r="H1933" s="595">
        <v>-1907.91</v>
      </c>
      <c r="I1933" t="str">
        <f t="shared" si="85"/>
        <v>janeiro 2026</v>
      </c>
      <c r="J1933">
        <f t="shared" si="84"/>
        <v>2026</v>
      </c>
      <c r="K1933" t="str">
        <f>VLOOKUP(G1933,METRICS!C:D,2,0)</f>
        <v>Carnes e Aves</v>
      </c>
      <c r="L1933" t="str">
        <f>VLOOKUP(K1933,METRICS!D:E,2,0)</f>
        <v>CUSTOS DOS PRODUTOS VENDIDOS</v>
      </c>
    </row>
    <row r="1934" spans="1:12" ht="15" hidden="1">
      <c r="A1934" t="s">
        <v>1215</v>
      </c>
      <c r="B1934" t="s">
        <v>689</v>
      </c>
      <c r="C1934" t="s">
        <v>690</v>
      </c>
      <c r="D1934" t="s">
        <v>1327</v>
      </c>
      <c r="E1934" t="s">
        <v>1222</v>
      </c>
      <c r="F1934" t="s">
        <v>1272</v>
      </c>
      <c r="G1934" t="s">
        <v>651</v>
      </c>
      <c r="H1934" s="595">
        <v>-3932.35</v>
      </c>
      <c r="I1934" t="str">
        <f t="shared" si="85"/>
        <v>janeiro 2026</v>
      </c>
      <c r="J1934">
        <f t="shared" si="84"/>
        <v>2026</v>
      </c>
      <c r="K1934" t="str">
        <f>VLOOKUP(G1934,METRICS!C:D,2,0)</f>
        <v>Assistência Médica e Social</v>
      </c>
      <c r="L1934" t="str">
        <f>VLOOKUP(K1934,METRICS!D:E,2,0)</f>
        <v>PESSOAL</v>
      </c>
    </row>
    <row r="1935" spans="1:12" ht="15" hidden="1">
      <c r="A1935" t="s">
        <v>1215</v>
      </c>
      <c r="B1935" t="s">
        <v>689</v>
      </c>
      <c r="C1935" t="s">
        <v>690</v>
      </c>
      <c r="D1935" t="s">
        <v>1223</v>
      </c>
      <c r="E1935" t="s">
        <v>1224</v>
      </c>
      <c r="F1935" t="s">
        <v>1272</v>
      </c>
      <c r="G1935" t="s">
        <v>642</v>
      </c>
      <c r="H1935" s="595">
        <v>-5075.51</v>
      </c>
      <c r="I1935" t="str">
        <f t="shared" si="85"/>
        <v>janeiro 2026</v>
      </c>
      <c r="J1935">
        <f t="shared" si="84"/>
        <v>2026</v>
      </c>
      <c r="K1935" t="str">
        <f>VLOOKUP(G1935,METRICS!C:D,2,0)</f>
        <v>Férias</v>
      </c>
      <c r="L1935" t="str">
        <f>VLOOKUP(K1935,METRICS!D:E,2,0)</f>
        <v>PESSOAL</v>
      </c>
    </row>
    <row r="1936" spans="1:12" ht="15" hidden="1">
      <c r="A1936" t="s">
        <v>1215</v>
      </c>
      <c r="B1936" t="s">
        <v>689</v>
      </c>
      <c r="C1936" t="s">
        <v>690</v>
      </c>
      <c r="D1936" t="s">
        <v>1225</v>
      </c>
      <c r="E1936" t="s">
        <v>544</v>
      </c>
      <c r="F1936" t="s">
        <v>1272</v>
      </c>
      <c r="G1936" t="s">
        <v>678</v>
      </c>
      <c r="H1936" s="595">
        <v>-20.23</v>
      </c>
      <c r="I1936" t="str">
        <f t="shared" si="85"/>
        <v>janeiro 2026</v>
      </c>
      <c r="J1936">
        <f t="shared" si="84"/>
        <v>2026</v>
      </c>
      <c r="K1936" t="str">
        <f>VLOOKUP(G1936,METRICS!C:D,2,0)</f>
        <v>Transporte/Fretes</v>
      </c>
      <c r="L1936" t="str">
        <f>VLOOKUP(K1936,METRICS!D:E,2,0)</f>
        <v>ADMINISTRATIVA</v>
      </c>
    </row>
    <row r="1937" spans="1:13" ht="15" hidden="1">
      <c r="A1937" t="s">
        <v>1215</v>
      </c>
      <c r="B1937" t="s">
        <v>689</v>
      </c>
      <c r="C1937" t="s">
        <v>690</v>
      </c>
      <c r="D1937" t="s">
        <v>1226</v>
      </c>
      <c r="E1937" s="518" t="s">
        <v>1742</v>
      </c>
      <c r="F1937" t="s">
        <v>1272</v>
      </c>
      <c r="G1937" t="s">
        <v>626</v>
      </c>
      <c r="H1937" s="595">
        <v>-240</v>
      </c>
      <c r="I1937" t="str">
        <f t="shared" si="85"/>
        <v>janeiro 2026</v>
      </c>
      <c r="J1937">
        <f t="shared" si="84"/>
        <v>2026</v>
      </c>
      <c r="K1937" t="str">
        <f>VLOOKUP(G1937,METRICS!C:D,2,0)</f>
        <v>Manutenção e Conservação</v>
      </c>
      <c r="L1937" t="str">
        <f>VLOOKUP(K1937,METRICS!D:E,2,0)</f>
        <v>OPERAÇÃO</v>
      </c>
    </row>
    <row r="1938" spans="1:13" ht="15" hidden="1">
      <c r="A1938" t="s">
        <v>1215</v>
      </c>
      <c r="B1938" t="s">
        <v>612</v>
      </c>
      <c r="C1938" t="s">
        <v>690</v>
      </c>
      <c r="D1938" t="s">
        <v>1227</v>
      </c>
      <c r="E1938" t="s">
        <v>878</v>
      </c>
      <c r="F1938" t="s">
        <v>1272</v>
      </c>
      <c r="G1938" t="s">
        <v>609</v>
      </c>
      <c r="H1938" s="595">
        <v>-2861.1</v>
      </c>
      <c r="I1938" t="str">
        <f t="shared" si="85"/>
        <v>janeiro 2026</v>
      </c>
      <c r="J1938">
        <f t="shared" si="84"/>
        <v>2026</v>
      </c>
      <c r="K1938" t="str">
        <f>VLOOKUP(G1938,METRICS!C:D,2,0)</f>
        <v>Carnes e Aves</v>
      </c>
      <c r="L1938" t="str">
        <f>VLOOKUP(K1938,METRICS!D:E,2,0)</f>
        <v>CUSTOS DOS PRODUTOS VENDIDOS</v>
      </c>
    </row>
    <row r="1939" spans="1:13" ht="15" hidden="1">
      <c r="A1939" t="s">
        <v>1215</v>
      </c>
      <c r="B1939" t="s">
        <v>689</v>
      </c>
      <c r="C1939" t="s">
        <v>690</v>
      </c>
      <c r="D1939" t="s">
        <v>1228</v>
      </c>
      <c r="E1939" s="593" t="s">
        <v>789</v>
      </c>
      <c r="F1939" s="593" t="s">
        <v>1272</v>
      </c>
      <c r="G1939" s="593" t="s">
        <v>110</v>
      </c>
      <c r="H1939" s="595">
        <v>-14412.69</v>
      </c>
      <c r="I1939" s="593" t="str">
        <f t="shared" si="85"/>
        <v>janeiro 2026</v>
      </c>
      <c r="J1939" s="593">
        <f t="shared" si="84"/>
        <v>2026</v>
      </c>
      <c r="K1939" s="593" t="str">
        <f>VLOOKUP(G1939,METRICS!C:D,2,0)</f>
        <v>FGTS</v>
      </c>
      <c r="L1939" s="593" t="str">
        <f>VLOOKUP(K1939,METRICS!D:E,2,0)</f>
        <v>PESSOAL</v>
      </c>
      <c r="M1939" s="593"/>
    </row>
    <row r="1940" spans="1:13" ht="15" hidden="1">
      <c r="A1940" s="512">
        <v>46042</v>
      </c>
      <c r="B1940" t="s">
        <v>689</v>
      </c>
      <c r="D1940" t="s">
        <v>789</v>
      </c>
      <c r="E1940" s="593" t="s">
        <v>789</v>
      </c>
      <c r="F1940" s="593" t="s">
        <v>1272</v>
      </c>
      <c r="G1940" s="593" t="s">
        <v>110</v>
      </c>
      <c r="H1940" s="595">
        <v>-22058.65</v>
      </c>
      <c r="I1940" s="593" t="str">
        <f t="shared" ref="I1940" si="86">TEXT(A1940, "mmmm aaaa")</f>
        <v>janeiro 2026</v>
      </c>
      <c r="J1940" s="593">
        <f t="shared" ref="J1940" si="87">YEAR(A1940)</f>
        <v>2026</v>
      </c>
      <c r="K1940" s="593" t="str">
        <f>VLOOKUP(G1940,METRICS!C:D,2,0)</f>
        <v>FGTS</v>
      </c>
      <c r="L1940" s="593" t="str">
        <f>VLOOKUP(K1940,METRICS!D:E,2,0)</f>
        <v>PESSOAL</v>
      </c>
      <c r="M1940" s="593"/>
    </row>
    <row r="1941" spans="1:13" ht="15" hidden="1">
      <c r="A1941" s="512">
        <v>46042</v>
      </c>
      <c r="B1941" t="s">
        <v>689</v>
      </c>
      <c r="D1941" t="s">
        <v>1321</v>
      </c>
      <c r="E1941" t="s">
        <v>789</v>
      </c>
      <c r="F1941" t="s">
        <v>1272</v>
      </c>
      <c r="G1941" t="s">
        <v>108</v>
      </c>
      <c r="H1941" s="595">
        <v>-14190</v>
      </c>
      <c r="I1941" t="str">
        <f t="shared" ref="I1941" si="88">TEXT(A1941, "mmmm aaaa")</f>
        <v>janeiro 2026</v>
      </c>
      <c r="J1941">
        <f t="shared" ref="J1941" si="89">YEAR(A1941)</f>
        <v>2026</v>
      </c>
      <c r="K1941" t="str">
        <f>VLOOKUP(G1941,METRICS!C:D,2,0)</f>
        <v>IR/INSS</v>
      </c>
      <c r="L1941" t="str">
        <f>VLOOKUP(K1941,METRICS!D:E,2,0)</f>
        <v>PESSOAL</v>
      </c>
    </row>
    <row r="1942" spans="1:13" ht="15" hidden="1">
      <c r="A1942" s="512">
        <v>46042</v>
      </c>
      <c r="B1942" t="s">
        <v>689</v>
      </c>
      <c r="D1942" t="s">
        <v>1321</v>
      </c>
      <c r="E1942" t="s">
        <v>789</v>
      </c>
      <c r="F1942" t="s">
        <v>1272</v>
      </c>
      <c r="G1942" t="s">
        <v>1322</v>
      </c>
      <c r="H1942" s="595">
        <v>-38.85</v>
      </c>
      <c r="I1942" t="str">
        <f t="shared" ref="I1942" si="90">TEXT(A1942, "mmmm aaaa")</f>
        <v>janeiro 2026</v>
      </c>
      <c r="J1942">
        <f t="shared" ref="J1942" si="91">YEAR(A1942)</f>
        <v>2026</v>
      </c>
      <c r="K1942" t="str">
        <f>VLOOKUP(G1942,METRICS!C:D,2,0)</f>
        <v>IR/INSS</v>
      </c>
      <c r="L1942" t="str">
        <f>VLOOKUP(K1942,METRICS!D:E,2,0)</f>
        <v>PESSOAL</v>
      </c>
    </row>
    <row r="1943" spans="1:13" ht="15" hidden="1">
      <c r="A1943" s="512">
        <v>46042</v>
      </c>
      <c r="B1943" t="s">
        <v>689</v>
      </c>
      <c r="D1943" t="s">
        <v>1299</v>
      </c>
      <c r="E1943" t="s">
        <v>1299</v>
      </c>
      <c r="F1943" t="s">
        <v>1272</v>
      </c>
      <c r="G1943" t="s">
        <v>124</v>
      </c>
      <c r="H1943" s="595">
        <v>-4013.16</v>
      </c>
      <c r="I1943" t="str">
        <f t="shared" ref="I1943" si="92">TEXT(A1943, "mmmm aaaa")</f>
        <v>janeiro 2026</v>
      </c>
      <c r="J1943">
        <f t="shared" ref="J1943" si="93">YEAR(A1943)</f>
        <v>2026</v>
      </c>
      <c r="K1943" t="str">
        <f>VLOOKUP(G1943,METRICS!C:D,2,0)</f>
        <v>Contribuição Sindical</v>
      </c>
      <c r="L1943" t="str">
        <f>VLOOKUP(G1943,METRICS!D:E,2,0)</f>
        <v>PESSOAL</v>
      </c>
    </row>
    <row r="1944" spans="1:13" ht="15" hidden="1">
      <c r="A1944" t="s">
        <v>1215</v>
      </c>
      <c r="B1944" t="s">
        <v>689</v>
      </c>
      <c r="C1944" t="s">
        <v>690</v>
      </c>
      <c r="D1944" t="s">
        <v>1229</v>
      </c>
      <c r="E1944" t="s">
        <v>1230</v>
      </c>
      <c r="F1944" t="s">
        <v>1272</v>
      </c>
      <c r="G1944" t="s">
        <v>628</v>
      </c>
      <c r="H1944" s="595">
        <v>-34.9</v>
      </c>
      <c r="I1944" t="str">
        <f t="shared" si="85"/>
        <v>janeiro 2026</v>
      </c>
      <c r="J1944">
        <f t="shared" si="84"/>
        <v>2026</v>
      </c>
      <c r="K1944" t="str">
        <f>VLOOKUP(G1944,METRICS!C:D,2,0)</f>
        <v>Material de Escritório</v>
      </c>
      <c r="L1944" t="str">
        <f>VLOOKUP(K1944,METRICS!D:E,2,0)</f>
        <v>ADMINISTRATIVA</v>
      </c>
    </row>
    <row r="1945" spans="1:13" ht="15" hidden="1">
      <c r="A1945" t="s">
        <v>1215</v>
      </c>
      <c r="B1945" t="s">
        <v>689</v>
      </c>
      <c r="C1945" t="s">
        <v>690</v>
      </c>
      <c r="D1945" t="s">
        <v>1231</v>
      </c>
      <c r="E1945" t="s">
        <v>1232</v>
      </c>
      <c r="F1945" t="s">
        <v>1272</v>
      </c>
      <c r="G1945" t="s">
        <v>680</v>
      </c>
      <c r="H1945" s="595">
        <v>-150</v>
      </c>
      <c r="I1945" t="str">
        <f t="shared" si="85"/>
        <v>janeiro 2026</v>
      </c>
      <c r="J1945">
        <f t="shared" si="84"/>
        <v>2026</v>
      </c>
      <c r="K1945" t="str">
        <f>VLOOKUP(G1945,METRICS!C:D,2,0)</f>
        <v>Gratificações</v>
      </c>
      <c r="L1945" t="str">
        <f>VLOOKUP(K1945,METRICS!D:E,2,0)</f>
        <v>PESSOAL</v>
      </c>
    </row>
    <row r="1946" spans="1:13" ht="15" hidden="1">
      <c r="A1946" t="s">
        <v>1215</v>
      </c>
      <c r="B1946" t="s">
        <v>689</v>
      </c>
      <c r="C1946" t="s">
        <v>690</v>
      </c>
      <c r="D1946" t="s">
        <v>883</v>
      </c>
      <c r="E1946" t="s">
        <v>746</v>
      </c>
      <c r="F1946" t="s">
        <v>1272</v>
      </c>
      <c r="G1946" t="s">
        <v>665</v>
      </c>
      <c r="H1946" s="595">
        <v>-38.130000000000003</v>
      </c>
      <c r="I1946" t="str">
        <f t="shared" si="85"/>
        <v>janeiro 2026</v>
      </c>
      <c r="J1946">
        <f t="shared" si="84"/>
        <v>2026</v>
      </c>
      <c r="K1946" t="str">
        <f>VLOOKUP(G1946,METRICS!C:D,2,0)</f>
        <v>Taxas Financeiras Diversas</v>
      </c>
      <c r="L1946" t="str">
        <f>VLOOKUP(K1946,METRICS!D:E,2,0)</f>
        <v>TAXAS CARTÃO DE CRÉDITO</v>
      </c>
    </row>
    <row r="1947" spans="1:13" ht="15" hidden="1">
      <c r="A1947" t="s">
        <v>1215</v>
      </c>
      <c r="B1947" t="s">
        <v>689</v>
      </c>
      <c r="C1947" t="s">
        <v>690</v>
      </c>
      <c r="D1947" t="s">
        <v>883</v>
      </c>
      <c r="E1947" t="s">
        <v>746</v>
      </c>
      <c r="F1947" t="s">
        <v>1272</v>
      </c>
      <c r="G1947" t="s">
        <v>665</v>
      </c>
      <c r="H1947" s="595">
        <v>-3069.74</v>
      </c>
      <c r="I1947" t="str">
        <f t="shared" ref="I1947" si="94">TEXT(A1947, "mmmm aaaa")</f>
        <v>janeiro 2026</v>
      </c>
      <c r="J1947">
        <f t="shared" ref="J1947" si="95">YEAR(A1947)</f>
        <v>2026</v>
      </c>
      <c r="K1947" t="str">
        <f>VLOOKUP(G1947,METRICS!C:D,2,0)</f>
        <v>Taxas Financeiras Diversas</v>
      </c>
      <c r="L1947" t="str">
        <f>VLOOKUP(K1947,METRICS!D:E,2,0)</f>
        <v>TAXAS CARTÃO DE CRÉDITO</v>
      </c>
      <c r="M1947" s="518"/>
    </row>
    <row r="1948" spans="1:13" ht="15" hidden="1">
      <c r="A1948" t="s">
        <v>1215</v>
      </c>
      <c r="B1948" t="s">
        <v>689</v>
      </c>
      <c r="C1948" t="s">
        <v>690</v>
      </c>
      <c r="D1948" t="s">
        <v>1231</v>
      </c>
      <c r="E1948" t="s">
        <v>1233</v>
      </c>
      <c r="F1948" t="s">
        <v>1272</v>
      </c>
      <c r="G1948" t="s">
        <v>680</v>
      </c>
      <c r="H1948" s="595">
        <v>-150</v>
      </c>
      <c r="I1948" t="str">
        <f t="shared" si="85"/>
        <v>janeiro 2026</v>
      </c>
      <c r="J1948">
        <f t="shared" si="84"/>
        <v>2026</v>
      </c>
      <c r="K1948" t="str">
        <f>VLOOKUP(G1948,METRICS!C:D,2,0)</f>
        <v>Gratificações</v>
      </c>
      <c r="L1948" t="str">
        <f>VLOOKUP(K1948,METRICS!D:E,2,0)</f>
        <v>PESSOAL</v>
      </c>
    </row>
    <row r="1949" spans="1:13" ht="15" hidden="1">
      <c r="A1949" t="s">
        <v>1215</v>
      </c>
      <c r="B1949" t="s">
        <v>689</v>
      </c>
      <c r="C1949" t="s">
        <v>690</v>
      </c>
      <c r="D1949" t="s">
        <v>1231</v>
      </c>
      <c r="E1949" t="s">
        <v>1224</v>
      </c>
      <c r="F1949" t="s">
        <v>1272</v>
      </c>
      <c r="G1949" t="s">
        <v>680</v>
      </c>
      <c r="H1949" s="595">
        <v>-150</v>
      </c>
      <c r="I1949" t="str">
        <f t="shared" si="85"/>
        <v>janeiro 2026</v>
      </c>
      <c r="J1949">
        <f t="shared" si="84"/>
        <v>2026</v>
      </c>
      <c r="K1949" t="str">
        <f>VLOOKUP(G1949,METRICS!C:D,2,0)</f>
        <v>Gratificações</v>
      </c>
      <c r="L1949" t="str">
        <f>VLOOKUP(K1949,METRICS!D:E,2,0)</f>
        <v>PESSOAL</v>
      </c>
    </row>
    <row r="1950" spans="1:13" ht="15" hidden="1">
      <c r="A1950" t="s">
        <v>1215</v>
      </c>
      <c r="B1950" t="s">
        <v>689</v>
      </c>
      <c r="C1950" t="s">
        <v>690</v>
      </c>
      <c r="D1950" t="s">
        <v>1234</v>
      </c>
      <c r="E1950" t="s">
        <v>1235</v>
      </c>
      <c r="F1950" t="s">
        <v>1272</v>
      </c>
      <c r="G1950" t="s">
        <v>625</v>
      </c>
      <c r="H1950" s="595">
        <v>-550</v>
      </c>
      <c r="I1950" t="str">
        <f t="shared" si="85"/>
        <v>janeiro 2026</v>
      </c>
      <c r="J1950">
        <f t="shared" si="84"/>
        <v>2026</v>
      </c>
      <c r="K1950" t="str">
        <f>VLOOKUP(G1950,METRICS!C:D,2,0)</f>
        <v>Manutenção e Conservação</v>
      </c>
      <c r="L1950" t="str">
        <f>VLOOKUP(K1950,METRICS!D:E,2,0)</f>
        <v>OPERAÇÃO</v>
      </c>
    </row>
    <row r="1951" spans="1:13" ht="15" hidden="1">
      <c r="A1951" t="s">
        <v>1215</v>
      </c>
      <c r="B1951" t="s">
        <v>689</v>
      </c>
      <c r="C1951" t="s">
        <v>690</v>
      </c>
      <c r="D1951" t="s">
        <v>1236</v>
      </c>
      <c r="E1951" t="s">
        <v>1230</v>
      </c>
      <c r="F1951" t="s">
        <v>1272</v>
      </c>
      <c r="G1951" t="s">
        <v>628</v>
      </c>
      <c r="H1951" s="595">
        <v>-24.99</v>
      </c>
      <c r="I1951" t="str">
        <f t="shared" si="85"/>
        <v>janeiro 2026</v>
      </c>
      <c r="J1951">
        <f t="shared" si="84"/>
        <v>2026</v>
      </c>
      <c r="K1951" t="str">
        <f>VLOOKUP(G1951,METRICS!C:D,2,0)</f>
        <v>Material de Escritório</v>
      </c>
      <c r="L1951" t="str">
        <f>VLOOKUP(K1951,METRICS!D:E,2,0)</f>
        <v>ADMINISTRATIVA</v>
      </c>
    </row>
    <row r="1952" spans="1:13" ht="15" hidden="1">
      <c r="A1952" t="s">
        <v>1215</v>
      </c>
      <c r="B1952" t="s">
        <v>689</v>
      </c>
      <c r="C1952" t="s">
        <v>690</v>
      </c>
      <c r="D1952" t="s">
        <v>817</v>
      </c>
      <c r="E1952" t="s">
        <v>1237</v>
      </c>
      <c r="F1952" t="s">
        <v>1272</v>
      </c>
      <c r="G1952" t="s">
        <v>542</v>
      </c>
      <c r="H1952" s="595">
        <v>-400</v>
      </c>
      <c r="I1952" t="str">
        <f t="shared" si="85"/>
        <v>janeiro 2026</v>
      </c>
      <c r="J1952">
        <f t="shared" si="84"/>
        <v>2026</v>
      </c>
      <c r="K1952" t="str">
        <f>VLOOKUP(G1952,METRICS!C:D,2,0)</f>
        <v>Vale Transporte</v>
      </c>
      <c r="L1952" t="str">
        <f>VLOOKUP(K1952,METRICS!D:E,2,0)</f>
        <v>PESSOAL</v>
      </c>
    </row>
    <row r="1953" spans="1:13" ht="15" hidden="1">
      <c r="A1953" t="s">
        <v>1215</v>
      </c>
      <c r="B1953" t="s">
        <v>612</v>
      </c>
      <c r="C1953" t="s">
        <v>690</v>
      </c>
      <c r="D1953" t="s">
        <v>1238</v>
      </c>
      <c r="E1953" t="s">
        <v>1239</v>
      </c>
      <c r="F1953" t="s">
        <v>1272</v>
      </c>
      <c r="G1953" t="s">
        <v>413</v>
      </c>
      <c r="H1953" s="595">
        <v>-3329.58</v>
      </c>
      <c r="I1953" t="str">
        <f t="shared" si="85"/>
        <v>janeiro 2026</v>
      </c>
      <c r="J1953">
        <f t="shared" si="84"/>
        <v>2026</v>
      </c>
      <c r="K1953" t="str">
        <f>VLOOKUP(G1953,METRICS!C:D,2,0)</f>
        <v>Pescados</v>
      </c>
      <c r="L1953" t="str">
        <f>VLOOKUP(K1953,METRICS!D:E,2,0)</f>
        <v>CUSTOS DOS PRODUTOS VENDIDOS</v>
      </c>
    </row>
    <row r="1954" spans="1:13" ht="15" hidden="1">
      <c r="A1954" t="s">
        <v>1215</v>
      </c>
      <c r="B1954" t="s">
        <v>689</v>
      </c>
      <c r="C1954" t="s">
        <v>690</v>
      </c>
      <c r="D1954" t="s">
        <v>1240</v>
      </c>
      <c r="E1954" t="s">
        <v>1241</v>
      </c>
      <c r="F1954" t="s">
        <v>1272</v>
      </c>
      <c r="G1954" t="s">
        <v>1274</v>
      </c>
      <c r="H1954" s="595">
        <v>-43710.11</v>
      </c>
      <c r="I1954" t="str">
        <f t="shared" si="85"/>
        <v>janeiro 2026</v>
      </c>
      <c r="J1954">
        <f t="shared" si="84"/>
        <v>2026</v>
      </c>
      <c r="K1954" t="str">
        <f>VLOOKUP(G1954,METRICS!C:D,2,0)</f>
        <v>Honorários dos administradores</v>
      </c>
      <c r="L1954" t="str">
        <f>VLOOKUP(K1954,METRICS!D:E,2,0)</f>
        <v>ADMINISTRATIVA</v>
      </c>
    </row>
    <row r="1955" spans="1:13" ht="15" hidden="1">
      <c r="A1955" t="s">
        <v>1215</v>
      </c>
      <c r="B1955" t="s">
        <v>612</v>
      </c>
      <c r="C1955" t="s">
        <v>690</v>
      </c>
      <c r="D1955" t="s">
        <v>1242</v>
      </c>
      <c r="E1955" t="s">
        <v>811</v>
      </c>
      <c r="F1955" t="s">
        <v>1272</v>
      </c>
      <c r="G1955" t="s">
        <v>636</v>
      </c>
      <c r="H1955" s="595">
        <v>-3625.39</v>
      </c>
      <c r="I1955" t="str">
        <f t="shared" si="85"/>
        <v>janeiro 2026</v>
      </c>
      <c r="J1955">
        <f t="shared" si="84"/>
        <v>2026</v>
      </c>
      <c r="K1955" t="str">
        <f>VLOOKUP(G1955,METRICS!C:D,2,0)</f>
        <v>Secos - Mercearia</v>
      </c>
      <c r="L1955" t="str">
        <f>VLOOKUP(K1955,METRICS!D:E,2,0)</f>
        <v>CUSTOS DOS PRODUTOS VENDIDOS</v>
      </c>
    </row>
    <row r="1956" spans="1:13" ht="15" hidden="1">
      <c r="A1956" t="s">
        <v>1215</v>
      </c>
      <c r="B1956" t="s">
        <v>612</v>
      </c>
      <c r="C1956" t="s">
        <v>690</v>
      </c>
      <c r="D1956" t="s">
        <v>1243</v>
      </c>
      <c r="E1956" t="s">
        <v>979</v>
      </c>
      <c r="F1956" t="s">
        <v>1272</v>
      </c>
      <c r="G1956" t="s">
        <v>641</v>
      </c>
      <c r="H1956" s="595">
        <v>-4031.94</v>
      </c>
      <c r="I1956" t="str">
        <f t="shared" si="85"/>
        <v>janeiro 2026</v>
      </c>
      <c r="J1956">
        <f t="shared" si="84"/>
        <v>2026</v>
      </c>
      <c r="K1956" t="str">
        <f>VLOOKUP(G1956,METRICS!C:D,2,0)</f>
        <v>Vinhos/Espumantes</v>
      </c>
      <c r="L1956" t="str">
        <f>VLOOKUP(K1956,METRICS!D:E,2,0)</f>
        <v>CUSTOS DOS PRODUTOS VENDIDOS</v>
      </c>
    </row>
    <row r="1957" spans="1:13" ht="15" hidden="1">
      <c r="A1957" t="s">
        <v>1215</v>
      </c>
      <c r="B1957" t="s">
        <v>689</v>
      </c>
      <c r="C1957" t="s">
        <v>690</v>
      </c>
      <c r="D1957" t="s">
        <v>1244</v>
      </c>
      <c r="E1957" t="s">
        <v>1245</v>
      </c>
      <c r="F1957" t="s">
        <v>1272</v>
      </c>
      <c r="G1957" t="s">
        <v>659</v>
      </c>
      <c r="H1957" s="595">
        <v>-3000</v>
      </c>
      <c r="I1957" t="str">
        <f t="shared" si="85"/>
        <v>janeiro 2026</v>
      </c>
      <c r="J1957">
        <f t="shared" si="84"/>
        <v>2026</v>
      </c>
      <c r="K1957" t="str">
        <f>VLOOKUP(G1957,METRICS!C:D,2,0)</f>
        <v>Propaganda, Publicidade e Patrocínio</v>
      </c>
      <c r="L1957" t="str">
        <f>VLOOKUP(K1957,METRICS!D:E,2,0)</f>
        <v>MARKETING</v>
      </c>
    </row>
    <row r="1958" spans="1:13" ht="15" hidden="1">
      <c r="A1958" t="s">
        <v>1215</v>
      </c>
      <c r="B1958" t="s">
        <v>612</v>
      </c>
      <c r="C1958" t="s">
        <v>690</v>
      </c>
      <c r="D1958" t="s">
        <v>1246</v>
      </c>
      <c r="E1958" t="s">
        <v>828</v>
      </c>
      <c r="F1958" t="s">
        <v>1272</v>
      </c>
      <c r="G1958" t="s">
        <v>636</v>
      </c>
      <c r="H1958" s="595">
        <v>-2168.73</v>
      </c>
      <c r="I1958" t="str">
        <f t="shared" si="85"/>
        <v>janeiro 2026</v>
      </c>
      <c r="J1958">
        <f t="shared" si="84"/>
        <v>2026</v>
      </c>
      <c r="K1958" t="str">
        <f>VLOOKUP(G1958,METRICS!C:D,2,0)</f>
        <v>Secos - Mercearia</v>
      </c>
      <c r="L1958" t="str">
        <f>VLOOKUP(K1958,METRICS!D:E,2,0)</f>
        <v>CUSTOS DOS PRODUTOS VENDIDOS</v>
      </c>
    </row>
    <row r="1959" spans="1:13" ht="15" hidden="1">
      <c r="A1959" t="s">
        <v>1215</v>
      </c>
      <c r="B1959" t="s">
        <v>689</v>
      </c>
      <c r="C1959" t="s">
        <v>690</v>
      </c>
      <c r="D1959" t="s">
        <v>1328</v>
      </c>
      <c r="E1959" t="s">
        <v>1222</v>
      </c>
      <c r="F1959" t="s">
        <v>1272</v>
      </c>
      <c r="G1959" t="s">
        <v>1326</v>
      </c>
      <c r="H1959" s="595">
        <v>-771.93</v>
      </c>
      <c r="I1959" t="str">
        <f t="shared" si="85"/>
        <v>janeiro 2026</v>
      </c>
      <c r="J1959">
        <f t="shared" si="84"/>
        <v>2026</v>
      </c>
      <c r="K1959" t="str">
        <f>VLOOKUP(G1959,METRICS!C:D,2,0)</f>
        <v>Seguro de Vida</v>
      </c>
      <c r="L1959" t="str">
        <f>VLOOKUP(K1959,METRICS!D:E,2,0)</f>
        <v>PESSOAL</v>
      </c>
    </row>
    <row r="1960" spans="1:13" ht="15" hidden="1">
      <c r="A1960" t="s">
        <v>1215</v>
      </c>
      <c r="B1960" t="s">
        <v>612</v>
      </c>
      <c r="C1960" t="s">
        <v>690</v>
      </c>
      <c r="D1960" t="s">
        <v>1247</v>
      </c>
      <c r="E1960" t="s">
        <v>964</v>
      </c>
      <c r="F1960" t="s">
        <v>1272</v>
      </c>
      <c r="G1960" t="s">
        <v>607</v>
      </c>
      <c r="H1960" s="595">
        <v>-4216.3999999999996</v>
      </c>
      <c r="I1960" t="str">
        <f t="shared" si="85"/>
        <v>janeiro 2026</v>
      </c>
      <c r="J1960">
        <f t="shared" si="84"/>
        <v>2026</v>
      </c>
      <c r="K1960" t="str">
        <f>VLOOKUP(G1960,METRICS!C:D,2,0)</f>
        <v>Bebidas Alcoólicas</v>
      </c>
      <c r="L1960" t="str">
        <f>VLOOKUP(K1960,METRICS!D:E,2,0)</f>
        <v>CUSTOS DOS PRODUTOS VENDIDOS</v>
      </c>
    </row>
    <row r="1961" spans="1:13" ht="15" hidden="1">
      <c r="A1961" t="s">
        <v>1215</v>
      </c>
      <c r="B1961" t="s">
        <v>612</v>
      </c>
      <c r="C1961" t="s">
        <v>690</v>
      </c>
      <c r="D1961" t="s">
        <v>1248</v>
      </c>
      <c r="E1961" t="s">
        <v>1249</v>
      </c>
      <c r="F1961" t="s">
        <v>1272</v>
      </c>
      <c r="G1961" t="s">
        <v>413</v>
      </c>
      <c r="H1961" s="595">
        <v>-2397</v>
      </c>
      <c r="I1961" t="str">
        <f t="shared" si="85"/>
        <v>janeiro 2026</v>
      </c>
      <c r="J1961">
        <f t="shared" si="84"/>
        <v>2026</v>
      </c>
      <c r="K1961" t="str">
        <f>VLOOKUP(G1961,METRICS!C:D,2,0)</f>
        <v>Pescados</v>
      </c>
      <c r="L1961" t="str">
        <f>VLOOKUP(K1961,METRICS!D:E,2,0)</f>
        <v>CUSTOS DOS PRODUTOS VENDIDOS</v>
      </c>
    </row>
    <row r="1962" spans="1:13" ht="15" hidden="1">
      <c r="A1962" t="s">
        <v>1215</v>
      </c>
      <c r="B1962" t="s">
        <v>689</v>
      </c>
      <c r="C1962" t="s">
        <v>690</v>
      </c>
      <c r="D1962" t="s">
        <v>709</v>
      </c>
      <c r="E1962" t="s">
        <v>710</v>
      </c>
      <c r="F1962" t="s">
        <v>1272</v>
      </c>
      <c r="G1962" t="s">
        <v>645</v>
      </c>
      <c r="H1962" s="595">
        <v>-121.8</v>
      </c>
      <c r="I1962" t="str">
        <f t="shared" si="85"/>
        <v>janeiro 2026</v>
      </c>
      <c r="J1962">
        <f t="shared" si="84"/>
        <v>2026</v>
      </c>
      <c r="K1962" t="str">
        <f>VLOOKUP(G1962,METRICS!C:D,2,0)</f>
        <v>Vale Transporte</v>
      </c>
      <c r="L1962" t="str">
        <f>VLOOKUP(K1962,METRICS!D:E,2,0)</f>
        <v>PESSOAL</v>
      </c>
    </row>
    <row r="1963" spans="1:13" ht="15" hidden="1">
      <c r="A1963" t="s">
        <v>1215</v>
      </c>
      <c r="B1963" t="s">
        <v>612</v>
      </c>
      <c r="C1963" t="s">
        <v>690</v>
      </c>
      <c r="D1963" t="s">
        <v>1250</v>
      </c>
      <c r="E1963" t="s">
        <v>878</v>
      </c>
      <c r="F1963" t="s">
        <v>1272</v>
      </c>
      <c r="G1963" t="s">
        <v>615</v>
      </c>
      <c r="H1963" s="595">
        <v>-34</v>
      </c>
      <c r="I1963" t="str">
        <f t="shared" si="85"/>
        <v>janeiro 2026</v>
      </c>
      <c r="J1963">
        <f t="shared" si="84"/>
        <v>2026</v>
      </c>
      <c r="K1963" t="str">
        <f>VLOOKUP(G1963,METRICS!C:D,2,0)</f>
        <v>Embalagens</v>
      </c>
      <c r="L1963" t="str">
        <f>VLOOKUP(K1963,METRICS!D:E,2,0)</f>
        <v>OPERAÇÃO</v>
      </c>
    </row>
    <row r="1964" spans="1:13" s="593" customFormat="1" ht="15" hidden="1">
      <c r="A1964" s="593" t="s">
        <v>1215</v>
      </c>
      <c r="B1964" s="593" t="s">
        <v>689</v>
      </c>
      <c r="C1964" s="593" t="s">
        <v>690</v>
      </c>
      <c r="D1964" s="593" t="s">
        <v>817</v>
      </c>
      <c r="E1964" s="754" t="s">
        <v>544</v>
      </c>
      <c r="F1964" s="593" t="s">
        <v>1272</v>
      </c>
      <c r="G1964" s="593" t="s">
        <v>664</v>
      </c>
      <c r="H1964" s="594">
        <v>-800</v>
      </c>
      <c r="I1964" s="593" t="str">
        <f t="shared" si="85"/>
        <v>janeiro 2026</v>
      </c>
      <c r="J1964" s="593">
        <f t="shared" si="84"/>
        <v>2026</v>
      </c>
      <c r="K1964" s="593" t="str">
        <f>VLOOKUP(G1964,METRICS!C:D,2,0)</f>
        <v>Colaborador Extra</v>
      </c>
      <c r="L1964" s="593" t="str">
        <f>VLOOKUP(K1964,METRICS!D:E,2,0)</f>
        <v>PESSOAL</v>
      </c>
      <c r="M1964" s="596"/>
    </row>
    <row r="1965" spans="1:13" ht="15" hidden="1">
      <c r="A1965" t="s">
        <v>1215</v>
      </c>
      <c r="B1965" t="s">
        <v>689</v>
      </c>
      <c r="C1965" t="s">
        <v>690</v>
      </c>
      <c r="D1965" t="s">
        <v>1225</v>
      </c>
      <c r="E1965" s="155" t="s">
        <v>544</v>
      </c>
      <c r="F1965" t="s">
        <v>1272</v>
      </c>
      <c r="G1965" t="s">
        <v>678</v>
      </c>
      <c r="H1965" s="595">
        <v>-10.47</v>
      </c>
      <c r="I1965" t="str">
        <f t="shared" si="85"/>
        <v>janeiro 2026</v>
      </c>
      <c r="J1965">
        <f t="shared" si="84"/>
        <v>2026</v>
      </c>
      <c r="K1965" t="str">
        <f>VLOOKUP(G1965,METRICS!C:D,2,0)</f>
        <v>Transporte/Fretes</v>
      </c>
      <c r="L1965" t="str">
        <f>VLOOKUP(K1965,METRICS!D:E,2,0)</f>
        <v>ADMINISTRATIVA</v>
      </c>
    </row>
    <row r="1966" spans="1:13" ht="15" hidden="1">
      <c r="A1966" t="s">
        <v>1215</v>
      </c>
      <c r="B1966" t="s">
        <v>689</v>
      </c>
      <c r="C1966" t="s">
        <v>690</v>
      </c>
      <c r="D1966" t="s">
        <v>1251</v>
      </c>
      <c r="E1966" t="s">
        <v>1252</v>
      </c>
      <c r="F1966" t="s">
        <v>1272</v>
      </c>
      <c r="G1966" t="s">
        <v>642</v>
      </c>
      <c r="H1966" s="595">
        <v>-2534.41</v>
      </c>
      <c r="I1966" t="str">
        <f t="shared" si="85"/>
        <v>janeiro 2026</v>
      </c>
      <c r="J1966">
        <f t="shared" si="84"/>
        <v>2026</v>
      </c>
      <c r="K1966" t="str">
        <f>VLOOKUP(G1966,METRICS!C:D,2,0)</f>
        <v>Férias</v>
      </c>
      <c r="L1966" t="str">
        <f>VLOOKUP(K1966,METRICS!D:E,2,0)</f>
        <v>PESSOAL</v>
      </c>
    </row>
    <row r="1967" spans="1:13" ht="15" hidden="1">
      <c r="A1967" t="s">
        <v>1215</v>
      </c>
      <c r="B1967" t="s">
        <v>689</v>
      </c>
      <c r="C1967" t="s">
        <v>690</v>
      </c>
      <c r="D1967" t="s">
        <v>1253</v>
      </c>
      <c r="E1967" s="155" t="s">
        <v>544</v>
      </c>
      <c r="F1967" t="s">
        <v>1272</v>
      </c>
      <c r="G1967" t="s">
        <v>678</v>
      </c>
      <c r="H1967" s="595">
        <v>-80</v>
      </c>
      <c r="I1967" t="str">
        <f t="shared" si="85"/>
        <v>janeiro 2026</v>
      </c>
      <c r="J1967">
        <f t="shared" si="84"/>
        <v>2026</v>
      </c>
      <c r="K1967" t="str">
        <f>VLOOKUP(G1967,METRICS!C:D,2,0)</f>
        <v>Transporte/Fretes</v>
      </c>
      <c r="L1967" t="str">
        <f>VLOOKUP(K1967,METRICS!D:E,2,0)</f>
        <v>ADMINISTRATIVA</v>
      </c>
    </row>
    <row r="1968" spans="1:13" ht="15" hidden="1">
      <c r="A1968" t="s">
        <v>1215</v>
      </c>
      <c r="B1968" t="s">
        <v>689</v>
      </c>
      <c r="C1968" t="s">
        <v>690</v>
      </c>
      <c r="D1968" t="s">
        <v>1254</v>
      </c>
      <c r="E1968" t="s">
        <v>1255</v>
      </c>
      <c r="F1968" t="s">
        <v>1272</v>
      </c>
      <c r="G1968" t="s">
        <v>642</v>
      </c>
      <c r="H1968" s="595">
        <v>-3109.4</v>
      </c>
      <c r="I1968" t="str">
        <f t="shared" si="85"/>
        <v>janeiro 2026</v>
      </c>
      <c r="J1968">
        <f t="shared" si="84"/>
        <v>2026</v>
      </c>
      <c r="K1968" t="str">
        <f>VLOOKUP(G1968,METRICS!C:D,2,0)</f>
        <v>Férias</v>
      </c>
      <c r="L1968" t="str">
        <f>VLOOKUP(K1968,METRICS!D:E,2,0)</f>
        <v>PESSOAL</v>
      </c>
    </row>
    <row r="1969" spans="1:13" ht="15" hidden="1">
      <c r="A1969" t="s">
        <v>1215</v>
      </c>
      <c r="B1969" t="s">
        <v>689</v>
      </c>
      <c r="C1969" t="s">
        <v>690</v>
      </c>
      <c r="D1969" t="s">
        <v>1256</v>
      </c>
      <c r="E1969" s="155" t="s">
        <v>544</v>
      </c>
      <c r="F1969" t="s">
        <v>1272</v>
      </c>
      <c r="G1969" t="s">
        <v>664</v>
      </c>
      <c r="H1969" s="595">
        <v>-250</v>
      </c>
      <c r="I1969" t="str">
        <f t="shared" si="85"/>
        <v>janeiro 2026</v>
      </c>
      <c r="J1969">
        <f t="shared" si="84"/>
        <v>2026</v>
      </c>
      <c r="K1969" t="str">
        <f>VLOOKUP(G1969,METRICS!C:D,2,0)</f>
        <v>Colaborador Extra</v>
      </c>
      <c r="L1969" t="str">
        <f>VLOOKUP(K1969,METRICS!D:E,2,0)</f>
        <v>PESSOAL</v>
      </c>
    </row>
    <row r="1970" spans="1:13" ht="15" hidden="1">
      <c r="A1970" t="s">
        <v>1215</v>
      </c>
      <c r="B1970" t="s">
        <v>612</v>
      </c>
      <c r="C1970" t="s">
        <v>690</v>
      </c>
      <c r="D1970" t="s">
        <v>1257</v>
      </c>
      <c r="E1970" t="s">
        <v>878</v>
      </c>
      <c r="F1970" t="s">
        <v>1272</v>
      </c>
      <c r="G1970" t="s">
        <v>609</v>
      </c>
      <c r="H1970" s="595">
        <v>-377.12</v>
      </c>
      <c r="I1970" t="str">
        <f t="shared" si="85"/>
        <v>janeiro 2026</v>
      </c>
      <c r="J1970">
        <f t="shared" si="84"/>
        <v>2026</v>
      </c>
      <c r="K1970" t="str">
        <f>VLOOKUP(G1970,METRICS!C:D,2,0)</f>
        <v>Carnes e Aves</v>
      </c>
      <c r="L1970" t="str">
        <f>VLOOKUP(K1970,METRICS!D:E,2,0)</f>
        <v>CUSTOS DOS PRODUTOS VENDIDOS</v>
      </c>
    </row>
    <row r="1971" spans="1:13" ht="15" hidden="1">
      <c r="A1971" t="s">
        <v>1215</v>
      </c>
      <c r="B1971" t="s">
        <v>689</v>
      </c>
      <c r="D1971" t="s">
        <v>1759</v>
      </c>
      <c r="E1971" s="686" t="s">
        <v>1760</v>
      </c>
      <c r="F1971" t="s">
        <v>1272</v>
      </c>
      <c r="G1971" t="s">
        <v>651</v>
      </c>
      <c r="H1971" s="595">
        <v>-11756.23</v>
      </c>
      <c r="I1971" t="str">
        <f t="shared" si="85"/>
        <v>janeiro 2026</v>
      </c>
      <c r="J1971">
        <f t="shared" si="84"/>
        <v>2026</v>
      </c>
      <c r="K1971" t="str">
        <f>VLOOKUP(G1971,METRICS!C:D,2,0)</f>
        <v>Assistência Médica e Social</v>
      </c>
      <c r="L1971" t="str">
        <f>VLOOKUP(K1971,METRICS!D:E,2,0)</f>
        <v>PESSOAL</v>
      </c>
    </row>
    <row r="1972" spans="1:13" ht="15" hidden="1">
      <c r="A1972" t="s">
        <v>1215</v>
      </c>
      <c r="B1972" t="s">
        <v>689</v>
      </c>
      <c r="C1972" t="s">
        <v>1258</v>
      </c>
      <c r="D1972" t="s">
        <v>1259</v>
      </c>
      <c r="E1972" t="s">
        <v>1260</v>
      </c>
      <c r="F1972" t="s">
        <v>1272</v>
      </c>
      <c r="G1972" t="s">
        <v>663</v>
      </c>
      <c r="H1972" s="595">
        <v>-45000</v>
      </c>
      <c r="I1972" t="str">
        <f t="shared" si="85"/>
        <v>janeiro 2026</v>
      </c>
      <c r="J1972">
        <f t="shared" si="84"/>
        <v>2026</v>
      </c>
      <c r="K1972" t="str">
        <f>VLOOKUP(G1972,METRICS!C:D,2,0)</f>
        <v>Aluguéis</v>
      </c>
      <c r="L1972" t="str">
        <f>VLOOKUP(K1972,METRICS!D:E,2,0)</f>
        <v>OCUPAÇÃO</v>
      </c>
    </row>
    <row r="1973" spans="1:13" ht="15" hidden="1">
      <c r="A1973" t="s">
        <v>1215</v>
      </c>
      <c r="B1973" t="s">
        <v>689</v>
      </c>
      <c r="C1973" t="s">
        <v>690</v>
      </c>
      <c r="D1973" t="s">
        <v>756</v>
      </c>
      <c r="E1973" t="s">
        <v>757</v>
      </c>
      <c r="F1973" t="s">
        <v>1272</v>
      </c>
      <c r="G1973" t="s">
        <v>666</v>
      </c>
      <c r="H1973" s="595">
        <v>-29.7</v>
      </c>
      <c r="I1973" t="str">
        <f t="shared" si="85"/>
        <v>janeiro 2026</v>
      </c>
      <c r="J1973">
        <f t="shared" si="84"/>
        <v>2026</v>
      </c>
      <c r="K1973" t="str">
        <f>VLOOKUP(G1973,METRICS!C:D,2,0)</f>
        <v>Encargos Bancarios</v>
      </c>
      <c r="L1973" t="str">
        <f>VLOOKUP(K1973,METRICS!D:E,2,0)</f>
        <v>DESPESAS FINANCEIRAS</v>
      </c>
    </row>
    <row r="1974" spans="1:13" ht="15" hidden="1">
      <c r="A1974" t="s">
        <v>1215</v>
      </c>
      <c r="B1974" t="s">
        <v>689</v>
      </c>
      <c r="C1974" t="s">
        <v>690</v>
      </c>
      <c r="D1974" s="518" t="s">
        <v>1313</v>
      </c>
      <c r="E1974" s="518" t="s">
        <v>349</v>
      </c>
      <c r="F1974" t="s">
        <v>1272</v>
      </c>
      <c r="G1974" s="518" t="s">
        <v>349</v>
      </c>
      <c r="H1974" s="595">
        <v>-10700</v>
      </c>
      <c r="I1974" t="str">
        <f t="shared" ref="I1974" si="96">TEXT(A1974, "mmmm aaaa")</f>
        <v>janeiro 2026</v>
      </c>
      <c r="J1974">
        <f t="shared" ref="J1974" si="97">YEAR(A1974)</f>
        <v>2026</v>
      </c>
      <c r="K1974" t="str">
        <f>VLOOKUP(G1974,METRICS!C:D,2,0)</f>
        <v>Contabilidade</v>
      </c>
      <c r="L1974" t="str">
        <f>VLOOKUP(K1974,METRICS!D:E,2,0)</f>
        <v>ADMINISTRATIVA</v>
      </c>
    </row>
    <row r="1975" spans="1:13" ht="15" hidden="1">
      <c r="A1975" t="s">
        <v>1215</v>
      </c>
      <c r="B1975" t="s">
        <v>689</v>
      </c>
      <c r="C1975" t="s">
        <v>690</v>
      </c>
      <c r="D1975" t="s">
        <v>1261</v>
      </c>
      <c r="E1975" t="s">
        <v>1262</v>
      </c>
      <c r="F1975" t="s">
        <v>1272</v>
      </c>
      <c r="G1975" t="s">
        <v>652</v>
      </c>
      <c r="H1975" s="595">
        <v>-1130.5</v>
      </c>
      <c r="I1975" t="str">
        <f t="shared" si="85"/>
        <v>janeiro 2026</v>
      </c>
      <c r="J1975">
        <f t="shared" ref="J1975:J1977" si="98">YEAR(A1975)</f>
        <v>2026</v>
      </c>
      <c r="K1975" t="str">
        <f>VLOOKUP(G1975,METRICS!C:D,2,0)</f>
        <v>Assistência Médica e Social</v>
      </c>
      <c r="L1975" t="str">
        <f>VLOOKUP(K1975,METRICS!D:E,2,0)</f>
        <v>PESSOAL</v>
      </c>
    </row>
    <row r="1976" spans="1:13" ht="15" hidden="1">
      <c r="A1976" t="s">
        <v>1215</v>
      </c>
      <c r="B1976" t="s">
        <v>689</v>
      </c>
      <c r="C1976" t="s">
        <v>690</v>
      </c>
      <c r="D1976" t="s">
        <v>1263</v>
      </c>
      <c r="E1976" t="s">
        <v>1264</v>
      </c>
      <c r="F1976" t="s">
        <v>1272</v>
      </c>
      <c r="G1976" t="s">
        <v>642</v>
      </c>
      <c r="H1976" s="595">
        <v>-2846.55</v>
      </c>
      <c r="I1976" t="str">
        <f t="shared" si="85"/>
        <v>janeiro 2026</v>
      </c>
      <c r="J1976">
        <f t="shared" si="98"/>
        <v>2026</v>
      </c>
      <c r="K1976" t="str">
        <f>VLOOKUP(G1976,METRICS!C:D,2,0)</f>
        <v>Férias</v>
      </c>
      <c r="L1976" t="str">
        <f>VLOOKUP(K1976,METRICS!D:E,2,0)</f>
        <v>PESSOAL</v>
      </c>
    </row>
    <row r="1977" spans="1:13" ht="15" hidden="1">
      <c r="A1977" t="s">
        <v>1215</v>
      </c>
      <c r="B1977" t="s">
        <v>689</v>
      </c>
      <c r="C1977" t="s">
        <v>690</v>
      </c>
      <c r="D1977" s="518" t="s">
        <v>1314</v>
      </c>
      <c r="E1977" s="518" t="s">
        <v>1315</v>
      </c>
      <c r="F1977" t="s">
        <v>1272</v>
      </c>
      <c r="G1977" s="518" t="s">
        <v>1315</v>
      </c>
      <c r="H1977" s="595">
        <v>-13786.55</v>
      </c>
      <c r="I1977" t="str">
        <f t="shared" ref="I1977" si="99">TEXT(A1977, "mmmm aaaa")</f>
        <v>janeiro 2026</v>
      </c>
      <c r="J1977">
        <f t="shared" si="98"/>
        <v>2026</v>
      </c>
      <c r="K1977" t="str">
        <f>VLOOKUP(G1977,METRICS!C:D,2,0)</f>
        <v>Água e Esgoto</v>
      </c>
      <c r="L1977" t="str">
        <f>VLOOKUP(K1977,METRICS!D:E,2,0)</f>
        <v>OPERAÇÃO</v>
      </c>
    </row>
    <row r="1978" spans="1:13" ht="15" hidden="1">
      <c r="A1978" s="593" t="s">
        <v>1215</v>
      </c>
      <c r="B1978" s="593" t="s">
        <v>689</v>
      </c>
      <c r="C1978" s="593" t="s">
        <v>690</v>
      </c>
      <c r="D1978" s="596" t="s">
        <v>1316</v>
      </c>
      <c r="E1978" s="596" t="s">
        <v>1317</v>
      </c>
      <c r="F1978" s="593" t="s">
        <v>1272</v>
      </c>
      <c r="G1978" s="596" t="s">
        <v>1318</v>
      </c>
      <c r="H1978" s="595">
        <v>-11900</v>
      </c>
      <c r="I1978" s="593" t="str">
        <f t="shared" ref="I1978" si="100">TEXT(A1978, "mmmm aaaa")</f>
        <v>janeiro 2026</v>
      </c>
      <c r="J1978" s="593">
        <f t="shared" ref="J1978" si="101">YEAR(A1978)</f>
        <v>2026</v>
      </c>
      <c r="K1978" s="593" t="str">
        <f>VLOOKUP(G1978,METRICS!C:D,2,0)</f>
        <v>Despesas com Segurança</v>
      </c>
      <c r="L1978" s="593" t="str">
        <f>VLOOKUP(K1978,METRICS!D:E,2,0)</f>
        <v>OPERAÇÃO</v>
      </c>
      <c r="M1978" s="593"/>
    </row>
    <row r="1979" spans="1:13" ht="15" hidden="1">
      <c r="A1979" t="s">
        <v>1215</v>
      </c>
      <c r="B1979" t="s">
        <v>689</v>
      </c>
      <c r="C1979" t="s">
        <v>690</v>
      </c>
      <c r="D1979" t="s">
        <v>756</v>
      </c>
      <c r="E1979" t="s">
        <v>757</v>
      </c>
      <c r="F1979" t="s">
        <v>1272</v>
      </c>
      <c r="G1979" s="518" t="s">
        <v>666</v>
      </c>
      <c r="H1979" s="595">
        <v>-1625.59</v>
      </c>
      <c r="I1979" t="str">
        <f>TEXT(A1979, "mmmm aaaa")</f>
        <v>janeiro 2026</v>
      </c>
      <c r="J1979">
        <f>YEAR(A1979)</f>
        <v>2026</v>
      </c>
      <c r="K1979" t="str">
        <f>VLOOKUP(G1979,METRICS!C:D,2,0)</f>
        <v>Encargos Bancarios</v>
      </c>
      <c r="L1979" t="str">
        <f>VLOOKUP(K1979,METRICS!D:E,2,0)</f>
        <v>DESPESAS FINANCEIRAS</v>
      </c>
    </row>
    <row r="1980" spans="1:13" ht="15" hidden="1">
      <c r="A1980" t="s">
        <v>1215</v>
      </c>
      <c r="B1980" t="s">
        <v>689</v>
      </c>
      <c r="D1980" s="518" t="s">
        <v>555</v>
      </c>
      <c r="E1980" s="518" t="s">
        <v>1725</v>
      </c>
      <c r="F1980" t="s">
        <v>1272</v>
      </c>
      <c r="G1980" s="518" t="s">
        <v>668</v>
      </c>
      <c r="H1980" s="595">
        <v>-5250</v>
      </c>
      <c r="I1980" t="str">
        <f t="shared" ref="I1980:I1981" si="102">TEXT(A1980, "mmmm aaaa")</f>
        <v>janeiro 2026</v>
      </c>
      <c r="J1980">
        <f t="shared" ref="J1980:J1981" si="103">YEAR(A1980)</f>
        <v>2026</v>
      </c>
      <c r="K1980" t="str">
        <f>VLOOKUP(G1980,METRICS!C:D,2,0)</f>
        <v>Prestação de Serviço Pessoa Jurídica OP</v>
      </c>
      <c r="L1980" t="str">
        <f>VLOOKUP(K1980,METRICS!D:E,2,0)</f>
        <v>OPERAÇÃO</v>
      </c>
    </row>
    <row r="1981" spans="1:13" ht="15" hidden="1">
      <c r="A1981" t="s">
        <v>1215</v>
      </c>
      <c r="B1981" t="s">
        <v>689</v>
      </c>
      <c r="C1981" t="s">
        <v>690</v>
      </c>
      <c r="D1981" s="518" t="s">
        <v>760</v>
      </c>
      <c r="E1981" s="518" t="s">
        <v>761</v>
      </c>
      <c r="F1981" t="s">
        <v>1272</v>
      </c>
      <c r="G1981" s="518" t="s">
        <v>668</v>
      </c>
      <c r="H1981" s="595">
        <v>-7200</v>
      </c>
      <c r="I1981" t="str">
        <f t="shared" si="102"/>
        <v>janeiro 2026</v>
      </c>
      <c r="J1981">
        <f t="shared" si="103"/>
        <v>2026</v>
      </c>
      <c r="K1981" t="str">
        <f>VLOOKUP(G1981,METRICS!C:D,2,0)</f>
        <v>Prestação de Serviço Pessoa Jurídica OP</v>
      </c>
      <c r="L1981" t="str">
        <f>VLOOKUP(K1981,METRICS!D:E,2,0)</f>
        <v>OPERAÇÃO</v>
      </c>
    </row>
    <row r="1982" spans="1:13" ht="15" hidden="1">
      <c r="A1982" t="s">
        <v>1215</v>
      </c>
      <c r="B1982" t="s">
        <v>689</v>
      </c>
      <c r="D1982" s="518" t="s">
        <v>1614</v>
      </c>
      <c r="E1982" s="518" t="s">
        <v>1702</v>
      </c>
      <c r="F1982" t="s">
        <v>1272</v>
      </c>
      <c r="G1982" s="518" t="s">
        <v>668</v>
      </c>
      <c r="H1982" s="595">
        <v>-8250</v>
      </c>
      <c r="I1982" t="str">
        <f t="shared" ref="I1982:I1996" si="104">TEXT(A1982, "mmmm aaaa")</f>
        <v>janeiro 2026</v>
      </c>
      <c r="J1982">
        <f t="shared" ref="J1982:J1996" si="105">YEAR(A1982)</f>
        <v>2026</v>
      </c>
      <c r="K1982" t="str">
        <f>VLOOKUP(G1982,METRICS!C:D,2,0)</f>
        <v>Prestação de Serviço Pessoa Jurídica OP</v>
      </c>
      <c r="L1982" t="str">
        <f>VLOOKUP(K1982,METRICS!D:E,2,0)</f>
        <v>OPERAÇÃO</v>
      </c>
    </row>
    <row r="1983" spans="1:13" ht="15" hidden="1">
      <c r="A1983" t="s">
        <v>1215</v>
      </c>
      <c r="B1983" t="s">
        <v>689</v>
      </c>
      <c r="D1983" s="518" t="s">
        <v>230</v>
      </c>
      <c r="E1983" s="518" t="s">
        <v>1726</v>
      </c>
      <c r="F1983" t="s">
        <v>1272</v>
      </c>
      <c r="G1983" s="518" t="s">
        <v>1323</v>
      </c>
      <c r="H1983" s="595">
        <v>-9000</v>
      </c>
      <c r="I1983" t="str">
        <f t="shared" ref="I1983" si="106">TEXT(A1983, "mmmm aaaa")</f>
        <v>janeiro 2026</v>
      </c>
      <c r="J1983">
        <f t="shared" ref="J1983" si="107">YEAR(A1983)</f>
        <v>2026</v>
      </c>
      <c r="K1983" t="str">
        <f>VLOOKUP(G1983,METRICS!C:D,2,0)</f>
        <v>Prestação de Serviço Pessoa Jurídica ADM</v>
      </c>
      <c r="L1983" t="str">
        <f>VLOOKUP(K1983,METRICS!D:E,2,0)</f>
        <v>ADMINISTRATIVA</v>
      </c>
    </row>
    <row r="1984" spans="1:13" ht="15" hidden="1">
      <c r="A1984" t="s">
        <v>1215</v>
      </c>
      <c r="B1984" t="s">
        <v>689</v>
      </c>
      <c r="D1984" s="518" t="s">
        <v>1615</v>
      </c>
      <c r="E1984" s="518" t="s">
        <v>1684</v>
      </c>
      <c r="F1984" t="s">
        <v>1272</v>
      </c>
      <c r="G1984" s="518" t="s">
        <v>668</v>
      </c>
      <c r="H1984" s="595">
        <v>-15000</v>
      </c>
      <c r="I1984" t="str">
        <f t="shared" si="104"/>
        <v>janeiro 2026</v>
      </c>
      <c r="J1984">
        <f t="shared" si="105"/>
        <v>2026</v>
      </c>
      <c r="K1984" t="str">
        <f>VLOOKUP(G1984,METRICS!C:D,2,0)</f>
        <v>Prestação de Serviço Pessoa Jurídica OP</v>
      </c>
      <c r="L1984" t="str">
        <f>VLOOKUP(K1984,METRICS!D:E,2,0)</f>
        <v>OPERAÇÃO</v>
      </c>
    </row>
    <row r="1985" spans="1:12" ht="15" hidden="1">
      <c r="A1985" t="s">
        <v>1215</v>
      </c>
      <c r="B1985" t="s">
        <v>689</v>
      </c>
      <c r="D1985" s="518" t="s">
        <v>1616</v>
      </c>
      <c r="E1985" s="518" t="s">
        <v>1703</v>
      </c>
      <c r="F1985" t="s">
        <v>1272</v>
      </c>
      <c r="G1985" s="518" t="s">
        <v>1323</v>
      </c>
      <c r="H1985" s="595">
        <v>-16000</v>
      </c>
      <c r="I1985" t="str">
        <f t="shared" si="104"/>
        <v>janeiro 2026</v>
      </c>
      <c r="J1985">
        <f t="shared" si="105"/>
        <v>2026</v>
      </c>
      <c r="K1985" t="str">
        <f>VLOOKUP(G1985,METRICS!C:D,2,0)</f>
        <v>Prestação de Serviço Pessoa Jurídica ADM</v>
      </c>
      <c r="L1985" t="str">
        <f>VLOOKUP(K1985,METRICS!D:E,2,0)</f>
        <v>ADMINISTRATIVA</v>
      </c>
    </row>
    <row r="1986" spans="1:12" ht="15" hidden="1">
      <c r="A1986" t="s">
        <v>1215</v>
      </c>
      <c r="B1986" t="s">
        <v>689</v>
      </c>
      <c r="D1986" s="518" t="s">
        <v>1617</v>
      </c>
      <c r="E1986" s="518" t="s">
        <v>1704</v>
      </c>
      <c r="F1986" t="s">
        <v>1272</v>
      </c>
      <c r="G1986" s="518" t="s">
        <v>668</v>
      </c>
      <c r="H1986" s="595">
        <v>-9250</v>
      </c>
      <c r="I1986" t="str">
        <f t="shared" si="104"/>
        <v>janeiro 2026</v>
      </c>
      <c r="J1986">
        <f t="shared" si="105"/>
        <v>2026</v>
      </c>
      <c r="K1986" t="str">
        <f>VLOOKUP(G1986,METRICS!C:D,2,0)</f>
        <v>Prestação de Serviço Pessoa Jurídica OP</v>
      </c>
      <c r="L1986" t="str">
        <f>VLOOKUP(K1986,METRICS!D:E,2,0)</f>
        <v>OPERAÇÃO</v>
      </c>
    </row>
    <row r="1987" spans="1:12" ht="15" hidden="1">
      <c r="A1987" t="s">
        <v>1215</v>
      </c>
      <c r="B1987" t="s">
        <v>689</v>
      </c>
      <c r="D1987" s="518" t="s">
        <v>1618</v>
      </c>
      <c r="E1987" s="518" t="s">
        <v>1705</v>
      </c>
      <c r="F1987" t="s">
        <v>1272</v>
      </c>
      <c r="G1987" s="518" t="s">
        <v>668</v>
      </c>
      <c r="H1987" s="595">
        <v>-8250</v>
      </c>
      <c r="I1987" t="str">
        <f t="shared" si="104"/>
        <v>janeiro 2026</v>
      </c>
      <c r="J1987">
        <f t="shared" si="105"/>
        <v>2026</v>
      </c>
      <c r="K1987" t="str">
        <f>VLOOKUP(G1987,METRICS!C:D,2,0)</f>
        <v>Prestação de Serviço Pessoa Jurídica OP</v>
      </c>
      <c r="L1987" t="str">
        <f>VLOOKUP(K1987,METRICS!D:E,2,0)</f>
        <v>OPERAÇÃO</v>
      </c>
    </row>
    <row r="1988" spans="1:12" ht="15" hidden="1">
      <c r="A1988" t="s">
        <v>1215</v>
      </c>
      <c r="B1988" t="s">
        <v>689</v>
      </c>
      <c r="D1988" s="518" t="s">
        <v>1620</v>
      </c>
      <c r="E1988" s="518" t="s">
        <v>1707</v>
      </c>
      <c r="F1988" t="s">
        <v>1272</v>
      </c>
      <c r="G1988" s="518" t="s">
        <v>668</v>
      </c>
      <c r="H1988" s="595">
        <v>-6250</v>
      </c>
      <c r="I1988" t="str">
        <f t="shared" si="104"/>
        <v>janeiro 2026</v>
      </c>
      <c r="J1988">
        <f t="shared" si="105"/>
        <v>2026</v>
      </c>
      <c r="K1988" t="str">
        <f>VLOOKUP(G1988,METRICS!C:D,2,0)</f>
        <v>Prestação de Serviço Pessoa Jurídica OP</v>
      </c>
      <c r="L1988" t="str">
        <f>VLOOKUP(K1988,METRICS!D:E,2,0)</f>
        <v>OPERAÇÃO</v>
      </c>
    </row>
    <row r="1989" spans="1:12" ht="15" hidden="1">
      <c r="A1989" t="s">
        <v>1215</v>
      </c>
      <c r="B1989" t="s">
        <v>689</v>
      </c>
      <c r="D1989" s="518" t="s">
        <v>1621</v>
      </c>
      <c r="E1989" s="518" t="s">
        <v>1708</v>
      </c>
      <c r="F1989" t="s">
        <v>1272</v>
      </c>
      <c r="G1989" s="518" t="s">
        <v>1323</v>
      </c>
      <c r="H1989" s="595">
        <v>-5750</v>
      </c>
      <c r="I1989" t="str">
        <f t="shared" si="104"/>
        <v>janeiro 2026</v>
      </c>
      <c r="J1989">
        <f t="shared" si="105"/>
        <v>2026</v>
      </c>
      <c r="K1989" t="str">
        <f>VLOOKUP(G1989,METRICS!C:D,2,0)</f>
        <v>Prestação de Serviço Pessoa Jurídica ADM</v>
      </c>
      <c r="L1989" t="str">
        <f>VLOOKUP(K1989,METRICS!D:E,2,0)</f>
        <v>ADMINISTRATIVA</v>
      </c>
    </row>
    <row r="1990" spans="1:12" ht="15" hidden="1">
      <c r="A1990" t="s">
        <v>1215</v>
      </c>
      <c r="B1990" t="s">
        <v>689</v>
      </c>
      <c r="D1990" s="518" t="s">
        <v>1626</v>
      </c>
      <c r="E1990" s="518" t="s">
        <v>1710</v>
      </c>
      <c r="F1990" t="s">
        <v>1272</v>
      </c>
      <c r="G1990" s="518" t="s">
        <v>668</v>
      </c>
      <c r="H1990" s="595">
        <v>-7000</v>
      </c>
      <c r="I1990" t="str">
        <f t="shared" si="104"/>
        <v>janeiro 2026</v>
      </c>
      <c r="J1990">
        <f t="shared" si="105"/>
        <v>2026</v>
      </c>
      <c r="K1990" t="str">
        <f>VLOOKUP(G1990,METRICS!C:D,2,0)</f>
        <v>Prestação de Serviço Pessoa Jurídica OP</v>
      </c>
      <c r="L1990" t="str">
        <f>VLOOKUP(K1990,METRICS!D:E,2,0)</f>
        <v>OPERAÇÃO</v>
      </c>
    </row>
    <row r="1991" spans="1:12" ht="15" hidden="1">
      <c r="A1991" t="s">
        <v>1215</v>
      </c>
      <c r="B1991" t="s">
        <v>689</v>
      </c>
      <c r="D1991" s="518" t="s">
        <v>1627</v>
      </c>
      <c r="E1991" s="518" t="s">
        <v>1711</v>
      </c>
      <c r="F1991" t="s">
        <v>1272</v>
      </c>
      <c r="G1991" s="518" t="s">
        <v>1323</v>
      </c>
      <c r="H1991" s="595">
        <v>-13000</v>
      </c>
      <c r="I1991" t="str">
        <f t="shared" si="104"/>
        <v>janeiro 2026</v>
      </c>
      <c r="J1991">
        <f t="shared" si="105"/>
        <v>2026</v>
      </c>
      <c r="K1991" t="str">
        <f>VLOOKUP(G1991,METRICS!C:D,2,0)</f>
        <v>Prestação de Serviço Pessoa Jurídica ADM</v>
      </c>
      <c r="L1991" t="str">
        <f>VLOOKUP(K1991,METRICS!D:E,2,0)</f>
        <v>ADMINISTRATIVA</v>
      </c>
    </row>
    <row r="1992" spans="1:12" ht="15" hidden="1">
      <c r="A1992" t="s">
        <v>1215</v>
      </c>
      <c r="B1992" t="s">
        <v>689</v>
      </c>
      <c r="D1992" s="518" t="s">
        <v>1628</v>
      </c>
      <c r="E1992" s="518" t="s">
        <v>1217</v>
      </c>
      <c r="F1992" t="s">
        <v>1272</v>
      </c>
      <c r="G1992" s="518" t="s">
        <v>668</v>
      </c>
      <c r="H1992" s="595">
        <v>-10000</v>
      </c>
      <c r="I1992" t="str">
        <f t="shared" si="104"/>
        <v>janeiro 2026</v>
      </c>
      <c r="J1992">
        <f t="shared" si="105"/>
        <v>2026</v>
      </c>
      <c r="K1992" t="str">
        <f>VLOOKUP(G1992,METRICS!C:D,2,0)</f>
        <v>Prestação de Serviço Pessoa Jurídica OP</v>
      </c>
      <c r="L1992" t="str">
        <f>VLOOKUP(K1992,METRICS!D:E,2,0)</f>
        <v>OPERAÇÃO</v>
      </c>
    </row>
    <row r="1993" spans="1:12" ht="15" hidden="1">
      <c r="A1993" t="s">
        <v>1215</v>
      </c>
      <c r="B1993" t="s">
        <v>689</v>
      </c>
      <c r="D1993" s="518" t="s">
        <v>1631</v>
      </c>
      <c r="E1993" s="518" t="s">
        <v>1230</v>
      </c>
      <c r="F1993" t="s">
        <v>1272</v>
      </c>
      <c r="G1993" s="518" t="s">
        <v>1323</v>
      </c>
      <c r="H1993" s="595">
        <v>-8000</v>
      </c>
      <c r="I1993" t="str">
        <f t="shared" si="104"/>
        <v>janeiro 2026</v>
      </c>
      <c r="J1993">
        <f t="shared" si="105"/>
        <v>2026</v>
      </c>
      <c r="K1993" t="str">
        <f>VLOOKUP(G1993,METRICS!C:D,2,0)</f>
        <v>Prestação de Serviço Pessoa Jurídica ADM</v>
      </c>
      <c r="L1993" t="str">
        <f>VLOOKUP(K1993,METRICS!D:E,2,0)</f>
        <v>ADMINISTRATIVA</v>
      </c>
    </row>
    <row r="1994" spans="1:12" ht="15" hidden="1">
      <c r="A1994" t="s">
        <v>1215</v>
      </c>
      <c r="B1994" t="s">
        <v>689</v>
      </c>
      <c r="D1994" s="518" t="s">
        <v>1632</v>
      </c>
      <c r="E1994" s="518" t="s">
        <v>1713</v>
      </c>
      <c r="F1994" t="s">
        <v>1272</v>
      </c>
      <c r="G1994" s="518" t="s">
        <v>668</v>
      </c>
      <c r="H1994" s="595">
        <v>-8500</v>
      </c>
      <c r="I1994" t="str">
        <f t="shared" si="104"/>
        <v>janeiro 2026</v>
      </c>
      <c r="J1994">
        <f t="shared" si="105"/>
        <v>2026</v>
      </c>
      <c r="K1994" t="str">
        <f>VLOOKUP(G1994,METRICS!C:D,2,0)</f>
        <v>Prestação de Serviço Pessoa Jurídica OP</v>
      </c>
      <c r="L1994" t="str">
        <f>VLOOKUP(K1994,METRICS!D:E,2,0)</f>
        <v>OPERAÇÃO</v>
      </c>
    </row>
    <row r="1995" spans="1:12" ht="15" hidden="1">
      <c r="A1995" t="s">
        <v>1215</v>
      </c>
      <c r="B1995" t="s">
        <v>689</v>
      </c>
      <c r="D1995" s="518" t="s">
        <v>1631</v>
      </c>
      <c r="E1995" s="518" t="s">
        <v>1714</v>
      </c>
      <c r="F1995" t="s">
        <v>1272</v>
      </c>
      <c r="G1995" s="518" t="s">
        <v>1323</v>
      </c>
      <c r="H1995" s="595">
        <v>-5750</v>
      </c>
      <c r="I1995" t="str">
        <f t="shared" si="104"/>
        <v>janeiro 2026</v>
      </c>
      <c r="J1995">
        <f t="shared" si="105"/>
        <v>2026</v>
      </c>
      <c r="K1995" t="str">
        <f>VLOOKUP(G1995,METRICS!C:D,2,0)</f>
        <v>Prestação de Serviço Pessoa Jurídica ADM</v>
      </c>
      <c r="L1995" t="str">
        <f>VLOOKUP(K1995,METRICS!D:E,2,0)</f>
        <v>ADMINISTRATIVA</v>
      </c>
    </row>
    <row r="1996" spans="1:12" ht="15" hidden="1">
      <c r="A1996" t="s">
        <v>1215</v>
      </c>
      <c r="B1996" t="s">
        <v>689</v>
      </c>
      <c r="D1996" s="518" t="s">
        <v>1633</v>
      </c>
      <c r="E1996" s="518" t="s">
        <v>1715</v>
      </c>
      <c r="F1996" t="s">
        <v>1272</v>
      </c>
      <c r="G1996" s="518" t="s">
        <v>1323</v>
      </c>
      <c r="H1996" s="595">
        <v>-8750</v>
      </c>
      <c r="I1996" t="str">
        <f t="shared" si="104"/>
        <v>janeiro 2026</v>
      </c>
      <c r="J1996">
        <f t="shared" si="105"/>
        <v>2026</v>
      </c>
      <c r="K1996" t="str">
        <f>VLOOKUP(G1996,METRICS!C:D,2,0)</f>
        <v>Prestação de Serviço Pessoa Jurídica ADM</v>
      </c>
      <c r="L1996" t="str">
        <f>VLOOKUP(K1996,METRICS!D:E,2,0)</f>
        <v>ADMINISTRATIVA</v>
      </c>
    </row>
    <row r="1997" spans="1:12" ht="15" hidden="1">
      <c r="A1997" t="s">
        <v>1215</v>
      </c>
      <c r="B1997" t="s">
        <v>689</v>
      </c>
      <c r="D1997" s="518" t="s">
        <v>1633</v>
      </c>
      <c r="E1997" s="518" t="s">
        <v>1715</v>
      </c>
      <c r="F1997" t="s">
        <v>1272</v>
      </c>
      <c r="G1997" s="518" t="s">
        <v>1323</v>
      </c>
      <c r="H1997" s="595">
        <v>-3250</v>
      </c>
      <c r="I1997" t="str">
        <f t="shared" ref="I1997:I2001" si="108">TEXT(A1997, "mmmm aaaa")</f>
        <v>janeiro 2026</v>
      </c>
      <c r="J1997">
        <f t="shared" ref="J1997:J2001" si="109">YEAR(A1997)</f>
        <v>2026</v>
      </c>
      <c r="K1997" t="str">
        <f>VLOOKUP(G1997,METRICS!C:D,2,0)</f>
        <v>Prestação de Serviço Pessoa Jurídica ADM</v>
      </c>
      <c r="L1997" t="str">
        <f>VLOOKUP(K1997,METRICS!D:E,2,0)</f>
        <v>ADMINISTRATIVA</v>
      </c>
    </row>
    <row r="1998" spans="1:12" ht="15" hidden="1">
      <c r="A1998" t="s">
        <v>1215</v>
      </c>
      <c r="B1998" t="s">
        <v>689</v>
      </c>
      <c r="D1998" s="518" t="s">
        <v>2608</v>
      </c>
      <c r="E1998" s="518" t="s">
        <v>2608</v>
      </c>
      <c r="F1998" t="s">
        <v>1272</v>
      </c>
      <c r="G1998" t="s">
        <v>23</v>
      </c>
      <c r="H1998" s="595">
        <v>-21876.45</v>
      </c>
      <c r="I1998" t="str">
        <f t="shared" si="108"/>
        <v>janeiro 2026</v>
      </c>
      <c r="J1998">
        <f t="shared" si="109"/>
        <v>2026</v>
      </c>
      <c r="K1998" t="str">
        <f>VLOOKUP(G1998,METRICS!C:D,2,0)</f>
        <v>(-) PIS/Pasep</v>
      </c>
      <c r="L1998" t="str">
        <f>VLOOKUP(K1998,METRICS!D:E,2,0)</f>
        <v xml:space="preserve">IMPOSTOS </v>
      </c>
    </row>
    <row r="1999" spans="1:12" ht="15" hidden="1">
      <c r="A1999" t="s">
        <v>1215</v>
      </c>
      <c r="B1999" t="s">
        <v>689</v>
      </c>
      <c r="D1999" s="518" t="s">
        <v>2608</v>
      </c>
      <c r="E1999" s="518" t="s">
        <v>2608</v>
      </c>
      <c r="F1999" t="s">
        <v>1272</v>
      </c>
      <c r="G1999" t="s">
        <v>21</v>
      </c>
      <c r="H1999" s="595">
        <v>-11603.07</v>
      </c>
      <c r="I1999" t="str">
        <f t="shared" si="108"/>
        <v>janeiro 2026</v>
      </c>
      <c r="J1999">
        <f t="shared" si="109"/>
        <v>2026</v>
      </c>
      <c r="K1999" t="str">
        <f>VLOOKUP(G1999,METRICS!C:D,2,0)</f>
        <v>(-) ICMS</v>
      </c>
      <c r="L1999" t="str">
        <f>VLOOKUP(K1999,METRICS!D:E,2,0)</f>
        <v xml:space="preserve">IMPOSTOS </v>
      </c>
    </row>
    <row r="2000" spans="1:12" ht="15" hidden="1">
      <c r="A2000" t="s">
        <v>1215</v>
      </c>
      <c r="B2000" t="s">
        <v>689</v>
      </c>
      <c r="D2000" s="518" t="s">
        <v>2608</v>
      </c>
      <c r="E2000" s="518" t="s">
        <v>2608</v>
      </c>
      <c r="F2000" t="s">
        <v>1272</v>
      </c>
      <c r="G2000" t="s">
        <v>22</v>
      </c>
      <c r="H2000" s="595">
        <v>-18007.73</v>
      </c>
      <c r="I2000" t="str">
        <f t="shared" si="108"/>
        <v>janeiro 2026</v>
      </c>
      <c r="J2000">
        <f t="shared" si="109"/>
        <v>2026</v>
      </c>
      <c r="K2000" t="str">
        <f>VLOOKUP(G2000,METRICS!C:D,2,0)</f>
        <v>(-) COFINS</v>
      </c>
      <c r="L2000" t="str">
        <f>VLOOKUP(K2000,METRICS!D:E,2,0)</f>
        <v xml:space="preserve">IMPOSTOS </v>
      </c>
    </row>
    <row r="2001" spans="1:12" ht="15" hidden="1">
      <c r="A2001" t="s">
        <v>1330</v>
      </c>
      <c r="B2001" t="s">
        <v>689</v>
      </c>
      <c r="C2001" t="s">
        <v>690</v>
      </c>
      <c r="D2001" s="518" t="s">
        <v>1316</v>
      </c>
      <c r="E2001" s="518" t="s">
        <v>1317</v>
      </c>
      <c r="F2001" t="s">
        <v>1272</v>
      </c>
      <c r="G2001" s="518" t="s">
        <v>1318</v>
      </c>
      <c r="H2001" s="595">
        <v>-16390</v>
      </c>
      <c r="I2001" t="str">
        <f t="shared" si="108"/>
        <v>fevereiro 2026</v>
      </c>
      <c r="J2001">
        <f t="shared" si="109"/>
        <v>2026</v>
      </c>
      <c r="K2001" t="str">
        <f>VLOOKUP(G2001,METRICS!C:D,2,0)</f>
        <v>Despesas com Segurança</v>
      </c>
      <c r="L2001" t="str">
        <f>VLOOKUP(K2001,METRICS!D:E,2,0)</f>
        <v>OPERAÇÃO</v>
      </c>
    </row>
    <row r="2002" spans="1:12" ht="15" hidden="1">
      <c r="A2002" t="s">
        <v>1330</v>
      </c>
      <c r="B2002" t="s">
        <v>689</v>
      </c>
      <c r="D2002" t="s">
        <v>1356</v>
      </c>
      <c r="E2002" t="s">
        <v>1663</v>
      </c>
      <c r="F2002" t="s">
        <v>1272</v>
      </c>
      <c r="G2002" t="s">
        <v>2199</v>
      </c>
      <c r="H2002" s="595">
        <v>-582.78</v>
      </c>
      <c r="I2002" t="str">
        <f t="shared" ref="I2002:I2060" si="110">TEXT(A2002, "mmmm aaaa")</f>
        <v>fevereiro 2026</v>
      </c>
      <c r="J2002">
        <f t="shared" ref="J2002:J2060" si="111">YEAR(A2002)</f>
        <v>2026</v>
      </c>
      <c r="K2002" t="str">
        <f>VLOOKUP(G2002,METRICS!C:D,2,0)</f>
        <v>Locação de Espaço</v>
      </c>
      <c r="L2002" t="str">
        <f>VLOOKUP(K2002,METRICS!D:E,2,0)</f>
        <v>ADMINISTRATIVA</v>
      </c>
    </row>
    <row r="2003" spans="1:12" ht="15" hidden="1">
      <c r="A2003" t="s">
        <v>1330</v>
      </c>
      <c r="B2003" t="s">
        <v>612</v>
      </c>
      <c r="D2003" t="s">
        <v>1357</v>
      </c>
      <c r="E2003" t="s">
        <v>1664</v>
      </c>
      <c r="F2003" t="s">
        <v>1272</v>
      </c>
      <c r="G2003" t="s">
        <v>349</v>
      </c>
      <c r="H2003" s="595">
        <v>-10700</v>
      </c>
      <c r="I2003" t="str">
        <f t="shared" si="110"/>
        <v>fevereiro 2026</v>
      </c>
      <c r="J2003">
        <f t="shared" si="111"/>
        <v>2026</v>
      </c>
      <c r="K2003" t="str">
        <f>VLOOKUP(G2003,METRICS!C:D,2,0)</f>
        <v>Contabilidade</v>
      </c>
      <c r="L2003" t="str">
        <f>VLOOKUP(K2003,METRICS!D:E,2,0)</f>
        <v>ADMINISTRATIVA</v>
      </c>
    </row>
    <row r="2004" spans="1:12" ht="15" hidden="1">
      <c r="A2004" t="s">
        <v>1330</v>
      </c>
      <c r="B2004" t="s">
        <v>689</v>
      </c>
      <c r="D2004" t="s">
        <v>1358</v>
      </c>
      <c r="E2004" t="s">
        <v>696</v>
      </c>
      <c r="F2004" t="s">
        <v>1272</v>
      </c>
      <c r="G2004" t="s">
        <v>660</v>
      </c>
      <c r="H2004" s="595">
        <v>-479.92</v>
      </c>
      <c r="I2004" t="str">
        <f t="shared" si="110"/>
        <v>fevereiro 2026</v>
      </c>
      <c r="J2004">
        <f t="shared" si="111"/>
        <v>2026</v>
      </c>
      <c r="K2004" t="str">
        <f>VLOOKUP(G2004,METRICS!C:D,2,0)</f>
        <v>Telefone e Internet</v>
      </c>
      <c r="L2004" t="str">
        <f>VLOOKUP(K2004,METRICS!D:E,2,0)</f>
        <v>ADMINISTRATIVA</v>
      </c>
    </row>
    <row r="2005" spans="1:12" ht="15" hidden="1">
      <c r="A2005" t="s">
        <v>1330</v>
      </c>
      <c r="B2005" t="s">
        <v>612</v>
      </c>
      <c r="D2005" t="s">
        <v>1359</v>
      </c>
      <c r="E2005" t="s">
        <v>721</v>
      </c>
      <c r="F2005" t="s">
        <v>1272</v>
      </c>
      <c r="G2005" t="s">
        <v>1736</v>
      </c>
      <c r="H2005" s="595">
        <v>-783</v>
      </c>
      <c r="I2005" t="str">
        <f t="shared" si="110"/>
        <v>fevereiro 2026</v>
      </c>
      <c r="J2005">
        <f t="shared" si="111"/>
        <v>2026</v>
      </c>
      <c r="K2005" t="str">
        <f>VLOOKUP(G2005,METRICS!C:D,2,0)</f>
        <v>Sistema e Software OP</v>
      </c>
      <c r="L2005" t="str">
        <f>VLOOKUP(K2005,METRICS!D:E,2,0)</f>
        <v>OPERAÇÃO</v>
      </c>
    </row>
    <row r="2006" spans="1:12" ht="15" hidden="1">
      <c r="A2006" t="s">
        <v>1330</v>
      </c>
      <c r="B2006" t="s">
        <v>689</v>
      </c>
      <c r="D2006" t="s">
        <v>699</v>
      </c>
      <c r="E2006" t="s">
        <v>696</v>
      </c>
      <c r="F2006" t="s">
        <v>1272</v>
      </c>
      <c r="G2006" t="s">
        <v>660</v>
      </c>
      <c r="H2006" s="595">
        <v>-449.2</v>
      </c>
      <c r="I2006" t="str">
        <f t="shared" si="110"/>
        <v>fevereiro 2026</v>
      </c>
      <c r="J2006">
        <f t="shared" si="111"/>
        <v>2026</v>
      </c>
      <c r="K2006" t="str">
        <f>VLOOKUP(G2006,METRICS!C:D,2,0)</f>
        <v>Telefone e Internet</v>
      </c>
      <c r="L2006" t="str">
        <f>VLOOKUP(K2006,METRICS!D:E,2,0)</f>
        <v>ADMINISTRATIVA</v>
      </c>
    </row>
    <row r="2007" spans="1:12" ht="15" hidden="1">
      <c r="A2007" t="s">
        <v>1330</v>
      </c>
      <c r="B2007" t="s">
        <v>689</v>
      </c>
      <c r="D2007" t="s">
        <v>1360</v>
      </c>
      <c r="F2007" t="s">
        <v>1272</v>
      </c>
      <c r="G2007" t="s">
        <v>680</v>
      </c>
      <c r="H2007" s="595">
        <v>-450</v>
      </c>
      <c r="I2007" t="str">
        <f t="shared" si="110"/>
        <v>fevereiro 2026</v>
      </c>
      <c r="J2007">
        <f t="shared" si="111"/>
        <v>2026</v>
      </c>
      <c r="K2007" t="str">
        <f>VLOOKUP(G2007,METRICS!C:D,2,0)</f>
        <v>Gratificações</v>
      </c>
      <c r="L2007" t="str">
        <f>VLOOKUP(K2007,METRICS!D:E,2,0)</f>
        <v>PESSOAL</v>
      </c>
    </row>
    <row r="2008" spans="1:12" ht="15" hidden="1">
      <c r="A2008" t="s">
        <v>1330</v>
      </c>
      <c r="B2008" t="s">
        <v>612</v>
      </c>
      <c r="D2008" t="s">
        <v>1361</v>
      </c>
      <c r="E2008" t="s">
        <v>721</v>
      </c>
      <c r="F2008" t="s">
        <v>1272</v>
      </c>
      <c r="G2008" t="s">
        <v>1736</v>
      </c>
      <c r="H2008" s="595">
        <v>-1461.91</v>
      </c>
      <c r="I2008" t="str">
        <f t="shared" si="110"/>
        <v>fevereiro 2026</v>
      </c>
      <c r="J2008">
        <f t="shared" si="111"/>
        <v>2026</v>
      </c>
      <c r="K2008" t="str">
        <f>VLOOKUP(G2008,METRICS!C:D,2,0)</f>
        <v>Sistema e Software OP</v>
      </c>
      <c r="L2008" t="str">
        <f>VLOOKUP(K2008,METRICS!D:E,2,0)</f>
        <v>OPERAÇÃO</v>
      </c>
    </row>
    <row r="2009" spans="1:12" ht="15" hidden="1">
      <c r="A2009" t="s">
        <v>1331</v>
      </c>
      <c r="B2009" t="s">
        <v>689</v>
      </c>
      <c r="D2009" t="s">
        <v>1362</v>
      </c>
      <c r="E2009" t="s">
        <v>757</v>
      </c>
      <c r="F2009" t="s">
        <v>1272</v>
      </c>
      <c r="G2009" t="s">
        <v>1717</v>
      </c>
      <c r="H2009" s="595">
        <v>-1.95</v>
      </c>
      <c r="I2009" t="str">
        <f t="shared" si="110"/>
        <v>fevereiro 2026</v>
      </c>
      <c r="J2009">
        <f t="shared" si="111"/>
        <v>2026</v>
      </c>
      <c r="K2009" t="str">
        <f>VLOOKUP(G2009,METRICS!C:D,2,0)</f>
        <v>Encargos Bancarios</v>
      </c>
      <c r="L2009" t="str">
        <f>VLOOKUP(K2009,METRICS!D:E,2,0)</f>
        <v>DESPESAS FINANCEIRAS</v>
      </c>
    </row>
    <row r="2010" spans="1:12" ht="15" hidden="1">
      <c r="A2010" t="s">
        <v>1331</v>
      </c>
      <c r="B2010" t="s">
        <v>612</v>
      </c>
      <c r="D2010" t="s">
        <v>1363</v>
      </c>
      <c r="E2010" t="s">
        <v>1153</v>
      </c>
      <c r="F2010" t="s">
        <v>1272</v>
      </c>
      <c r="G2010" t="s">
        <v>607</v>
      </c>
      <c r="H2010" s="595">
        <v>-4500</v>
      </c>
      <c r="I2010" t="str">
        <f t="shared" si="110"/>
        <v>fevereiro 2026</v>
      </c>
      <c r="J2010">
        <f t="shared" si="111"/>
        <v>2026</v>
      </c>
      <c r="K2010" t="str">
        <f>VLOOKUP(G2010,METRICS!C:D,2,0)</f>
        <v>Bebidas Alcoólicas</v>
      </c>
      <c r="L2010" t="str">
        <f>VLOOKUP(K2010,METRICS!D:E,2,0)</f>
        <v>CUSTOS DOS PRODUTOS VENDIDOS</v>
      </c>
    </row>
    <row r="2011" spans="1:12" ht="15" hidden="1">
      <c r="A2011" t="s">
        <v>1331</v>
      </c>
      <c r="B2011" t="s">
        <v>689</v>
      </c>
      <c r="D2011" t="s">
        <v>1724</v>
      </c>
      <c r="E2011" t="s">
        <v>1665</v>
      </c>
      <c r="F2011" t="s">
        <v>1272</v>
      </c>
      <c r="G2011" t="s">
        <v>661</v>
      </c>
      <c r="H2011" s="595">
        <v>-15000</v>
      </c>
      <c r="I2011" t="str">
        <f t="shared" si="110"/>
        <v>fevereiro 2026</v>
      </c>
      <c r="J2011">
        <f t="shared" si="111"/>
        <v>2026</v>
      </c>
      <c r="K2011" t="str">
        <f>VLOOKUP(G2011,METRICS!C:D,2,0)</f>
        <v>Consultoria OP</v>
      </c>
      <c r="L2011" t="str">
        <f>VLOOKUP(K2011,METRICS!D:E,2,0)</f>
        <v>OPERAÇÃO</v>
      </c>
    </row>
    <row r="2012" spans="1:12" ht="15" hidden="1">
      <c r="A2012" t="s">
        <v>1331</v>
      </c>
      <c r="B2012" t="s">
        <v>612</v>
      </c>
      <c r="D2012" t="s">
        <v>1364</v>
      </c>
      <c r="E2012" t="s">
        <v>832</v>
      </c>
      <c r="F2012" t="s">
        <v>1272</v>
      </c>
      <c r="G2012" t="s">
        <v>633</v>
      </c>
      <c r="H2012" s="595">
        <v>-231.35</v>
      </c>
      <c r="I2012" t="str">
        <f t="shared" si="110"/>
        <v>fevereiro 2026</v>
      </c>
      <c r="J2012">
        <f t="shared" si="111"/>
        <v>2026</v>
      </c>
      <c r="K2012" t="str">
        <f>VLOOKUP(G2012,METRICS!C:D,2,0)</f>
        <v>Paes, Massas e Salgados</v>
      </c>
      <c r="L2012" t="str">
        <f>VLOOKUP(K2012,METRICS!D:E,2,0)</f>
        <v>CUSTOS DOS PRODUTOS VENDIDOS</v>
      </c>
    </row>
    <row r="2013" spans="1:12" ht="15" hidden="1">
      <c r="A2013" t="s">
        <v>1331</v>
      </c>
      <c r="B2013" t="s">
        <v>612</v>
      </c>
      <c r="D2013" t="s">
        <v>1365</v>
      </c>
      <c r="E2013" t="s">
        <v>738</v>
      </c>
      <c r="F2013" t="s">
        <v>1272</v>
      </c>
      <c r="G2013" t="s">
        <v>623</v>
      </c>
      <c r="H2013" s="595">
        <v>-1364.63</v>
      </c>
      <c r="I2013" t="str">
        <f t="shared" si="110"/>
        <v>fevereiro 2026</v>
      </c>
      <c r="J2013">
        <f t="shared" si="111"/>
        <v>2026</v>
      </c>
      <c r="K2013" t="str">
        <f>VLOOKUP(G2013,METRICS!C:D,2,0)</f>
        <v>Secos - Mercearia</v>
      </c>
      <c r="L2013" t="str">
        <f>VLOOKUP(K2013,METRICS!D:E,2,0)</f>
        <v>CUSTOS DOS PRODUTOS VENDIDOS</v>
      </c>
    </row>
    <row r="2014" spans="1:12" ht="15" hidden="1">
      <c r="A2014" t="s">
        <v>1331</v>
      </c>
      <c r="B2014" t="s">
        <v>612</v>
      </c>
      <c r="D2014" t="s">
        <v>1366</v>
      </c>
      <c r="E2014" t="s">
        <v>748</v>
      </c>
      <c r="F2014" t="s">
        <v>1272</v>
      </c>
      <c r="G2014" t="s">
        <v>620</v>
      </c>
      <c r="H2014" s="595">
        <v>-110.88</v>
      </c>
      <c r="I2014" t="str">
        <f t="shared" si="110"/>
        <v>fevereiro 2026</v>
      </c>
      <c r="J2014">
        <f t="shared" si="111"/>
        <v>2026</v>
      </c>
      <c r="K2014" t="str">
        <f>VLOOKUP(G2014,METRICS!C:D,2,0)</f>
        <v>Hortifruti</v>
      </c>
      <c r="L2014" t="str">
        <f>VLOOKUP(K2014,METRICS!D:E,2,0)</f>
        <v>CUSTOS DOS PRODUTOS VENDIDOS</v>
      </c>
    </row>
    <row r="2015" spans="1:12" ht="15" hidden="1">
      <c r="A2015" t="s">
        <v>1331</v>
      </c>
      <c r="B2015" t="s">
        <v>612</v>
      </c>
      <c r="D2015" t="s">
        <v>1367</v>
      </c>
      <c r="E2015" t="s">
        <v>770</v>
      </c>
      <c r="F2015" t="s">
        <v>1272</v>
      </c>
      <c r="G2015" t="s">
        <v>630</v>
      </c>
      <c r="H2015" s="595">
        <v>-2485.25</v>
      </c>
      <c r="I2015" t="str">
        <f t="shared" si="110"/>
        <v>fevereiro 2026</v>
      </c>
      <c r="J2015">
        <f t="shared" si="111"/>
        <v>2026</v>
      </c>
      <c r="K2015" t="str">
        <f>VLOOKUP(G2015,METRICS!C:D,2,0)</f>
        <v>Material de Copa e Limpeza</v>
      </c>
      <c r="L2015" t="str">
        <f>VLOOKUP(K2015,METRICS!D:E,2,0)</f>
        <v>ADMINISTRATIVA</v>
      </c>
    </row>
    <row r="2016" spans="1:12" ht="15" hidden="1">
      <c r="A2016" t="s">
        <v>1331</v>
      </c>
      <c r="B2016" t="s">
        <v>612</v>
      </c>
      <c r="D2016" t="s">
        <v>1368</v>
      </c>
      <c r="E2016" t="s">
        <v>752</v>
      </c>
      <c r="F2016" t="s">
        <v>1272</v>
      </c>
      <c r="G2016" t="s">
        <v>605</v>
      </c>
      <c r="H2016" s="595">
        <v>-5972.64</v>
      </c>
      <c r="I2016" t="str">
        <f t="shared" si="110"/>
        <v>fevereiro 2026</v>
      </c>
      <c r="J2016">
        <f t="shared" si="111"/>
        <v>2026</v>
      </c>
      <c r="K2016" t="str">
        <f>VLOOKUP(G2016,METRICS!C:D,2,0)</f>
        <v>Beneficios</v>
      </c>
      <c r="L2016" t="str">
        <f>VLOOKUP(K2016,METRICS!D:E,2,0)</f>
        <v>PESSOAL</v>
      </c>
    </row>
    <row r="2017" spans="1:12" ht="15" hidden="1">
      <c r="A2017" t="s">
        <v>1331</v>
      </c>
      <c r="B2017" t="s">
        <v>689</v>
      </c>
      <c r="D2017" t="s">
        <v>1369</v>
      </c>
      <c r="E2017" t="s">
        <v>757</v>
      </c>
      <c r="F2017" t="s">
        <v>1272</v>
      </c>
      <c r="G2017" t="s">
        <v>1717</v>
      </c>
      <c r="H2017" s="595">
        <v>-44.85</v>
      </c>
      <c r="I2017" t="str">
        <f t="shared" si="110"/>
        <v>fevereiro 2026</v>
      </c>
      <c r="J2017">
        <f t="shared" si="111"/>
        <v>2026</v>
      </c>
      <c r="K2017" t="str">
        <f>VLOOKUP(G2017,METRICS!C:D,2,0)</f>
        <v>Encargos Bancarios</v>
      </c>
      <c r="L2017" t="str">
        <f>VLOOKUP(K2017,METRICS!D:E,2,0)</f>
        <v>DESPESAS FINANCEIRAS</v>
      </c>
    </row>
    <row r="2018" spans="1:12" ht="15" hidden="1">
      <c r="A2018" t="s">
        <v>1331</v>
      </c>
      <c r="B2018" t="s">
        <v>612</v>
      </c>
      <c r="D2018" t="s">
        <v>1370</v>
      </c>
      <c r="E2018" t="s">
        <v>979</v>
      </c>
      <c r="F2018" t="s">
        <v>1272</v>
      </c>
      <c r="G2018" t="s">
        <v>641</v>
      </c>
      <c r="H2018" s="595">
        <v>-8909.8799999999992</v>
      </c>
      <c r="I2018" t="str">
        <f t="shared" si="110"/>
        <v>fevereiro 2026</v>
      </c>
      <c r="J2018">
        <f t="shared" si="111"/>
        <v>2026</v>
      </c>
      <c r="K2018" t="str">
        <f>VLOOKUP(G2018,METRICS!C:D,2,0)</f>
        <v>Vinhos/Espumantes</v>
      </c>
      <c r="L2018" t="str">
        <f>VLOOKUP(K2018,METRICS!D:E,2,0)</f>
        <v>CUSTOS DOS PRODUTOS VENDIDOS</v>
      </c>
    </row>
    <row r="2019" spans="1:12" ht="15" hidden="1">
      <c r="A2019" t="s">
        <v>1331</v>
      </c>
      <c r="B2019" t="s">
        <v>612</v>
      </c>
      <c r="D2019" t="s">
        <v>1371</v>
      </c>
      <c r="E2019" t="s">
        <v>794</v>
      </c>
      <c r="F2019" t="s">
        <v>1272</v>
      </c>
      <c r="G2019" t="s">
        <v>608</v>
      </c>
      <c r="H2019" s="595">
        <v>-237.6</v>
      </c>
      <c r="I2019" t="str">
        <f t="shared" si="110"/>
        <v>fevereiro 2026</v>
      </c>
      <c r="J2019">
        <f t="shared" si="111"/>
        <v>2026</v>
      </c>
      <c r="K2019" t="str">
        <f>VLOOKUP(G2019,METRICS!C:D,2,0)</f>
        <v>Bebidas não Alcoolicas</v>
      </c>
      <c r="L2019" t="str">
        <f>VLOOKUP(K2019,METRICS!D:E,2,0)</f>
        <v>CUSTOS DOS PRODUTOS VENDIDOS</v>
      </c>
    </row>
    <row r="2020" spans="1:12" ht="15" hidden="1">
      <c r="A2020" t="s">
        <v>1331</v>
      </c>
      <c r="B2020" t="s">
        <v>689</v>
      </c>
      <c r="D2020" t="s">
        <v>1372</v>
      </c>
      <c r="E2020" t="s">
        <v>700</v>
      </c>
      <c r="F2020" t="s">
        <v>1272</v>
      </c>
      <c r="G2020" t="s">
        <v>661</v>
      </c>
      <c r="H2020" s="595">
        <v>-17000</v>
      </c>
      <c r="I2020" t="str">
        <f t="shared" si="110"/>
        <v>fevereiro 2026</v>
      </c>
      <c r="J2020">
        <f t="shared" si="111"/>
        <v>2026</v>
      </c>
      <c r="K2020" t="str">
        <f>VLOOKUP(G2020,METRICS!C:D,2,0)</f>
        <v>Consultoria OP</v>
      </c>
      <c r="L2020" t="str">
        <f>VLOOKUP(K2020,METRICS!D:E,2,0)</f>
        <v>OPERAÇÃO</v>
      </c>
    </row>
    <row r="2021" spans="1:12" ht="15" hidden="1">
      <c r="A2021" t="s">
        <v>1331</v>
      </c>
      <c r="B2021" t="s">
        <v>689</v>
      </c>
      <c r="D2021" t="s">
        <v>693</v>
      </c>
      <c r="E2021" t="s">
        <v>694</v>
      </c>
      <c r="F2021" t="s">
        <v>1272</v>
      </c>
      <c r="G2021" t="s">
        <v>657</v>
      </c>
      <c r="H2021" s="595">
        <v>-5338.71</v>
      </c>
      <c r="I2021" t="str">
        <f t="shared" si="110"/>
        <v>fevereiro 2026</v>
      </c>
      <c r="J2021">
        <f t="shared" si="111"/>
        <v>2026</v>
      </c>
      <c r="K2021" t="str">
        <f>VLOOKUP(G2021,METRICS!C:D,2,0)</f>
        <v>Aluguel de Maquinas</v>
      </c>
      <c r="L2021" t="str">
        <f>VLOOKUP(K2021,METRICS!D:E,2,0)</f>
        <v>OPERAÇÃO</v>
      </c>
    </row>
    <row r="2022" spans="1:12" ht="15" hidden="1">
      <c r="A2022" t="s">
        <v>1331</v>
      </c>
      <c r="B2022" t="s">
        <v>689</v>
      </c>
      <c r="D2022" t="s">
        <v>883</v>
      </c>
      <c r="E2022" t="s">
        <v>746</v>
      </c>
      <c r="F2022" t="s">
        <v>1272</v>
      </c>
      <c r="G2022" t="s">
        <v>669</v>
      </c>
      <c r="H2022" s="595">
        <v>-61.79</v>
      </c>
      <c r="I2022" t="str">
        <f t="shared" si="110"/>
        <v>fevereiro 2026</v>
      </c>
      <c r="J2022">
        <f t="shared" si="111"/>
        <v>2026</v>
      </c>
      <c r="K2022" t="str">
        <f>VLOOKUP(G2022,METRICS!C:D,2,0)</f>
        <v>Taxas Financeiras Diversas</v>
      </c>
      <c r="L2022" t="str">
        <f>VLOOKUP(K2022,METRICS!D:E,2,0)</f>
        <v>TAXAS CARTÃO DE CRÉDITO</v>
      </c>
    </row>
    <row r="2023" spans="1:12" ht="15" hidden="1">
      <c r="A2023" t="s">
        <v>1331</v>
      </c>
      <c r="B2023" t="s">
        <v>612</v>
      </c>
      <c r="D2023" t="s">
        <v>1373</v>
      </c>
      <c r="E2023" t="s">
        <v>936</v>
      </c>
      <c r="F2023" t="s">
        <v>1272</v>
      </c>
      <c r="G2023" t="s">
        <v>283</v>
      </c>
      <c r="H2023" s="595">
        <v>-2915</v>
      </c>
      <c r="I2023" t="str">
        <f t="shared" si="110"/>
        <v>fevereiro 2026</v>
      </c>
      <c r="J2023">
        <f t="shared" si="111"/>
        <v>2026</v>
      </c>
      <c r="K2023" t="str">
        <f>VLOOKUP(G2023,METRICS!C:D,2,0)</f>
        <v>Hostess</v>
      </c>
      <c r="L2023" t="str">
        <f>VLOOKUP(K2023,METRICS!D:E,2,0)</f>
        <v>OPERAÇÃO</v>
      </c>
    </row>
    <row r="2024" spans="1:12" ht="15" hidden="1">
      <c r="A2024" t="s">
        <v>1331</v>
      </c>
      <c r="B2024" t="s">
        <v>689</v>
      </c>
      <c r="D2024" t="s">
        <v>756</v>
      </c>
      <c r="E2024" t="s">
        <v>757</v>
      </c>
      <c r="F2024" t="s">
        <v>1272</v>
      </c>
      <c r="G2024" t="s">
        <v>666</v>
      </c>
      <c r="H2024" s="595">
        <v>-188.1</v>
      </c>
      <c r="I2024" t="str">
        <f t="shared" si="110"/>
        <v>fevereiro 2026</v>
      </c>
      <c r="J2024">
        <f t="shared" si="111"/>
        <v>2026</v>
      </c>
      <c r="K2024" t="str">
        <f>VLOOKUP(G2024,METRICS!C:D,2,0)</f>
        <v>Encargos Bancarios</v>
      </c>
      <c r="L2024" t="str">
        <f>VLOOKUP(K2024,METRICS!D:E,2,0)</f>
        <v>DESPESAS FINANCEIRAS</v>
      </c>
    </row>
    <row r="2025" spans="1:12" ht="15" hidden="1">
      <c r="A2025" t="s">
        <v>1331</v>
      </c>
      <c r="B2025" t="s">
        <v>612</v>
      </c>
      <c r="D2025" t="s">
        <v>1374</v>
      </c>
      <c r="E2025" t="s">
        <v>738</v>
      </c>
      <c r="F2025" t="s">
        <v>1272</v>
      </c>
      <c r="G2025" t="s">
        <v>636</v>
      </c>
      <c r="H2025" s="595">
        <v>-4526.2</v>
      </c>
      <c r="I2025" t="str">
        <f t="shared" si="110"/>
        <v>fevereiro 2026</v>
      </c>
      <c r="J2025">
        <f t="shared" si="111"/>
        <v>2026</v>
      </c>
      <c r="K2025" t="str">
        <f>VLOOKUP(G2025,METRICS!C:D,2,0)</f>
        <v>Secos - Mercearia</v>
      </c>
      <c r="L2025" t="str">
        <f>VLOOKUP(K2025,METRICS!D:E,2,0)</f>
        <v>CUSTOS DOS PRODUTOS VENDIDOS</v>
      </c>
    </row>
    <row r="2026" spans="1:12" ht="15" hidden="1">
      <c r="A2026" t="s">
        <v>1331</v>
      </c>
      <c r="B2026" t="s">
        <v>612</v>
      </c>
      <c r="D2026" t="s">
        <v>1375</v>
      </c>
      <c r="E2026" t="s">
        <v>857</v>
      </c>
      <c r="F2026" t="s">
        <v>1272</v>
      </c>
      <c r="G2026" t="s">
        <v>413</v>
      </c>
      <c r="H2026" s="595">
        <v>-330</v>
      </c>
      <c r="I2026" t="str">
        <f t="shared" si="110"/>
        <v>fevereiro 2026</v>
      </c>
      <c r="J2026">
        <f t="shared" si="111"/>
        <v>2026</v>
      </c>
      <c r="K2026" t="str">
        <f>VLOOKUP(G2026,METRICS!C:D,2,0)</f>
        <v>Pescados</v>
      </c>
      <c r="L2026" t="str">
        <f>VLOOKUP(K2026,METRICS!D:E,2,0)</f>
        <v>CUSTOS DOS PRODUTOS VENDIDOS</v>
      </c>
    </row>
    <row r="2027" spans="1:12" ht="15" hidden="1">
      <c r="A2027" t="s">
        <v>1331</v>
      </c>
      <c r="B2027" t="s">
        <v>612</v>
      </c>
      <c r="D2027" t="s">
        <v>1376</v>
      </c>
      <c r="E2027" t="s">
        <v>881</v>
      </c>
      <c r="F2027" t="s">
        <v>1272</v>
      </c>
      <c r="G2027" t="s">
        <v>607</v>
      </c>
      <c r="H2027" s="595">
        <v>-1778.8</v>
      </c>
      <c r="I2027" t="str">
        <f t="shared" si="110"/>
        <v>fevereiro 2026</v>
      </c>
      <c r="J2027">
        <f t="shared" si="111"/>
        <v>2026</v>
      </c>
      <c r="K2027" t="str">
        <f>VLOOKUP(G2027,METRICS!C:D,2,0)</f>
        <v>Bebidas Alcoólicas</v>
      </c>
      <c r="L2027" t="str">
        <f>VLOOKUP(K2027,METRICS!D:E,2,0)</f>
        <v>CUSTOS DOS PRODUTOS VENDIDOS</v>
      </c>
    </row>
    <row r="2028" spans="1:12" ht="15" hidden="1">
      <c r="A2028" t="s">
        <v>1331</v>
      </c>
      <c r="B2028" t="s">
        <v>612</v>
      </c>
      <c r="D2028" t="s">
        <v>1377</v>
      </c>
      <c r="E2028" t="s">
        <v>727</v>
      </c>
      <c r="F2028" t="s">
        <v>1272</v>
      </c>
      <c r="G2028" t="s">
        <v>620</v>
      </c>
      <c r="H2028" s="595">
        <v>-5431.61</v>
      </c>
      <c r="I2028" t="str">
        <f t="shared" si="110"/>
        <v>fevereiro 2026</v>
      </c>
      <c r="J2028">
        <f t="shared" si="111"/>
        <v>2026</v>
      </c>
      <c r="K2028" t="str">
        <f>VLOOKUP(G2028,METRICS!C:D,2,0)</f>
        <v>Hortifruti</v>
      </c>
      <c r="L2028" t="str">
        <f>VLOOKUP(K2028,METRICS!D:E,2,0)</f>
        <v>CUSTOS DOS PRODUTOS VENDIDOS</v>
      </c>
    </row>
    <row r="2029" spans="1:12" ht="15" hidden="1">
      <c r="A2029" t="s">
        <v>1331</v>
      </c>
      <c r="B2029" t="s">
        <v>689</v>
      </c>
      <c r="D2029" t="s">
        <v>1240</v>
      </c>
      <c r="E2029" t="s">
        <v>1241</v>
      </c>
      <c r="F2029" t="s">
        <v>1272</v>
      </c>
      <c r="G2029" t="s">
        <v>1274</v>
      </c>
      <c r="H2029" s="595">
        <v>-40000</v>
      </c>
      <c r="I2029" t="str">
        <f t="shared" si="110"/>
        <v>fevereiro 2026</v>
      </c>
      <c r="J2029">
        <f t="shared" si="111"/>
        <v>2026</v>
      </c>
      <c r="K2029" t="str">
        <f>VLOOKUP(G2029,METRICS!C:D,2,0)</f>
        <v>Honorários dos administradores</v>
      </c>
      <c r="L2029" t="str">
        <f>VLOOKUP(K2029,METRICS!D:E,2,0)</f>
        <v>ADMINISTRATIVA</v>
      </c>
    </row>
    <row r="2030" spans="1:12" ht="15" hidden="1">
      <c r="A2030" t="s">
        <v>1331</v>
      </c>
      <c r="B2030" t="s">
        <v>612</v>
      </c>
      <c r="D2030" t="s">
        <v>1378</v>
      </c>
      <c r="E2030" t="s">
        <v>1135</v>
      </c>
      <c r="F2030" t="s">
        <v>1272</v>
      </c>
      <c r="G2030" t="s">
        <v>636</v>
      </c>
      <c r="H2030" s="595">
        <v>-260</v>
      </c>
      <c r="I2030" t="str">
        <f t="shared" si="110"/>
        <v>fevereiro 2026</v>
      </c>
      <c r="J2030">
        <f t="shared" si="111"/>
        <v>2026</v>
      </c>
      <c r="K2030" t="str">
        <f>VLOOKUP(G2030,METRICS!C:D,2,0)</f>
        <v>Secos - Mercearia</v>
      </c>
      <c r="L2030" t="str">
        <f>VLOOKUP(K2030,METRICS!D:E,2,0)</f>
        <v>CUSTOS DOS PRODUTOS VENDIDOS</v>
      </c>
    </row>
    <row r="2031" spans="1:12" ht="15" hidden="1">
      <c r="A2031" t="s">
        <v>1331</v>
      </c>
      <c r="B2031" t="s">
        <v>612</v>
      </c>
      <c r="D2031" t="s">
        <v>1379</v>
      </c>
      <c r="E2031" t="s">
        <v>748</v>
      </c>
      <c r="F2031" t="s">
        <v>1272</v>
      </c>
      <c r="G2031" t="s">
        <v>605</v>
      </c>
      <c r="H2031" s="595">
        <v>-179.03</v>
      </c>
      <c r="I2031" t="str">
        <f t="shared" si="110"/>
        <v>fevereiro 2026</v>
      </c>
      <c r="J2031">
        <f t="shared" si="111"/>
        <v>2026</v>
      </c>
      <c r="K2031" t="str">
        <f>VLOOKUP(G2031,METRICS!C:D,2,0)</f>
        <v>Beneficios</v>
      </c>
      <c r="L2031" t="str">
        <f>VLOOKUP(K2031,METRICS!D:E,2,0)</f>
        <v>PESSOAL</v>
      </c>
    </row>
    <row r="2032" spans="1:12" ht="15" hidden="1">
      <c r="A2032" t="s">
        <v>1331</v>
      </c>
      <c r="B2032" t="s">
        <v>612</v>
      </c>
      <c r="D2032" t="s">
        <v>1380</v>
      </c>
      <c r="E2032" t="s">
        <v>745</v>
      </c>
      <c r="F2032" t="s">
        <v>1272</v>
      </c>
      <c r="G2032" t="s">
        <v>620</v>
      </c>
      <c r="H2032" s="595">
        <v>-414.05</v>
      </c>
      <c r="I2032" t="str">
        <f t="shared" si="110"/>
        <v>fevereiro 2026</v>
      </c>
      <c r="J2032">
        <f t="shared" si="111"/>
        <v>2026</v>
      </c>
      <c r="K2032" t="str">
        <f>VLOOKUP(G2032,METRICS!C:D,2,0)</f>
        <v>Hortifruti</v>
      </c>
      <c r="L2032" t="str">
        <f>VLOOKUP(K2032,METRICS!D:E,2,0)</f>
        <v>CUSTOS DOS PRODUTOS VENDIDOS</v>
      </c>
    </row>
    <row r="2033" spans="1:12" ht="15" hidden="1">
      <c r="A2033" t="s">
        <v>1331</v>
      </c>
      <c r="B2033" t="s">
        <v>612</v>
      </c>
      <c r="D2033" t="s">
        <v>1381</v>
      </c>
      <c r="E2033" t="s">
        <v>1012</v>
      </c>
      <c r="F2033" t="s">
        <v>1272</v>
      </c>
      <c r="G2033" t="s">
        <v>611</v>
      </c>
      <c r="H2033" s="595">
        <v>-3674.93</v>
      </c>
      <c r="I2033" t="str">
        <f t="shared" si="110"/>
        <v>fevereiro 2026</v>
      </c>
      <c r="J2033">
        <f t="shared" si="111"/>
        <v>2026</v>
      </c>
      <c r="K2033" t="str">
        <f>VLOOKUP(G2033,METRICS!C:D,2,0)</f>
        <v>Bebidas Alcoólicas</v>
      </c>
      <c r="L2033" t="str">
        <f>VLOOKUP(K2033,METRICS!D:E,2,0)</f>
        <v>CUSTOS DOS PRODUTOS VENDIDOS</v>
      </c>
    </row>
    <row r="2034" spans="1:12" ht="15" hidden="1">
      <c r="A2034" t="s">
        <v>1331</v>
      </c>
      <c r="B2034" t="s">
        <v>612</v>
      </c>
      <c r="D2034" t="s">
        <v>1382</v>
      </c>
      <c r="E2034" t="s">
        <v>765</v>
      </c>
      <c r="F2034" t="s">
        <v>1272</v>
      </c>
      <c r="G2034" t="s">
        <v>619</v>
      </c>
      <c r="H2034" s="595">
        <v>-509.6</v>
      </c>
      <c r="I2034" t="str">
        <f t="shared" si="110"/>
        <v>fevereiro 2026</v>
      </c>
      <c r="J2034">
        <f t="shared" si="111"/>
        <v>2026</v>
      </c>
      <c r="K2034" t="str">
        <f>VLOOKUP(G2034,METRICS!C:D,2,0)</f>
        <v>Gelo</v>
      </c>
      <c r="L2034" t="str">
        <f>VLOOKUP(K2034,METRICS!D:E,2,0)</f>
        <v>CUSTOS DOS PRODUTOS VENDIDOS</v>
      </c>
    </row>
    <row r="2035" spans="1:12" ht="15" hidden="1">
      <c r="A2035" t="s">
        <v>1331</v>
      </c>
      <c r="B2035" t="s">
        <v>612</v>
      </c>
      <c r="D2035" t="s">
        <v>1383</v>
      </c>
      <c r="E2035" t="s">
        <v>731</v>
      </c>
      <c r="F2035" t="s">
        <v>1272</v>
      </c>
      <c r="G2035" t="s">
        <v>637</v>
      </c>
      <c r="H2035" s="595">
        <v>-2097.46</v>
      </c>
      <c r="I2035" t="str">
        <f t="shared" si="110"/>
        <v>fevereiro 2026</v>
      </c>
      <c r="J2035">
        <f t="shared" si="111"/>
        <v>2026</v>
      </c>
      <c r="K2035" t="str">
        <f>VLOOKUP(G2035,METRICS!C:D,2,0)</f>
        <v>Prestação de Servço Informatica</v>
      </c>
      <c r="L2035" t="str">
        <f>VLOOKUP(K2035,METRICS!D:E,2,0)</f>
        <v>ADMINISTRATIVA</v>
      </c>
    </row>
    <row r="2036" spans="1:12" ht="15" hidden="1">
      <c r="A2036" t="s">
        <v>1331</v>
      </c>
      <c r="B2036" t="s">
        <v>612</v>
      </c>
      <c r="D2036" t="s">
        <v>1384</v>
      </c>
      <c r="E2036" t="s">
        <v>784</v>
      </c>
      <c r="F2036" t="s">
        <v>1272</v>
      </c>
      <c r="G2036" t="s">
        <v>636</v>
      </c>
      <c r="H2036" s="595">
        <v>-1875</v>
      </c>
      <c r="I2036" t="str">
        <f t="shared" si="110"/>
        <v>fevereiro 2026</v>
      </c>
      <c r="J2036">
        <f t="shared" si="111"/>
        <v>2026</v>
      </c>
      <c r="K2036" t="str">
        <f>VLOOKUP(G2036,METRICS!C:D,2,0)</f>
        <v>Secos - Mercearia</v>
      </c>
      <c r="L2036" t="str">
        <f>VLOOKUP(K2036,METRICS!D:E,2,0)</f>
        <v>CUSTOS DOS PRODUTOS VENDIDOS</v>
      </c>
    </row>
    <row r="2037" spans="1:12" ht="15" hidden="1">
      <c r="A2037" t="s">
        <v>1331</v>
      </c>
      <c r="B2037" t="s">
        <v>612</v>
      </c>
      <c r="D2037" t="s">
        <v>1385</v>
      </c>
      <c r="E2037" t="s">
        <v>1005</v>
      </c>
      <c r="F2037" t="s">
        <v>1272</v>
      </c>
      <c r="G2037" t="s">
        <v>608</v>
      </c>
      <c r="H2037" s="595">
        <v>-3812</v>
      </c>
      <c r="I2037" t="str">
        <f t="shared" si="110"/>
        <v>fevereiro 2026</v>
      </c>
      <c r="J2037">
        <f t="shared" si="111"/>
        <v>2026</v>
      </c>
      <c r="K2037" t="str">
        <f>VLOOKUP(G2037,METRICS!C:D,2,0)</f>
        <v>Bebidas não Alcoolicas</v>
      </c>
      <c r="L2037" t="str">
        <f>VLOOKUP(K2037,METRICS!D:E,2,0)</f>
        <v>CUSTOS DOS PRODUTOS VENDIDOS</v>
      </c>
    </row>
    <row r="2038" spans="1:12" ht="15" hidden="1">
      <c r="A2038" t="s">
        <v>1331</v>
      </c>
      <c r="B2038" t="s">
        <v>689</v>
      </c>
      <c r="D2038" t="s">
        <v>716</v>
      </c>
      <c r="E2038" t="s">
        <v>717</v>
      </c>
      <c r="F2038" t="s">
        <v>1272</v>
      </c>
      <c r="G2038" t="s">
        <v>663</v>
      </c>
      <c r="H2038" s="595">
        <v>-16112.86</v>
      </c>
      <c r="I2038" t="str">
        <f t="shared" si="110"/>
        <v>fevereiro 2026</v>
      </c>
      <c r="J2038">
        <f t="shared" si="111"/>
        <v>2026</v>
      </c>
      <c r="K2038" t="str">
        <f>VLOOKUP(G2038,METRICS!C:D,2,0)</f>
        <v>Aluguéis</v>
      </c>
      <c r="L2038" t="str">
        <f>VLOOKUP(K2038,METRICS!D:E,2,0)</f>
        <v>OCUPAÇÃO</v>
      </c>
    </row>
    <row r="2039" spans="1:12" ht="15">
      <c r="A2039" t="s">
        <v>1331</v>
      </c>
      <c r="B2039" t="s">
        <v>689</v>
      </c>
      <c r="D2039" t="s">
        <v>1386</v>
      </c>
      <c r="E2039" t="s">
        <v>1667</v>
      </c>
      <c r="F2039" t="s">
        <v>1272</v>
      </c>
      <c r="G2039" t="s">
        <v>1718</v>
      </c>
      <c r="H2039" s="595">
        <v>-1017.3</v>
      </c>
      <c r="I2039" t="str">
        <f t="shared" si="110"/>
        <v>fevereiro 2026</v>
      </c>
      <c r="J2039">
        <f t="shared" si="111"/>
        <v>2026</v>
      </c>
      <c r="K2039" t="str">
        <f>VLOOKUP(G2039,METRICS!C:D,2,0)</f>
        <v>Utensílios</v>
      </c>
      <c r="L2039" t="str">
        <f>VLOOKUP(K2039,METRICS!D:E,2,0)</f>
        <v>OPERAÇÃO</v>
      </c>
    </row>
    <row r="2040" spans="1:12" ht="15" hidden="1">
      <c r="A2040" t="s">
        <v>1331</v>
      </c>
      <c r="B2040" t="s">
        <v>612</v>
      </c>
      <c r="D2040" t="s">
        <v>1387</v>
      </c>
      <c r="E2040" t="s">
        <v>774</v>
      </c>
      <c r="F2040" t="s">
        <v>1272</v>
      </c>
      <c r="G2040" t="s">
        <v>629</v>
      </c>
      <c r="H2040" s="595">
        <v>-2651.58</v>
      </c>
      <c r="I2040" t="str">
        <f t="shared" si="110"/>
        <v>fevereiro 2026</v>
      </c>
      <c r="J2040">
        <f t="shared" si="111"/>
        <v>2026</v>
      </c>
      <c r="K2040" t="str">
        <f>VLOOKUP(G2040,METRICS!C:D,2,0)</f>
        <v>Material de limpeza</v>
      </c>
      <c r="L2040" t="str">
        <f>VLOOKUP(K2040,METRICS!D:E,2,0)</f>
        <v>OPERAÇÃO</v>
      </c>
    </row>
    <row r="2041" spans="1:12" ht="15" hidden="1">
      <c r="A2041" t="s">
        <v>1331</v>
      </c>
      <c r="B2041" t="s">
        <v>612</v>
      </c>
      <c r="D2041" t="s">
        <v>1388</v>
      </c>
      <c r="E2041" t="s">
        <v>750</v>
      </c>
      <c r="F2041" t="s">
        <v>1272</v>
      </c>
      <c r="G2041" t="s">
        <v>610</v>
      </c>
      <c r="H2041" s="595">
        <v>-3184</v>
      </c>
      <c r="I2041" t="str">
        <f t="shared" si="110"/>
        <v>fevereiro 2026</v>
      </c>
      <c r="J2041">
        <f t="shared" si="111"/>
        <v>2026</v>
      </c>
      <c r="K2041" t="str">
        <f>VLOOKUP(G2041,METRICS!C:D,2,0)</f>
        <v>Carvão</v>
      </c>
      <c r="L2041" t="str">
        <f>VLOOKUP(K2041,METRICS!D:E,2,0)</f>
        <v>CUSTOS DOS PRODUTOS VENDIDOS</v>
      </c>
    </row>
    <row r="2042" spans="1:12" ht="15" hidden="1">
      <c r="A2042" t="s">
        <v>1331</v>
      </c>
      <c r="B2042" t="s">
        <v>689</v>
      </c>
      <c r="D2042" t="s">
        <v>1130</v>
      </c>
      <c r="E2042" t="s">
        <v>1131</v>
      </c>
      <c r="F2042" t="s">
        <v>1272</v>
      </c>
      <c r="G2042" t="s">
        <v>667</v>
      </c>
      <c r="H2042" s="595">
        <v>-4000</v>
      </c>
      <c r="I2042" t="str">
        <f t="shared" si="110"/>
        <v>fevereiro 2026</v>
      </c>
      <c r="J2042">
        <f t="shared" si="111"/>
        <v>2026</v>
      </c>
      <c r="K2042" t="str">
        <f>VLOOKUP(G2042,METRICS!C:D,2,0)</f>
        <v>Consultoria ADM</v>
      </c>
      <c r="L2042" t="str">
        <f>VLOOKUP(K2042,METRICS!D:E,2,0)</f>
        <v>ADMINISTRATIVA</v>
      </c>
    </row>
    <row r="2043" spans="1:12" ht="15" hidden="1">
      <c r="A2043" t="s">
        <v>1332</v>
      </c>
      <c r="B2043" t="s">
        <v>612</v>
      </c>
      <c r="D2043" t="s">
        <v>1389</v>
      </c>
      <c r="E2043" t="s">
        <v>807</v>
      </c>
      <c r="F2043" t="s">
        <v>1272</v>
      </c>
      <c r="G2043" t="s">
        <v>609</v>
      </c>
      <c r="H2043" s="595">
        <v>-2468.6799999999998</v>
      </c>
      <c r="I2043" t="str">
        <f t="shared" si="110"/>
        <v>fevereiro 2026</v>
      </c>
      <c r="J2043">
        <f t="shared" si="111"/>
        <v>2026</v>
      </c>
      <c r="K2043" t="str">
        <f>VLOOKUP(G2043,METRICS!C:D,2,0)</f>
        <v>Carnes e Aves</v>
      </c>
      <c r="L2043" t="str">
        <f>VLOOKUP(K2043,METRICS!D:E,2,0)</f>
        <v>CUSTOS DOS PRODUTOS VENDIDOS</v>
      </c>
    </row>
    <row r="2044" spans="1:12" ht="15" hidden="1">
      <c r="A2044" t="s">
        <v>1332</v>
      </c>
      <c r="B2044" t="s">
        <v>612</v>
      </c>
      <c r="D2044" t="s">
        <v>1390</v>
      </c>
      <c r="E2044" t="s">
        <v>1074</v>
      </c>
      <c r="F2044" t="s">
        <v>1272</v>
      </c>
      <c r="G2044" t="s">
        <v>636</v>
      </c>
      <c r="H2044" s="595">
        <v>-169.6</v>
      </c>
      <c r="I2044" t="str">
        <f t="shared" si="110"/>
        <v>fevereiro 2026</v>
      </c>
      <c r="J2044">
        <f t="shared" si="111"/>
        <v>2026</v>
      </c>
      <c r="K2044" t="str">
        <f>VLOOKUP(G2044,METRICS!C:D,2,0)</f>
        <v>Secos - Mercearia</v>
      </c>
      <c r="L2044" t="str">
        <f>VLOOKUP(K2044,METRICS!D:E,2,0)</f>
        <v>CUSTOS DOS PRODUTOS VENDIDOS</v>
      </c>
    </row>
    <row r="2045" spans="1:12" ht="15" hidden="1">
      <c r="A2045" t="s">
        <v>1332</v>
      </c>
      <c r="B2045" t="s">
        <v>612</v>
      </c>
      <c r="D2045" t="s">
        <v>1391</v>
      </c>
      <c r="E2045" t="s">
        <v>748</v>
      </c>
      <c r="F2045" t="s">
        <v>1272</v>
      </c>
      <c r="G2045" t="s">
        <v>605</v>
      </c>
      <c r="H2045" s="595">
        <v>-1283.8</v>
      </c>
      <c r="I2045" t="str">
        <f t="shared" si="110"/>
        <v>fevereiro 2026</v>
      </c>
      <c r="J2045">
        <f t="shared" si="111"/>
        <v>2026</v>
      </c>
      <c r="K2045" t="str">
        <f>VLOOKUP(G2045,METRICS!C:D,2,0)</f>
        <v>Beneficios</v>
      </c>
      <c r="L2045" t="str">
        <f>VLOOKUP(K2045,METRICS!D:E,2,0)</f>
        <v>PESSOAL</v>
      </c>
    </row>
    <row r="2046" spans="1:12" ht="15" hidden="1">
      <c r="A2046" t="s">
        <v>1332</v>
      </c>
      <c r="B2046" t="s">
        <v>612</v>
      </c>
      <c r="D2046" t="s">
        <v>1392</v>
      </c>
      <c r="E2046" t="s">
        <v>824</v>
      </c>
      <c r="F2046" t="s">
        <v>1272</v>
      </c>
      <c r="G2046" t="s">
        <v>413</v>
      </c>
      <c r="H2046" s="595">
        <v>-1674.5</v>
      </c>
      <c r="I2046" t="str">
        <f t="shared" si="110"/>
        <v>fevereiro 2026</v>
      </c>
      <c r="J2046">
        <f t="shared" si="111"/>
        <v>2026</v>
      </c>
      <c r="K2046" t="str">
        <f>VLOOKUP(G2046,METRICS!C:D,2,0)</f>
        <v>Pescados</v>
      </c>
      <c r="L2046" t="str">
        <f>VLOOKUP(K2046,METRICS!D:E,2,0)</f>
        <v>CUSTOS DOS PRODUTOS VENDIDOS</v>
      </c>
    </row>
    <row r="2047" spans="1:12" ht="15" hidden="1">
      <c r="A2047" t="s">
        <v>1332</v>
      </c>
      <c r="B2047" t="s">
        <v>612</v>
      </c>
      <c r="D2047" t="s">
        <v>1393</v>
      </c>
      <c r="E2047" t="s">
        <v>878</v>
      </c>
      <c r="F2047" t="s">
        <v>1272</v>
      </c>
      <c r="G2047" t="s">
        <v>609</v>
      </c>
      <c r="H2047" s="595">
        <v>-8151.89</v>
      </c>
      <c r="I2047" t="str">
        <f t="shared" si="110"/>
        <v>fevereiro 2026</v>
      </c>
      <c r="J2047">
        <f t="shared" si="111"/>
        <v>2026</v>
      </c>
      <c r="K2047" t="str">
        <f>VLOOKUP(G2047,METRICS!C:D,2,0)</f>
        <v>Carnes e Aves</v>
      </c>
      <c r="L2047" t="str">
        <f>VLOOKUP(K2047,METRICS!D:E,2,0)</f>
        <v>CUSTOS DOS PRODUTOS VENDIDOS</v>
      </c>
    </row>
    <row r="2048" spans="1:12" ht="15" hidden="1">
      <c r="A2048" t="s">
        <v>1332</v>
      </c>
      <c r="B2048" t="s">
        <v>612</v>
      </c>
      <c r="D2048" t="s">
        <v>1394</v>
      </c>
      <c r="E2048" t="s">
        <v>844</v>
      </c>
      <c r="F2048" t="s">
        <v>1272</v>
      </c>
      <c r="G2048" t="s">
        <v>636</v>
      </c>
      <c r="H2048" s="595">
        <v>-1049.5</v>
      </c>
      <c r="I2048" t="str">
        <f t="shared" si="110"/>
        <v>fevereiro 2026</v>
      </c>
      <c r="J2048">
        <f t="shared" si="111"/>
        <v>2026</v>
      </c>
      <c r="K2048" t="str">
        <f>VLOOKUP(G2048,METRICS!C:D,2,0)</f>
        <v>Secos - Mercearia</v>
      </c>
      <c r="L2048" t="str">
        <f>VLOOKUP(K2048,METRICS!D:E,2,0)</f>
        <v>CUSTOS DOS PRODUTOS VENDIDOS</v>
      </c>
    </row>
    <row r="2049" spans="1:13" ht="15" hidden="1">
      <c r="A2049" t="s">
        <v>1332</v>
      </c>
      <c r="B2049" t="s">
        <v>612</v>
      </c>
      <c r="D2049" t="s">
        <v>1395</v>
      </c>
      <c r="E2049" t="s">
        <v>878</v>
      </c>
      <c r="F2049" t="s">
        <v>1272</v>
      </c>
      <c r="G2049" t="s">
        <v>609</v>
      </c>
      <c r="H2049" s="595">
        <v>-1176</v>
      </c>
      <c r="I2049" t="str">
        <f t="shared" si="110"/>
        <v>fevereiro 2026</v>
      </c>
      <c r="J2049">
        <f t="shared" si="111"/>
        <v>2026</v>
      </c>
      <c r="K2049" t="str">
        <f>VLOOKUP(G2049,METRICS!C:D,2,0)</f>
        <v>Carnes e Aves</v>
      </c>
      <c r="L2049" t="str">
        <f>VLOOKUP(K2049,METRICS!D:E,2,0)</f>
        <v>CUSTOS DOS PRODUTOS VENDIDOS</v>
      </c>
    </row>
    <row r="2050" spans="1:13" ht="15" hidden="1">
      <c r="A2050" s="593" t="s">
        <v>1332</v>
      </c>
      <c r="B2050" s="593" t="s">
        <v>689</v>
      </c>
      <c r="C2050" s="593"/>
      <c r="D2050" s="593" t="s">
        <v>1396</v>
      </c>
      <c r="E2050" s="593" t="s">
        <v>1222</v>
      </c>
      <c r="F2050" s="593" t="s">
        <v>1272</v>
      </c>
      <c r="G2050" s="593" t="s">
        <v>1329</v>
      </c>
      <c r="H2050" s="594">
        <v>-771.93</v>
      </c>
      <c r="I2050" s="593" t="str">
        <f t="shared" si="110"/>
        <v>fevereiro 2026</v>
      </c>
      <c r="J2050" s="593">
        <f t="shared" si="111"/>
        <v>2026</v>
      </c>
      <c r="K2050" s="593" t="str">
        <f>VLOOKUP(G2050,METRICS!C:D,2,0)</f>
        <v>Seguro de Vida</v>
      </c>
      <c r="L2050" s="593" t="str">
        <f>VLOOKUP(K2050,METRICS!D:E,2,0)</f>
        <v>PESSOAL</v>
      </c>
      <c r="M2050" s="518"/>
    </row>
    <row r="2051" spans="1:13" ht="15" hidden="1">
      <c r="A2051" t="s">
        <v>1332</v>
      </c>
      <c r="B2051" t="s">
        <v>689</v>
      </c>
      <c r="D2051" t="s">
        <v>2609</v>
      </c>
      <c r="E2051" t="s">
        <v>1668</v>
      </c>
      <c r="F2051" t="s">
        <v>1272</v>
      </c>
      <c r="G2051" t="s">
        <v>124</v>
      </c>
      <c r="H2051" s="595">
        <v>-4013.16</v>
      </c>
      <c r="I2051" t="str">
        <f t="shared" si="110"/>
        <v>fevereiro 2026</v>
      </c>
      <c r="J2051">
        <f t="shared" si="111"/>
        <v>2026</v>
      </c>
      <c r="K2051" t="str">
        <f>VLOOKUP(G2051,METRICS!C:D,2,0)</f>
        <v>Contribuição Sindical</v>
      </c>
      <c r="L2051" t="str">
        <f>VLOOKUP(K2051,METRICS!D:E,2,0)</f>
        <v>PESSOAL</v>
      </c>
    </row>
    <row r="2052" spans="1:13" ht="15" hidden="1">
      <c r="A2052" t="s">
        <v>1332</v>
      </c>
      <c r="B2052" t="s">
        <v>689</v>
      </c>
      <c r="D2052" t="s">
        <v>712</v>
      </c>
      <c r="E2052" t="s">
        <v>713</v>
      </c>
      <c r="F2052" t="s">
        <v>1272</v>
      </c>
      <c r="G2052" t="s">
        <v>662</v>
      </c>
      <c r="H2052" s="595">
        <v>-4720.25</v>
      </c>
      <c r="I2052" t="str">
        <f t="shared" si="110"/>
        <v>fevereiro 2026</v>
      </c>
      <c r="J2052">
        <f t="shared" si="111"/>
        <v>2026</v>
      </c>
      <c r="K2052" t="str">
        <f>VLOOKUP(G2052,METRICS!C:D,2,0)</f>
        <v>Lavanderia</v>
      </c>
      <c r="L2052" t="str">
        <f>VLOOKUP(K2052,METRICS!D:E,2,0)</f>
        <v>OPERAÇÃO</v>
      </c>
    </row>
    <row r="2053" spans="1:13" ht="15" hidden="1">
      <c r="A2053" t="s">
        <v>1332</v>
      </c>
      <c r="B2053" t="s">
        <v>612</v>
      </c>
      <c r="D2053" t="s">
        <v>1398</v>
      </c>
      <c r="E2053" t="s">
        <v>767</v>
      </c>
      <c r="F2053" t="s">
        <v>1272</v>
      </c>
      <c r="G2053" t="s">
        <v>623</v>
      </c>
      <c r="H2053" s="595">
        <v>-1536</v>
      </c>
      <c r="I2053" t="str">
        <f t="shared" si="110"/>
        <v>fevereiro 2026</v>
      </c>
      <c r="J2053">
        <f t="shared" si="111"/>
        <v>2026</v>
      </c>
      <c r="K2053" t="str">
        <f>VLOOKUP(G2053,METRICS!C:D,2,0)</f>
        <v>Secos - Mercearia</v>
      </c>
      <c r="L2053" t="str">
        <f>VLOOKUP(K2053,METRICS!D:E,2,0)</f>
        <v>CUSTOS DOS PRODUTOS VENDIDOS</v>
      </c>
    </row>
    <row r="2054" spans="1:13" ht="15" hidden="1">
      <c r="A2054" t="s">
        <v>1332</v>
      </c>
      <c r="B2054" t="s">
        <v>612</v>
      </c>
      <c r="D2054" t="s">
        <v>1399</v>
      </c>
      <c r="E2054" t="s">
        <v>851</v>
      </c>
      <c r="F2054" t="s">
        <v>1272</v>
      </c>
      <c r="G2054" t="s">
        <v>617</v>
      </c>
      <c r="H2054" s="595">
        <v>-1966</v>
      </c>
      <c r="I2054" t="str">
        <f t="shared" si="110"/>
        <v>fevereiro 2026</v>
      </c>
      <c r="J2054">
        <f t="shared" si="111"/>
        <v>2026</v>
      </c>
      <c r="K2054" t="str">
        <f>VLOOKUP(G2054,METRICS!C:D,2,0)</f>
        <v>Secos - Mercearia</v>
      </c>
      <c r="L2054" t="str">
        <f>VLOOKUP(K2054,METRICS!D:E,2,0)</f>
        <v>CUSTOS DOS PRODUTOS VENDIDOS</v>
      </c>
    </row>
    <row r="2055" spans="1:13" ht="15" hidden="1">
      <c r="A2055" t="s">
        <v>1332</v>
      </c>
      <c r="B2055" t="s">
        <v>689</v>
      </c>
      <c r="D2055" t="s">
        <v>756</v>
      </c>
      <c r="E2055" t="s">
        <v>757</v>
      </c>
      <c r="F2055" t="s">
        <v>1272</v>
      </c>
      <c r="G2055" t="s">
        <v>666</v>
      </c>
      <c r="H2055" s="595">
        <v>-24.1</v>
      </c>
      <c r="I2055" t="str">
        <f t="shared" si="110"/>
        <v>fevereiro 2026</v>
      </c>
      <c r="J2055">
        <f t="shared" si="111"/>
        <v>2026</v>
      </c>
      <c r="K2055" t="str">
        <f>VLOOKUP(G2055,METRICS!C:D,2,0)</f>
        <v>Encargos Bancarios</v>
      </c>
      <c r="L2055" t="str">
        <f>VLOOKUP(K2055,METRICS!D:E,2,0)</f>
        <v>DESPESAS FINANCEIRAS</v>
      </c>
    </row>
    <row r="2056" spans="1:13" ht="15" hidden="1">
      <c r="A2056" t="s">
        <v>1332</v>
      </c>
      <c r="B2056" t="s">
        <v>689</v>
      </c>
      <c r="D2056" t="s">
        <v>883</v>
      </c>
      <c r="E2056" t="s">
        <v>746</v>
      </c>
      <c r="F2056" t="s">
        <v>1272</v>
      </c>
      <c r="G2056" t="s">
        <v>669</v>
      </c>
      <c r="H2056" s="595">
        <v>-237.49</v>
      </c>
      <c r="I2056" t="str">
        <f t="shared" si="110"/>
        <v>fevereiro 2026</v>
      </c>
      <c r="J2056">
        <f t="shared" si="111"/>
        <v>2026</v>
      </c>
      <c r="K2056" t="str">
        <f>VLOOKUP(G2056,METRICS!C:D,2,0)</f>
        <v>Taxas Financeiras Diversas</v>
      </c>
      <c r="L2056" t="str">
        <f>VLOOKUP(K2056,METRICS!D:E,2,0)</f>
        <v>TAXAS CARTÃO DE CRÉDITO</v>
      </c>
    </row>
    <row r="2057" spans="1:13" ht="15" hidden="1">
      <c r="A2057" t="s">
        <v>1332</v>
      </c>
      <c r="B2057" t="s">
        <v>612</v>
      </c>
      <c r="D2057" t="s">
        <v>1400</v>
      </c>
      <c r="E2057" t="s">
        <v>778</v>
      </c>
      <c r="F2057" t="s">
        <v>1272</v>
      </c>
      <c r="G2057" t="s">
        <v>640</v>
      </c>
      <c r="H2057" s="595">
        <v>-378</v>
      </c>
      <c r="I2057" t="str">
        <f t="shared" si="110"/>
        <v>fevereiro 2026</v>
      </c>
      <c r="J2057">
        <f t="shared" si="111"/>
        <v>2026</v>
      </c>
      <c r="K2057" t="str">
        <f>VLOOKUP(G2057,METRICS!C:D,2,0)</f>
        <v>Uniforme</v>
      </c>
      <c r="L2057" t="str">
        <f>VLOOKUP(K2057,METRICS!D:E,2,0)</f>
        <v>OPERAÇÃO</v>
      </c>
    </row>
    <row r="2058" spans="1:13" ht="15" hidden="1">
      <c r="A2058" t="s">
        <v>1332</v>
      </c>
      <c r="B2058" t="s">
        <v>612</v>
      </c>
      <c r="D2058" t="s">
        <v>1401</v>
      </c>
      <c r="E2058" t="s">
        <v>830</v>
      </c>
      <c r="F2058" t="s">
        <v>1272</v>
      </c>
      <c r="G2058" t="s">
        <v>623</v>
      </c>
      <c r="H2058" s="595">
        <v>-610.5</v>
      </c>
      <c r="I2058" t="str">
        <f t="shared" si="110"/>
        <v>fevereiro 2026</v>
      </c>
      <c r="J2058">
        <f t="shared" si="111"/>
        <v>2026</v>
      </c>
      <c r="K2058" t="str">
        <f>VLOOKUP(G2058,METRICS!C:D,2,0)</f>
        <v>Secos - Mercearia</v>
      </c>
      <c r="L2058" t="str">
        <f>VLOOKUP(K2058,METRICS!D:E,2,0)</f>
        <v>CUSTOS DOS PRODUTOS VENDIDOS</v>
      </c>
    </row>
    <row r="2059" spans="1:13" ht="15" hidden="1">
      <c r="A2059" t="s">
        <v>1332</v>
      </c>
      <c r="B2059" t="s">
        <v>612</v>
      </c>
      <c r="D2059" t="s">
        <v>1402</v>
      </c>
      <c r="E2059" t="s">
        <v>752</v>
      </c>
      <c r="F2059" t="s">
        <v>1272</v>
      </c>
      <c r="G2059" t="s">
        <v>609</v>
      </c>
      <c r="H2059" s="595">
        <v>-696.3</v>
      </c>
      <c r="I2059" t="str">
        <f t="shared" si="110"/>
        <v>fevereiro 2026</v>
      </c>
      <c r="J2059">
        <f t="shared" si="111"/>
        <v>2026</v>
      </c>
      <c r="K2059" t="str">
        <f>VLOOKUP(G2059,METRICS!C:D,2,0)</f>
        <v>Carnes e Aves</v>
      </c>
      <c r="L2059" t="str">
        <f>VLOOKUP(K2059,METRICS!D:E,2,0)</f>
        <v>CUSTOS DOS PRODUTOS VENDIDOS</v>
      </c>
    </row>
    <row r="2060" spans="1:13" ht="15" hidden="1">
      <c r="A2060" t="s">
        <v>1332</v>
      </c>
      <c r="B2060" t="s">
        <v>612</v>
      </c>
      <c r="D2060" t="s">
        <v>1403</v>
      </c>
      <c r="E2060" t="s">
        <v>1669</v>
      </c>
      <c r="F2060" t="s">
        <v>1272</v>
      </c>
      <c r="G2060" t="s">
        <v>607</v>
      </c>
      <c r="H2060" s="595">
        <v>-1666.8</v>
      </c>
      <c r="I2060" t="str">
        <f t="shared" si="110"/>
        <v>fevereiro 2026</v>
      </c>
      <c r="J2060">
        <f t="shared" si="111"/>
        <v>2026</v>
      </c>
      <c r="K2060" t="str">
        <f>VLOOKUP(G2060,METRICS!C:D,2,0)</f>
        <v>Bebidas Alcoólicas</v>
      </c>
      <c r="L2060" t="str">
        <f>VLOOKUP(K2060,METRICS!D:E,2,0)</f>
        <v>CUSTOS DOS PRODUTOS VENDIDOS</v>
      </c>
    </row>
    <row r="2061" spans="1:13" ht="15" hidden="1">
      <c r="A2061" t="s">
        <v>1332</v>
      </c>
      <c r="B2061" t="s">
        <v>612</v>
      </c>
      <c r="D2061" t="s">
        <v>1404</v>
      </c>
      <c r="E2061" t="s">
        <v>765</v>
      </c>
      <c r="F2061" t="s">
        <v>1272</v>
      </c>
      <c r="G2061" t="s">
        <v>619</v>
      </c>
      <c r="H2061" s="595">
        <v>-509.6</v>
      </c>
      <c r="I2061" t="str">
        <f t="shared" ref="I2061:I2121" si="112">TEXT(A2061, "mmmm aaaa")</f>
        <v>fevereiro 2026</v>
      </c>
      <c r="J2061">
        <f t="shared" ref="J2061:J2121" si="113">YEAR(A2061)</f>
        <v>2026</v>
      </c>
      <c r="K2061" t="str">
        <f>VLOOKUP(G2061,METRICS!C:D,2,0)</f>
        <v>Gelo</v>
      </c>
      <c r="L2061" t="str">
        <f>VLOOKUP(K2061,METRICS!D:E,2,0)</f>
        <v>CUSTOS DOS PRODUTOS VENDIDOS</v>
      </c>
    </row>
    <row r="2062" spans="1:13" ht="15" hidden="1">
      <c r="A2062" t="s">
        <v>1332</v>
      </c>
      <c r="B2062" t="s">
        <v>612</v>
      </c>
      <c r="D2062" t="s">
        <v>1405</v>
      </c>
      <c r="E2062" t="s">
        <v>866</v>
      </c>
      <c r="F2062" t="s">
        <v>1272</v>
      </c>
      <c r="G2062" t="s">
        <v>627</v>
      </c>
      <c r="H2062" s="595">
        <v>-870.86</v>
      </c>
      <c r="I2062" t="str">
        <f t="shared" si="112"/>
        <v>fevereiro 2026</v>
      </c>
      <c r="J2062">
        <f t="shared" si="113"/>
        <v>2026</v>
      </c>
      <c r="K2062" t="str">
        <f>VLOOKUP(G2062,METRICS!C:D,2,0)</f>
        <v>Manutenção e Conservação</v>
      </c>
      <c r="L2062" t="str">
        <f>VLOOKUP(K2062,METRICS!D:E,2,0)</f>
        <v>OPERAÇÃO</v>
      </c>
    </row>
    <row r="2063" spans="1:13" ht="15" hidden="1">
      <c r="A2063" t="s">
        <v>1332</v>
      </c>
      <c r="B2063" t="s">
        <v>612</v>
      </c>
      <c r="D2063" t="s">
        <v>1406</v>
      </c>
      <c r="E2063" t="s">
        <v>767</v>
      </c>
      <c r="F2063" t="s">
        <v>1272</v>
      </c>
      <c r="G2063" t="s">
        <v>623</v>
      </c>
      <c r="H2063" s="595">
        <v>-489.6</v>
      </c>
      <c r="I2063" t="str">
        <f t="shared" si="112"/>
        <v>fevereiro 2026</v>
      </c>
      <c r="J2063">
        <f t="shared" si="113"/>
        <v>2026</v>
      </c>
      <c r="K2063" t="str">
        <f>VLOOKUP(G2063,METRICS!C:D,2,0)</f>
        <v>Secos - Mercearia</v>
      </c>
      <c r="L2063" t="str">
        <f>VLOOKUP(K2063,METRICS!D:E,2,0)</f>
        <v>CUSTOS DOS PRODUTOS VENDIDOS</v>
      </c>
    </row>
    <row r="2064" spans="1:13" ht="15" hidden="1">
      <c r="A2064" t="s">
        <v>1332</v>
      </c>
      <c r="B2064" t="s">
        <v>612</v>
      </c>
      <c r="D2064" t="s">
        <v>1407</v>
      </c>
      <c r="E2064" t="s">
        <v>828</v>
      </c>
      <c r="F2064" t="s">
        <v>1272</v>
      </c>
      <c r="G2064" t="s">
        <v>636</v>
      </c>
      <c r="H2064" s="595">
        <v>-3744.54</v>
      </c>
      <c r="I2064" t="str">
        <f t="shared" si="112"/>
        <v>fevereiro 2026</v>
      </c>
      <c r="J2064">
        <f t="shared" si="113"/>
        <v>2026</v>
      </c>
      <c r="K2064" t="str">
        <f>VLOOKUP(G2064,METRICS!C:D,2,0)</f>
        <v>Secos - Mercearia</v>
      </c>
      <c r="L2064" t="str">
        <f>VLOOKUP(K2064,METRICS!D:E,2,0)</f>
        <v>CUSTOS DOS PRODUTOS VENDIDOS</v>
      </c>
    </row>
    <row r="2065" spans="1:12" ht="15" hidden="1">
      <c r="A2065" t="s">
        <v>1332</v>
      </c>
      <c r="B2065" t="s">
        <v>689</v>
      </c>
      <c r="D2065" t="s">
        <v>1408</v>
      </c>
      <c r="E2065" t="s">
        <v>956</v>
      </c>
      <c r="F2065" t="s">
        <v>1272</v>
      </c>
      <c r="G2065" s="518" t="s">
        <v>1736</v>
      </c>
      <c r="H2065" s="595">
        <v>-1578</v>
      </c>
      <c r="I2065" t="str">
        <f t="shared" si="112"/>
        <v>fevereiro 2026</v>
      </c>
      <c r="J2065">
        <f t="shared" si="113"/>
        <v>2026</v>
      </c>
      <c r="K2065" t="str">
        <f>VLOOKUP(G2065,METRICS!C:D,2,0)</f>
        <v>Sistema e Software OP</v>
      </c>
      <c r="L2065" t="str">
        <f>VLOOKUP(K2065,METRICS!D:E,2,0)</f>
        <v>OPERAÇÃO</v>
      </c>
    </row>
    <row r="2066" spans="1:12" ht="15" hidden="1">
      <c r="A2066" t="s">
        <v>1332</v>
      </c>
      <c r="B2066" t="s">
        <v>612</v>
      </c>
      <c r="D2066" t="s">
        <v>1409</v>
      </c>
      <c r="E2066" t="s">
        <v>811</v>
      </c>
      <c r="F2066" t="s">
        <v>1272</v>
      </c>
      <c r="G2066" t="s">
        <v>636</v>
      </c>
      <c r="H2066" s="595">
        <v>-2000.04</v>
      </c>
      <c r="I2066" t="str">
        <f t="shared" si="112"/>
        <v>fevereiro 2026</v>
      </c>
      <c r="J2066">
        <f t="shared" si="113"/>
        <v>2026</v>
      </c>
      <c r="K2066" t="str">
        <f>VLOOKUP(G2066,METRICS!C:D,2,0)</f>
        <v>Secos - Mercearia</v>
      </c>
      <c r="L2066" t="str">
        <f>VLOOKUP(K2066,METRICS!D:E,2,0)</f>
        <v>CUSTOS DOS PRODUTOS VENDIDOS</v>
      </c>
    </row>
    <row r="2067" spans="1:12" ht="15" hidden="1">
      <c r="A2067" t="s">
        <v>1332</v>
      </c>
      <c r="B2067" t="s">
        <v>612</v>
      </c>
      <c r="D2067" t="s">
        <v>1410</v>
      </c>
      <c r="E2067" t="s">
        <v>892</v>
      </c>
      <c r="F2067" t="s">
        <v>1272</v>
      </c>
      <c r="G2067" t="s">
        <v>657</v>
      </c>
      <c r="H2067" s="595">
        <v>-180</v>
      </c>
      <c r="I2067" t="str">
        <f t="shared" si="112"/>
        <v>fevereiro 2026</v>
      </c>
      <c r="J2067">
        <f t="shared" si="113"/>
        <v>2026</v>
      </c>
      <c r="K2067" t="str">
        <f>VLOOKUP(G2067,METRICS!C:D,2,0)</f>
        <v>Aluguel de Maquinas</v>
      </c>
      <c r="L2067" t="str">
        <f>VLOOKUP(K2067,METRICS!D:E,2,0)</f>
        <v>OPERAÇÃO</v>
      </c>
    </row>
    <row r="2068" spans="1:12" ht="15" hidden="1">
      <c r="A2068" t="s">
        <v>1333</v>
      </c>
      <c r="B2068" t="s">
        <v>612</v>
      </c>
      <c r="D2068" t="s">
        <v>1411</v>
      </c>
      <c r="E2068" t="s">
        <v>964</v>
      </c>
      <c r="F2068" t="s">
        <v>1272</v>
      </c>
      <c r="G2068" t="s">
        <v>607</v>
      </c>
      <c r="H2068" s="595">
        <v>-9817.7999999999993</v>
      </c>
      <c r="I2068" t="str">
        <f t="shared" si="112"/>
        <v>fevereiro 2026</v>
      </c>
      <c r="J2068">
        <f t="shared" si="113"/>
        <v>2026</v>
      </c>
      <c r="K2068" t="str">
        <f>VLOOKUP(G2068,METRICS!C:D,2,0)</f>
        <v>Bebidas Alcoólicas</v>
      </c>
      <c r="L2068" t="str">
        <f>VLOOKUP(K2068,METRICS!D:E,2,0)</f>
        <v>CUSTOS DOS PRODUTOS VENDIDOS</v>
      </c>
    </row>
    <row r="2069" spans="1:12" ht="15" hidden="1">
      <c r="A2069" t="s">
        <v>1333</v>
      </c>
      <c r="B2069" t="s">
        <v>689</v>
      </c>
      <c r="D2069" t="s">
        <v>883</v>
      </c>
      <c r="E2069" t="s">
        <v>746</v>
      </c>
      <c r="F2069" t="s">
        <v>1272</v>
      </c>
      <c r="G2069" t="s">
        <v>669</v>
      </c>
      <c r="H2069" s="595">
        <v>-19.11</v>
      </c>
      <c r="I2069" t="str">
        <f t="shared" si="112"/>
        <v>fevereiro 2026</v>
      </c>
      <c r="J2069">
        <f t="shared" si="113"/>
        <v>2026</v>
      </c>
      <c r="K2069" t="str">
        <f>VLOOKUP(G2069,METRICS!C:D,2,0)</f>
        <v>Taxas Financeiras Diversas</v>
      </c>
      <c r="L2069" t="str">
        <f>VLOOKUP(K2069,METRICS!D:E,2,0)</f>
        <v>TAXAS CARTÃO DE CRÉDITO</v>
      </c>
    </row>
    <row r="2070" spans="1:12" ht="15" hidden="1">
      <c r="A2070" t="s">
        <v>1333</v>
      </c>
      <c r="B2070" t="s">
        <v>612</v>
      </c>
      <c r="D2070" t="s">
        <v>1412</v>
      </c>
      <c r="E2070" t="s">
        <v>990</v>
      </c>
      <c r="F2070" t="s">
        <v>1272</v>
      </c>
      <c r="G2070" t="s">
        <v>608</v>
      </c>
      <c r="H2070" s="595">
        <v>-1932.1</v>
      </c>
      <c r="I2070" t="str">
        <f t="shared" si="112"/>
        <v>fevereiro 2026</v>
      </c>
      <c r="J2070">
        <f t="shared" si="113"/>
        <v>2026</v>
      </c>
      <c r="K2070" t="str">
        <f>VLOOKUP(G2070,METRICS!C:D,2,0)</f>
        <v>Bebidas não Alcoolicas</v>
      </c>
      <c r="L2070" t="str">
        <f>VLOOKUP(K2070,METRICS!D:E,2,0)</f>
        <v>CUSTOS DOS PRODUTOS VENDIDOS</v>
      </c>
    </row>
    <row r="2071" spans="1:12" ht="15" hidden="1">
      <c r="A2071" t="s">
        <v>1333</v>
      </c>
      <c r="B2071" t="s">
        <v>689</v>
      </c>
      <c r="D2071" t="s">
        <v>1413</v>
      </c>
      <c r="E2071" t="s">
        <v>757</v>
      </c>
      <c r="F2071" t="s">
        <v>1272</v>
      </c>
      <c r="G2071" t="s">
        <v>1717</v>
      </c>
      <c r="H2071" s="595">
        <v>-9.9</v>
      </c>
      <c r="I2071" t="str">
        <f t="shared" si="112"/>
        <v>fevereiro 2026</v>
      </c>
      <c r="J2071">
        <f t="shared" si="113"/>
        <v>2026</v>
      </c>
      <c r="K2071" t="str">
        <f>VLOOKUP(G2071,METRICS!C:D,2,0)</f>
        <v>Encargos Bancarios</v>
      </c>
      <c r="L2071" t="str">
        <f>VLOOKUP(K2071,METRICS!D:E,2,0)</f>
        <v>DESPESAS FINANCEIRAS</v>
      </c>
    </row>
    <row r="2072" spans="1:12" ht="15" hidden="1">
      <c r="A2072" t="s">
        <v>1333</v>
      </c>
      <c r="B2072" t="s">
        <v>689</v>
      </c>
      <c r="D2072" t="s">
        <v>701</v>
      </c>
      <c r="E2072" t="s">
        <v>702</v>
      </c>
      <c r="F2072" t="s">
        <v>1272</v>
      </c>
      <c r="G2072" t="s">
        <v>659</v>
      </c>
      <c r="H2072" s="595">
        <v>-15000</v>
      </c>
      <c r="I2072" t="str">
        <f t="shared" si="112"/>
        <v>fevereiro 2026</v>
      </c>
      <c r="J2072">
        <f t="shared" si="113"/>
        <v>2026</v>
      </c>
      <c r="K2072" t="str">
        <f>VLOOKUP(G2072,METRICS!C:D,2,0)</f>
        <v>Propaganda, Publicidade e Patrocínio</v>
      </c>
      <c r="L2072" t="str">
        <f>VLOOKUP(K2072,METRICS!D:E,2,0)</f>
        <v>MARKETING</v>
      </c>
    </row>
    <row r="2073" spans="1:12" ht="15" hidden="1">
      <c r="A2073" t="s">
        <v>1333</v>
      </c>
      <c r="B2073" t="s">
        <v>689</v>
      </c>
      <c r="D2073" t="s">
        <v>1056</v>
      </c>
      <c r="E2073" t="s">
        <v>1057</v>
      </c>
      <c r="F2073" t="s">
        <v>1272</v>
      </c>
      <c r="G2073" t="s">
        <v>618</v>
      </c>
      <c r="H2073" s="595">
        <v>-765.2</v>
      </c>
      <c r="I2073" t="str">
        <f t="shared" si="112"/>
        <v>fevereiro 2026</v>
      </c>
      <c r="J2073">
        <f t="shared" si="113"/>
        <v>2026</v>
      </c>
      <c r="K2073" t="str">
        <f>VLOOKUP(G2073,METRICS!C:D,2,0)</f>
        <v>Gás Encanado</v>
      </c>
      <c r="L2073" t="str">
        <f>VLOOKUP(K2073,METRICS!D:E,2,0)</f>
        <v>OPERAÇÃO</v>
      </c>
    </row>
    <row r="2074" spans="1:12" ht="15" hidden="1">
      <c r="A2074" t="s">
        <v>1333</v>
      </c>
      <c r="B2074" t="s">
        <v>612</v>
      </c>
      <c r="D2074" t="s">
        <v>1414</v>
      </c>
      <c r="E2074" t="s">
        <v>951</v>
      </c>
      <c r="F2074" t="s">
        <v>1272</v>
      </c>
      <c r="G2074" t="s">
        <v>609</v>
      </c>
      <c r="H2074" s="595">
        <v>-3584.25</v>
      </c>
      <c r="I2074" t="str">
        <f t="shared" si="112"/>
        <v>fevereiro 2026</v>
      </c>
      <c r="J2074">
        <f t="shared" si="113"/>
        <v>2026</v>
      </c>
      <c r="K2074" t="str">
        <f>VLOOKUP(G2074,METRICS!C:D,2,0)</f>
        <v>Carnes e Aves</v>
      </c>
      <c r="L2074" t="str">
        <f>VLOOKUP(K2074,METRICS!D:E,2,0)</f>
        <v>CUSTOS DOS PRODUTOS VENDIDOS</v>
      </c>
    </row>
    <row r="2075" spans="1:12" ht="15" hidden="1">
      <c r="A2075" t="s">
        <v>1333</v>
      </c>
      <c r="B2075" t="s">
        <v>612</v>
      </c>
      <c r="D2075" t="s">
        <v>1415</v>
      </c>
      <c r="E2075" t="s">
        <v>841</v>
      </c>
      <c r="F2075" t="s">
        <v>1272</v>
      </c>
      <c r="G2075" t="s">
        <v>616</v>
      </c>
      <c r="H2075" s="595">
        <v>-400</v>
      </c>
      <c r="I2075" t="str">
        <f t="shared" si="112"/>
        <v>fevereiro 2026</v>
      </c>
      <c r="J2075">
        <f t="shared" si="113"/>
        <v>2026</v>
      </c>
      <c r="K2075" t="str">
        <f>VLOOKUP(G2075,METRICS!C:D,2,0)</f>
        <v>Enlatados e Conservas</v>
      </c>
      <c r="L2075" t="str">
        <f>VLOOKUP(K2075,METRICS!D:E,2,0)</f>
        <v>CUSTOS DOS PRODUTOS VENDIDOS</v>
      </c>
    </row>
    <row r="2076" spans="1:12" ht="15" hidden="1">
      <c r="A2076" t="s">
        <v>1333</v>
      </c>
      <c r="B2076" t="s">
        <v>612</v>
      </c>
      <c r="D2076" t="s">
        <v>1416</v>
      </c>
      <c r="E2076" t="s">
        <v>872</v>
      </c>
      <c r="F2076" t="s">
        <v>1272</v>
      </c>
      <c r="G2076" t="s">
        <v>608</v>
      </c>
      <c r="H2076" s="595">
        <v>-1350.72</v>
      </c>
      <c r="I2076" t="str">
        <f t="shared" si="112"/>
        <v>fevereiro 2026</v>
      </c>
      <c r="J2076">
        <f t="shared" si="113"/>
        <v>2026</v>
      </c>
      <c r="K2076" t="str">
        <f>VLOOKUP(G2076,METRICS!C:D,2,0)</f>
        <v>Bebidas não Alcoolicas</v>
      </c>
      <c r="L2076" t="str">
        <f>VLOOKUP(K2076,METRICS!D:E,2,0)</f>
        <v>CUSTOS DOS PRODUTOS VENDIDOS</v>
      </c>
    </row>
    <row r="2077" spans="1:12" ht="15" hidden="1">
      <c r="A2077" t="s">
        <v>1333</v>
      </c>
      <c r="B2077" t="s">
        <v>612</v>
      </c>
      <c r="D2077" t="s">
        <v>1417</v>
      </c>
      <c r="E2077" t="s">
        <v>1670</v>
      </c>
      <c r="F2077" t="s">
        <v>1272</v>
      </c>
      <c r="G2077" t="s">
        <v>1718</v>
      </c>
      <c r="H2077" s="595">
        <v>-1173.42</v>
      </c>
      <c r="I2077" t="str">
        <f t="shared" si="112"/>
        <v>fevereiro 2026</v>
      </c>
      <c r="J2077">
        <f t="shared" si="113"/>
        <v>2026</v>
      </c>
      <c r="K2077" t="str">
        <f>VLOOKUP(G2077,METRICS!C:D,2,0)</f>
        <v>Utensílios</v>
      </c>
      <c r="L2077" t="str">
        <f>VLOOKUP(K2077,METRICS!D:E,2,0)</f>
        <v>OPERAÇÃO</v>
      </c>
    </row>
    <row r="2078" spans="1:12" ht="15" hidden="1">
      <c r="A2078" t="s">
        <v>1333</v>
      </c>
      <c r="B2078" t="s">
        <v>689</v>
      </c>
      <c r="D2078" t="s">
        <v>1418</v>
      </c>
      <c r="E2078" t="s">
        <v>1057</v>
      </c>
      <c r="F2078" t="s">
        <v>1272</v>
      </c>
      <c r="G2078" t="s">
        <v>618</v>
      </c>
      <c r="H2078" s="595">
        <v>-7730.32</v>
      </c>
      <c r="I2078" t="str">
        <f t="shared" si="112"/>
        <v>fevereiro 2026</v>
      </c>
      <c r="J2078">
        <f t="shared" si="113"/>
        <v>2026</v>
      </c>
      <c r="K2078" t="str">
        <f>VLOOKUP(G2078,METRICS!C:D,2,0)</f>
        <v>Gás Encanado</v>
      </c>
      <c r="L2078" t="str">
        <f>VLOOKUP(K2078,METRICS!D:E,2,0)</f>
        <v>OPERAÇÃO</v>
      </c>
    </row>
    <row r="2079" spans="1:12" ht="15" hidden="1">
      <c r="A2079" t="s">
        <v>1333</v>
      </c>
      <c r="B2079" t="s">
        <v>689</v>
      </c>
      <c r="D2079" t="s">
        <v>1419</v>
      </c>
      <c r="E2079" t="s">
        <v>696</v>
      </c>
      <c r="F2079" t="s">
        <v>1272</v>
      </c>
      <c r="G2079" t="s">
        <v>660</v>
      </c>
      <c r="H2079" s="595">
        <v>-113.31</v>
      </c>
      <c r="I2079" t="str">
        <f t="shared" si="112"/>
        <v>fevereiro 2026</v>
      </c>
      <c r="J2079">
        <f t="shared" si="113"/>
        <v>2026</v>
      </c>
      <c r="K2079" t="str">
        <f>VLOOKUP(G2079,METRICS!C:D,2,0)</f>
        <v>Telefone e Internet</v>
      </c>
      <c r="L2079" t="str">
        <f>VLOOKUP(K2079,METRICS!D:E,2,0)</f>
        <v>ADMINISTRATIVA</v>
      </c>
    </row>
    <row r="2080" spans="1:12" ht="15" hidden="1">
      <c r="A2080" t="s">
        <v>1333</v>
      </c>
      <c r="B2080" t="s">
        <v>689</v>
      </c>
      <c r="D2080" t="s">
        <v>1420</v>
      </c>
      <c r="E2080" t="s">
        <v>621</v>
      </c>
      <c r="F2080" t="s">
        <v>1272</v>
      </c>
      <c r="G2080" t="s">
        <v>621</v>
      </c>
      <c r="H2080" s="595">
        <v>-6000</v>
      </c>
      <c r="I2080" t="str">
        <f t="shared" si="112"/>
        <v>fevereiro 2026</v>
      </c>
      <c r="J2080">
        <f t="shared" si="113"/>
        <v>2026</v>
      </c>
      <c r="K2080" t="str">
        <f>VLOOKUP(G2080,METRICS!C:D,2,0)</f>
        <v>Influencer</v>
      </c>
      <c r="L2080" t="str">
        <f>VLOOKUP(K2080,METRICS!D:E,2,0)</f>
        <v>MARKETING</v>
      </c>
    </row>
    <row r="2081" spans="1:12" ht="15" hidden="1">
      <c r="A2081" t="s">
        <v>1334</v>
      </c>
      <c r="B2081" t="s">
        <v>689</v>
      </c>
      <c r="C2081" t="s">
        <v>690</v>
      </c>
      <c r="D2081" t="s">
        <v>1106</v>
      </c>
      <c r="E2081" t="s">
        <v>1106</v>
      </c>
      <c r="F2081" t="s">
        <v>1272</v>
      </c>
      <c r="G2081" t="s">
        <v>650</v>
      </c>
      <c r="H2081" s="595">
        <v>-57210.559999999998</v>
      </c>
      <c r="I2081" t="str">
        <f>TEXT(A2081, "mmmm aaaa")</f>
        <v>fevereiro 2026</v>
      </c>
      <c r="J2081">
        <f>YEAR(A2081)</f>
        <v>2026</v>
      </c>
      <c r="K2081" t="str">
        <f>VLOOKUP(G2081,METRICS!C:D,2,0)</f>
        <v>Salários e Ordenados</v>
      </c>
      <c r="L2081" t="str">
        <f>VLOOKUP(K2081,METRICS!D:E,2,0)</f>
        <v>PESSOAL</v>
      </c>
    </row>
    <row r="2082" spans="1:12" ht="15" hidden="1">
      <c r="A2082" t="s">
        <v>1334</v>
      </c>
      <c r="B2082" t="s">
        <v>689</v>
      </c>
      <c r="C2082" t="s">
        <v>690</v>
      </c>
      <c r="D2082" t="s">
        <v>1106</v>
      </c>
      <c r="E2082" t="s">
        <v>1106</v>
      </c>
      <c r="F2082" t="s">
        <v>1272</v>
      </c>
      <c r="G2082" s="518" t="s">
        <v>1733</v>
      </c>
      <c r="H2082" s="595">
        <v>-45226.080000000002</v>
      </c>
      <c r="I2082" t="str">
        <f>TEXT(A2082, "mmmm aaaa")</f>
        <v>fevereiro 2026</v>
      </c>
      <c r="J2082">
        <f>YEAR(A2082)</f>
        <v>2026</v>
      </c>
      <c r="K2082" t="str">
        <f>VLOOKUP(G2082,METRICS!C:D,2,0)</f>
        <v>Gorjetas Pagas</v>
      </c>
      <c r="L2082" t="str">
        <f>VLOOKUP(K2082,METRICS!D:E,2,0)</f>
        <v>PESSOAL</v>
      </c>
    </row>
    <row r="2083" spans="1:12" ht="15" hidden="1">
      <c r="A2083" t="s">
        <v>1334</v>
      </c>
      <c r="B2083" t="s">
        <v>689</v>
      </c>
      <c r="D2083" t="s">
        <v>758</v>
      </c>
      <c r="E2083" t="s">
        <v>759</v>
      </c>
      <c r="F2083" t="s">
        <v>1272</v>
      </c>
      <c r="G2083" t="s">
        <v>667</v>
      </c>
      <c r="H2083" s="595">
        <v>-3500</v>
      </c>
      <c r="I2083" t="str">
        <f t="shared" si="112"/>
        <v>fevereiro 2026</v>
      </c>
      <c r="J2083">
        <f t="shared" si="113"/>
        <v>2026</v>
      </c>
      <c r="K2083" t="str">
        <f>VLOOKUP(G2083,METRICS!C:D,2,0)</f>
        <v>Consultoria ADM</v>
      </c>
      <c r="L2083" t="str">
        <f>VLOOKUP(K2083,METRICS!D:E,2,0)</f>
        <v>ADMINISTRATIVA</v>
      </c>
    </row>
    <row r="2084" spans="1:12" ht="15" hidden="1">
      <c r="A2084" t="s">
        <v>1334</v>
      </c>
      <c r="B2084" t="s">
        <v>612</v>
      </c>
      <c r="D2084" t="s">
        <v>1421</v>
      </c>
      <c r="E2084" t="s">
        <v>979</v>
      </c>
      <c r="F2084" t="s">
        <v>1272</v>
      </c>
      <c r="G2084" t="s">
        <v>641</v>
      </c>
      <c r="H2084" s="595">
        <v>-6533.16</v>
      </c>
      <c r="I2084" t="str">
        <f t="shared" si="112"/>
        <v>fevereiro 2026</v>
      </c>
      <c r="J2084">
        <f t="shared" si="113"/>
        <v>2026</v>
      </c>
      <c r="K2084" t="str">
        <f>VLOOKUP(G2084,METRICS!C:D,2,0)</f>
        <v>Vinhos/Espumantes</v>
      </c>
      <c r="L2084" t="str">
        <f>VLOOKUP(K2084,METRICS!D:E,2,0)</f>
        <v>CUSTOS DOS PRODUTOS VENDIDOS</v>
      </c>
    </row>
    <row r="2085" spans="1:12" ht="15" hidden="1">
      <c r="A2085" t="s">
        <v>1334</v>
      </c>
      <c r="B2085" t="s">
        <v>612</v>
      </c>
      <c r="D2085" t="s">
        <v>1422</v>
      </c>
      <c r="E2085" t="s">
        <v>770</v>
      </c>
      <c r="F2085" t="s">
        <v>1272</v>
      </c>
      <c r="G2085" t="s">
        <v>630</v>
      </c>
      <c r="H2085" s="595">
        <v>-1163.43</v>
      </c>
      <c r="I2085" t="str">
        <f t="shared" si="112"/>
        <v>fevereiro 2026</v>
      </c>
      <c r="J2085">
        <f t="shared" si="113"/>
        <v>2026</v>
      </c>
      <c r="K2085" t="str">
        <f>VLOOKUP(G2085,METRICS!C:D,2,0)</f>
        <v>Material de Copa e Limpeza</v>
      </c>
      <c r="L2085" t="str">
        <f>VLOOKUP(K2085,METRICS!D:E,2,0)</f>
        <v>ADMINISTRATIVA</v>
      </c>
    </row>
    <row r="2086" spans="1:12" ht="15" hidden="1">
      <c r="A2086" t="s">
        <v>1334</v>
      </c>
      <c r="B2086" t="s">
        <v>612</v>
      </c>
      <c r="D2086" t="s">
        <v>1423</v>
      </c>
      <c r="E2086" t="s">
        <v>1671</v>
      </c>
      <c r="F2086" t="s">
        <v>1272</v>
      </c>
      <c r="G2086" t="s">
        <v>1719</v>
      </c>
      <c r="H2086" s="595">
        <v>-4000</v>
      </c>
      <c r="I2086" t="str">
        <f t="shared" si="112"/>
        <v>fevereiro 2026</v>
      </c>
      <c r="J2086">
        <f t="shared" si="113"/>
        <v>2026</v>
      </c>
      <c r="K2086" t="str">
        <f>VLOOKUP(G2086,METRICS!C:D,2,0)</f>
        <v>Propaganda, Publicidade e Patrocínio</v>
      </c>
      <c r="L2086" t="str">
        <f>VLOOKUP(K2086,METRICS!D:E,2,0)</f>
        <v>MARKETING</v>
      </c>
    </row>
    <row r="2087" spans="1:12" ht="15" hidden="1">
      <c r="A2087" t="s">
        <v>1334</v>
      </c>
      <c r="B2087" t="s">
        <v>612</v>
      </c>
      <c r="D2087" t="s">
        <v>2425</v>
      </c>
      <c r="E2087" t="s">
        <v>1672</v>
      </c>
      <c r="F2087" t="s">
        <v>1272</v>
      </c>
      <c r="G2087" s="518" t="s">
        <v>2231</v>
      </c>
      <c r="H2087" s="595">
        <v>-2097.46</v>
      </c>
      <c r="I2087" t="str">
        <f t="shared" si="112"/>
        <v>fevereiro 2026</v>
      </c>
      <c r="J2087">
        <f t="shared" si="113"/>
        <v>2026</v>
      </c>
      <c r="K2087" t="e">
        <f>VLOOKUP(G2087,METRICS!C:D,2,0)</f>
        <v>#N/A</v>
      </c>
      <c r="L2087" t="e">
        <f>VLOOKUP(K2087,METRICS!D:E,2,0)</f>
        <v>#N/A</v>
      </c>
    </row>
    <row r="2088" spans="1:12" ht="15" hidden="1">
      <c r="A2088" t="s">
        <v>1334</v>
      </c>
      <c r="B2088" t="s">
        <v>612</v>
      </c>
      <c r="D2088" t="s">
        <v>1424</v>
      </c>
      <c r="E2088" t="s">
        <v>898</v>
      </c>
      <c r="F2088" t="s">
        <v>1272</v>
      </c>
      <c r="G2088" t="s">
        <v>623</v>
      </c>
      <c r="H2088" s="595">
        <v>-1269.6199999999999</v>
      </c>
      <c r="I2088" t="str">
        <f t="shared" si="112"/>
        <v>fevereiro 2026</v>
      </c>
      <c r="J2088">
        <f t="shared" si="113"/>
        <v>2026</v>
      </c>
      <c r="K2088" t="str">
        <f>VLOOKUP(G2088,METRICS!C:D,2,0)</f>
        <v>Secos - Mercearia</v>
      </c>
      <c r="L2088" t="str">
        <f>VLOOKUP(K2088,METRICS!D:E,2,0)</f>
        <v>CUSTOS DOS PRODUTOS VENDIDOS</v>
      </c>
    </row>
    <row r="2089" spans="1:12" ht="15" hidden="1">
      <c r="A2089" t="s">
        <v>1334</v>
      </c>
      <c r="B2089" t="s">
        <v>689</v>
      </c>
      <c r="D2089" t="s">
        <v>1425</v>
      </c>
      <c r="E2089" t="s">
        <v>1162</v>
      </c>
      <c r="F2089" t="s">
        <v>1272</v>
      </c>
      <c r="G2089" t="s">
        <v>625</v>
      </c>
      <c r="H2089" s="595">
        <v>-682.71</v>
      </c>
      <c r="I2089" t="str">
        <f t="shared" si="112"/>
        <v>fevereiro 2026</v>
      </c>
      <c r="J2089">
        <f t="shared" si="113"/>
        <v>2026</v>
      </c>
      <c r="K2089" t="str">
        <f>VLOOKUP(G2089,METRICS!C:D,2,0)</f>
        <v>Manutenção e Conservação</v>
      </c>
      <c r="L2089" t="str">
        <f>VLOOKUP(K2089,METRICS!D:E,2,0)</f>
        <v>OPERAÇÃO</v>
      </c>
    </row>
    <row r="2090" spans="1:12" ht="15">
      <c r="A2090" t="s">
        <v>1334</v>
      </c>
      <c r="B2090" t="s">
        <v>689</v>
      </c>
      <c r="D2090" t="s">
        <v>1426</v>
      </c>
      <c r="E2090" t="str">
        <f>D2090</f>
        <v xml:space="preserve">MERCADO LIVRE </v>
      </c>
      <c r="F2090" t="s">
        <v>1272</v>
      </c>
      <c r="G2090" t="s">
        <v>1718</v>
      </c>
      <c r="H2090" s="595">
        <v>-641.57000000000005</v>
      </c>
      <c r="I2090" t="str">
        <f t="shared" si="112"/>
        <v>fevereiro 2026</v>
      </c>
      <c r="J2090">
        <f t="shared" si="113"/>
        <v>2026</v>
      </c>
      <c r="K2090" t="str">
        <f>VLOOKUP(G2090,METRICS!C:D,2,0)</f>
        <v>Utensílios</v>
      </c>
      <c r="L2090" t="str">
        <f>VLOOKUP(K2090,METRICS!D:E,2,0)</f>
        <v>OPERAÇÃO</v>
      </c>
    </row>
    <row r="2091" spans="1:12" ht="15" hidden="1">
      <c r="A2091" t="s">
        <v>1334</v>
      </c>
      <c r="B2091" t="s">
        <v>612</v>
      </c>
      <c r="D2091" t="s">
        <v>1427</v>
      </c>
      <c r="E2091" t="s">
        <v>742</v>
      </c>
      <c r="F2091" t="s">
        <v>1272</v>
      </c>
      <c r="G2091" t="s">
        <v>632</v>
      </c>
      <c r="H2091" s="595">
        <v>-2750</v>
      </c>
      <c r="I2091" t="str">
        <f t="shared" si="112"/>
        <v>fevereiro 2026</v>
      </c>
      <c r="J2091">
        <f t="shared" si="113"/>
        <v>2026</v>
      </c>
      <c r="K2091" t="str">
        <f>VLOOKUP(G2091,METRICS!C:D,2,0)</f>
        <v>Assessoria Nutricional</v>
      </c>
      <c r="L2091" t="str">
        <f>VLOOKUP(K2091,METRICS!D:E,2,0)</f>
        <v>OPERAÇÃO</v>
      </c>
    </row>
    <row r="2092" spans="1:12" ht="15" hidden="1">
      <c r="A2092" t="s">
        <v>1334</v>
      </c>
      <c r="B2092" t="s">
        <v>612</v>
      </c>
      <c r="D2092" t="s">
        <v>1428</v>
      </c>
      <c r="E2092" t="s">
        <v>1012</v>
      </c>
      <c r="F2092" t="s">
        <v>1272</v>
      </c>
      <c r="G2092" t="s">
        <v>611</v>
      </c>
      <c r="H2092" s="595">
        <v>-1792.28</v>
      </c>
      <c r="I2092" t="str">
        <f t="shared" si="112"/>
        <v>fevereiro 2026</v>
      </c>
      <c r="J2092">
        <f t="shared" si="113"/>
        <v>2026</v>
      </c>
      <c r="K2092" t="str">
        <f>VLOOKUP(G2092,METRICS!C:D,2,0)</f>
        <v>Bebidas Alcoólicas</v>
      </c>
      <c r="L2092" t="str">
        <f>VLOOKUP(K2092,METRICS!D:E,2,0)</f>
        <v>CUSTOS DOS PRODUTOS VENDIDOS</v>
      </c>
    </row>
    <row r="2093" spans="1:12" ht="15" hidden="1">
      <c r="A2093" t="s">
        <v>1334</v>
      </c>
      <c r="B2093" t="s">
        <v>612</v>
      </c>
      <c r="D2093" t="s">
        <v>1429</v>
      </c>
      <c r="E2093" t="s">
        <v>878</v>
      </c>
      <c r="F2093" t="s">
        <v>1272</v>
      </c>
      <c r="G2093" t="s">
        <v>609</v>
      </c>
      <c r="H2093" s="595">
        <v>-4706.28</v>
      </c>
      <c r="I2093" t="str">
        <f t="shared" si="112"/>
        <v>fevereiro 2026</v>
      </c>
      <c r="J2093">
        <f t="shared" si="113"/>
        <v>2026</v>
      </c>
      <c r="K2093" t="str">
        <f>VLOOKUP(G2093,METRICS!C:D,2,0)</f>
        <v>Carnes e Aves</v>
      </c>
      <c r="L2093" t="str">
        <f>VLOOKUP(K2093,METRICS!D:E,2,0)</f>
        <v>CUSTOS DOS PRODUTOS VENDIDOS</v>
      </c>
    </row>
    <row r="2094" spans="1:12" ht="15" hidden="1">
      <c r="A2094" t="s">
        <v>1334</v>
      </c>
      <c r="B2094" t="s">
        <v>612</v>
      </c>
      <c r="D2094" t="s">
        <v>1430</v>
      </c>
      <c r="E2094" t="s">
        <v>748</v>
      </c>
      <c r="F2094" t="s">
        <v>1272</v>
      </c>
      <c r="G2094" t="s">
        <v>620</v>
      </c>
      <c r="H2094" s="595">
        <v>-538.61</v>
      </c>
      <c r="I2094" t="str">
        <f t="shared" si="112"/>
        <v>fevereiro 2026</v>
      </c>
      <c r="J2094">
        <f t="shared" si="113"/>
        <v>2026</v>
      </c>
      <c r="K2094" t="str">
        <f>VLOOKUP(G2094,METRICS!C:D,2,0)</f>
        <v>Hortifruti</v>
      </c>
      <c r="L2094" t="str">
        <f>VLOOKUP(K2094,METRICS!D:E,2,0)</f>
        <v>CUSTOS DOS PRODUTOS VENDIDOS</v>
      </c>
    </row>
    <row r="2095" spans="1:12" ht="15" hidden="1">
      <c r="A2095" t="s">
        <v>1334</v>
      </c>
      <c r="B2095" t="s">
        <v>612</v>
      </c>
      <c r="D2095" t="s">
        <v>1431</v>
      </c>
      <c r="E2095" t="s">
        <v>987</v>
      </c>
      <c r="F2095" t="s">
        <v>1272</v>
      </c>
      <c r="G2095" t="s">
        <v>641</v>
      </c>
      <c r="H2095" s="595">
        <v>-26835.62</v>
      </c>
      <c r="I2095" t="str">
        <f t="shared" si="112"/>
        <v>fevereiro 2026</v>
      </c>
      <c r="J2095">
        <f t="shared" si="113"/>
        <v>2026</v>
      </c>
      <c r="K2095" t="str">
        <f>VLOOKUP(G2095,METRICS!C:D,2,0)</f>
        <v>Vinhos/Espumantes</v>
      </c>
      <c r="L2095" t="str">
        <f>VLOOKUP(K2095,METRICS!D:E,2,0)</f>
        <v>CUSTOS DOS PRODUTOS VENDIDOS</v>
      </c>
    </row>
    <row r="2096" spans="1:12" ht="15" hidden="1">
      <c r="A2096" t="s">
        <v>1334</v>
      </c>
      <c r="B2096" t="s">
        <v>612</v>
      </c>
      <c r="D2096" t="s">
        <v>1432</v>
      </c>
      <c r="E2096" t="s">
        <v>826</v>
      </c>
      <c r="F2096" t="s">
        <v>1272</v>
      </c>
      <c r="G2096" t="s">
        <v>633</v>
      </c>
      <c r="H2096" s="595">
        <v>-6168</v>
      </c>
      <c r="I2096" t="str">
        <f t="shared" si="112"/>
        <v>fevereiro 2026</v>
      </c>
      <c r="J2096">
        <f t="shared" si="113"/>
        <v>2026</v>
      </c>
      <c r="K2096" t="str">
        <f>VLOOKUP(G2096,METRICS!C:D,2,0)</f>
        <v>Paes, Massas e Salgados</v>
      </c>
      <c r="L2096" t="str">
        <f>VLOOKUP(K2096,METRICS!D:E,2,0)</f>
        <v>CUSTOS DOS PRODUTOS VENDIDOS</v>
      </c>
    </row>
    <row r="2097" spans="1:12" ht="15" hidden="1">
      <c r="A2097" t="s">
        <v>1334</v>
      </c>
      <c r="B2097" t="s">
        <v>612</v>
      </c>
      <c r="D2097" t="s">
        <v>1433</v>
      </c>
      <c r="E2097" t="s">
        <v>1005</v>
      </c>
      <c r="F2097" t="s">
        <v>1272</v>
      </c>
      <c r="G2097" t="s">
        <v>608</v>
      </c>
      <c r="H2097" s="595">
        <v>-4193.2</v>
      </c>
      <c r="I2097" t="str">
        <f t="shared" si="112"/>
        <v>fevereiro 2026</v>
      </c>
      <c r="J2097">
        <f t="shared" si="113"/>
        <v>2026</v>
      </c>
      <c r="K2097" t="str">
        <f>VLOOKUP(G2097,METRICS!C:D,2,0)</f>
        <v>Bebidas não Alcoolicas</v>
      </c>
      <c r="L2097" t="str">
        <f>VLOOKUP(K2097,METRICS!D:E,2,0)</f>
        <v>CUSTOS DOS PRODUTOS VENDIDOS</v>
      </c>
    </row>
    <row r="2098" spans="1:12" ht="15" hidden="1">
      <c r="A2098" t="s">
        <v>1334</v>
      </c>
      <c r="B2098" t="s">
        <v>612</v>
      </c>
      <c r="D2098" t="s">
        <v>1434</v>
      </c>
      <c r="E2098" t="s">
        <v>784</v>
      </c>
      <c r="F2098" t="s">
        <v>1272</v>
      </c>
      <c r="G2098" t="s">
        <v>636</v>
      </c>
      <c r="H2098" s="595">
        <v>-2465</v>
      </c>
      <c r="I2098" t="str">
        <f t="shared" si="112"/>
        <v>fevereiro 2026</v>
      </c>
      <c r="J2098">
        <f t="shared" si="113"/>
        <v>2026</v>
      </c>
      <c r="K2098" t="str">
        <f>VLOOKUP(G2098,METRICS!C:D,2,0)</f>
        <v>Secos - Mercearia</v>
      </c>
      <c r="L2098" t="str">
        <f>VLOOKUP(K2098,METRICS!D:E,2,0)</f>
        <v>CUSTOS DOS PRODUTOS VENDIDOS</v>
      </c>
    </row>
    <row r="2099" spans="1:12" ht="15" hidden="1">
      <c r="A2099" t="s">
        <v>1334</v>
      </c>
      <c r="B2099" t="s">
        <v>612</v>
      </c>
      <c r="D2099" t="s">
        <v>1435</v>
      </c>
      <c r="E2099" t="s">
        <v>888</v>
      </c>
      <c r="F2099" t="s">
        <v>1272</v>
      </c>
      <c r="G2099" s="518" t="s">
        <v>1736</v>
      </c>
      <c r="H2099" s="595">
        <v>-320</v>
      </c>
      <c r="I2099" t="str">
        <f t="shared" si="112"/>
        <v>fevereiro 2026</v>
      </c>
      <c r="J2099">
        <f t="shared" si="113"/>
        <v>2026</v>
      </c>
      <c r="K2099" t="str">
        <f>VLOOKUP(G2099,METRICS!C:D,2,0)</f>
        <v>Sistema e Software OP</v>
      </c>
      <c r="L2099" t="str">
        <f>VLOOKUP(K2099,METRICS!D:E,2,0)</f>
        <v>OPERAÇÃO</v>
      </c>
    </row>
    <row r="2100" spans="1:12" ht="15" hidden="1">
      <c r="A2100" t="s">
        <v>1334</v>
      </c>
      <c r="B2100" t="s">
        <v>689</v>
      </c>
      <c r="D2100" t="s">
        <v>1356</v>
      </c>
      <c r="E2100" t="s">
        <v>1673</v>
      </c>
      <c r="F2100" t="s">
        <v>1272</v>
      </c>
      <c r="G2100" t="s">
        <v>657</v>
      </c>
      <c r="H2100" s="595">
        <v>-3172</v>
      </c>
      <c r="I2100" t="str">
        <f t="shared" si="112"/>
        <v>fevereiro 2026</v>
      </c>
      <c r="J2100">
        <f t="shared" si="113"/>
        <v>2026</v>
      </c>
      <c r="K2100" t="str">
        <f>VLOOKUP(G2100,METRICS!C:D,2,0)</f>
        <v>Aluguel de Maquinas</v>
      </c>
      <c r="L2100" t="str">
        <f>VLOOKUP(K2100,METRICS!D:E,2,0)</f>
        <v>OPERAÇÃO</v>
      </c>
    </row>
    <row r="2101" spans="1:12" ht="15" hidden="1">
      <c r="A2101" t="s">
        <v>1334</v>
      </c>
      <c r="B2101" t="s">
        <v>689</v>
      </c>
      <c r="D2101" t="s">
        <v>1436</v>
      </c>
      <c r="E2101" t="s">
        <v>1674</v>
      </c>
      <c r="F2101" t="s">
        <v>1272</v>
      </c>
      <c r="G2101" t="s">
        <v>1720</v>
      </c>
      <c r="H2101" s="595">
        <v>-65250</v>
      </c>
      <c r="I2101" t="str">
        <f t="shared" si="112"/>
        <v>fevereiro 2026</v>
      </c>
      <c r="J2101">
        <f t="shared" si="113"/>
        <v>2026</v>
      </c>
      <c r="K2101" t="str">
        <f>VLOOKUP(G2101,METRICS!C:D,2,0)</f>
        <v>IMOBILIZADO</v>
      </c>
      <c r="L2101" t="str">
        <f>VLOOKUP(K2101,METRICS!D:E,2,0)</f>
        <v>IMOBILIZADO</v>
      </c>
    </row>
    <row r="2102" spans="1:12" ht="15" hidden="1">
      <c r="A2102" t="s">
        <v>1334</v>
      </c>
      <c r="B2102" t="s">
        <v>612</v>
      </c>
      <c r="D2102" t="s">
        <v>1437</v>
      </c>
      <c r="E2102" t="s">
        <v>745</v>
      </c>
      <c r="F2102" t="s">
        <v>1272</v>
      </c>
      <c r="G2102" t="s">
        <v>620</v>
      </c>
      <c r="H2102" s="595">
        <v>-364.6</v>
      </c>
      <c r="I2102" t="str">
        <f t="shared" si="112"/>
        <v>fevereiro 2026</v>
      </c>
      <c r="J2102">
        <f t="shared" si="113"/>
        <v>2026</v>
      </c>
      <c r="K2102" t="str">
        <f>VLOOKUP(G2102,METRICS!C:D,2,0)</f>
        <v>Hortifruti</v>
      </c>
      <c r="L2102" t="str">
        <f>VLOOKUP(K2102,METRICS!D:E,2,0)</f>
        <v>CUSTOS DOS PRODUTOS VENDIDOS</v>
      </c>
    </row>
    <row r="2103" spans="1:12" ht="15" hidden="1">
      <c r="A2103" t="s">
        <v>1334</v>
      </c>
      <c r="B2103" t="s">
        <v>612</v>
      </c>
      <c r="D2103" t="s">
        <v>1438</v>
      </c>
      <c r="E2103" t="s">
        <v>855</v>
      </c>
      <c r="F2103" t="s">
        <v>1272</v>
      </c>
      <c r="G2103" t="s">
        <v>609</v>
      </c>
      <c r="H2103" s="595">
        <v>-1214.18</v>
      </c>
      <c r="I2103" t="str">
        <f t="shared" si="112"/>
        <v>fevereiro 2026</v>
      </c>
      <c r="J2103">
        <f t="shared" si="113"/>
        <v>2026</v>
      </c>
      <c r="K2103" t="str">
        <f>VLOOKUP(G2103,METRICS!C:D,2,0)</f>
        <v>Carnes e Aves</v>
      </c>
      <c r="L2103" t="str">
        <f>VLOOKUP(K2103,METRICS!D:E,2,0)</f>
        <v>CUSTOS DOS PRODUTOS VENDIDOS</v>
      </c>
    </row>
    <row r="2104" spans="1:12" ht="15" hidden="1">
      <c r="A2104" t="s">
        <v>1334</v>
      </c>
      <c r="B2104" t="s">
        <v>612</v>
      </c>
      <c r="D2104" t="s">
        <v>1439</v>
      </c>
      <c r="E2104" t="s">
        <v>830</v>
      </c>
      <c r="F2104" t="s">
        <v>1272</v>
      </c>
      <c r="G2104" t="s">
        <v>623</v>
      </c>
      <c r="H2104" s="595">
        <v>-610.5</v>
      </c>
      <c r="I2104" t="str">
        <f t="shared" si="112"/>
        <v>fevereiro 2026</v>
      </c>
      <c r="J2104">
        <f t="shared" si="113"/>
        <v>2026</v>
      </c>
      <c r="K2104" t="str">
        <f>VLOOKUP(G2104,METRICS!C:D,2,0)</f>
        <v>Secos - Mercearia</v>
      </c>
      <c r="L2104" t="str">
        <f>VLOOKUP(K2104,METRICS!D:E,2,0)</f>
        <v>CUSTOS DOS PRODUTOS VENDIDOS</v>
      </c>
    </row>
    <row r="2105" spans="1:12" ht="15" hidden="1">
      <c r="A2105" t="s">
        <v>1334</v>
      </c>
      <c r="B2105" t="s">
        <v>612</v>
      </c>
      <c r="D2105" t="s">
        <v>1440</v>
      </c>
      <c r="E2105" t="s">
        <v>1099</v>
      </c>
      <c r="F2105" t="s">
        <v>1272</v>
      </c>
      <c r="G2105" t="s">
        <v>609</v>
      </c>
      <c r="H2105" s="595">
        <v>-13924.49</v>
      </c>
      <c r="I2105" t="str">
        <f t="shared" si="112"/>
        <v>fevereiro 2026</v>
      </c>
      <c r="J2105">
        <f t="shared" si="113"/>
        <v>2026</v>
      </c>
      <c r="K2105" t="str">
        <f>VLOOKUP(G2105,METRICS!C:D,2,0)</f>
        <v>Carnes e Aves</v>
      </c>
      <c r="L2105" t="str">
        <f>VLOOKUP(K2105,METRICS!D:E,2,0)</f>
        <v>CUSTOS DOS PRODUTOS VENDIDOS</v>
      </c>
    </row>
    <row r="2106" spans="1:12" ht="15" hidden="1">
      <c r="A2106" t="s">
        <v>1334</v>
      </c>
      <c r="B2106" t="s">
        <v>612</v>
      </c>
      <c r="D2106" t="s">
        <v>1441</v>
      </c>
      <c r="E2106" t="s">
        <v>1675</v>
      </c>
      <c r="F2106" t="s">
        <v>1272</v>
      </c>
      <c r="G2106" t="s">
        <v>625</v>
      </c>
      <c r="H2106" s="595">
        <v>-370</v>
      </c>
      <c r="I2106" t="str">
        <f t="shared" si="112"/>
        <v>fevereiro 2026</v>
      </c>
      <c r="J2106">
        <f t="shared" si="113"/>
        <v>2026</v>
      </c>
      <c r="K2106" t="str">
        <f>VLOOKUP(G2106,METRICS!C:D,2,0)</f>
        <v>Manutenção e Conservação</v>
      </c>
      <c r="L2106" t="str">
        <f>VLOOKUP(K2106,METRICS!D:E,2,0)</f>
        <v>OPERAÇÃO</v>
      </c>
    </row>
    <row r="2107" spans="1:12" ht="15" hidden="1">
      <c r="A2107" t="s">
        <v>1334</v>
      </c>
      <c r="B2107" t="s">
        <v>689</v>
      </c>
      <c r="D2107" t="s">
        <v>1442</v>
      </c>
      <c r="E2107" t="str">
        <f>D2107</f>
        <v>Pagamento de Extra</v>
      </c>
      <c r="F2107" t="s">
        <v>1272</v>
      </c>
      <c r="G2107" t="s">
        <v>664</v>
      </c>
      <c r="H2107" s="595">
        <v>-8720</v>
      </c>
      <c r="I2107" t="str">
        <f t="shared" si="112"/>
        <v>fevereiro 2026</v>
      </c>
      <c r="J2107">
        <f t="shared" si="113"/>
        <v>2026</v>
      </c>
      <c r="K2107" t="str">
        <f>VLOOKUP(G2107,METRICS!C:D,2,0)</f>
        <v>Colaborador Extra</v>
      </c>
      <c r="L2107" t="str">
        <f>VLOOKUP(K2107,METRICS!D:E,2,0)</f>
        <v>PESSOAL</v>
      </c>
    </row>
    <row r="2108" spans="1:12" ht="15" hidden="1">
      <c r="A2108" t="s">
        <v>1334</v>
      </c>
      <c r="B2108" t="s">
        <v>689</v>
      </c>
      <c r="D2108" t="s">
        <v>883</v>
      </c>
      <c r="E2108" t="s">
        <v>746</v>
      </c>
      <c r="F2108" t="s">
        <v>1272</v>
      </c>
      <c r="G2108" t="s">
        <v>669</v>
      </c>
      <c r="H2108" s="595">
        <v>-85.66</v>
      </c>
      <c r="I2108" t="str">
        <f t="shared" si="112"/>
        <v>fevereiro 2026</v>
      </c>
      <c r="J2108">
        <f t="shared" si="113"/>
        <v>2026</v>
      </c>
      <c r="K2108" t="str">
        <f>VLOOKUP(G2108,METRICS!C:D,2,0)</f>
        <v>Taxas Financeiras Diversas</v>
      </c>
      <c r="L2108" t="str">
        <f>VLOOKUP(K2108,METRICS!D:E,2,0)</f>
        <v>TAXAS CARTÃO DE CRÉDITO</v>
      </c>
    </row>
    <row r="2109" spans="1:12" ht="15" hidden="1">
      <c r="A2109" t="s">
        <v>1334</v>
      </c>
      <c r="B2109" t="s">
        <v>612</v>
      </c>
      <c r="D2109" t="s">
        <v>1443</v>
      </c>
      <c r="E2109" t="s">
        <v>878</v>
      </c>
      <c r="F2109" t="s">
        <v>1272</v>
      </c>
      <c r="G2109" t="s">
        <v>609</v>
      </c>
      <c r="H2109" s="595">
        <v>-8410.06</v>
      </c>
      <c r="I2109" t="str">
        <f t="shared" si="112"/>
        <v>fevereiro 2026</v>
      </c>
      <c r="J2109">
        <f t="shared" si="113"/>
        <v>2026</v>
      </c>
      <c r="K2109" t="str">
        <f>VLOOKUP(G2109,METRICS!C:D,2,0)</f>
        <v>Carnes e Aves</v>
      </c>
      <c r="L2109" t="str">
        <f>VLOOKUP(K2109,METRICS!D:E,2,0)</f>
        <v>CUSTOS DOS PRODUTOS VENDIDOS</v>
      </c>
    </row>
    <row r="2110" spans="1:12" ht="15" hidden="1">
      <c r="A2110" t="s">
        <v>1334</v>
      </c>
      <c r="B2110" t="s">
        <v>612</v>
      </c>
      <c r="D2110" t="s">
        <v>1444</v>
      </c>
      <c r="E2110" t="s">
        <v>857</v>
      </c>
      <c r="F2110" t="s">
        <v>1272</v>
      </c>
      <c r="G2110" t="s">
        <v>413</v>
      </c>
      <c r="H2110" s="595">
        <v>-330</v>
      </c>
      <c r="I2110" t="str">
        <f t="shared" si="112"/>
        <v>fevereiro 2026</v>
      </c>
      <c r="J2110">
        <f t="shared" si="113"/>
        <v>2026</v>
      </c>
      <c r="K2110" t="str">
        <f>VLOOKUP(G2110,METRICS!C:D,2,0)</f>
        <v>Pescados</v>
      </c>
      <c r="L2110" t="str">
        <f>VLOOKUP(K2110,METRICS!D:E,2,0)</f>
        <v>CUSTOS DOS PRODUTOS VENDIDOS</v>
      </c>
    </row>
    <row r="2111" spans="1:12" ht="15" hidden="1">
      <c r="A2111" t="s">
        <v>1334</v>
      </c>
      <c r="B2111" t="s">
        <v>612</v>
      </c>
      <c r="D2111" t="s">
        <v>1445</v>
      </c>
      <c r="E2111" t="s">
        <v>1676</v>
      </c>
      <c r="F2111" t="s">
        <v>1272</v>
      </c>
      <c r="G2111" t="s">
        <v>636</v>
      </c>
      <c r="H2111" s="595">
        <v>-698.8</v>
      </c>
      <c r="I2111" t="str">
        <f t="shared" si="112"/>
        <v>fevereiro 2026</v>
      </c>
      <c r="J2111">
        <f t="shared" si="113"/>
        <v>2026</v>
      </c>
      <c r="K2111" t="str">
        <f>VLOOKUP(G2111,METRICS!C:D,2,0)</f>
        <v>Secos - Mercearia</v>
      </c>
      <c r="L2111" t="str">
        <f>VLOOKUP(K2111,METRICS!D:E,2,0)</f>
        <v>CUSTOS DOS PRODUTOS VENDIDOS</v>
      </c>
    </row>
    <row r="2112" spans="1:12" ht="15" hidden="1">
      <c r="A2112" t="s">
        <v>1334</v>
      </c>
      <c r="B2112" t="s">
        <v>612</v>
      </c>
      <c r="D2112" t="s">
        <v>1446</v>
      </c>
      <c r="E2112" t="s">
        <v>874</v>
      </c>
      <c r="F2112" t="s">
        <v>1272</v>
      </c>
      <c r="G2112" t="s">
        <v>631</v>
      </c>
      <c r="H2112" s="595">
        <v>-599.9</v>
      </c>
      <c r="I2112" t="str">
        <f t="shared" si="112"/>
        <v>fevereiro 2026</v>
      </c>
      <c r="J2112">
        <f t="shared" si="113"/>
        <v>2026</v>
      </c>
      <c r="K2112" t="str">
        <f>VLOOKUP(G2112,METRICS!C:D,2,0)</f>
        <v>Midias Sociais</v>
      </c>
      <c r="L2112" t="str">
        <f>VLOOKUP(K2112,METRICS!D:E,2,0)</f>
        <v>MARKETING</v>
      </c>
    </row>
    <row r="2113" spans="1:12" ht="15" hidden="1">
      <c r="A2113" t="s">
        <v>1334</v>
      </c>
      <c r="B2113" t="s">
        <v>612</v>
      </c>
      <c r="D2113" t="s">
        <v>1447</v>
      </c>
      <c r="E2113" t="s">
        <v>727</v>
      </c>
      <c r="F2113" t="s">
        <v>1272</v>
      </c>
      <c r="G2113" t="s">
        <v>620</v>
      </c>
      <c r="H2113" s="595">
        <v>-5138</v>
      </c>
      <c r="I2113" t="str">
        <f t="shared" si="112"/>
        <v>fevereiro 2026</v>
      </c>
      <c r="J2113">
        <f t="shared" si="113"/>
        <v>2026</v>
      </c>
      <c r="K2113" t="str">
        <f>VLOOKUP(G2113,METRICS!C:D,2,0)</f>
        <v>Hortifruti</v>
      </c>
      <c r="L2113" t="str">
        <f>VLOOKUP(K2113,METRICS!D:E,2,0)</f>
        <v>CUSTOS DOS PRODUTOS VENDIDOS</v>
      </c>
    </row>
    <row r="2114" spans="1:12" ht="15" hidden="1">
      <c r="A2114" t="s">
        <v>1334</v>
      </c>
      <c r="B2114" t="s">
        <v>689</v>
      </c>
      <c r="D2114" t="s">
        <v>756</v>
      </c>
      <c r="E2114" t="s">
        <v>757</v>
      </c>
      <c r="F2114" t="s">
        <v>1272</v>
      </c>
      <c r="G2114" t="s">
        <v>666</v>
      </c>
      <c r="H2114" s="595">
        <v>-35.299999999999997</v>
      </c>
      <c r="I2114" t="str">
        <f t="shared" si="112"/>
        <v>fevereiro 2026</v>
      </c>
      <c r="J2114">
        <f t="shared" si="113"/>
        <v>2026</v>
      </c>
      <c r="K2114" t="str">
        <f>VLOOKUP(G2114,METRICS!C:D,2,0)</f>
        <v>Encargos Bancarios</v>
      </c>
      <c r="L2114" t="str">
        <f>VLOOKUP(K2114,METRICS!D:E,2,0)</f>
        <v>DESPESAS FINANCEIRAS</v>
      </c>
    </row>
    <row r="2115" spans="1:12" ht="15" hidden="1">
      <c r="A2115" t="s">
        <v>1335</v>
      </c>
      <c r="B2115" t="s">
        <v>612</v>
      </c>
      <c r="D2115" t="s">
        <v>1448</v>
      </c>
      <c r="E2115" t="s">
        <v>1677</v>
      </c>
      <c r="F2115" t="s">
        <v>1272</v>
      </c>
      <c r="G2115" t="s">
        <v>609</v>
      </c>
      <c r="H2115" s="595">
        <v>-3053.37</v>
      </c>
      <c r="I2115" t="str">
        <f t="shared" si="112"/>
        <v>fevereiro 2026</v>
      </c>
      <c r="J2115">
        <f t="shared" si="113"/>
        <v>2026</v>
      </c>
      <c r="K2115" t="str">
        <f>VLOOKUP(G2115,METRICS!C:D,2,0)</f>
        <v>Carnes e Aves</v>
      </c>
      <c r="L2115" t="str">
        <f>VLOOKUP(K2115,METRICS!D:E,2,0)</f>
        <v>CUSTOS DOS PRODUTOS VENDIDOS</v>
      </c>
    </row>
    <row r="2116" spans="1:12" ht="15" hidden="1">
      <c r="A2116" t="s">
        <v>1335</v>
      </c>
      <c r="B2116" t="s">
        <v>612</v>
      </c>
      <c r="D2116" t="s">
        <v>1449</v>
      </c>
      <c r="E2116" t="s">
        <v>1039</v>
      </c>
      <c r="F2116" t="s">
        <v>1272</v>
      </c>
      <c r="G2116" t="s">
        <v>623</v>
      </c>
      <c r="H2116" s="595">
        <v>-487.85</v>
      </c>
      <c r="I2116" t="str">
        <f t="shared" si="112"/>
        <v>fevereiro 2026</v>
      </c>
      <c r="J2116">
        <f t="shared" si="113"/>
        <v>2026</v>
      </c>
      <c r="K2116" t="str">
        <f>VLOOKUP(G2116,METRICS!C:D,2,0)</f>
        <v>Secos - Mercearia</v>
      </c>
      <c r="L2116" t="str">
        <f>VLOOKUP(K2116,METRICS!D:E,2,0)</f>
        <v>CUSTOS DOS PRODUTOS VENDIDOS</v>
      </c>
    </row>
    <row r="2117" spans="1:12" ht="15" hidden="1">
      <c r="A2117" t="s">
        <v>1335</v>
      </c>
      <c r="B2117" t="s">
        <v>612</v>
      </c>
      <c r="D2117" t="s">
        <v>1450</v>
      </c>
      <c r="E2117" t="s">
        <v>964</v>
      </c>
      <c r="F2117" t="s">
        <v>1272</v>
      </c>
      <c r="G2117" t="s">
        <v>607</v>
      </c>
      <c r="H2117" s="595">
        <v>-2562.98</v>
      </c>
      <c r="I2117" t="str">
        <f t="shared" si="112"/>
        <v>fevereiro 2026</v>
      </c>
      <c r="J2117">
        <f t="shared" si="113"/>
        <v>2026</v>
      </c>
      <c r="K2117" t="str">
        <f>VLOOKUP(G2117,METRICS!C:D,2,0)</f>
        <v>Bebidas Alcoólicas</v>
      </c>
      <c r="L2117" t="str">
        <f>VLOOKUP(K2117,METRICS!D:E,2,0)</f>
        <v>CUSTOS DOS PRODUTOS VENDIDOS</v>
      </c>
    </row>
    <row r="2118" spans="1:12" ht="15" hidden="1">
      <c r="A2118" t="s">
        <v>1335</v>
      </c>
      <c r="B2118" t="s">
        <v>689</v>
      </c>
      <c r="D2118" t="s">
        <v>756</v>
      </c>
      <c r="E2118" t="s">
        <v>757</v>
      </c>
      <c r="F2118" t="s">
        <v>1272</v>
      </c>
      <c r="G2118" t="s">
        <v>666</v>
      </c>
      <c r="H2118" s="595">
        <v>-29.7</v>
      </c>
      <c r="I2118" t="str">
        <f t="shared" si="112"/>
        <v>fevereiro 2026</v>
      </c>
      <c r="J2118">
        <f t="shared" si="113"/>
        <v>2026</v>
      </c>
      <c r="K2118" t="str">
        <f>VLOOKUP(G2118,METRICS!C:D,2,0)</f>
        <v>Encargos Bancarios</v>
      </c>
      <c r="L2118" t="str">
        <f>VLOOKUP(K2118,METRICS!D:E,2,0)</f>
        <v>DESPESAS FINANCEIRAS</v>
      </c>
    </row>
    <row r="2119" spans="1:12" ht="15" hidden="1">
      <c r="A2119" t="s">
        <v>1335</v>
      </c>
      <c r="B2119" t="s">
        <v>689</v>
      </c>
      <c r="D2119" t="s">
        <v>1451</v>
      </c>
      <c r="E2119" t="s">
        <v>1678</v>
      </c>
      <c r="F2119" t="s">
        <v>1272</v>
      </c>
      <c r="G2119" t="s">
        <v>673</v>
      </c>
      <c r="H2119" s="595">
        <v>-7440</v>
      </c>
      <c r="I2119" t="str">
        <f t="shared" si="112"/>
        <v>fevereiro 2026</v>
      </c>
      <c r="J2119">
        <f t="shared" si="113"/>
        <v>2026</v>
      </c>
      <c r="K2119" t="str">
        <f>VLOOKUP(G2119,METRICS!C:D,2,0)</f>
        <v>Comissões Eventos</v>
      </c>
      <c r="L2119" t="str">
        <f>VLOOKUP(K2119,METRICS!D:E,2,0)</f>
        <v>OPERAÇÃO</v>
      </c>
    </row>
    <row r="2120" spans="1:12" ht="15" hidden="1">
      <c r="A2120" t="s">
        <v>1335</v>
      </c>
      <c r="B2120" t="s">
        <v>612</v>
      </c>
      <c r="D2120" t="s">
        <v>1452</v>
      </c>
      <c r="E2120" t="s">
        <v>878</v>
      </c>
      <c r="F2120" t="s">
        <v>1272</v>
      </c>
      <c r="G2120" t="s">
        <v>609</v>
      </c>
      <c r="H2120" s="595">
        <v>-2476.1799999999998</v>
      </c>
      <c r="I2120" t="str">
        <f t="shared" si="112"/>
        <v>fevereiro 2026</v>
      </c>
      <c r="J2120">
        <f t="shared" si="113"/>
        <v>2026</v>
      </c>
      <c r="K2120" t="str">
        <f>VLOOKUP(G2120,METRICS!C:D,2,0)</f>
        <v>Carnes e Aves</v>
      </c>
      <c r="L2120" t="str">
        <f>VLOOKUP(K2120,METRICS!D:E,2,0)</f>
        <v>CUSTOS DOS PRODUTOS VENDIDOS</v>
      </c>
    </row>
    <row r="2121" spans="1:12" ht="15" hidden="1">
      <c r="A2121" t="s">
        <v>1335</v>
      </c>
      <c r="B2121" t="s">
        <v>612</v>
      </c>
      <c r="D2121" t="s">
        <v>1453</v>
      </c>
      <c r="E2121" t="s">
        <v>1249</v>
      </c>
      <c r="F2121" t="s">
        <v>1272</v>
      </c>
      <c r="G2121" t="s">
        <v>413</v>
      </c>
      <c r="H2121" s="595">
        <v>-2397</v>
      </c>
      <c r="I2121" t="str">
        <f t="shared" si="112"/>
        <v>fevereiro 2026</v>
      </c>
      <c r="J2121">
        <f t="shared" si="113"/>
        <v>2026</v>
      </c>
      <c r="K2121" t="str">
        <f>VLOOKUP(G2121,METRICS!C:D,2,0)</f>
        <v>Pescados</v>
      </c>
      <c r="L2121" t="str">
        <f>VLOOKUP(K2121,METRICS!D:E,2,0)</f>
        <v>CUSTOS DOS PRODUTOS VENDIDOS</v>
      </c>
    </row>
    <row r="2122" spans="1:12" ht="15" hidden="1">
      <c r="A2122" s="512">
        <v>46073</v>
      </c>
      <c r="B2122" t="s">
        <v>689</v>
      </c>
      <c r="D2122" t="s">
        <v>1761</v>
      </c>
      <c r="E2122" t="s">
        <v>1666</v>
      </c>
      <c r="F2122" t="s">
        <v>1272</v>
      </c>
      <c r="G2122" t="s">
        <v>157</v>
      </c>
      <c r="H2122" s="595">
        <v>-8521.06</v>
      </c>
      <c r="I2122" t="str">
        <f t="shared" ref="I2122:I2182" si="114">TEXT(A2122, "mmmm aaaa")</f>
        <v>fevereiro 2026</v>
      </c>
      <c r="J2122">
        <f t="shared" ref="J2122:J2182" si="115">YEAR(A2122)</f>
        <v>2026</v>
      </c>
      <c r="K2122" t="str">
        <f>VLOOKUP(G2122,METRICS!C:D,2,0)</f>
        <v>IPTU</v>
      </c>
      <c r="L2122" t="str">
        <f>VLOOKUP(K2122,METRICS!D:E,2,0)</f>
        <v>OCUPAÇÃO</v>
      </c>
    </row>
    <row r="2123" spans="1:12" ht="15" hidden="1">
      <c r="A2123" t="s">
        <v>1335</v>
      </c>
      <c r="B2123" t="s">
        <v>612</v>
      </c>
      <c r="D2123" t="s">
        <v>1454</v>
      </c>
      <c r="E2123" t="s">
        <v>1239</v>
      </c>
      <c r="F2123" t="s">
        <v>1272</v>
      </c>
      <c r="G2123" t="s">
        <v>413</v>
      </c>
      <c r="H2123" s="595">
        <v>-3285.3</v>
      </c>
      <c r="I2123" t="str">
        <f t="shared" si="114"/>
        <v>fevereiro 2026</v>
      </c>
      <c r="J2123">
        <f t="shared" si="115"/>
        <v>2026</v>
      </c>
      <c r="K2123" t="str">
        <f>VLOOKUP(G2123,METRICS!C:D,2,0)</f>
        <v>Pescados</v>
      </c>
      <c r="L2123" t="str">
        <f>VLOOKUP(K2123,METRICS!D:E,2,0)</f>
        <v>CUSTOS DOS PRODUTOS VENDIDOS</v>
      </c>
    </row>
    <row r="2124" spans="1:12" ht="15" hidden="1">
      <c r="A2124" t="s">
        <v>1335</v>
      </c>
      <c r="B2124" t="s">
        <v>612</v>
      </c>
      <c r="D2124" t="s">
        <v>1455</v>
      </c>
      <c r="E2124" t="s">
        <v>828</v>
      </c>
      <c r="F2124" t="s">
        <v>1272</v>
      </c>
      <c r="G2124" t="s">
        <v>636</v>
      </c>
      <c r="H2124" s="595">
        <v>-1798.88</v>
      </c>
      <c r="I2124" t="str">
        <f t="shared" si="114"/>
        <v>fevereiro 2026</v>
      </c>
      <c r="J2124">
        <f t="shared" si="115"/>
        <v>2026</v>
      </c>
      <c r="K2124" t="str">
        <f>VLOOKUP(G2124,METRICS!C:D,2,0)</f>
        <v>Secos - Mercearia</v>
      </c>
      <c r="L2124" t="str">
        <f>VLOOKUP(K2124,METRICS!D:E,2,0)</f>
        <v>CUSTOS DOS PRODUTOS VENDIDOS</v>
      </c>
    </row>
    <row r="2125" spans="1:12" ht="15" hidden="1">
      <c r="A2125" t="s">
        <v>1335</v>
      </c>
      <c r="B2125" t="s">
        <v>612</v>
      </c>
      <c r="D2125" t="s">
        <v>1456</v>
      </c>
      <c r="E2125" t="s">
        <v>811</v>
      </c>
      <c r="F2125" t="s">
        <v>1272</v>
      </c>
      <c r="G2125" t="s">
        <v>636</v>
      </c>
      <c r="H2125" s="595">
        <v>-3897.57</v>
      </c>
      <c r="I2125" t="str">
        <f t="shared" si="114"/>
        <v>fevereiro 2026</v>
      </c>
      <c r="J2125">
        <f t="shared" si="115"/>
        <v>2026</v>
      </c>
      <c r="K2125" t="str">
        <f>VLOOKUP(G2125,METRICS!C:D,2,0)</f>
        <v>Secos - Mercearia</v>
      </c>
      <c r="L2125" t="str">
        <f>VLOOKUP(K2125,METRICS!D:E,2,0)</f>
        <v>CUSTOS DOS PRODUTOS VENDIDOS</v>
      </c>
    </row>
    <row r="2126" spans="1:12" ht="15" hidden="1">
      <c r="A2126" t="s">
        <v>1335</v>
      </c>
      <c r="B2126" t="s">
        <v>689</v>
      </c>
      <c r="D2126" t="s">
        <v>1457</v>
      </c>
      <c r="E2126" t="s">
        <v>1679</v>
      </c>
      <c r="F2126" t="s">
        <v>1272</v>
      </c>
      <c r="G2126" t="s">
        <v>627</v>
      </c>
      <c r="H2126" s="595">
        <v>-2671.56</v>
      </c>
      <c r="I2126" t="str">
        <f t="shared" si="114"/>
        <v>fevereiro 2026</v>
      </c>
      <c r="J2126">
        <f t="shared" si="115"/>
        <v>2026</v>
      </c>
      <c r="K2126" t="str">
        <f>VLOOKUP(G2126,METRICS!C:D,2,0)</f>
        <v>Manutenção e Conservação</v>
      </c>
      <c r="L2126" t="str">
        <f>VLOOKUP(K2126,METRICS!D:E,2,0)</f>
        <v>OPERAÇÃO</v>
      </c>
    </row>
    <row r="2127" spans="1:12" ht="15" hidden="1">
      <c r="A2127" t="s">
        <v>1335</v>
      </c>
      <c r="B2127" t="s">
        <v>689</v>
      </c>
      <c r="D2127" t="s">
        <v>883</v>
      </c>
      <c r="E2127" t="s">
        <v>746</v>
      </c>
      <c r="F2127" t="s">
        <v>1272</v>
      </c>
      <c r="G2127" t="s">
        <v>669</v>
      </c>
      <c r="H2127" s="595">
        <v>-76.400000000000006</v>
      </c>
      <c r="I2127" t="str">
        <f t="shared" si="114"/>
        <v>fevereiro 2026</v>
      </c>
      <c r="J2127">
        <f t="shared" si="115"/>
        <v>2026</v>
      </c>
      <c r="K2127" t="str">
        <f>VLOOKUP(G2127,METRICS!C:D,2,0)</f>
        <v>Taxas Financeiras Diversas</v>
      </c>
      <c r="L2127" t="str">
        <f>VLOOKUP(K2127,METRICS!D:E,2,0)</f>
        <v>TAXAS CARTÃO DE CRÉDITO</v>
      </c>
    </row>
    <row r="2128" spans="1:12" ht="15" hidden="1">
      <c r="A2128" t="s">
        <v>1336</v>
      </c>
      <c r="B2128" t="s">
        <v>612</v>
      </c>
      <c r="D2128" t="s">
        <v>1458</v>
      </c>
      <c r="E2128" t="s">
        <v>805</v>
      </c>
      <c r="F2128" t="s">
        <v>1272</v>
      </c>
      <c r="G2128" t="s">
        <v>609</v>
      </c>
      <c r="H2128" s="595">
        <v>-4664.01</v>
      </c>
      <c r="I2128" t="str">
        <f t="shared" si="114"/>
        <v>fevereiro 2026</v>
      </c>
      <c r="J2128">
        <f t="shared" si="115"/>
        <v>2026</v>
      </c>
      <c r="K2128" t="str">
        <f>VLOOKUP(G2128,METRICS!C:D,2,0)</f>
        <v>Carnes e Aves</v>
      </c>
      <c r="L2128" t="str">
        <f>VLOOKUP(K2128,METRICS!D:E,2,0)</f>
        <v>CUSTOS DOS PRODUTOS VENDIDOS</v>
      </c>
    </row>
    <row r="2129" spans="1:12" ht="15" hidden="1">
      <c r="A2129" t="s">
        <v>1336</v>
      </c>
      <c r="B2129" t="s">
        <v>612</v>
      </c>
      <c r="D2129" t="s">
        <v>1459</v>
      </c>
      <c r="E2129" t="s">
        <v>1239</v>
      </c>
      <c r="F2129" t="s">
        <v>1272</v>
      </c>
      <c r="G2129" t="s">
        <v>413</v>
      </c>
      <c r="H2129" s="595">
        <v>-333.22</v>
      </c>
      <c r="I2129" t="str">
        <f t="shared" si="114"/>
        <v>fevereiro 2026</v>
      </c>
      <c r="J2129">
        <f t="shared" si="115"/>
        <v>2026</v>
      </c>
      <c r="K2129" t="str">
        <f>VLOOKUP(G2129,METRICS!C:D,2,0)</f>
        <v>Pescados</v>
      </c>
      <c r="L2129" t="str">
        <f>VLOOKUP(K2129,METRICS!D:E,2,0)</f>
        <v>CUSTOS DOS PRODUTOS VENDIDOS</v>
      </c>
    </row>
    <row r="2130" spans="1:12" ht="15" hidden="1">
      <c r="A2130" t="s">
        <v>1337</v>
      </c>
      <c r="B2130" t="s">
        <v>612</v>
      </c>
      <c r="D2130" t="s">
        <v>1460</v>
      </c>
      <c r="E2130" t="s">
        <v>750</v>
      </c>
      <c r="F2130" t="s">
        <v>1272</v>
      </c>
      <c r="G2130" t="s">
        <v>610</v>
      </c>
      <c r="H2130" s="595">
        <v>-3184</v>
      </c>
      <c r="I2130" t="str">
        <f t="shared" si="114"/>
        <v>fevereiro 2026</v>
      </c>
      <c r="J2130">
        <f t="shared" si="115"/>
        <v>2026</v>
      </c>
      <c r="K2130" t="str">
        <f>VLOOKUP(G2130,METRICS!C:D,2,0)</f>
        <v>Carvão</v>
      </c>
      <c r="L2130" t="str">
        <f>VLOOKUP(K2130,METRICS!D:E,2,0)</f>
        <v>CUSTOS DOS PRODUTOS VENDIDOS</v>
      </c>
    </row>
    <row r="2131" spans="1:12" ht="15" hidden="1">
      <c r="A2131" t="s">
        <v>1337</v>
      </c>
      <c r="B2131" t="s">
        <v>612</v>
      </c>
      <c r="D2131" t="s">
        <v>1461</v>
      </c>
      <c r="E2131" t="s">
        <v>1005</v>
      </c>
      <c r="F2131" t="s">
        <v>1272</v>
      </c>
      <c r="G2131" t="s">
        <v>608</v>
      </c>
      <c r="H2131" s="595">
        <v>-3812</v>
      </c>
      <c r="I2131" t="str">
        <f t="shared" si="114"/>
        <v>fevereiro 2026</v>
      </c>
      <c r="J2131">
        <f t="shared" si="115"/>
        <v>2026</v>
      </c>
      <c r="K2131" t="str">
        <f>VLOOKUP(G2131,METRICS!C:D,2,0)</f>
        <v>Bebidas não Alcoolicas</v>
      </c>
      <c r="L2131" t="str">
        <f>VLOOKUP(K2131,METRICS!D:E,2,0)</f>
        <v>CUSTOS DOS PRODUTOS VENDIDOS</v>
      </c>
    </row>
    <row r="2132" spans="1:12" ht="15" hidden="1">
      <c r="A2132" t="s">
        <v>1337</v>
      </c>
      <c r="B2132" t="s">
        <v>689</v>
      </c>
      <c r="D2132" t="s">
        <v>883</v>
      </c>
      <c r="E2132" t="s">
        <v>746</v>
      </c>
      <c r="F2132" t="s">
        <v>1272</v>
      </c>
      <c r="G2132" t="s">
        <v>669</v>
      </c>
      <c r="H2132" s="595">
        <v>-62.02</v>
      </c>
      <c r="I2132" t="str">
        <f t="shared" si="114"/>
        <v>fevereiro 2026</v>
      </c>
      <c r="J2132">
        <f t="shared" si="115"/>
        <v>2026</v>
      </c>
      <c r="K2132" t="str">
        <f>VLOOKUP(G2132,METRICS!C:D,2,0)</f>
        <v>Taxas Financeiras Diversas</v>
      </c>
      <c r="L2132" t="str">
        <f>VLOOKUP(K2132,METRICS!D:E,2,0)</f>
        <v>TAXAS CARTÃO DE CRÉDITO</v>
      </c>
    </row>
    <row r="2133" spans="1:12" ht="15" hidden="1">
      <c r="A2133" t="s">
        <v>1337</v>
      </c>
      <c r="B2133" t="s">
        <v>689</v>
      </c>
      <c r="D2133" t="s">
        <v>1462</v>
      </c>
      <c r="E2133" t="s">
        <v>1680</v>
      </c>
      <c r="F2133" t="s">
        <v>1272</v>
      </c>
      <c r="G2133" t="s">
        <v>542</v>
      </c>
      <c r="H2133" s="595">
        <v>-318.92</v>
      </c>
      <c r="I2133" t="str">
        <f t="shared" si="114"/>
        <v>fevereiro 2026</v>
      </c>
      <c r="J2133">
        <f t="shared" si="115"/>
        <v>2026</v>
      </c>
      <c r="K2133" t="str">
        <f>VLOOKUP(G2133,METRICS!C:D,2,0)</f>
        <v>Vale Transporte</v>
      </c>
      <c r="L2133" t="str">
        <f>VLOOKUP(K2133,METRICS!D:E,2,0)</f>
        <v>PESSOAL</v>
      </c>
    </row>
    <row r="2134" spans="1:12" ht="15" hidden="1">
      <c r="A2134" t="s">
        <v>1337</v>
      </c>
      <c r="B2134" t="s">
        <v>689</v>
      </c>
      <c r="D2134" t="s">
        <v>1463</v>
      </c>
      <c r="E2134" t="s">
        <v>1681</v>
      </c>
      <c r="F2134" t="s">
        <v>1272</v>
      </c>
      <c r="G2134" t="s">
        <v>643</v>
      </c>
      <c r="H2134" s="595">
        <v>-6655.9</v>
      </c>
      <c r="I2134" t="str">
        <f t="shared" si="114"/>
        <v>fevereiro 2026</v>
      </c>
      <c r="J2134">
        <f t="shared" si="115"/>
        <v>2026</v>
      </c>
      <c r="K2134" t="str">
        <f>VLOOKUP(G2134,METRICS!C:D,2,0)</f>
        <v>Rescisões Trabalhistas</v>
      </c>
      <c r="L2134" t="str">
        <f>VLOOKUP(K2134,METRICS!D:E,2,0)</f>
        <v>PESSOAL</v>
      </c>
    </row>
    <row r="2135" spans="1:12" ht="15" hidden="1">
      <c r="A2135" t="s">
        <v>1337</v>
      </c>
      <c r="B2135" t="s">
        <v>612</v>
      </c>
      <c r="D2135" t="s">
        <v>1464</v>
      </c>
      <c r="E2135" t="s">
        <v>902</v>
      </c>
      <c r="F2135" t="s">
        <v>1272</v>
      </c>
      <c r="G2135" t="s">
        <v>1737</v>
      </c>
      <c r="H2135" s="595">
        <v>-1510</v>
      </c>
      <c r="I2135" t="str">
        <f t="shared" si="114"/>
        <v>fevereiro 2026</v>
      </c>
      <c r="J2135">
        <f t="shared" si="115"/>
        <v>2026</v>
      </c>
      <c r="K2135" t="str">
        <f>VLOOKUP(G2135,METRICS!C:D,2,0)</f>
        <v>Sistema e Software ADM</v>
      </c>
      <c r="L2135" t="str">
        <f>VLOOKUP(K2135,METRICS!D:E,2,0)</f>
        <v>ADMINISTRATIVA</v>
      </c>
    </row>
    <row r="2136" spans="1:12" ht="15" hidden="1">
      <c r="A2136" t="s">
        <v>1337</v>
      </c>
      <c r="B2136" t="s">
        <v>612</v>
      </c>
      <c r="D2136" t="s">
        <v>1465</v>
      </c>
      <c r="E2136" t="s">
        <v>936</v>
      </c>
      <c r="F2136" t="s">
        <v>1272</v>
      </c>
      <c r="G2136" t="s">
        <v>283</v>
      </c>
      <c r="H2136" s="595">
        <v>-3157</v>
      </c>
      <c r="I2136" t="str">
        <f t="shared" si="114"/>
        <v>fevereiro 2026</v>
      </c>
      <c r="J2136">
        <f t="shared" si="115"/>
        <v>2026</v>
      </c>
      <c r="K2136" t="str">
        <f>VLOOKUP(G2136,METRICS!C:D,2,0)</f>
        <v>Hostess</v>
      </c>
      <c r="L2136" t="str">
        <f>VLOOKUP(K2136,METRICS!D:E,2,0)</f>
        <v>OPERAÇÃO</v>
      </c>
    </row>
    <row r="2137" spans="1:12" ht="15" hidden="1">
      <c r="A2137" t="s">
        <v>1337</v>
      </c>
      <c r="B2137" t="s">
        <v>612</v>
      </c>
      <c r="D2137" t="s">
        <v>1466</v>
      </c>
      <c r="E2137" t="s">
        <v>878</v>
      </c>
      <c r="F2137" t="s">
        <v>1272</v>
      </c>
      <c r="G2137" t="s">
        <v>609</v>
      </c>
      <c r="H2137" s="595">
        <v>-377.12</v>
      </c>
      <c r="I2137" t="str">
        <f t="shared" si="114"/>
        <v>fevereiro 2026</v>
      </c>
      <c r="J2137">
        <f t="shared" si="115"/>
        <v>2026</v>
      </c>
      <c r="K2137" t="str">
        <f>VLOOKUP(G2137,METRICS!C:D,2,0)</f>
        <v>Carnes e Aves</v>
      </c>
      <c r="L2137" t="str">
        <f>VLOOKUP(K2137,METRICS!D:E,2,0)</f>
        <v>CUSTOS DOS PRODUTOS VENDIDOS</v>
      </c>
    </row>
    <row r="2138" spans="1:12" ht="15" hidden="1">
      <c r="A2138" t="s">
        <v>1337</v>
      </c>
      <c r="B2138" t="s">
        <v>612</v>
      </c>
      <c r="D2138" t="s">
        <v>1467</v>
      </c>
      <c r="E2138" t="s">
        <v>770</v>
      </c>
      <c r="F2138" t="s">
        <v>1272</v>
      </c>
      <c r="G2138" t="s">
        <v>630</v>
      </c>
      <c r="H2138" s="595">
        <v>-2006.21</v>
      </c>
      <c r="I2138" t="str">
        <f t="shared" si="114"/>
        <v>fevereiro 2026</v>
      </c>
      <c r="J2138">
        <f t="shared" si="115"/>
        <v>2026</v>
      </c>
      <c r="K2138" t="str">
        <f>VLOOKUP(G2138,METRICS!C:D,2,0)</f>
        <v>Material de Copa e Limpeza</v>
      </c>
      <c r="L2138" t="str">
        <f>VLOOKUP(K2138,METRICS!D:E,2,0)</f>
        <v>ADMINISTRATIVA</v>
      </c>
    </row>
    <row r="2139" spans="1:12" ht="15" hidden="1">
      <c r="A2139" t="s">
        <v>1337</v>
      </c>
      <c r="B2139" t="s">
        <v>612</v>
      </c>
      <c r="D2139" t="s">
        <v>1468</v>
      </c>
      <c r="E2139" t="s">
        <v>898</v>
      </c>
      <c r="F2139" t="s">
        <v>1272</v>
      </c>
      <c r="G2139" t="s">
        <v>623</v>
      </c>
      <c r="H2139" s="595">
        <v>-2044.98</v>
      </c>
      <c r="I2139" t="str">
        <f t="shared" si="114"/>
        <v>fevereiro 2026</v>
      </c>
      <c r="J2139">
        <f t="shared" si="115"/>
        <v>2026</v>
      </c>
      <c r="K2139" t="str">
        <f>VLOOKUP(G2139,METRICS!C:D,2,0)</f>
        <v>Secos - Mercearia</v>
      </c>
      <c r="L2139" t="str">
        <f>VLOOKUP(K2139,METRICS!D:E,2,0)</f>
        <v>CUSTOS DOS PRODUTOS VENDIDOS</v>
      </c>
    </row>
    <row r="2140" spans="1:12" ht="15" hidden="1">
      <c r="A2140" t="s">
        <v>1337</v>
      </c>
      <c r="B2140" t="s">
        <v>689</v>
      </c>
      <c r="D2140" t="s">
        <v>1469</v>
      </c>
      <c r="E2140" t="s">
        <v>1682</v>
      </c>
      <c r="F2140" t="s">
        <v>1272</v>
      </c>
      <c r="G2140" t="s">
        <v>621</v>
      </c>
      <c r="H2140" s="595">
        <v>-4000</v>
      </c>
      <c r="I2140" t="str">
        <f t="shared" si="114"/>
        <v>fevereiro 2026</v>
      </c>
      <c r="J2140">
        <f t="shared" si="115"/>
        <v>2026</v>
      </c>
      <c r="K2140" t="str">
        <f>VLOOKUP(G2140,METRICS!C:D,2,0)</f>
        <v>Influencer</v>
      </c>
      <c r="L2140" t="str">
        <f>VLOOKUP(K2140,METRICS!D:E,2,0)</f>
        <v>MARKETING</v>
      </c>
    </row>
    <row r="2141" spans="1:12" ht="15" hidden="1">
      <c r="A2141" t="s">
        <v>1337</v>
      </c>
      <c r="B2141" t="s">
        <v>689</v>
      </c>
      <c r="D2141" t="s">
        <v>756</v>
      </c>
      <c r="E2141" t="s">
        <v>757</v>
      </c>
      <c r="F2141" t="s">
        <v>1272</v>
      </c>
      <c r="G2141" t="s">
        <v>666</v>
      </c>
      <c r="H2141" s="595">
        <v>-47.58</v>
      </c>
      <c r="I2141" t="str">
        <f t="shared" si="114"/>
        <v>fevereiro 2026</v>
      </c>
      <c r="J2141">
        <f t="shared" si="115"/>
        <v>2026</v>
      </c>
      <c r="K2141" t="str">
        <f>VLOOKUP(G2141,METRICS!C:D,2,0)</f>
        <v>Encargos Bancarios</v>
      </c>
      <c r="L2141" t="str">
        <f>VLOOKUP(K2141,METRICS!D:E,2,0)</f>
        <v>DESPESAS FINANCEIRAS</v>
      </c>
    </row>
    <row r="2142" spans="1:12" ht="15" hidden="1">
      <c r="A2142" t="s">
        <v>1337</v>
      </c>
      <c r="B2142" t="s">
        <v>612</v>
      </c>
      <c r="D2142" t="s">
        <v>1470</v>
      </c>
      <c r="E2142" t="s">
        <v>727</v>
      </c>
      <c r="F2142" t="s">
        <v>1272</v>
      </c>
      <c r="G2142" t="s">
        <v>620</v>
      </c>
      <c r="H2142" s="595">
        <v>-5532.12</v>
      </c>
      <c r="I2142" t="str">
        <f t="shared" si="114"/>
        <v>fevereiro 2026</v>
      </c>
      <c r="J2142">
        <f t="shared" si="115"/>
        <v>2026</v>
      </c>
      <c r="K2142" t="str">
        <f>VLOOKUP(G2142,METRICS!C:D,2,0)</f>
        <v>Hortifruti</v>
      </c>
      <c r="L2142" t="str">
        <f>VLOOKUP(K2142,METRICS!D:E,2,0)</f>
        <v>CUSTOS DOS PRODUTOS VENDIDOS</v>
      </c>
    </row>
    <row r="2143" spans="1:12" ht="15" hidden="1">
      <c r="A2143" t="s">
        <v>1337</v>
      </c>
      <c r="B2143" t="s">
        <v>612</v>
      </c>
      <c r="D2143" t="s">
        <v>1471</v>
      </c>
      <c r="E2143" t="s">
        <v>774</v>
      </c>
      <c r="F2143" t="s">
        <v>1272</v>
      </c>
      <c r="G2143" t="s">
        <v>629</v>
      </c>
      <c r="H2143" s="595">
        <v>-4827.5</v>
      </c>
      <c r="I2143" t="str">
        <f t="shared" si="114"/>
        <v>fevereiro 2026</v>
      </c>
      <c r="J2143">
        <f t="shared" si="115"/>
        <v>2026</v>
      </c>
      <c r="K2143" t="str">
        <f>VLOOKUP(G2143,METRICS!C:D,2,0)</f>
        <v>Material de limpeza</v>
      </c>
      <c r="L2143" t="str">
        <f>VLOOKUP(K2143,METRICS!D:E,2,0)</f>
        <v>OPERAÇÃO</v>
      </c>
    </row>
    <row r="2144" spans="1:12" ht="15" hidden="1">
      <c r="A2144" t="s">
        <v>1337</v>
      </c>
      <c r="B2144" t="s">
        <v>612</v>
      </c>
      <c r="D2144" t="s">
        <v>1472</v>
      </c>
      <c r="E2144" t="s">
        <v>898</v>
      </c>
      <c r="F2144" t="s">
        <v>1272</v>
      </c>
      <c r="G2144" t="s">
        <v>609</v>
      </c>
      <c r="H2144" s="595">
        <v>-1017.75</v>
      </c>
      <c r="I2144" t="str">
        <f t="shared" si="114"/>
        <v>fevereiro 2026</v>
      </c>
      <c r="J2144">
        <f t="shared" si="115"/>
        <v>2026</v>
      </c>
      <c r="K2144" t="str">
        <f>VLOOKUP(G2144,METRICS!C:D,2,0)</f>
        <v>Carnes e Aves</v>
      </c>
      <c r="L2144" t="str">
        <f>VLOOKUP(K2144,METRICS!D:E,2,0)</f>
        <v>CUSTOS DOS PRODUTOS VENDIDOS</v>
      </c>
    </row>
    <row r="2145" spans="1:12" ht="15" hidden="1">
      <c r="A2145" t="s">
        <v>1337</v>
      </c>
      <c r="B2145" t="s">
        <v>612</v>
      </c>
      <c r="D2145" t="s">
        <v>1473</v>
      </c>
      <c r="E2145" t="s">
        <v>770</v>
      </c>
      <c r="F2145" t="s">
        <v>1272</v>
      </c>
      <c r="G2145" t="s">
        <v>630</v>
      </c>
      <c r="H2145" s="595">
        <v>-190.2</v>
      </c>
      <c r="I2145" t="str">
        <f t="shared" si="114"/>
        <v>fevereiro 2026</v>
      </c>
      <c r="J2145">
        <f t="shared" si="115"/>
        <v>2026</v>
      </c>
      <c r="K2145" t="str">
        <f>VLOOKUP(G2145,METRICS!C:D,2,0)</f>
        <v>Material de Copa e Limpeza</v>
      </c>
      <c r="L2145" t="str">
        <f>VLOOKUP(K2145,METRICS!D:E,2,0)</f>
        <v>ADMINISTRATIVA</v>
      </c>
    </row>
    <row r="2146" spans="1:12" ht="15" hidden="1">
      <c r="A2146" t="s">
        <v>1337</v>
      </c>
      <c r="B2146" t="s">
        <v>612</v>
      </c>
      <c r="D2146" t="s">
        <v>1474</v>
      </c>
      <c r="E2146" t="s">
        <v>765</v>
      </c>
      <c r="F2146" t="s">
        <v>1272</v>
      </c>
      <c r="G2146" t="s">
        <v>619</v>
      </c>
      <c r="H2146" s="595">
        <v>-509.6</v>
      </c>
      <c r="I2146" t="str">
        <f t="shared" si="114"/>
        <v>fevereiro 2026</v>
      </c>
      <c r="J2146">
        <f t="shared" si="115"/>
        <v>2026</v>
      </c>
      <c r="K2146" t="str">
        <f>VLOOKUP(G2146,METRICS!C:D,2,0)</f>
        <v>Gelo</v>
      </c>
      <c r="L2146" t="str">
        <f>VLOOKUP(K2146,METRICS!D:E,2,0)</f>
        <v>CUSTOS DOS PRODUTOS VENDIDOS</v>
      </c>
    </row>
    <row r="2147" spans="1:12" ht="15" hidden="1">
      <c r="A2147" t="s">
        <v>1337</v>
      </c>
      <c r="B2147" t="s">
        <v>612</v>
      </c>
      <c r="D2147" t="s">
        <v>1475</v>
      </c>
      <c r="E2147" t="s">
        <v>745</v>
      </c>
      <c r="F2147" t="s">
        <v>1272</v>
      </c>
      <c r="G2147" t="s">
        <v>620</v>
      </c>
      <c r="H2147" s="595">
        <v>-544.35</v>
      </c>
      <c r="I2147" t="str">
        <f t="shared" si="114"/>
        <v>fevereiro 2026</v>
      </c>
      <c r="J2147">
        <f t="shared" si="115"/>
        <v>2026</v>
      </c>
      <c r="K2147" t="str">
        <f>VLOOKUP(G2147,METRICS!C:D,2,0)</f>
        <v>Hortifruti</v>
      </c>
      <c r="L2147" t="str">
        <f>VLOOKUP(K2147,METRICS!D:E,2,0)</f>
        <v>CUSTOS DOS PRODUTOS VENDIDOS</v>
      </c>
    </row>
    <row r="2148" spans="1:12" ht="15" hidden="1">
      <c r="A2148" t="s">
        <v>1337</v>
      </c>
      <c r="B2148" t="s">
        <v>612</v>
      </c>
      <c r="D2148" t="s">
        <v>1476</v>
      </c>
      <c r="E2148" t="s">
        <v>738</v>
      </c>
      <c r="F2148" t="s">
        <v>1272</v>
      </c>
      <c r="G2148" t="s">
        <v>623</v>
      </c>
      <c r="H2148" s="595">
        <v>-1644.23</v>
      </c>
      <c r="I2148" t="str">
        <f t="shared" si="114"/>
        <v>fevereiro 2026</v>
      </c>
      <c r="J2148">
        <f t="shared" si="115"/>
        <v>2026</v>
      </c>
      <c r="K2148" t="str">
        <f>VLOOKUP(G2148,METRICS!C:D,2,0)</f>
        <v>Secos - Mercearia</v>
      </c>
      <c r="L2148" t="str">
        <f>VLOOKUP(K2148,METRICS!D:E,2,0)</f>
        <v>CUSTOS DOS PRODUTOS VENDIDOS</v>
      </c>
    </row>
    <row r="2149" spans="1:12" ht="15">
      <c r="A2149" t="s">
        <v>1337</v>
      </c>
      <c r="B2149" t="s">
        <v>689</v>
      </c>
      <c r="D2149" t="s">
        <v>1386</v>
      </c>
      <c r="E2149" t="s">
        <v>1667</v>
      </c>
      <c r="F2149" t="s">
        <v>1272</v>
      </c>
      <c r="G2149" t="s">
        <v>1718</v>
      </c>
      <c r="H2149" s="595">
        <v>-291.69</v>
      </c>
      <c r="I2149" t="str">
        <f t="shared" si="114"/>
        <v>fevereiro 2026</v>
      </c>
      <c r="J2149">
        <f t="shared" si="115"/>
        <v>2026</v>
      </c>
      <c r="K2149" t="str">
        <f>VLOOKUP(G2149,METRICS!C:D,2,0)</f>
        <v>Utensílios</v>
      </c>
      <c r="L2149" t="str">
        <f>VLOOKUP(K2149,METRICS!D:E,2,0)</f>
        <v>OPERAÇÃO</v>
      </c>
    </row>
    <row r="2150" spans="1:12" ht="15" hidden="1">
      <c r="A2150" t="s">
        <v>1337</v>
      </c>
      <c r="B2150" t="s">
        <v>612</v>
      </c>
      <c r="D2150" t="s">
        <v>1477</v>
      </c>
      <c r="E2150" t="s">
        <v>1012</v>
      </c>
      <c r="F2150" t="s">
        <v>1272</v>
      </c>
      <c r="G2150" t="s">
        <v>611</v>
      </c>
      <c r="H2150" s="595">
        <v>-1474.97</v>
      </c>
      <c r="I2150" t="str">
        <f t="shared" si="114"/>
        <v>fevereiro 2026</v>
      </c>
      <c r="J2150">
        <f t="shared" si="115"/>
        <v>2026</v>
      </c>
      <c r="K2150" t="str">
        <f>VLOOKUP(G2150,METRICS!C:D,2,0)</f>
        <v>Bebidas Alcoólicas</v>
      </c>
      <c r="L2150" t="str">
        <f>VLOOKUP(K2150,METRICS!D:E,2,0)</f>
        <v>CUSTOS DOS PRODUTOS VENDIDOS</v>
      </c>
    </row>
    <row r="2151" spans="1:12" ht="15" hidden="1">
      <c r="A2151" t="s">
        <v>1338</v>
      </c>
      <c r="B2151" t="s">
        <v>612</v>
      </c>
      <c r="D2151" t="s">
        <v>1478</v>
      </c>
      <c r="E2151" t="s">
        <v>890</v>
      </c>
      <c r="F2151" t="s">
        <v>1272</v>
      </c>
      <c r="G2151" s="518" t="s">
        <v>1736</v>
      </c>
      <c r="H2151" s="595">
        <v>-373.43</v>
      </c>
      <c r="I2151" t="str">
        <f t="shared" si="114"/>
        <v>fevereiro 2026</v>
      </c>
      <c r="J2151">
        <f t="shared" si="115"/>
        <v>2026</v>
      </c>
      <c r="K2151" t="str">
        <f>VLOOKUP(G2151,METRICS!C:D,2,0)</f>
        <v>Sistema e Software OP</v>
      </c>
      <c r="L2151" t="str">
        <f>VLOOKUP(K2151,METRICS!D:E,2,0)</f>
        <v>OPERAÇÃO</v>
      </c>
    </row>
    <row r="2152" spans="1:12" ht="15" hidden="1">
      <c r="A2152" t="s">
        <v>1338</v>
      </c>
      <c r="B2152" t="s">
        <v>689</v>
      </c>
      <c r="D2152" t="s">
        <v>1479</v>
      </c>
      <c r="E2152" t="s">
        <v>794</v>
      </c>
      <c r="F2152" t="s">
        <v>1272</v>
      </c>
      <c r="G2152" t="s">
        <v>1721</v>
      </c>
      <c r="H2152" s="595">
        <v>-121.21</v>
      </c>
      <c r="I2152" t="str">
        <f t="shared" si="114"/>
        <v>fevereiro 2026</v>
      </c>
      <c r="J2152">
        <f t="shared" si="115"/>
        <v>2026</v>
      </c>
      <c r="K2152" t="str">
        <f>VLOOKUP(G2152,METRICS!C:D,2,0)</f>
        <v>Manutenção e Conservação</v>
      </c>
      <c r="L2152" t="str">
        <f>VLOOKUP(K2152,METRICS!D:E,2,0)</f>
        <v>OPERAÇÃO</v>
      </c>
    </row>
    <row r="2153" spans="1:12" ht="15" hidden="1">
      <c r="A2153" t="s">
        <v>1338</v>
      </c>
      <c r="B2153" t="s">
        <v>612</v>
      </c>
      <c r="D2153" t="s">
        <v>1480</v>
      </c>
      <c r="E2153" t="s">
        <v>807</v>
      </c>
      <c r="F2153" t="s">
        <v>1272</v>
      </c>
      <c r="G2153" t="s">
        <v>609</v>
      </c>
      <c r="H2153" s="595">
        <v>-1075.25</v>
      </c>
      <c r="I2153" t="str">
        <f t="shared" si="114"/>
        <v>fevereiro 2026</v>
      </c>
      <c r="J2153">
        <f t="shared" si="115"/>
        <v>2026</v>
      </c>
      <c r="K2153" t="str">
        <f>VLOOKUP(G2153,METRICS!C:D,2,0)</f>
        <v>Carnes e Aves</v>
      </c>
      <c r="L2153" t="str">
        <f>VLOOKUP(K2153,METRICS!D:E,2,0)</f>
        <v>CUSTOS DOS PRODUTOS VENDIDOS</v>
      </c>
    </row>
    <row r="2154" spans="1:12" ht="15" hidden="1">
      <c r="A2154" t="s">
        <v>1338</v>
      </c>
      <c r="B2154" t="s">
        <v>612</v>
      </c>
      <c r="D2154" t="s">
        <v>1481</v>
      </c>
      <c r="E2154" t="s">
        <v>834</v>
      </c>
      <c r="F2154" t="s">
        <v>1272</v>
      </c>
      <c r="G2154" t="s">
        <v>413</v>
      </c>
      <c r="H2154" s="595">
        <v>-6170.25</v>
      </c>
      <c r="I2154" t="str">
        <f t="shared" si="114"/>
        <v>fevereiro 2026</v>
      </c>
      <c r="J2154">
        <f t="shared" si="115"/>
        <v>2026</v>
      </c>
      <c r="K2154" t="str">
        <f>VLOOKUP(G2154,METRICS!C:D,2,0)</f>
        <v>Pescados</v>
      </c>
      <c r="L2154" t="str">
        <f>VLOOKUP(K2154,METRICS!D:E,2,0)</f>
        <v>CUSTOS DOS PRODUTOS VENDIDOS</v>
      </c>
    </row>
    <row r="2155" spans="1:12" ht="15" hidden="1">
      <c r="A2155" t="s">
        <v>1338</v>
      </c>
      <c r="B2155" t="s">
        <v>689</v>
      </c>
      <c r="D2155" t="s">
        <v>817</v>
      </c>
      <c r="E2155" t="str">
        <f>D2155</f>
        <v>PAGAMENTO EXTRA</v>
      </c>
      <c r="F2155" t="s">
        <v>1272</v>
      </c>
      <c r="G2155" t="s">
        <v>664</v>
      </c>
      <c r="H2155" s="595">
        <v>-80</v>
      </c>
      <c r="I2155" t="str">
        <f t="shared" si="114"/>
        <v>fevereiro 2026</v>
      </c>
      <c r="J2155">
        <f t="shared" si="115"/>
        <v>2026</v>
      </c>
      <c r="K2155" t="str">
        <f>VLOOKUP(G2155,METRICS!C:D,2,0)</f>
        <v>Colaborador Extra</v>
      </c>
      <c r="L2155" t="str">
        <f>VLOOKUP(K2155,METRICS!D:E,2,0)</f>
        <v>PESSOAL</v>
      </c>
    </row>
    <row r="2156" spans="1:12" ht="15" hidden="1">
      <c r="A2156" t="s">
        <v>1338</v>
      </c>
      <c r="B2156" t="s">
        <v>612</v>
      </c>
      <c r="D2156" t="s">
        <v>1482</v>
      </c>
      <c r="E2156" t="s">
        <v>832</v>
      </c>
      <c r="F2156" t="s">
        <v>1272</v>
      </c>
      <c r="G2156" t="s">
        <v>633</v>
      </c>
      <c r="H2156" s="595">
        <v>-231.35</v>
      </c>
      <c r="I2156" t="str">
        <f t="shared" si="114"/>
        <v>fevereiro 2026</v>
      </c>
      <c r="J2156">
        <f t="shared" si="115"/>
        <v>2026</v>
      </c>
      <c r="K2156" t="str">
        <f>VLOOKUP(G2156,METRICS!C:D,2,0)</f>
        <v>Paes, Massas e Salgados</v>
      </c>
      <c r="L2156" t="str">
        <f>VLOOKUP(K2156,METRICS!D:E,2,0)</f>
        <v>CUSTOS DOS PRODUTOS VENDIDOS</v>
      </c>
    </row>
    <row r="2157" spans="1:12" ht="15" hidden="1">
      <c r="A2157" t="s">
        <v>1338</v>
      </c>
      <c r="B2157" t="s">
        <v>612</v>
      </c>
      <c r="D2157" t="s">
        <v>1483</v>
      </c>
      <c r="E2157" t="s">
        <v>805</v>
      </c>
      <c r="F2157" t="s">
        <v>1272</v>
      </c>
      <c r="G2157" t="s">
        <v>609</v>
      </c>
      <c r="H2157" s="595">
        <v>-2471.77</v>
      </c>
      <c r="I2157" t="str">
        <f t="shared" si="114"/>
        <v>fevereiro 2026</v>
      </c>
      <c r="J2157">
        <f t="shared" si="115"/>
        <v>2026</v>
      </c>
      <c r="K2157" t="str">
        <f>VLOOKUP(G2157,METRICS!C:D,2,0)</f>
        <v>Carnes e Aves</v>
      </c>
      <c r="L2157" t="str">
        <f>VLOOKUP(K2157,METRICS!D:E,2,0)</f>
        <v>CUSTOS DOS PRODUTOS VENDIDOS</v>
      </c>
    </row>
    <row r="2158" spans="1:12" ht="15" hidden="1">
      <c r="A2158" t="s">
        <v>1338</v>
      </c>
      <c r="B2158" t="s">
        <v>612</v>
      </c>
      <c r="D2158" t="s">
        <v>1484</v>
      </c>
      <c r="E2158" t="s">
        <v>1683</v>
      </c>
      <c r="F2158" t="s">
        <v>1272</v>
      </c>
      <c r="G2158" t="s">
        <v>633</v>
      </c>
      <c r="H2158" s="595">
        <v>-339.63</v>
      </c>
      <c r="I2158" t="str">
        <f t="shared" si="114"/>
        <v>fevereiro 2026</v>
      </c>
      <c r="J2158">
        <f t="shared" si="115"/>
        <v>2026</v>
      </c>
      <c r="K2158" t="str">
        <f>VLOOKUP(G2158,METRICS!C:D,2,0)</f>
        <v>Paes, Massas e Salgados</v>
      </c>
      <c r="L2158" t="str">
        <f>VLOOKUP(K2158,METRICS!D:E,2,0)</f>
        <v>CUSTOS DOS PRODUTOS VENDIDOS</v>
      </c>
    </row>
    <row r="2159" spans="1:12" ht="15" hidden="1">
      <c r="A2159" t="s">
        <v>1338</v>
      </c>
      <c r="B2159" t="s">
        <v>689</v>
      </c>
      <c r="D2159" t="s">
        <v>1485</v>
      </c>
      <c r="E2159" t="str">
        <f>D2159</f>
        <v>EXTRAS - TESTE RH</v>
      </c>
      <c r="F2159" t="s">
        <v>1272</v>
      </c>
      <c r="G2159" t="s">
        <v>664</v>
      </c>
      <c r="H2159" s="595">
        <v>-480</v>
      </c>
      <c r="I2159" t="str">
        <f t="shared" si="114"/>
        <v>fevereiro 2026</v>
      </c>
      <c r="J2159">
        <f t="shared" si="115"/>
        <v>2026</v>
      </c>
      <c r="K2159" t="str">
        <f>VLOOKUP(G2159,METRICS!C:D,2,0)</f>
        <v>Colaborador Extra</v>
      </c>
      <c r="L2159" t="str">
        <f>VLOOKUP(K2159,METRICS!D:E,2,0)</f>
        <v>PESSOAL</v>
      </c>
    </row>
    <row r="2160" spans="1:12" ht="15" hidden="1">
      <c r="A2160" t="s">
        <v>1338</v>
      </c>
      <c r="B2160" t="s">
        <v>612</v>
      </c>
      <c r="D2160" t="s">
        <v>1486</v>
      </c>
      <c r="E2160" t="s">
        <v>748</v>
      </c>
      <c r="F2160" t="s">
        <v>1272</v>
      </c>
      <c r="G2160" t="s">
        <v>605</v>
      </c>
      <c r="H2160" s="595">
        <v>-1342.58</v>
      </c>
      <c r="I2160" t="str">
        <f t="shared" si="114"/>
        <v>fevereiro 2026</v>
      </c>
      <c r="J2160">
        <f t="shared" si="115"/>
        <v>2026</v>
      </c>
      <c r="K2160" t="str">
        <f>VLOOKUP(G2160,METRICS!C:D,2,0)</f>
        <v>Beneficios</v>
      </c>
      <c r="L2160" t="str">
        <f>VLOOKUP(K2160,METRICS!D:E,2,0)</f>
        <v>PESSOAL</v>
      </c>
    </row>
    <row r="2161" spans="1:12" ht="15" hidden="1">
      <c r="A2161" t="s">
        <v>1338</v>
      </c>
      <c r="B2161" t="s">
        <v>612</v>
      </c>
      <c r="D2161" t="s">
        <v>1487</v>
      </c>
      <c r="E2161" t="s">
        <v>872</v>
      </c>
      <c r="F2161" t="s">
        <v>1272</v>
      </c>
      <c r="G2161" t="s">
        <v>608</v>
      </c>
      <c r="H2161" s="595">
        <v>-1157.76</v>
      </c>
      <c r="I2161" t="str">
        <f t="shared" si="114"/>
        <v>fevereiro 2026</v>
      </c>
      <c r="J2161">
        <f t="shared" si="115"/>
        <v>2026</v>
      </c>
      <c r="K2161" t="str">
        <f>VLOOKUP(G2161,METRICS!C:D,2,0)</f>
        <v>Bebidas não Alcoolicas</v>
      </c>
      <c r="L2161" t="str">
        <f>VLOOKUP(K2161,METRICS!D:E,2,0)</f>
        <v>CUSTOS DOS PRODUTOS VENDIDOS</v>
      </c>
    </row>
    <row r="2162" spans="1:12" ht="15" hidden="1">
      <c r="A2162" t="s">
        <v>1338</v>
      </c>
      <c r="B2162" t="s">
        <v>612</v>
      </c>
      <c r="D2162" t="s">
        <v>1488</v>
      </c>
      <c r="E2162" t="s">
        <v>752</v>
      </c>
      <c r="F2162" t="s">
        <v>1272</v>
      </c>
      <c r="G2162" t="s">
        <v>609</v>
      </c>
      <c r="H2162" s="595">
        <v>-2809.22</v>
      </c>
      <c r="I2162" t="str">
        <f t="shared" si="114"/>
        <v>fevereiro 2026</v>
      </c>
      <c r="J2162">
        <f t="shared" si="115"/>
        <v>2026</v>
      </c>
      <c r="K2162" t="str">
        <f>VLOOKUP(G2162,METRICS!C:D,2,0)</f>
        <v>Carnes e Aves</v>
      </c>
      <c r="L2162" t="str">
        <f>VLOOKUP(K2162,METRICS!D:E,2,0)</f>
        <v>CUSTOS DOS PRODUTOS VENDIDOS</v>
      </c>
    </row>
    <row r="2163" spans="1:12" ht="15" hidden="1">
      <c r="A2163" t="s">
        <v>1338</v>
      </c>
      <c r="B2163" t="s">
        <v>612</v>
      </c>
      <c r="D2163" t="s">
        <v>1489</v>
      </c>
      <c r="E2163" t="s">
        <v>811</v>
      </c>
      <c r="F2163" t="s">
        <v>1272</v>
      </c>
      <c r="G2163" t="s">
        <v>636</v>
      </c>
      <c r="H2163" s="595">
        <v>-1701.57</v>
      </c>
      <c r="I2163" t="str">
        <f t="shared" si="114"/>
        <v>fevereiro 2026</v>
      </c>
      <c r="J2163">
        <f t="shared" si="115"/>
        <v>2026</v>
      </c>
      <c r="K2163" t="str">
        <f>VLOOKUP(G2163,METRICS!C:D,2,0)</f>
        <v>Secos - Mercearia</v>
      </c>
      <c r="L2163" t="str">
        <f>VLOOKUP(K2163,METRICS!D:E,2,0)</f>
        <v>CUSTOS DOS PRODUTOS VENDIDOS</v>
      </c>
    </row>
    <row r="2164" spans="1:12" ht="15" hidden="1">
      <c r="A2164" t="s">
        <v>1338</v>
      </c>
      <c r="B2164" t="s">
        <v>689</v>
      </c>
      <c r="D2164" t="s">
        <v>756</v>
      </c>
      <c r="E2164" t="s">
        <v>757</v>
      </c>
      <c r="F2164" t="s">
        <v>1272</v>
      </c>
      <c r="G2164" t="s">
        <v>666</v>
      </c>
      <c r="H2164" s="595">
        <v>-61.15</v>
      </c>
      <c r="I2164" t="str">
        <f t="shared" si="114"/>
        <v>fevereiro 2026</v>
      </c>
      <c r="J2164">
        <f t="shared" si="115"/>
        <v>2026</v>
      </c>
      <c r="K2164" t="str">
        <f>VLOOKUP(G2164,METRICS!C:D,2,0)</f>
        <v>Encargos Bancarios</v>
      </c>
      <c r="L2164" t="str">
        <f>VLOOKUP(K2164,METRICS!D:E,2,0)</f>
        <v>DESPESAS FINANCEIRAS</v>
      </c>
    </row>
    <row r="2165" spans="1:12" ht="15" hidden="1">
      <c r="A2165" t="s">
        <v>1338</v>
      </c>
      <c r="B2165" t="s">
        <v>612</v>
      </c>
      <c r="D2165" t="s">
        <v>1490</v>
      </c>
      <c r="E2165" t="s">
        <v>892</v>
      </c>
      <c r="F2165" t="s">
        <v>1272</v>
      </c>
      <c r="G2165" t="s">
        <v>625</v>
      </c>
      <c r="H2165" s="595">
        <v>-190</v>
      </c>
      <c r="I2165" t="str">
        <f t="shared" si="114"/>
        <v>fevereiro 2026</v>
      </c>
      <c r="J2165">
        <f t="shared" si="115"/>
        <v>2026</v>
      </c>
      <c r="K2165" t="str">
        <f>VLOOKUP(G2165,METRICS!C:D,2,0)</f>
        <v>Manutenção e Conservação</v>
      </c>
      <c r="L2165" t="str">
        <f>VLOOKUP(K2165,METRICS!D:E,2,0)</f>
        <v>OPERAÇÃO</v>
      </c>
    </row>
    <row r="2166" spans="1:12" ht="15" hidden="1">
      <c r="A2166" t="s">
        <v>1338</v>
      </c>
      <c r="B2166" t="s">
        <v>689</v>
      </c>
      <c r="D2166" t="s">
        <v>1491</v>
      </c>
      <c r="E2166" t="str">
        <f>D2166</f>
        <v>MELLANY - VT - AJUDA DE CUSTO</v>
      </c>
      <c r="F2166" t="s">
        <v>1272</v>
      </c>
      <c r="G2166" t="s">
        <v>542</v>
      </c>
      <c r="H2166" s="595">
        <v>-300</v>
      </c>
      <c r="I2166" t="str">
        <f t="shared" si="114"/>
        <v>fevereiro 2026</v>
      </c>
      <c r="J2166">
        <f t="shared" si="115"/>
        <v>2026</v>
      </c>
      <c r="K2166" t="str">
        <f>VLOOKUP(G2166,METRICS!C:D,2,0)</f>
        <v>Vale Transporte</v>
      </c>
      <c r="L2166" t="str">
        <f>VLOOKUP(K2166,METRICS!D:E,2,0)</f>
        <v>PESSOAL</v>
      </c>
    </row>
    <row r="2167" spans="1:12" ht="15" hidden="1">
      <c r="A2167" t="s">
        <v>1338</v>
      </c>
      <c r="B2167" t="s">
        <v>612</v>
      </c>
      <c r="D2167" t="s">
        <v>1492</v>
      </c>
      <c r="E2167" t="s">
        <v>752</v>
      </c>
      <c r="F2167" t="s">
        <v>1272</v>
      </c>
      <c r="G2167" t="s">
        <v>605</v>
      </c>
      <c r="H2167" s="595">
        <v>-5481.42</v>
      </c>
      <c r="I2167" t="str">
        <f t="shared" si="114"/>
        <v>fevereiro 2026</v>
      </c>
      <c r="J2167">
        <f t="shared" si="115"/>
        <v>2026</v>
      </c>
      <c r="K2167" t="str">
        <f>VLOOKUP(G2167,METRICS!C:D,2,0)</f>
        <v>Beneficios</v>
      </c>
      <c r="L2167" t="str">
        <f>VLOOKUP(K2167,METRICS!D:E,2,0)</f>
        <v>PESSOAL</v>
      </c>
    </row>
    <row r="2168" spans="1:12" ht="15" hidden="1">
      <c r="A2168" t="s">
        <v>1338</v>
      </c>
      <c r="B2168" t="s">
        <v>612</v>
      </c>
      <c r="D2168" t="s">
        <v>1493</v>
      </c>
      <c r="E2168" t="s">
        <v>805</v>
      </c>
      <c r="F2168" t="s">
        <v>1272</v>
      </c>
      <c r="G2168" t="s">
        <v>609</v>
      </c>
      <c r="H2168" s="595">
        <v>-10663.44</v>
      </c>
      <c r="I2168" t="str">
        <f t="shared" si="114"/>
        <v>fevereiro 2026</v>
      </c>
      <c r="J2168">
        <f t="shared" si="115"/>
        <v>2026</v>
      </c>
      <c r="K2168" t="str">
        <f>VLOOKUP(G2168,METRICS!C:D,2,0)</f>
        <v>Carnes e Aves</v>
      </c>
      <c r="L2168" t="str">
        <f>VLOOKUP(K2168,METRICS!D:E,2,0)</f>
        <v>CUSTOS DOS PRODUTOS VENDIDOS</v>
      </c>
    </row>
    <row r="2169" spans="1:12" ht="15" hidden="1">
      <c r="A2169" t="s">
        <v>1338</v>
      </c>
      <c r="B2169" t="s">
        <v>689</v>
      </c>
      <c r="D2169" t="s">
        <v>883</v>
      </c>
      <c r="E2169" t="s">
        <v>746</v>
      </c>
      <c r="F2169" t="s">
        <v>1272</v>
      </c>
      <c r="G2169" t="s">
        <v>669</v>
      </c>
      <c r="H2169" s="595">
        <v>-285.52999999999997</v>
      </c>
      <c r="I2169" t="str">
        <f t="shared" si="114"/>
        <v>fevereiro 2026</v>
      </c>
      <c r="J2169">
        <f t="shared" si="115"/>
        <v>2026</v>
      </c>
      <c r="K2169" t="str">
        <f>VLOOKUP(G2169,METRICS!C:D,2,0)</f>
        <v>Taxas Financeiras Diversas</v>
      </c>
      <c r="L2169" t="str">
        <f>VLOOKUP(K2169,METRICS!D:E,2,0)</f>
        <v>TAXAS CARTÃO DE CRÉDITO</v>
      </c>
    </row>
    <row r="2170" spans="1:12" ht="15" hidden="1">
      <c r="A2170" t="s">
        <v>1338</v>
      </c>
      <c r="B2170" t="s">
        <v>612</v>
      </c>
      <c r="D2170" t="s">
        <v>1494</v>
      </c>
      <c r="E2170" t="s">
        <v>964</v>
      </c>
      <c r="F2170" t="s">
        <v>1272</v>
      </c>
      <c r="G2170" t="s">
        <v>607</v>
      </c>
      <c r="H2170" s="595">
        <v>-5257.08</v>
      </c>
      <c r="I2170" t="str">
        <f t="shared" si="114"/>
        <v>fevereiro 2026</v>
      </c>
      <c r="J2170">
        <f t="shared" si="115"/>
        <v>2026</v>
      </c>
      <c r="K2170" t="str">
        <f>VLOOKUP(G2170,METRICS!C:D,2,0)</f>
        <v>Bebidas Alcoólicas</v>
      </c>
      <c r="L2170" t="str">
        <f>VLOOKUP(K2170,METRICS!D:E,2,0)</f>
        <v>CUSTOS DOS PRODUTOS VENDIDOS</v>
      </c>
    </row>
    <row r="2171" spans="1:12" ht="15" hidden="1">
      <c r="A2171" t="s">
        <v>1338</v>
      </c>
      <c r="B2171" t="s">
        <v>612</v>
      </c>
      <c r="D2171" t="s">
        <v>1495</v>
      </c>
      <c r="E2171" t="s">
        <v>765</v>
      </c>
      <c r="F2171" t="s">
        <v>1272</v>
      </c>
      <c r="G2171" t="s">
        <v>619</v>
      </c>
      <c r="H2171" s="595">
        <v>-509.6</v>
      </c>
      <c r="I2171" t="str">
        <f t="shared" si="114"/>
        <v>fevereiro 2026</v>
      </c>
      <c r="J2171">
        <f t="shared" si="115"/>
        <v>2026</v>
      </c>
      <c r="K2171" t="str">
        <f>VLOOKUP(G2171,METRICS!C:D,2,0)</f>
        <v>Gelo</v>
      </c>
      <c r="L2171" t="str">
        <f>VLOOKUP(K2171,METRICS!D:E,2,0)</f>
        <v>CUSTOS DOS PRODUTOS VENDIDOS</v>
      </c>
    </row>
    <row r="2172" spans="1:12" ht="15" hidden="1">
      <c r="A2172" t="s">
        <v>1339</v>
      </c>
      <c r="B2172" t="s">
        <v>612</v>
      </c>
      <c r="D2172" t="s">
        <v>1496</v>
      </c>
      <c r="E2172" t="s">
        <v>878</v>
      </c>
      <c r="F2172" t="s">
        <v>1272</v>
      </c>
      <c r="G2172" t="s">
        <v>609</v>
      </c>
      <c r="H2172" s="595">
        <v>-12686.68</v>
      </c>
      <c r="I2172" t="str">
        <f t="shared" si="114"/>
        <v>fevereiro 2026</v>
      </c>
      <c r="J2172">
        <f t="shared" si="115"/>
        <v>2026</v>
      </c>
      <c r="K2172" t="str">
        <f>VLOOKUP(G2172,METRICS!C:D,2,0)</f>
        <v>Carnes e Aves</v>
      </c>
      <c r="L2172" t="str">
        <f>VLOOKUP(K2172,METRICS!D:E,2,0)</f>
        <v>CUSTOS DOS PRODUTOS VENDIDOS</v>
      </c>
    </row>
    <row r="2173" spans="1:12" ht="15" hidden="1">
      <c r="A2173" t="s">
        <v>1339</v>
      </c>
      <c r="B2173" t="s">
        <v>689</v>
      </c>
      <c r="D2173" t="s">
        <v>883</v>
      </c>
      <c r="E2173" t="s">
        <v>746</v>
      </c>
      <c r="F2173" t="s">
        <v>1272</v>
      </c>
      <c r="G2173" t="s">
        <v>669</v>
      </c>
      <c r="H2173" s="595">
        <v>-15.36</v>
      </c>
      <c r="I2173" t="str">
        <f t="shared" si="114"/>
        <v>fevereiro 2026</v>
      </c>
      <c r="J2173">
        <f t="shared" si="115"/>
        <v>2026</v>
      </c>
      <c r="K2173" t="str">
        <f>VLOOKUP(G2173,METRICS!C:D,2,0)</f>
        <v>Taxas Financeiras Diversas</v>
      </c>
      <c r="L2173" t="str">
        <f>VLOOKUP(K2173,METRICS!D:E,2,0)</f>
        <v>TAXAS CARTÃO DE CRÉDITO</v>
      </c>
    </row>
    <row r="2174" spans="1:12" ht="15" hidden="1">
      <c r="A2174" t="s">
        <v>1339</v>
      </c>
      <c r="B2174" t="s">
        <v>689</v>
      </c>
      <c r="D2174" t="s">
        <v>756</v>
      </c>
      <c r="E2174" t="s">
        <v>757</v>
      </c>
      <c r="F2174" t="s">
        <v>1272</v>
      </c>
      <c r="G2174" t="s">
        <v>666</v>
      </c>
      <c r="H2174" s="595">
        <v>-70.180000000000007</v>
      </c>
      <c r="I2174" t="str">
        <f t="shared" si="114"/>
        <v>fevereiro 2026</v>
      </c>
      <c r="J2174">
        <f t="shared" si="115"/>
        <v>2026</v>
      </c>
      <c r="K2174" t="str">
        <f>VLOOKUP(G2174,METRICS!C:D,2,0)</f>
        <v>Encargos Bancarios</v>
      </c>
      <c r="L2174" t="str">
        <f>VLOOKUP(K2174,METRICS!D:E,2,0)</f>
        <v>DESPESAS FINANCEIRAS</v>
      </c>
    </row>
    <row r="2175" spans="1:12" ht="15" hidden="1">
      <c r="A2175" t="s">
        <v>1339</v>
      </c>
      <c r="B2175" t="s">
        <v>612</v>
      </c>
      <c r="D2175" t="s">
        <v>1497</v>
      </c>
      <c r="E2175" t="s">
        <v>1685</v>
      </c>
      <c r="F2175" t="s">
        <v>1272</v>
      </c>
      <c r="G2175" t="s">
        <v>413</v>
      </c>
      <c r="H2175" s="595">
        <v>-1034</v>
      </c>
      <c r="I2175" t="str">
        <f t="shared" si="114"/>
        <v>fevereiro 2026</v>
      </c>
      <c r="J2175">
        <f t="shared" si="115"/>
        <v>2026</v>
      </c>
      <c r="K2175" t="str">
        <f>VLOOKUP(G2175,METRICS!C:D,2,0)</f>
        <v>Pescados</v>
      </c>
      <c r="L2175" t="str">
        <f>VLOOKUP(K2175,METRICS!D:E,2,0)</f>
        <v>CUSTOS DOS PRODUTOS VENDIDOS</v>
      </c>
    </row>
    <row r="2176" spans="1:12" ht="15" hidden="1">
      <c r="A2176" t="s">
        <v>1339</v>
      </c>
      <c r="B2176" t="s">
        <v>612</v>
      </c>
      <c r="D2176" t="s">
        <v>1498</v>
      </c>
      <c r="E2176" t="s">
        <v>942</v>
      </c>
      <c r="F2176" t="s">
        <v>1272</v>
      </c>
      <c r="G2176" t="s">
        <v>609</v>
      </c>
      <c r="H2176" s="595">
        <v>-931.53</v>
      </c>
      <c r="I2176" t="str">
        <f t="shared" si="114"/>
        <v>fevereiro 2026</v>
      </c>
      <c r="J2176">
        <f t="shared" si="115"/>
        <v>2026</v>
      </c>
      <c r="K2176" t="str">
        <f>VLOOKUP(G2176,METRICS!C:D,2,0)</f>
        <v>Carnes e Aves</v>
      </c>
      <c r="L2176" t="str">
        <f>VLOOKUP(K2176,METRICS!D:E,2,0)</f>
        <v>CUSTOS DOS PRODUTOS VENDIDOS</v>
      </c>
    </row>
    <row r="2177" spans="1:12" ht="15" hidden="1">
      <c r="A2177" t="s">
        <v>1339</v>
      </c>
      <c r="B2177" t="s">
        <v>612</v>
      </c>
      <c r="D2177" t="s">
        <v>1499</v>
      </c>
      <c r="E2177" t="s">
        <v>979</v>
      </c>
      <c r="F2177" t="s">
        <v>1272</v>
      </c>
      <c r="G2177" t="s">
        <v>641</v>
      </c>
      <c r="H2177" s="595">
        <v>-1679.58</v>
      </c>
      <c r="I2177" t="str">
        <f t="shared" si="114"/>
        <v>fevereiro 2026</v>
      </c>
      <c r="J2177">
        <f t="shared" si="115"/>
        <v>2026</v>
      </c>
      <c r="K2177" t="str">
        <f>VLOOKUP(G2177,METRICS!C:D,2,0)</f>
        <v>Vinhos/Espumantes</v>
      </c>
      <c r="L2177" t="str">
        <f>VLOOKUP(K2177,METRICS!D:E,2,0)</f>
        <v>CUSTOS DOS PRODUTOS VENDIDOS</v>
      </c>
    </row>
    <row r="2178" spans="1:12" ht="15" hidden="1">
      <c r="A2178" t="s">
        <v>1339</v>
      </c>
      <c r="B2178" t="s">
        <v>689</v>
      </c>
      <c r="D2178" t="s">
        <v>1500</v>
      </c>
      <c r="E2178" t="s">
        <v>1104</v>
      </c>
      <c r="F2178" t="s">
        <v>1272</v>
      </c>
      <c r="G2178" t="s">
        <v>625</v>
      </c>
      <c r="H2178" s="595">
        <v>-1500</v>
      </c>
      <c r="I2178" t="str">
        <f t="shared" si="114"/>
        <v>fevereiro 2026</v>
      </c>
      <c r="J2178">
        <f t="shared" si="115"/>
        <v>2026</v>
      </c>
      <c r="K2178" t="str">
        <f>VLOOKUP(G2178,METRICS!C:D,2,0)</f>
        <v>Manutenção e Conservação</v>
      </c>
      <c r="L2178" t="str">
        <f>VLOOKUP(K2178,METRICS!D:E,2,0)</f>
        <v>OPERAÇÃO</v>
      </c>
    </row>
    <row r="2179" spans="1:12" ht="15" hidden="1">
      <c r="A2179" t="s">
        <v>1339</v>
      </c>
      <c r="B2179" t="s">
        <v>612</v>
      </c>
      <c r="D2179" t="s">
        <v>1501</v>
      </c>
      <c r="E2179" t="s">
        <v>1686</v>
      </c>
      <c r="F2179" t="s">
        <v>1272</v>
      </c>
      <c r="G2179" t="s">
        <v>609</v>
      </c>
      <c r="H2179" s="595">
        <v>-1092.48</v>
      </c>
      <c r="I2179" t="str">
        <f t="shared" si="114"/>
        <v>fevereiro 2026</v>
      </c>
      <c r="J2179">
        <f t="shared" si="115"/>
        <v>2026</v>
      </c>
      <c r="K2179" t="str">
        <f>VLOOKUP(G2179,METRICS!C:D,2,0)</f>
        <v>Carnes e Aves</v>
      </c>
      <c r="L2179" t="str">
        <f>VLOOKUP(K2179,METRICS!D:E,2,0)</f>
        <v>CUSTOS DOS PRODUTOS VENDIDOS</v>
      </c>
    </row>
    <row r="2180" spans="1:12" ht="15" hidden="1">
      <c r="A2180" t="s">
        <v>1339</v>
      </c>
      <c r="B2180" t="s">
        <v>612</v>
      </c>
      <c r="D2180" t="s">
        <v>1502</v>
      </c>
      <c r="E2180" t="s">
        <v>990</v>
      </c>
      <c r="F2180" t="s">
        <v>1272</v>
      </c>
      <c r="G2180" t="s">
        <v>608</v>
      </c>
      <c r="H2180" s="595">
        <v>-2484.56</v>
      </c>
      <c r="I2180" t="str">
        <f t="shared" si="114"/>
        <v>fevereiro 2026</v>
      </c>
      <c r="J2180">
        <f t="shared" si="115"/>
        <v>2026</v>
      </c>
      <c r="K2180" t="str">
        <f>VLOOKUP(G2180,METRICS!C:D,2,0)</f>
        <v>Bebidas não Alcoolicas</v>
      </c>
      <c r="L2180" t="str">
        <f>VLOOKUP(K2180,METRICS!D:E,2,0)</f>
        <v>CUSTOS DOS PRODUTOS VENDIDOS</v>
      </c>
    </row>
    <row r="2181" spans="1:12" ht="15" hidden="1">
      <c r="A2181" t="s">
        <v>1339</v>
      </c>
      <c r="B2181" t="s">
        <v>612</v>
      </c>
      <c r="D2181" t="s">
        <v>1503</v>
      </c>
      <c r="E2181" t="s">
        <v>878</v>
      </c>
      <c r="F2181" t="s">
        <v>1272</v>
      </c>
      <c r="G2181" t="s">
        <v>609</v>
      </c>
      <c r="H2181" s="595">
        <v>-7356.8</v>
      </c>
      <c r="I2181" t="str">
        <f t="shared" si="114"/>
        <v>fevereiro 2026</v>
      </c>
      <c r="J2181">
        <f t="shared" si="115"/>
        <v>2026</v>
      </c>
      <c r="K2181" t="str">
        <f>VLOOKUP(G2181,METRICS!C:D,2,0)</f>
        <v>Carnes e Aves</v>
      </c>
      <c r="L2181" t="str">
        <f>VLOOKUP(K2181,METRICS!D:E,2,0)</f>
        <v>CUSTOS DOS PRODUTOS VENDIDOS</v>
      </c>
    </row>
    <row r="2182" spans="1:12" ht="15" hidden="1">
      <c r="A2182" t="s">
        <v>1339</v>
      </c>
      <c r="B2182" t="s">
        <v>689</v>
      </c>
      <c r="D2182" s="596" t="s">
        <v>1316</v>
      </c>
      <c r="E2182" t="s">
        <v>1687</v>
      </c>
      <c r="F2182" t="s">
        <v>1272</v>
      </c>
      <c r="G2182" t="s">
        <v>1318</v>
      </c>
      <c r="H2182" s="595">
        <v>-1800</v>
      </c>
      <c r="I2182" t="str">
        <f t="shared" si="114"/>
        <v>fevereiro 2026</v>
      </c>
      <c r="J2182">
        <f t="shared" si="115"/>
        <v>2026</v>
      </c>
      <c r="K2182" t="str">
        <f>VLOOKUP(G2182,METRICS!C:D,2,0)</f>
        <v>Despesas com Segurança</v>
      </c>
      <c r="L2182" t="str">
        <f>VLOOKUP(K2182,METRICS!D:E,2,0)</f>
        <v>OPERAÇÃO</v>
      </c>
    </row>
    <row r="2183" spans="1:12" ht="15" hidden="1">
      <c r="A2183" t="s">
        <v>1339</v>
      </c>
      <c r="B2183" t="s">
        <v>689</v>
      </c>
      <c r="D2183" t="s">
        <v>1504</v>
      </c>
      <c r="E2183" t="s">
        <v>1684</v>
      </c>
      <c r="F2183" t="s">
        <v>1272</v>
      </c>
      <c r="G2183" t="s">
        <v>664</v>
      </c>
      <c r="H2183" s="595">
        <v>-4000</v>
      </c>
      <c r="I2183" t="str">
        <f t="shared" ref="I2183:I2241" si="116">TEXT(A2183, "mmmm aaaa")</f>
        <v>fevereiro 2026</v>
      </c>
      <c r="J2183">
        <f t="shared" ref="J2183:J2241" si="117">YEAR(A2183)</f>
        <v>2026</v>
      </c>
      <c r="K2183" t="str">
        <f>VLOOKUP(G2183,METRICS!C:D,2,0)</f>
        <v>Colaborador Extra</v>
      </c>
      <c r="L2183" t="str">
        <f>VLOOKUP(K2183,METRICS!D:E,2,0)</f>
        <v>PESSOAL</v>
      </c>
    </row>
    <row r="2184" spans="1:12" ht="15" hidden="1">
      <c r="A2184" t="s">
        <v>1339</v>
      </c>
      <c r="B2184" t="s">
        <v>612</v>
      </c>
      <c r="D2184" t="s">
        <v>1505</v>
      </c>
      <c r="E2184" t="s">
        <v>987</v>
      </c>
      <c r="F2184" t="s">
        <v>1272</v>
      </c>
      <c r="G2184" t="s">
        <v>641</v>
      </c>
      <c r="H2184" s="595">
        <v>-13220.06</v>
      </c>
      <c r="I2184" t="str">
        <f t="shared" si="116"/>
        <v>fevereiro 2026</v>
      </c>
      <c r="J2184">
        <f t="shared" si="117"/>
        <v>2026</v>
      </c>
      <c r="K2184" t="str">
        <f>VLOOKUP(G2184,METRICS!C:D,2,0)</f>
        <v>Vinhos/Espumantes</v>
      </c>
      <c r="L2184" t="str">
        <f>VLOOKUP(K2184,METRICS!D:E,2,0)</f>
        <v>CUSTOS DOS PRODUTOS VENDIDOS</v>
      </c>
    </row>
    <row r="2185" spans="1:12" ht="15" hidden="1">
      <c r="A2185" t="s">
        <v>1340</v>
      </c>
      <c r="B2185" t="s">
        <v>689</v>
      </c>
      <c r="D2185" t="s">
        <v>756</v>
      </c>
      <c r="E2185" t="s">
        <v>757</v>
      </c>
      <c r="F2185" t="s">
        <v>1272</v>
      </c>
      <c r="G2185" t="s">
        <v>666</v>
      </c>
      <c r="H2185" s="595">
        <v>-59.4</v>
      </c>
      <c r="I2185" t="str">
        <f t="shared" si="116"/>
        <v>fevereiro 2026</v>
      </c>
      <c r="J2185">
        <f t="shared" si="117"/>
        <v>2026</v>
      </c>
      <c r="K2185" t="str">
        <f>VLOOKUP(G2185,METRICS!C:D,2,0)</f>
        <v>Encargos Bancarios</v>
      </c>
      <c r="L2185" t="str">
        <f>VLOOKUP(K2185,METRICS!D:E,2,0)</f>
        <v>DESPESAS FINANCEIRAS</v>
      </c>
    </row>
    <row r="2186" spans="1:12" ht="15" hidden="1">
      <c r="A2186" t="s">
        <v>1340</v>
      </c>
      <c r="B2186" t="s">
        <v>612</v>
      </c>
      <c r="D2186" t="s">
        <v>1506</v>
      </c>
      <c r="E2186" t="s">
        <v>752</v>
      </c>
      <c r="F2186" t="s">
        <v>1272</v>
      </c>
      <c r="G2186" t="s">
        <v>609</v>
      </c>
      <c r="H2186" s="595">
        <v>-1402.26</v>
      </c>
      <c r="I2186" t="str">
        <f t="shared" si="116"/>
        <v>fevereiro 2026</v>
      </c>
      <c r="J2186">
        <f t="shared" si="117"/>
        <v>2026</v>
      </c>
      <c r="K2186" t="str">
        <f>VLOOKUP(G2186,METRICS!C:D,2,0)</f>
        <v>Carnes e Aves</v>
      </c>
      <c r="L2186" t="str">
        <f>VLOOKUP(K2186,METRICS!D:E,2,0)</f>
        <v>CUSTOS DOS PRODUTOS VENDIDOS</v>
      </c>
    </row>
    <row r="2187" spans="1:12" ht="15" hidden="1">
      <c r="A2187" t="s">
        <v>1340</v>
      </c>
      <c r="B2187" t="s">
        <v>612</v>
      </c>
      <c r="D2187" t="s">
        <v>1507</v>
      </c>
      <c r="E2187" t="s">
        <v>745</v>
      </c>
      <c r="F2187" t="s">
        <v>1272</v>
      </c>
      <c r="G2187" t="s">
        <v>620</v>
      </c>
      <c r="H2187" s="595">
        <v>-188.65</v>
      </c>
      <c r="I2187" t="str">
        <f t="shared" si="116"/>
        <v>fevereiro 2026</v>
      </c>
      <c r="J2187">
        <f t="shared" si="117"/>
        <v>2026</v>
      </c>
      <c r="K2187" t="str">
        <f>VLOOKUP(G2187,METRICS!C:D,2,0)</f>
        <v>Hortifruti</v>
      </c>
      <c r="L2187" t="str">
        <f>VLOOKUP(K2187,METRICS!D:E,2,0)</f>
        <v>CUSTOS DOS PRODUTOS VENDIDOS</v>
      </c>
    </row>
    <row r="2188" spans="1:12" ht="15" hidden="1">
      <c r="A2188" t="s">
        <v>1340</v>
      </c>
      <c r="B2188" t="s">
        <v>612</v>
      </c>
      <c r="D2188" t="s">
        <v>1508</v>
      </c>
      <c r="E2188" t="s">
        <v>826</v>
      </c>
      <c r="F2188" t="s">
        <v>1272</v>
      </c>
      <c r="G2188" t="s">
        <v>633</v>
      </c>
      <c r="H2188" s="595">
        <v>-5153</v>
      </c>
      <c r="I2188" t="str">
        <f t="shared" si="116"/>
        <v>fevereiro 2026</v>
      </c>
      <c r="J2188">
        <f t="shared" si="117"/>
        <v>2026</v>
      </c>
      <c r="K2188" t="str">
        <f>VLOOKUP(G2188,METRICS!C:D,2,0)</f>
        <v>Paes, Massas e Salgados</v>
      </c>
      <c r="L2188" t="str">
        <f>VLOOKUP(K2188,METRICS!D:E,2,0)</f>
        <v>CUSTOS DOS PRODUTOS VENDIDOS</v>
      </c>
    </row>
    <row r="2189" spans="1:12" ht="15" hidden="1">
      <c r="A2189" t="s">
        <v>1340</v>
      </c>
      <c r="B2189" t="s">
        <v>612</v>
      </c>
      <c r="D2189" t="s">
        <v>1509</v>
      </c>
      <c r="E2189" t="s">
        <v>964</v>
      </c>
      <c r="F2189" t="s">
        <v>1272</v>
      </c>
      <c r="G2189" t="s">
        <v>607</v>
      </c>
      <c r="H2189" s="595">
        <v>-4913.13</v>
      </c>
      <c r="I2189" t="str">
        <f t="shared" si="116"/>
        <v>fevereiro 2026</v>
      </c>
      <c r="J2189">
        <f t="shared" si="117"/>
        <v>2026</v>
      </c>
      <c r="K2189" t="str">
        <f>VLOOKUP(G2189,METRICS!C:D,2,0)</f>
        <v>Bebidas Alcoólicas</v>
      </c>
      <c r="L2189" t="str">
        <f>VLOOKUP(K2189,METRICS!D:E,2,0)</f>
        <v>CUSTOS DOS PRODUTOS VENDIDOS</v>
      </c>
    </row>
    <row r="2190" spans="1:12" ht="15" hidden="1">
      <c r="A2190" t="s">
        <v>1340</v>
      </c>
      <c r="B2190" t="s">
        <v>612</v>
      </c>
      <c r="D2190" t="s">
        <v>1510</v>
      </c>
      <c r="E2190" t="s">
        <v>770</v>
      </c>
      <c r="F2190" t="s">
        <v>1272</v>
      </c>
      <c r="G2190" t="s">
        <v>630</v>
      </c>
      <c r="H2190" s="595">
        <v>-5084.3</v>
      </c>
      <c r="I2190" t="str">
        <f t="shared" si="116"/>
        <v>fevereiro 2026</v>
      </c>
      <c r="J2190">
        <f t="shared" si="117"/>
        <v>2026</v>
      </c>
      <c r="K2190" t="str">
        <f>VLOOKUP(G2190,METRICS!C:D,2,0)</f>
        <v>Material de Copa e Limpeza</v>
      </c>
      <c r="L2190" t="str">
        <f>VLOOKUP(K2190,METRICS!D:E,2,0)</f>
        <v>ADMINISTRATIVA</v>
      </c>
    </row>
    <row r="2191" spans="1:12" ht="15" hidden="1">
      <c r="A2191" t="s">
        <v>1340</v>
      </c>
      <c r="B2191" t="s">
        <v>612</v>
      </c>
      <c r="D2191" t="s">
        <v>1511</v>
      </c>
      <c r="E2191" t="s">
        <v>830</v>
      </c>
      <c r="F2191" t="s">
        <v>1272</v>
      </c>
      <c r="G2191" t="s">
        <v>623</v>
      </c>
      <c r="H2191" s="595">
        <v>-610.5</v>
      </c>
      <c r="I2191" t="str">
        <f t="shared" si="116"/>
        <v>fevereiro 2026</v>
      </c>
      <c r="J2191">
        <f t="shared" si="117"/>
        <v>2026</v>
      </c>
      <c r="K2191" t="str">
        <f>VLOOKUP(G2191,METRICS!C:D,2,0)</f>
        <v>Secos - Mercearia</v>
      </c>
      <c r="L2191" t="str">
        <f>VLOOKUP(K2191,METRICS!D:E,2,0)</f>
        <v>CUSTOS DOS PRODUTOS VENDIDOS</v>
      </c>
    </row>
    <row r="2192" spans="1:12" ht="15" hidden="1">
      <c r="A2192" t="s">
        <v>1340</v>
      </c>
      <c r="B2192" t="s">
        <v>689</v>
      </c>
      <c r="D2192" t="s">
        <v>644</v>
      </c>
      <c r="E2192" t="s">
        <v>706</v>
      </c>
      <c r="F2192" t="s">
        <v>1272</v>
      </c>
      <c r="G2192" t="s">
        <v>644</v>
      </c>
      <c r="H2192" s="595">
        <v>-130738.87</v>
      </c>
      <c r="I2192" t="str">
        <f t="shared" si="116"/>
        <v>fevereiro 2026</v>
      </c>
      <c r="J2192">
        <f t="shared" si="117"/>
        <v>2026</v>
      </c>
      <c r="K2192" t="str">
        <f>VLOOKUP(G2192,METRICS!C:D,2,0)</f>
        <v>IR/INSS</v>
      </c>
      <c r="L2192" t="str">
        <f>VLOOKUP(K2192,METRICS!D:E,2,0)</f>
        <v>PESSOAL</v>
      </c>
    </row>
    <row r="2193" spans="1:12" ht="15" hidden="1">
      <c r="A2193" t="s">
        <v>1340</v>
      </c>
      <c r="B2193" t="s">
        <v>612</v>
      </c>
      <c r="D2193" t="s">
        <v>1512</v>
      </c>
      <c r="E2193" t="s">
        <v>1688</v>
      </c>
      <c r="F2193" t="s">
        <v>1272</v>
      </c>
      <c r="G2193" t="s">
        <v>625</v>
      </c>
      <c r="H2193" s="595">
        <v>-5100</v>
      </c>
      <c r="I2193" t="str">
        <f t="shared" si="116"/>
        <v>fevereiro 2026</v>
      </c>
      <c r="J2193">
        <f t="shared" si="117"/>
        <v>2026</v>
      </c>
      <c r="K2193" t="str">
        <f>VLOOKUP(G2193,METRICS!C:D,2,0)</f>
        <v>Manutenção e Conservação</v>
      </c>
      <c r="L2193" t="str">
        <f>VLOOKUP(K2193,METRICS!D:E,2,0)</f>
        <v>OPERAÇÃO</v>
      </c>
    </row>
    <row r="2194" spans="1:12" ht="15" hidden="1">
      <c r="A2194" t="s">
        <v>1340</v>
      </c>
      <c r="B2194" t="s">
        <v>612</v>
      </c>
      <c r="D2194" t="s">
        <v>1513</v>
      </c>
      <c r="E2194" t="s">
        <v>1012</v>
      </c>
      <c r="F2194" t="s">
        <v>1272</v>
      </c>
      <c r="G2194" t="s">
        <v>611</v>
      </c>
      <c r="H2194" s="595">
        <v>-1449.98</v>
      </c>
      <c r="I2194" t="str">
        <f t="shared" si="116"/>
        <v>fevereiro 2026</v>
      </c>
      <c r="J2194">
        <f t="shared" si="117"/>
        <v>2026</v>
      </c>
      <c r="K2194" t="str">
        <f>VLOOKUP(G2194,METRICS!C:D,2,0)</f>
        <v>Bebidas Alcoólicas</v>
      </c>
      <c r="L2194" t="str">
        <f>VLOOKUP(K2194,METRICS!D:E,2,0)</f>
        <v>CUSTOS DOS PRODUTOS VENDIDOS</v>
      </c>
    </row>
    <row r="2195" spans="1:12" ht="15" hidden="1">
      <c r="A2195" t="s">
        <v>1340</v>
      </c>
      <c r="B2195" t="s">
        <v>612</v>
      </c>
      <c r="D2195" t="s">
        <v>1514</v>
      </c>
      <c r="E2195" t="s">
        <v>878</v>
      </c>
      <c r="F2195" t="s">
        <v>1272</v>
      </c>
      <c r="G2195" t="s">
        <v>609</v>
      </c>
      <c r="H2195" s="595">
        <v>-1176</v>
      </c>
      <c r="I2195" t="str">
        <f t="shared" si="116"/>
        <v>fevereiro 2026</v>
      </c>
      <c r="J2195">
        <f t="shared" si="117"/>
        <v>2026</v>
      </c>
      <c r="K2195" t="str">
        <f>VLOOKUP(G2195,METRICS!C:D,2,0)</f>
        <v>Carnes e Aves</v>
      </c>
      <c r="L2195" t="str">
        <f>VLOOKUP(K2195,METRICS!D:E,2,0)</f>
        <v>CUSTOS DOS PRODUTOS VENDIDOS</v>
      </c>
    </row>
    <row r="2196" spans="1:12" ht="15" hidden="1">
      <c r="A2196" t="s">
        <v>1340</v>
      </c>
      <c r="B2196" t="s">
        <v>612</v>
      </c>
      <c r="D2196" t="s">
        <v>1515</v>
      </c>
      <c r="E2196" t="s">
        <v>727</v>
      </c>
      <c r="F2196" t="s">
        <v>1272</v>
      </c>
      <c r="G2196" t="s">
        <v>620</v>
      </c>
      <c r="H2196" s="595">
        <v>-5220.58</v>
      </c>
      <c r="I2196" t="str">
        <f t="shared" si="116"/>
        <v>fevereiro 2026</v>
      </c>
      <c r="J2196">
        <f t="shared" si="117"/>
        <v>2026</v>
      </c>
      <c r="K2196" t="str">
        <f>VLOOKUP(G2196,METRICS!C:D,2,0)</f>
        <v>Hortifruti</v>
      </c>
      <c r="L2196" t="str">
        <f>VLOOKUP(K2196,METRICS!D:E,2,0)</f>
        <v>CUSTOS DOS PRODUTOS VENDIDOS</v>
      </c>
    </row>
    <row r="2197" spans="1:12" ht="15" hidden="1">
      <c r="A2197" t="s">
        <v>1340</v>
      </c>
      <c r="B2197" t="s">
        <v>689</v>
      </c>
      <c r="D2197" t="s">
        <v>883</v>
      </c>
      <c r="E2197" t="s">
        <v>746</v>
      </c>
      <c r="F2197" t="s">
        <v>1272</v>
      </c>
      <c r="G2197" t="s">
        <v>669</v>
      </c>
      <c r="H2197" s="595">
        <v>-9</v>
      </c>
      <c r="I2197" t="str">
        <f t="shared" si="116"/>
        <v>fevereiro 2026</v>
      </c>
      <c r="J2197">
        <f t="shared" si="117"/>
        <v>2026</v>
      </c>
      <c r="K2197" t="str">
        <f>VLOOKUP(G2197,METRICS!C:D,2,0)</f>
        <v>Taxas Financeiras Diversas</v>
      </c>
      <c r="L2197" t="str">
        <f>VLOOKUP(K2197,METRICS!D:E,2,0)</f>
        <v>TAXAS CARTÃO DE CRÉDITO</v>
      </c>
    </row>
    <row r="2198" spans="1:12" ht="15" hidden="1">
      <c r="A2198" t="s">
        <v>1340</v>
      </c>
      <c r="B2198" t="s">
        <v>612</v>
      </c>
      <c r="D2198" t="s">
        <v>1516</v>
      </c>
      <c r="E2198" t="s">
        <v>1039</v>
      </c>
      <c r="F2198" t="s">
        <v>1272</v>
      </c>
      <c r="G2198" t="s">
        <v>623</v>
      </c>
      <c r="H2198" s="595">
        <v>-312.43</v>
      </c>
      <c r="I2198" t="str">
        <f t="shared" si="116"/>
        <v>fevereiro 2026</v>
      </c>
      <c r="J2198">
        <f t="shared" si="117"/>
        <v>2026</v>
      </c>
      <c r="K2198" t="str">
        <f>VLOOKUP(G2198,METRICS!C:D,2,0)</f>
        <v>Secos - Mercearia</v>
      </c>
      <c r="L2198" t="str">
        <f>VLOOKUP(K2198,METRICS!D:E,2,0)</f>
        <v>CUSTOS DOS PRODUTOS VENDIDOS</v>
      </c>
    </row>
    <row r="2199" spans="1:12" ht="15" hidden="1">
      <c r="A2199" t="s">
        <v>1340</v>
      </c>
      <c r="B2199" t="s">
        <v>612</v>
      </c>
      <c r="D2199" t="s">
        <v>1517</v>
      </c>
      <c r="E2199" t="s">
        <v>738</v>
      </c>
      <c r="F2199" t="s">
        <v>1272</v>
      </c>
      <c r="G2199" t="s">
        <v>636</v>
      </c>
      <c r="H2199" s="595">
        <v>-2037.35</v>
      </c>
      <c r="I2199" t="str">
        <f t="shared" si="116"/>
        <v>fevereiro 2026</v>
      </c>
      <c r="J2199">
        <f t="shared" si="117"/>
        <v>2026</v>
      </c>
      <c r="K2199" t="str">
        <f>VLOOKUP(G2199,METRICS!C:D,2,0)</f>
        <v>Secos - Mercearia</v>
      </c>
      <c r="L2199" t="str">
        <f>VLOOKUP(K2199,METRICS!D:E,2,0)</f>
        <v>CUSTOS DOS PRODUTOS VENDIDOS</v>
      </c>
    </row>
    <row r="2200" spans="1:12" ht="15" hidden="1">
      <c r="A2200" t="s">
        <v>1340</v>
      </c>
      <c r="B2200" t="s">
        <v>689</v>
      </c>
      <c r="D2200" t="s">
        <v>1518</v>
      </c>
      <c r="E2200" t="s">
        <v>1689</v>
      </c>
      <c r="F2200" t="s">
        <v>1272</v>
      </c>
      <c r="G2200" t="s">
        <v>1722</v>
      </c>
      <c r="H2200" s="595">
        <v>-4098.58</v>
      </c>
      <c r="I2200" t="str">
        <f t="shared" si="116"/>
        <v>fevereiro 2026</v>
      </c>
      <c r="J2200">
        <f t="shared" si="117"/>
        <v>2026</v>
      </c>
      <c r="K2200" t="str">
        <f>VLOOKUP(G2200,METRICS!C:D,2,0)</f>
        <v>Decoração e Paisagismo</v>
      </c>
      <c r="L2200" t="str">
        <f>VLOOKUP(K2200,METRICS!D:E,2,0)</f>
        <v>OPERAÇÃO</v>
      </c>
    </row>
    <row r="2201" spans="1:12" ht="15" hidden="1">
      <c r="A2201" t="s">
        <v>1341</v>
      </c>
      <c r="B2201" t="s">
        <v>689</v>
      </c>
      <c r="D2201" t="s">
        <v>756</v>
      </c>
      <c r="E2201" t="s">
        <v>757</v>
      </c>
      <c r="F2201" t="s">
        <v>1272</v>
      </c>
      <c r="G2201" t="s">
        <v>666</v>
      </c>
      <c r="H2201" s="595">
        <v>-19.8</v>
      </c>
      <c r="I2201" t="str">
        <f t="shared" si="116"/>
        <v>fevereiro 2026</v>
      </c>
      <c r="J2201">
        <f t="shared" si="117"/>
        <v>2026</v>
      </c>
      <c r="K2201" t="str">
        <f>VLOOKUP(G2201,METRICS!C:D,2,0)</f>
        <v>Encargos Bancarios</v>
      </c>
      <c r="L2201" t="str">
        <f>VLOOKUP(K2201,METRICS!D:E,2,0)</f>
        <v>DESPESAS FINANCEIRAS</v>
      </c>
    </row>
    <row r="2202" spans="1:12" ht="15" hidden="1">
      <c r="A2202" t="s">
        <v>1341</v>
      </c>
      <c r="B2202" t="s">
        <v>612</v>
      </c>
      <c r="D2202" t="s">
        <v>1519</v>
      </c>
      <c r="E2202" t="s">
        <v>1249</v>
      </c>
      <c r="F2202" t="s">
        <v>1272</v>
      </c>
      <c r="G2202" t="s">
        <v>413</v>
      </c>
      <c r="H2202" s="595">
        <v>-1198.5</v>
      </c>
      <c r="I2202" t="str">
        <f t="shared" si="116"/>
        <v>fevereiro 2026</v>
      </c>
      <c r="J2202">
        <f t="shared" si="117"/>
        <v>2026</v>
      </c>
      <c r="K2202" t="str">
        <f>VLOOKUP(G2202,METRICS!C:D,2,0)</f>
        <v>Pescados</v>
      </c>
      <c r="L2202" t="str">
        <f>VLOOKUP(K2202,METRICS!D:E,2,0)</f>
        <v>CUSTOS DOS PRODUTOS VENDIDOS</v>
      </c>
    </row>
    <row r="2203" spans="1:12" ht="15" hidden="1">
      <c r="A2203" t="s">
        <v>1341</v>
      </c>
      <c r="B2203" t="s">
        <v>689</v>
      </c>
      <c r="D2203" t="s">
        <v>1520</v>
      </c>
      <c r="E2203" t="s">
        <v>757</v>
      </c>
      <c r="F2203" t="s">
        <v>1272</v>
      </c>
      <c r="G2203" t="s">
        <v>666</v>
      </c>
      <c r="H2203" s="595">
        <v>-9.9</v>
      </c>
      <c r="I2203" t="str">
        <f t="shared" si="116"/>
        <v>fevereiro 2026</v>
      </c>
      <c r="J2203">
        <f t="shared" si="117"/>
        <v>2026</v>
      </c>
      <c r="K2203" t="str">
        <f>VLOOKUP(G2203,METRICS!C:D,2,0)</f>
        <v>Encargos Bancarios</v>
      </c>
      <c r="L2203" t="str">
        <f>VLOOKUP(K2203,METRICS!D:E,2,0)</f>
        <v>DESPESAS FINANCEIRAS</v>
      </c>
    </row>
    <row r="2204" spans="1:12" ht="15" hidden="1">
      <c r="A2204" t="s">
        <v>1341</v>
      </c>
      <c r="B2204" t="s">
        <v>612</v>
      </c>
      <c r="D2204" t="s">
        <v>1521</v>
      </c>
      <c r="E2204" t="s">
        <v>772</v>
      </c>
      <c r="F2204" t="s">
        <v>1272</v>
      </c>
      <c r="G2204" t="s">
        <v>615</v>
      </c>
      <c r="H2204" s="595">
        <v>-730.02</v>
      </c>
      <c r="I2204" t="str">
        <f t="shared" si="116"/>
        <v>fevereiro 2026</v>
      </c>
      <c r="J2204">
        <f t="shared" si="117"/>
        <v>2026</v>
      </c>
      <c r="K2204" t="str">
        <f>VLOOKUP(G2204,METRICS!C:D,2,0)</f>
        <v>Embalagens</v>
      </c>
      <c r="L2204" t="str">
        <f>VLOOKUP(K2204,METRICS!D:E,2,0)</f>
        <v>OPERAÇÃO</v>
      </c>
    </row>
    <row r="2205" spans="1:12" ht="15" hidden="1">
      <c r="A2205" t="s">
        <v>1341</v>
      </c>
      <c r="B2205" t="s">
        <v>612</v>
      </c>
      <c r="D2205" t="s">
        <v>1522</v>
      </c>
      <c r="E2205" t="s">
        <v>1074</v>
      </c>
      <c r="F2205" t="s">
        <v>1272</v>
      </c>
      <c r="G2205" t="s">
        <v>636</v>
      </c>
      <c r="H2205" s="595">
        <v>-398.8</v>
      </c>
      <c r="I2205" t="str">
        <f t="shared" si="116"/>
        <v>fevereiro 2026</v>
      </c>
      <c r="J2205">
        <f t="shared" si="117"/>
        <v>2026</v>
      </c>
      <c r="K2205" t="str">
        <f>VLOOKUP(G2205,METRICS!C:D,2,0)</f>
        <v>Secos - Mercearia</v>
      </c>
      <c r="L2205" t="str">
        <f>VLOOKUP(K2205,METRICS!D:E,2,0)</f>
        <v>CUSTOS DOS PRODUTOS VENDIDOS</v>
      </c>
    </row>
    <row r="2206" spans="1:12" ht="15" hidden="1">
      <c r="A2206" t="s">
        <v>1341</v>
      </c>
      <c r="B2206" t="s">
        <v>689</v>
      </c>
      <c r="D2206" t="s">
        <v>883</v>
      </c>
      <c r="E2206" t="s">
        <v>746</v>
      </c>
      <c r="F2206" t="s">
        <v>1272</v>
      </c>
      <c r="G2206" t="s">
        <v>669</v>
      </c>
      <c r="H2206" s="595">
        <v>-30.53</v>
      </c>
      <c r="I2206" t="str">
        <f t="shared" si="116"/>
        <v>fevereiro 2026</v>
      </c>
      <c r="J2206">
        <f t="shared" si="117"/>
        <v>2026</v>
      </c>
      <c r="K2206" t="str">
        <f>VLOOKUP(G2206,METRICS!C:D,2,0)</f>
        <v>Taxas Financeiras Diversas</v>
      </c>
      <c r="L2206" t="str">
        <f>VLOOKUP(K2206,METRICS!D:E,2,0)</f>
        <v>TAXAS CARTÃO DE CRÉDITO</v>
      </c>
    </row>
    <row r="2207" spans="1:12" ht="15" hidden="1">
      <c r="A2207" t="s">
        <v>1341</v>
      </c>
      <c r="B2207" t="s">
        <v>612</v>
      </c>
      <c r="D2207" t="s">
        <v>1523</v>
      </c>
      <c r="E2207" t="s">
        <v>1074</v>
      </c>
      <c r="F2207" t="s">
        <v>1272</v>
      </c>
      <c r="G2207" t="s">
        <v>636</v>
      </c>
      <c r="H2207" s="595">
        <v>-199</v>
      </c>
      <c r="I2207" t="str">
        <f t="shared" si="116"/>
        <v>fevereiro 2026</v>
      </c>
      <c r="J2207">
        <f t="shared" si="117"/>
        <v>2026</v>
      </c>
      <c r="K2207" t="str">
        <f>VLOOKUP(G2207,METRICS!C:D,2,0)</f>
        <v>Secos - Mercearia</v>
      </c>
      <c r="L2207" t="str">
        <f>VLOOKUP(K2207,METRICS!D:E,2,0)</f>
        <v>CUSTOS DOS PRODUTOS VENDIDOS</v>
      </c>
    </row>
    <row r="2208" spans="1:12" ht="15" hidden="1">
      <c r="A2208" t="s">
        <v>1341</v>
      </c>
      <c r="B2208" t="s">
        <v>612</v>
      </c>
      <c r="D2208" t="s">
        <v>1524</v>
      </c>
      <c r="E2208" t="s">
        <v>828</v>
      </c>
      <c r="F2208" t="s">
        <v>1272</v>
      </c>
      <c r="G2208" t="s">
        <v>636</v>
      </c>
      <c r="H2208" s="595">
        <v>-1320.61</v>
      </c>
      <c r="I2208" t="str">
        <f t="shared" si="116"/>
        <v>fevereiro 2026</v>
      </c>
      <c r="J2208">
        <f t="shared" si="117"/>
        <v>2026</v>
      </c>
      <c r="K2208" t="str">
        <f>VLOOKUP(G2208,METRICS!C:D,2,0)</f>
        <v>Secos - Mercearia</v>
      </c>
      <c r="L2208" t="str">
        <f>VLOOKUP(K2208,METRICS!D:E,2,0)</f>
        <v>CUSTOS DOS PRODUTOS VENDIDOS</v>
      </c>
    </row>
    <row r="2209" spans="1:12" ht="15" hidden="1">
      <c r="A2209" t="s">
        <v>1341</v>
      </c>
      <c r="B2209" t="s">
        <v>612</v>
      </c>
      <c r="D2209" t="s">
        <v>1525</v>
      </c>
      <c r="E2209" t="s">
        <v>811</v>
      </c>
      <c r="F2209" t="s">
        <v>1272</v>
      </c>
      <c r="G2209" t="s">
        <v>636</v>
      </c>
      <c r="H2209" s="595">
        <v>-1344.02</v>
      </c>
      <c r="I2209" t="str">
        <f t="shared" si="116"/>
        <v>fevereiro 2026</v>
      </c>
      <c r="J2209">
        <f t="shared" si="117"/>
        <v>2026</v>
      </c>
      <c r="K2209" t="str">
        <f>VLOOKUP(G2209,METRICS!C:D,2,0)</f>
        <v>Secos - Mercearia</v>
      </c>
      <c r="L2209" t="str">
        <f>VLOOKUP(K2209,METRICS!D:E,2,0)</f>
        <v>CUSTOS DOS PRODUTOS VENDIDOS</v>
      </c>
    </row>
    <row r="2210" spans="1:12" ht="15" hidden="1">
      <c r="A2210" t="s">
        <v>1341</v>
      </c>
      <c r="B2210" t="s">
        <v>612</v>
      </c>
      <c r="D2210" t="s">
        <v>1526</v>
      </c>
      <c r="E2210" t="s">
        <v>964</v>
      </c>
      <c r="F2210" t="s">
        <v>1272</v>
      </c>
      <c r="G2210" t="s">
        <v>607</v>
      </c>
      <c r="H2210" s="595">
        <v>-9041.4500000000007</v>
      </c>
      <c r="I2210" t="str">
        <f t="shared" si="116"/>
        <v>fevereiro 2026</v>
      </c>
      <c r="J2210">
        <f t="shared" si="117"/>
        <v>2026</v>
      </c>
      <c r="K2210" t="str">
        <f>VLOOKUP(G2210,METRICS!C:D,2,0)</f>
        <v>Bebidas Alcoólicas</v>
      </c>
      <c r="L2210" t="str">
        <f>VLOOKUP(K2210,METRICS!D:E,2,0)</f>
        <v>CUSTOS DOS PRODUTOS VENDIDOS</v>
      </c>
    </row>
    <row r="2211" spans="1:12" ht="15" hidden="1">
      <c r="A2211" t="s">
        <v>1341</v>
      </c>
      <c r="B2211" t="s">
        <v>612</v>
      </c>
      <c r="D2211" t="s">
        <v>1527</v>
      </c>
      <c r="E2211" t="s">
        <v>770</v>
      </c>
      <c r="F2211" t="s">
        <v>1272</v>
      </c>
      <c r="G2211" t="s">
        <v>630</v>
      </c>
      <c r="H2211" s="595">
        <v>-82.9</v>
      </c>
      <c r="I2211" t="str">
        <f t="shared" si="116"/>
        <v>fevereiro 2026</v>
      </c>
      <c r="J2211">
        <f t="shared" si="117"/>
        <v>2026</v>
      </c>
      <c r="K2211" t="str">
        <f>VLOOKUP(G2211,METRICS!C:D,2,0)</f>
        <v>Material de Copa e Limpeza</v>
      </c>
      <c r="L2211" t="str">
        <f>VLOOKUP(K2211,METRICS!D:E,2,0)</f>
        <v>ADMINISTRATIVA</v>
      </c>
    </row>
    <row r="2212" spans="1:12" ht="15" hidden="1">
      <c r="A2212" t="s">
        <v>1342</v>
      </c>
      <c r="B2212" t="s">
        <v>612</v>
      </c>
      <c r="D2212" t="s">
        <v>1528</v>
      </c>
      <c r="E2212" t="s">
        <v>805</v>
      </c>
      <c r="F2212" t="s">
        <v>1272</v>
      </c>
      <c r="G2212" t="s">
        <v>609</v>
      </c>
      <c r="H2212" s="595">
        <v>-4085.44</v>
      </c>
      <c r="I2212" t="str">
        <f t="shared" si="116"/>
        <v>fevereiro 2026</v>
      </c>
      <c r="J2212">
        <f t="shared" si="117"/>
        <v>2026</v>
      </c>
      <c r="K2212" t="str">
        <f>VLOOKUP(G2212,METRICS!C:D,2,0)</f>
        <v>Carnes e Aves</v>
      </c>
      <c r="L2212" t="str">
        <f>VLOOKUP(K2212,METRICS!D:E,2,0)</f>
        <v>CUSTOS DOS PRODUTOS VENDIDOS</v>
      </c>
    </row>
    <row r="2213" spans="1:12" ht="15" hidden="1">
      <c r="A2213" t="s">
        <v>1343</v>
      </c>
      <c r="B2213" t="s">
        <v>612</v>
      </c>
      <c r="D2213" t="s">
        <v>1529</v>
      </c>
      <c r="E2213" t="s">
        <v>727</v>
      </c>
      <c r="F2213" t="s">
        <v>1272</v>
      </c>
      <c r="G2213" t="s">
        <v>620</v>
      </c>
      <c r="H2213" s="595">
        <v>-3355.47</v>
      </c>
      <c r="I2213" t="str">
        <f t="shared" si="116"/>
        <v>fevereiro 2026</v>
      </c>
      <c r="J2213">
        <f t="shared" si="117"/>
        <v>2026</v>
      </c>
      <c r="K2213" t="str">
        <f>VLOOKUP(G2213,METRICS!C:D,2,0)</f>
        <v>Hortifruti</v>
      </c>
      <c r="L2213" t="str">
        <f>VLOOKUP(K2213,METRICS!D:E,2,0)</f>
        <v>CUSTOS DOS PRODUTOS VENDIDOS</v>
      </c>
    </row>
    <row r="2214" spans="1:12" ht="15" hidden="1">
      <c r="A2214" t="s">
        <v>1343</v>
      </c>
      <c r="B2214" t="s">
        <v>612</v>
      </c>
      <c r="D2214" t="s">
        <v>1530</v>
      </c>
      <c r="E2214" t="s">
        <v>750</v>
      </c>
      <c r="F2214" t="s">
        <v>1272</v>
      </c>
      <c r="G2214" t="s">
        <v>610</v>
      </c>
      <c r="H2214" s="595">
        <v>-1592</v>
      </c>
      <c r="I2214" t="str">
        <f t="shared" si="116"/>
        <v>fevereiro 2026</v>
      </c>
      <c r="J2214">
        <f t="shared" si="117"/>
        <v>2026</v>
      </c>
      <c r="K2214" t="str">
        <f>VLOOKUP(G2214,METRICS!C:D,2,0)</f>
        <v>Carvão</v>
      </c>
      <c r="L2214" t="str">
        <f>VLOOKUP(K2214,METRICS!D:E,2,0)</f>
        <v>CUSTOS DOS PRODUTOS VENDIDOS</v>
      </c>
    </row>
    <row r="2215" spans="1:12" ht="15" hidden="1">
      <c r="A2215" t="s">
        <v>1343</v>
      </c>
      <c r="B2215" t="s">
        <v>689</v>
      </c>
      <c r="D2215" t="s">
        <v>852</v>
      </c>
      <c r="E2215" t="str">
        <f>D2215</f>
        <v>Pagamento Extra</v>
      </c>
      <c r="F2215" t="s">
        <v>1272</v>
      </c>
      <c r="G2215" t="s">
        <v>664</v>
      </c>
      <c r="H2215" s="595">
        <v>-120</v>
      </c>
      <c r="I2215" t="str">
        <f t="shared" si="116"/>
        <v>fevereiro 2026</v>
      </c>
      <c r="J2215">
        <f t="shared" si="117"/>
        <v>2026</v>
      </c>
      <c r="K2215" t="str">
        <f>VLOOKUP(G2215,METRICS!C:D,2,0)</f>
        <v>Colaborador Extra</v>
      </c>
      <c r="L2215" t="str">
        <f>VLOOKUP(K2215,METRICS!D:E,2,0)</f>
        <v>PESSOAL</v>
      </c>
    </row>
    <row r="2216" spans="1:12" ht="15" hidden="1">
      <c r="A2216" t="s">
        <v>1344</v>
      </c>
      <c r="B2216" t="s">
        <v>612</v>
      </c>
      <c r="D2216" t="s">
        <v>1531</v>
      </c>
      <c r="E2216" t="s">
        <v>748</v>
      </c>
      <c r="F2216" t="s">
        <v>1272</v>
      </c>
      <c r="G2216" t="s">
        <v>605</v>
      </c>
      <c r="H2216" s="595">
        <v>-1467.71</v>
      </c>
      <c r="I2216" t="str">
        <f t="shared" si="116"/>
        <v>fevereiro 2026</v>
      </c>
      <c r="J2216">
        <f t="shared" si="117"/>
        <v>2026</v>
      </c>
      <c r="K2216" t="str">
        <f>VLOOKUP(G2216,METRICS!C:D,2,0)</f>
        <v>Beneficios</v>
      </c>
      <c r="L2216" t="str">
        <f>VLOOKUP(K2216,METRICS!D:E,2,0)</f>
        <v>PESSOAL</v>
      </c>
    </row>
    <row r="2217" spans="1:12" ht="15" hidden="1">
      <c r="A2217" t="s">
        <v>1344</v>
      </c>
      <c r="B2217" t="s">
        <v>689</v>
      </c>
      <c r="D2217" t="s">
        <v>1532</v>
      </c>
      <c r="E2217" s="518" t="s">
        <v>713</v>
      </c>
      <c r="F2217" t="s">
        <v>1272</v>
      </c>
      <c r="G2217" t="s">
        <v>662</v>
      </c>
      <c r="H2217" s="595">
        <v>-6187.89</v>
      </c>
      <c r="I2217" t="str">
        <f t="shared" si="116"/>
        <v>fevereiro 2026</v>
      </c>
      <c r="J2217">
        <f t="shared" si="117"/>
        <v>2026</v>
      </c>
      <c r="K2217" t="str">
        <f>VLOOKUP(G2217,METRICS!C:D,2,0)</f>
        <v>Lavanderia</v>
      </c>
      <c r="L2217" t="str">
        <f>VLOOKUP(K2217,METRICS!D:E,2,0)</f>
        <v>OPERAÇÃO</v>
      </c>
    </row>
    <row r="2218" spans="1:12" ht="15" hidden="1">
      <c r="A2218" t="s">
        <v>1344</v>
      </c>
      <c r="B2218" t="s">
        <v>689</v>
      </c>
      <c r="D2218" t="s">
        <v>957</v>
      </c>
      <c r="E2218" t="s">
        <v>958</v>
      </c>
      <c r="F2218" t="s">
        <v>1272</v>
      </c>
      <c r="G2218" t="s">
        <v>660</v>
      </c>
      <c r="H2218" s="595">
        <v>-210.03</v>
      </c>
      <c r="I2218" t="str">
        <f t="shared" si="116"/>
        <v>fevereiro 2026</v>
      </c>
      <c r="J2218">
        <f t="shared" si="117"/>
        <v>2026</v>
      </c>
      <c r="K2218" t="str">
        <f>VLOOKUP(G2218,METRICS!C:D,2,0)</f>
        <v>Telefone e Internet</v>
      </c>
      <c r="L2218" t="str">
        <f>VLOOKUP(K2218,METRICS!D:E,2,0)</f>
        <v>ADMINISTRATIVA</v>
      </c>
    </row>
    <row r="2219" spans="1:12" ht="15" hidden="1">
      <c r="A2219" t="s">
        <v>1344</v>
      </c>
      <c r="B2219" t="s">
        <v>612</v>
      </c>
      <c r="D2219" t="s">
        <v>1533</v>
      </c>
      <c r="E2219" t="s">
        <v>830</v>
      </c>
      <c r="F2219" t="s">
        <v>1272</v>
      </c>
      <c r="G2219" t="s">
        <v>623</v>
      </c>
      <c r="H2219" s="595">
        <v>-203.5</v>
      </c>
      <c r="I2219" t="str">
        <f t="shared" si="116"/>
        <v>fevereiro 2026</v>
      </c>
      <c r="J2219">
        <f t="shared" si="117"/>
        <v>2026</v>
      </c>
      <c r="K2219" t="str">
        <f>VLOOKUP(G2219,METRICS!C:D,2,0)</f>
        <v>Secos - Mercearia</v>
      </c>
      <c r="L2219" t="str">
        <f>VLOOKUP(K2219,METRICS!D:E,2,0)</f>
        <v>CUSTOS DOS PRODUTOS VENDIDOS</v>
      </c>
    </row>
    <row r="2220" spans="1:12" ht="15" hidden="1">
      <c r="A2220" t="s">
        <v>1344</v>
      </c>
      <c r="B2220" t="s">
        <v>612</v>
      </c>
      <c r="D2220" t="s">
        <v>1534</v>
      </c>
      <c r="E2220" t="s">
        <v>752</v>
      </c>
      <c r="F2220" t="s">
        <v>1272</v>
      </c>
      <c r="G2220" t="s">
        <v>609</v>
      </c>
      <c r="H2220" s="595">
        <v>-2000.78</v>
      </c>
      <c r="I2220" t="str">
        <f t="shared" si="116"/>
        <v>fevereiro 2026</v>
      </c>
      <c r="J2220">
        <f t="shared" si="117"/>
        <v>2026</v>
      </c>
      <c r="K2220" t="str">
        <f>VLOOKUP(G2220,METRICS!C:D,2,0)</f>
        <v>Carnes e Aves</v>
      </c>
      <c r="L2220" t="str">
        <f>VLOOKUP(K2220,METRICS!D:E,2,0)</f>
        <v>CUSTOS DOS PRODUTOS VENDIDOS</v>
      </c>
    </row>
    <row r="2221" spans="1:12" ht="15" hidden="1">
      <c r="A2221" t="s">
        <v>1344</v>
      </c>
      <c r="B2221" t="s">
        <v>612</v>
      </c>
      <c r="D2221" t="s">
        <v>1535</v>
      </c>
      <c r="E2221" t="s">
        <v>748</v>
      </c>
      <c r="F2221" t="s">
        <v>1272</v>
      </c>
      <c r="G2221" t="s">
        <v>620</v>
      </c>
      <c r="H2221" s="595">
        <v>-113.21</v>
      </c>
      <c r="I2221" t="str">
        <f t="shared" si="116"/>
        <v>fevereiro 2026</v>
      </c>
      <c r="J2221">
        <f t="shared" si="117"/>
        <v>2026</v>
      </c>
      <c r="K2221" t="str">
        <f>VLOOKUP(G2221,METRICS!C:D,2,0)</f>
        <v>Hortifruti</v>
      </c>
      <c r="L2221" t="str">
        <f>VLOOKUP(K2221,METRICS!D:E,2,0)</f>
        <v>CUSTOS DOS PRODUTOS VENDIDOS</v>
      </c>
    </row>
    <row r="2222" spans="1:12" ht="15">
      <c r="A2222" t="s">
        <v>1345</v>
      </c>
      <c r="B2222" t="s">
        <v>689</v>
      </c>
      <c r="D2222" t="s">
        <v>1386</v>
      </c>
      <c r="E2222" t="s">
        <v>1667</v>
      </c>
      <c r="F2222" t="s">
        <v>1272</v>
      </c>
      <c r="G2222" t="s">
        <v>1718</v>
      </c>
      <c r="H2222" s="595">
        <v>-945</v>
      </c>
      <c r="I2222" t="str">
        <f t="shared" si="116"/>
        <v>fevereiro 2026</v>
      </c>
      <c r="J2222">
        <f t="shared" si="117"/>
        <v>2026</v>
      </c>
      <c r="K2222" t="str">
        <f>VLOOKUP(G2222,METRICS!C:D,2,0)</f>
        <v>Utensílios</v>
      </c>
      <c r="L2222" t="str">
        <f>VLOOKUP(K2222,METRICS!D:E,2,0)</f>
        <v>OPERAÇÃO</v>
      </c>
    </row>
    <row r="2223" spans="1:12" ht="15" hidden="1">
      <c r="A2223" t="s">
        <v>1345</v>
      </c>
      <c r="B2223" t="s">
        <v>612</v>
      </c>
      <c r="D2223" t="s">
        <v>1536</v>
      </c>
      <c r="E2223" t="s">
        <v>951</v>
      </c>
      <c r="F2223" t="s">
        <v>1272</v>
      </c>
      <c r="G2223" t="s">
        <v>609</v>
      </c>
      <c r="H2223" s="595">
        <v>-3584.25</v>
      </c>
      <c r="I2223" t="str">
        <f t="shared" si="116"/>
        <v>fevereiro 2026</v>
      </c>
      <c r="J2223">
        <f t="shared" si="117"/>
        <v>2026</v>
      </c>
      <c r="K2223" t="str">
        <f>VLOOKUP(G2223,METRICS!C:D,2,0)</f>
        <v>Carnes e Aves</v>
      </c>
      <c r="L2223" t="str">
        <f>VLOOKUP(K2223,METRICS!D:E,2,0)</f>
        <v>CUSTOS DOS PRODUTOS VENDIDOS</v>
      </c>
    </row>
    <row r="2224" spans="1:12" ht="15" hidden="1">
      <c r="A2224" t="s">
        <v>1345</v>
      </c>
      <c r="B2224" t="s">
        <v>612</v>
      </c>
      <c r="D2224" t="s">
        <v>1537</v>
      </c>
      <c r="E2224" t="s">
        <v>750</v>
      </c>
      <c r="F2224" t="s">
        <v>1272</v>
      </c>
      <c r="G2224" t="s">
        <v>610</v>
      </c>
      <c r="H2224" s="595">
        <v>-1592</v>
      </c>
      <c r="I2224" t="str">
        <f t="shared" si="116"/>
        <v>fevereiro 2026</v>
      </c>
      <c r="J2224">
        <f t="shared" si="117"/>
        <v>2026</v>
      </c>
      <c r="K2224" t="str">
        <f>VLOOKUP(G2224,METRICS!C:D,2,0)</f>
        <v>Carvão</v>
      </c>
      <c r="L2224" t="str">
        <f>VLOOKUP(K2224,METRICS!D:E,2,0)</f>
        <v>CUSTOS DOS PRODUTOS VENDIDOS</v>
      </c>
    </row>
    <row r="2225" spans="1:12" ht="15" hidden="1">
      <c r="A2225" t="s">
        <v>1345</v>
      </c>
      <c r="B2225" t="s">
        <v>612</v>
      </c>
      <c r="D2225" t="s">
        <v>1538</v>
      </c>
      <c r="E2225" t="s">
        <v>984</v>
      </c>
      <c r="F2225" t="s">
        <v>1272</v>
      </c>
      <c r="G2225" t="s">
        <v>614</v>
      </c>
      <c r="H2225" s="595">
        <v>-3620.06</v>
      </c>
      <c r="I2225" t="str">
        <f t="shared" si="116"/>
        <v>fevereiro 2026</v>
      </c>
      <c r="J2225">
        <f t="shared" si="117"/>
        <v>2026</v>
      </c>
      <c r="K2225" t="str">
        <f>VLOOKUP(G2225,METRICS!C:D,2,0)</f>
        <v>Honorarios Advocaticios</v>
      </c>
      <c r="L2225" t="str">
        <f>VLOOKUP(K2225,METRICS!D:E,2,0)</f>
        <v>ADMINISTRATIVA</v>
      </c>
    </row>
    <row r="2226" spans="1:12" ht="15" hidden="1">
      <c r="A2226" t="s">
        <v>1345</v>
      </c>
      <c r="B2226" t="s">
        <v>689</v>
      </c>
      <c r="D2226" t="s">
        <v>883</v>
      </c>
      <c r="E2226" t="s">
        <v>746</v>
      </c>
      <c r="F2226" t="s">
        <v>1272</v>
      </c>
      <c r="G2226" t="s">
        <v>669</v>
      </c>
      <c r="H2226" s="595">
        <v>-79.88</v>
      </c>
      <c r="I2226" t="str">
        <f t="shared" si="116"/>
        <v>fevereiro 2026</v>
      </c>
      <c r="J2226">
        <f t="shared" si="117"/>
        <v>2026</v>
      </c>
      <c r="K2226" t="str">
        <f>VLOOKUP(G2226,METRICS!C:D,2,0)</f>
        <v>Taxas Financeiras Diversas</v>
      </c>
      <c r="L2226" t="str">
        <f>VLOOKUP(K2226,METRICS!D:E,2,0)</f>
        <v>TAXAS CARTÃO DE CRÉDITO</v>
      </c>
    </row>
    <row r="2227" spans="1:12" ht="15" hidden="1">
      <c r="A2227" t="s">
        <v>1345</v>
      </c>
      <c r="B2227" t="s">
        <v>689</v>
      </c>
      <c r="D2227" t="s">
        <v>756</v>
      </c>
      <c r="E2227" t="s">
        <v>757</v>
      </c>
      <c r="F2227" t="s">
        <v>1272</v>
      </c>
      <c r="G2227" t="s">
        <v>666</v>
      </c>
      <c r="H2227" s="595">
        <v>-59.4</v>
      </c>
      <c r="I2227" t="str">
        <f t="shared" si="116"/>
        <v>fevereiro 2026</v>
      </c>
      <c r="J2227">
        <f t="shared" si="117"/>
        <v>2026</v>
      </c>
      <c r="K2227" t="str">
        <f>VLOOKUP(G2227,METRICS!C:D,2,0)</f>
        <v>Encargos Bancarios</v>
      </c>
      <c r="L2227" t="str">
        <f>VLOOKUP(K2227,METRICS!D:E,2,0)</f>
        <v>DESPESAS FINANCEIRAS</v>
      </c>
    </row>
    <row r="2228" spans="1:12" ht="15" hidden="1">
      <c r="A2228" s="518" t="s">
        <v>1345</v>
      </c>
      <c r="B2228" t="s">
        <v>612</v>
      </c>
      <c r="D2228" t="s">
        <v>1539</v>
      </c>
      <c r="E2228" t="s">
        <v>1046</v>
      </c>
      <c r="F2228" t="s">
        <v>1272</v>
      </c>
      <c r="G2228" t="s">
        <v>623</v>
      </c>
      <c r="H2228" s="595">
        <v>-570</v>
      </c>
      <c r="I2228" t="str">
        <f t="shared" si="116"/>
        <v>fevereiro 2026</v>
      </c>
      <c r="J2228">
        <f t="shared" si="117"/>
        <v>2026</v>
      </c>
      <c r="K2228" t="str">
        <f>VLOOKUP(G2228,METRICS!C:D,2,0)</f>
        <v>Secos - Mercearia</v>
      </c>
      <c r="L2228" t="str">
        <f>VLOOKUP(K2228,METRICS!D:E,2,0)</f>
        <v>CUSTOS DOS PRODUTOS VENDIDOS</v>
      </c>
    </row>
    <row r="2229" spans="1:12" ht="15" hidden="1">
      <c r="A2229" s="518" t="s">
        <v>1345</v>
      </c>
      <c r="B2229" t="s">
        <v>689</v>
      </c>
      <c r="C2229" t="s">
        <v>690</v>
      </c>
      <c r="D2229" t="s">
        <v>1048</v>
      </c>
      <c r="E2229" t="s">
        <v>1049</v>
      </c>
      <c r="F2229" t="s">
        <v>1272</v>
      </c>
      <c r="G2229" t="s">
        <v>674</v>
      </c>
      <c r="H2229" s="595">
        <v>-5515.74</v>
      </c>
      <c r="I2229" t="str">
        <f>TEXT(A2229, "mmmm aaaa")</f>
        <v>fevereiro 2026</v>
      </c>
      <c r="J2229">
        <f>YEAR(A2229)</f>
        <v>2026</v>
      </c>
      <c r="K2229" t="str">
        <f>VLOOKUP(G2229,METRICS!C:D,2,0)</f>
        <v>Energia Elétrica</v>
      </c>
      <c r="L2229" t="str">
        <f>VLOOKUP(K2229,METRICS!D:E,2,0)</f>
        <v>OPERAÇÃO</v>
      </c>
    </row>
    <row r="2230" spans="1:12" ht="15" hidden="1">
      <c r="A2230" t="s">
        <v>1346</v>
      </c>
      <c r="B2230" t="s">
        <v>612</v>
      </c>
      <c r="D2230" t="s">
        <v>1540</v>
      </c>
      <c r="E2230" t="s">
        <v>1690</v>
      </c>
      <c r="F2230" t="s">
        <v>1272</v>
      </c>
      <c r="G2230" t="s">
        <v>636</v>
      </c>
      <c r="H2230" s="595">
        <v>-873.18</v>
      </c>
      <c r="I2230" t="str">
        <f t="shared" si="116"/>
        <v>fevereiro 2026</v>
      </c>
      <c r="J2230">
        <f t="shared" si="117"/>
        <v>2026</v>
      </c>
      <c r="K2230" t="str">
        <f>VLOOKUP(G2230,METRICS!C:D,2,0)</f>
        <v>Secos - Mercearia</v>
      </c>
      <c r="L2230" t="str">
        <f>VLOOKUP(K2230,METRICS!D:E,2,0)</f>
        <v>CUSTOS DOS PRODUTOS VENDIDOS</v>
      </c>
    </row>
    <row r="2231" spans="1:12" ht="15" hidden="1">
      <c r="A2231" t="s">
        <v>1346</v>
      </c>
      <c r="B2231" t="s">
        <v>612</v>
      </c>
      <c r="D2231" t="s">
        <v>1541</v>
      </c>
      <c r="E2231" t="s">
        <v>748</v>
      </c>
      <c r="F2231" t="s">
        <v>1272</v>
      </c>
      <c r="G2231" t="s">
        <v>620</v>
      </c>
      <c r="H2231" s="595">
        <v>-104.65</v>
      </c>
      <c r="I2231" t="str">
        <f t="shared" si="116"/>
        <v>fevereiro 2026</v>
      </c>
      <c r="J2231">
        <f t="shared" si="117"/>
        <v>2026</v>
      </c>
      <c r="K2231" t="str">
        <f>VLOOKUP(G2231,METRICS!C:D,2,0)</f>
        <v>Hortifruti</v>
      </c>
      <c r="L2231" t="str">
        <f>VLOOKUP(K2231,METRICS!D:E,2,0)</f>
        <v>CUSTOS DOS PRODUTOS VENDIDOS</v>
      </c>
    </row>
    <row r="2232" spans="1:12" ht="15" hidden="1">
      <c r="A2232" t="s">
        <v>1346</v>
      </c>
      <c r="B2232" t="s">
        <v>612</v>
      </c>
      <c r="D2232" t="s">
        <v>1542</v>
      </c>
      <c r="E2232" t="s">
        <v>752</v>
      </c>
      <c r="F2232" t="s">
        <v>1272</v>
      </c>
      <c r="G2232" t="s">
        <v>609</v>
      </c>
      <c r="H2232" s="595">
        <v>-799.3</v>
      </c>
      <c r="I2232" t="str">
        <f t="shared" si="116"/>
        <v>fevereiro 2026</v>
      </c>
      <c r="J2232">
        <f t="shared" si="117"/>
        <v>2026</v>
      </c>
      <c r="K2232" t="str">
        <f>VLOOKUP(G2232,METRICS!C:D,2,0)</f>
        <v>Carnes e Aves</v>
      </c>
      <c r="L2232" t="str">
        <f>VLOOKUP(K2232,METRICS!D:E,2,0)</f>
        <v>CUSTOS DOS PRODUTOS VENDIDOS</v>
      </c>
    </row>
    <row r="2233" spans="1:12" ht="15" hidden="1">
      <c r="A2233" t="s">
        <v>1346</v>
      </c>
      <c r="B2233" t="s">
        <v>612</v>
      </c>
      <c r="D2233" t="s">
        <v>1543</v>
      </c>
      <c r="E2233" t="s">
        <v>910</v>
      </c>
      <c r="F2233" t="s">
        <v>1272</v>
      </c>
      <c r="G2233" t="s">
        <v>623</v>
      </c>
      <c r="H2233" s="595">
        <v>-345</v>
      </c>
      <c r="I2233" t="str">
        <f t="shared" si="116"/>
        <v>fevereiro 2026</v>
      </c>
      <c r="J2233">
        <f t="shared" si="117"/>
        <v>2026</v>
      </c>
      <c r="K2233" t="str">
        <f>VLOOKUP(G2233,METRICS!C:D,2,0)</f>
        <v>Secos - Mercearia</v>
      </c>
      <c r="L2233" t="str">
        <f>VLOOKUP(K2233,METRICS!D:E,2,0)</f>
        <v>CUSTOS DOS PRODUTOS VENDIDOS</v>
      </c>
    </row>
    <row r="2234" spans="1:12" ht="15" hidden="1">
      <c r="A2234" t="s">
        <v>1346</v>
      </c>
      <c r="B2234" t="s">
        <v>612</v>
      </c>
      <c r="D2234" t="s">
        <v>1544</v>
      </c>
      <c r="E2234" t="s">
        <v>765</v>
      </c>
      <c r="F2234" t="s">
        <v>1272</v>
      </c>
      <c r="G2234" t="s">
        <v>619</v>
      </c>
      <c r="H2234" s="595">
        <v>-1019.2</v>
      </c>
      <c r="I2234" t="str">
        <f t="shared" si="116"/>
        <v>fevereiro 2026</v>
      </c>
      <c r="J2234">
        <f t="shared" si="117"/>
        <v>2026</v>
      </c>
      <c r="K2234" t="str">
        <f>VLOOKUP(G2234,METRICS!C:D,2,0)</f>
        <v>Gelo</v>
      </c>
      <c r="L2234" t="str">
        <f>VLOOKUP(K2234,METRICS!D:E,2,0)</f>
        <v>CUSTOS DOS PRODUTOS VENDIDOS</v>
      </c>
    </row>
    <row r="2235" spans="1:12" ht="15" hidden="1">
      <c r="A2235" t="s">
        <v>1346</v>
      </c>
      <c r="B2235" t="s">
        <v>612</v>
      </c>
      <c r="D2235" t="s">
        <v>1545</v>
      </c>
      <c r="E2235" t="s">
        <v>1005</v>
      </c>
      <c r="F2235" t="s">
        <v>1272</v>
      </c>
      <c r="G2235" t="s">
        <v>608</v>
      </c>
      <c r="H2235" s="595">
        <v>-2287.1999999999998</v>
      </c>
      <c r="I2235" t="str">
        <f t="shared" si="116"/>
        <v>fevereiro 2026</v>
      </c>
      <c r="J2235">
        <f t="shared" si="117"/>
        <v>2026</v>
      </c>
      <c r="K2235" t="str">
        <f>VLOOKUP(G2235,METRICS!C:D,2,0)</f>
        <v>Bebidas não Alcoolicas</v>
      </c>
      <c r="L2235" t="str">
        <f>VLOOKUP(K2235,METRICS!D:E,2,0)</f>
        <v>CUSTOS DOS PRODUTOS VENDIDOS</v>
      </c>
    </row>
    <row r="2236" spans="1:12" ht="15" hidden="1">
      <c r="A2236" t="s">
        <v>1346</v>
      </c>
      <c r="B2236" t="s">
        <v>612</v>
      </c>
      <c r="D2236" t="s">
        <v>1546</v>
      </c>
      <c r="E2236" t="s">
        <v>805</v>
      </c>
      <c r="F2236" t="s">
        <v>1272</v>
      </c>
      <c r="G2236" t="s">
        <v>609</v>
      </c>
      <c r="H2236" s="595">
        <v>-16833.36</v>
      </c>
      <c r="I2236" t="str">
        <f t="shared" si="116"/>
        <v>fevereiro 2026</v>
      </c>
      <c r="J2236">
        <f t="shared" si="117"/>
        <v>2026</v>
      </c>
      <c r="K2236" t="str">
        <f>VLOOKUP(G2236,METRICS!C:D,2,0)</f>
        <v>Carnes e Aves</v>
      </c>
      <c r="L2236" t="str">
        <f>VLOOKUP(K2236,METRICS!D:E,2,0)</f>
        <v>CUSTOS DOS PRODUTOS VENDIDOS</v>
      </c>
    </row>
    <row r="2237" spans="1:12" ht="15" hidden="1">
      <c r="A2237" t="s">
        <v>1346</v>
      </c>
      <c r="B2237" t="s">
        <v>612</v>
      </c>
      <c r="D2237" t="s">
        <v>1547</v>
      </c>
      <c r="E2237" t="s">
        <v>738</v>
      </c>
      <c r="F2237" t="s">
        <v>1272</v>
      </c>
      <c r="G2237" t="s">
        <v>636</v>
      </c>
      <c r="H2237" s="595">
        <v>-1709.4</v>
      </c>
      <c r="I2237" t="str">
        <f t="shared" si="116"/>
        <v>fevereiro 2026</v>
      </c>
      <c r="J2237">
        <f t="shared" si="117"/>
        <v>2026</v>
      </c>
      <c r="K2237" t="str">
        <f>VLOOKUP(G2237,METRICS!C:D,2,0)</f>
        <v>Secos - Mercearia</v>
      </c>
      <c r="L2237" t="str">
        <f>VLOOKUP(K2237,METRICS!D:E,2,0)</f>
        <v>CUSTOS DOS PRODUTOS VENDIDOS</v>
      </c>
    </row>
    <row r="2238" spans="1:12" ht="15" hidden="1">
      <c r="A2238" t="s">
        <v>1346</v>
      </c>
      <c r="B2238" t="s">
        <v>612</v>
      </c>
      <c r="D2238" t="s">
        <v>1548</v>
      </c>
      <c r="E2238" t="s">
        <v>738</v>
      </c>
      <c r="F2238" t="s">
        <v>1272</v>
      </c>
      <c r="G2238" t="s">
        <v>607</v>
      </c>
      <c r="H2238" s="595">
        <v>-719.82</v>
      </c>
      <c r="I2238" t="str">
        <f t="shared" si="116"/>
        <v>fevereiro 2026</v>
      </c>
      <c r="J2238">
        <f t="shared" si="117"/>
        <v>2026</v>
      </c>
      <c r="K2238" t="str">
        <f>VLOOKUP(G2238,METRICS!C:D,2,0)</f>
        <v>Bebidas Alcoólicas</v>
      </c>
      <c r="L2238" t="str">
        <f>VLOOKUP(K2238,METRICS!D:E,2,0)</f>
        <v>CUSTOS DOS PRODUTOS VENDIDOS</v>
      </c>
    </row>
    <row r="2239" spans="1:12" ht="15" hidden="1">
      <c r="A2239" t="s">
        <v>1346</v>
      </c>
      <c r="B2239" t="s">
        <v>612</v>
      </c>
      <c r="D2239" t="s">
        <v>1549</v>
      </c>
      <c r="E2239" t="s">
        <v>745</v>
      </c>
      <c r="F2239" t="s">
        <v>1272</v>
      </c>
      <c r="G2239" t="s">
        <v>620</v>
      </c>
      <c r="H2239" s="595">
        <v>-364.6</v>
      </c>
      <c r="I2239" t="str">
        <f t="shared" si="116"/>
        <v>fevereiro 2026</v>
      </c>
      <c r="J2239">
        <f t="shared" si="117"/>
        <v>2026</v>
      </c>
      <c r="K2239" t="str">
        <f>VLOOKUP(G2239,METRICS!C:D,2,0)</f>
        <v>Hortifruti</v>
      </c>
      <c r="L2239" t="str">
        <f>VLOOKUP(K2239,METRICS!D:E,2,0)</f>
        <v>CUSTOS DOS PRODUTOS VENDIDOS</v>
      </c>
    </row>
    <row r="2240" spans="1:12" ht="15" hidden="1">
      <c r="A2240" t="s">
        <v>1346</v>
      </c>
      <c r="B2240" t="s">
        <v>689</v>
      </c>
      <c r="D2240" t="s">
        <v>1550</v>
      </c>
      <c r="E2240" t="s">
        <v>757</v>
      </c>
      <c r="F2240" t="s">
        <v>1272</v>
      </c>
      <c r="G2240" t="s">
        <v>666</v>
      </c>
      <c r="H2240" s="595">
        <v>-9.9</v>
      </c>
      <c r="I2240" t="str">
        <f t="shared" si="116"/>
        <v>fevereiro 2026</v>
      </c>
      <c r="J2240">
        <f t="shared" si="117"/>
        <v>2026</v>
      </c>
      <c r="K2240" t="str">
        <f>VLOOKUP(G2240,METRICS!C:D,2,0)</f>
        <v>Encargos Bancarios</v>
      </c>
      <c r="L2240" t="str">
        <f>VLOOKUP(K2240,METRICS!D:E,2,0)</f>
        <v>DESPESAS FINANCEIRAS</v>
      </c>
    </row>
    <row r="2241" spans="1:12" ht="15" hidden="1">
      <c r="A2241" t="s">
        <v>1346</v>
      </c>
      <c r="B2241" t="s">
        <v>612</v>
      </c>
      <c r="D2241" t="s">
        <v>1551</v>
      </c>
      <c r="E2241" t="s">
        <v>936</v>
      </c>
      <c r="F2241" t="s">
        <v>1272</v>
      </c>
      <c r="G2241" t="s">
        <v>283</v>
      </c>
      <c r="H2241" s="595">
        <v>-3172</v>
      </c>
      <c r="I2241" t="str">
        <f t="shared" si="116"/>
        <v>fevereiro 2026</v>
      </c>
      <c r="J2241">
        <f t="shared" si="117"/>
        <v>2026</v>
      </c>
      <c r="K2241" t="str">
        <f>VLOOKUP(G2241,METRICS!C:D,2,0)</f>
        <v>Hostess</v>
      </c>
      <c r="L2241" t="str">
        <f>VLOOKUP(K2241,METRICS!D:E,2,0)</f>
        <v>OPERAÇÃO</v>
      </c>
    </row>
    <row r="2242" spans="1:12" ht="15" hidden="1">
      <c r="A2242" t="s">
        <v>1346</v>
      </c>
      <c r="B2242" t="s">
        <v>612</v>
      </c>
      <c r="D2242" t="s">
        <v>1552</v>
      </c>
      <c r="E2242" t="s">
        <v>727</v>
      </c>
      <c r="F2242" t="s">
        <v>1272</v>
      </c>
      <c r="G2242" t="s">
        <v>620</v>
      </c>
      <c r="H2242" s="595">
        <v>-2109.5700000000002</v>
      </c>
      <c r="I2242" t="str">
        <f t="shared" ref="I2242:I2307" si="118">TEXT(A2242, "mmmm aaaa")</f>
        <v>fevereiro 2026</v>
      </c>
      <c r="J2242">
        <f t="shared" ref="J2242:J2307" si="119">YEAR(A2242)</f>
        <v>2026</v>
      </c>
      <c r="K2242" t="str">
        <f>VLOOKUP(G2242,METRICS!C:D,2,0)</f>
        <v>Hortifruti</v>
      </c>
      <c r="L2242" t="str">
        <f>VLOOKUP(K2242,METRICS!D:E,2,0)</f>
        <v>CUSTOS DOS PRODUTOS VENDIDOS</v>
      </c>
    </row>
    <row r="2243" spans="1:12" ht="15" hidden="1">
      <c r="A2243" t="s">
        <v>1346</v>
      </c>
      <c r="B2243" t="s">
        <v>612</v>
      </c>
      <c r="D2243" t="s">
        <v>1553</v>
      </c>
      <c r="E2243" t="s">
        <v>878</v>
      </c>
      <c r="F2243" t="s">
        <v>1272</v>
      </c>
      <c r="G2243" t="s">
        <v>609</v>
      </c>
      <c r="H2243" s="595">
        <v>-7853.4</v>
      </c>
      <c r="I2243" t="str">
        <f t="shared" si="118"/>
        <v>fevereiro 2026</v>
      </c>
      <c r="J2243">
        <f t="shared" si="119"/>
        <v>2026</v>
      </c>
      <c r="K2243" t="str">
        <f>VLOOKUP(G2243,METRICS!C:D,2,0)</f>
        <v>Carnes e Aves</v>
      </c>
      <c r="L2243" t="str">
        <f>VLOOKUP(K2243,METRICS!D:E,2,0)</f>
        <v>CUSTOS DOS PRODUTOS VENDIDOS</v>
      </c>
    </row>
    <row r="2244" spans="1:12" ht="15" hidden="1">
      <c r="A2244" t="s">
        <v>1346</v>
      </c>
      <c r="B2244" t="s">
        <v>612</v>
      </c>
      <c r="D2244" t="s">
        <v>1554</v>
      </c>
      <c r="E2244" t="s">
        <v>752</v>
      </c>
      <c r="F2244" t="s">
        <v>1272</v>
      </c>
      <c r="G2244" t="s">
        <v>609</v>
      </c>
      <c r="H2244" s="595">
        <v>-294.38</v>
      </c>
      <c r="I2244" t="str">
        <f t="shared" si="118"/>
        <v>fevereiro 2026</v>
      </c>
      <c r="J2244">
        <f t="shared" si="119"/>
        <v>2026</v>
      </c>
      <c r="K2244" t="str">
        <f>VLOOKUP(G2244,METRICS!C:D,2,0)</f>
        <v>Carnes e Aves</v>
      </c>
      <c r="L2244" t="str">
        <f>VLOOKUP(K2244,METRICS!D:E,2,0)</f>
        <v>CUSTOS DOS PRODUTOS VENDIDOS</v>
      </c>
    </row>
    <row r="2245" spans="1:12" ht="15" hidden="1">
      <c r="A2245" t="s">
        <v>1346</v>
      </c>
      <c r="B2245" t="s">
        <v>612</v>
      </c>
      <c r="D2245" t="s">
        <v>1555</v>
      </c>
      <c r="E2245" t="s">
        <v>830</v>
      </c>
      <c r="F2245" t="s">
        <v>1272</v>
      </c>
      <c r="G2245" t="s">
        <v>623</v>
      </c>
      <c r="H2245" s="595">
        <v>-407</v>
      </c>
      <c r="I2245" t="str">
        <f t="shared" si="118"/>
        <v>fevereiro 2026</v>
      </c>
      <c r="J2245">
        <f t="shared" si="119"/>
        <v>2026</v>
      </c>
      <c r="K2245" t="str">
        <f>VLOOKUP(G2245,METRICS!C:D,2,0)</f>
        <v>Secos - Mercearia</v>
      </c>
      <c r="L2245" t="str">
        <f>VLOOKUP(K2245,METRICS!D:E,2,0)</f>
        <v>CUSTOS DOS PRODUTOS VENDIDOS</v>
      </c>
    </row>
    <row r="2246" spans="1:12" ht="15" hidden="1">
      <c r="A2246" t="s">
        <v>1346</v>
      </c>
      <c r="B2246" t="s">
        <v>612</v>
      </c>
      <c r="D2246" t="s">
        <v>1556</v>
      </c>
      <c r="E2246" t="s">
        <v>964</v>
      </c>
      <c r="F2246" t="s">
        <v>1272</v>
      </c>
      <c r="G2246" t="s">
        <v>607</v>
      </c>
      <c r="H2246" s="595">
        <v>-14476.48</v>
      </c>
      <c r="I2246" t="str">
        <f t="shared" si="118"/>
        <v>fevereiro 2026</v>
      </c>
      <c r="J2246">
        <f t="shared" si="119"/>
        <v>2026</v>
      </c>
      <c r="K2246" t="str">
        <f>VLOOKUP(G2246,METRICS!C:D,2,0)</f>
        <v>Bebidas Alcoólicas</v>
      </c>
      <c r="L2246" t="str">
        <f>VLOOKUP(K2246,METRICS!D:E,2,0)</f>
        <v>CUSTOS DOS PRODUTOS VENDIDOS</v>
      </c>
    </row>
    <row r="2247" spans="1:12" ht="15" hidden="1">
      <c r="A2247" t="s">
        <v>1346</v>
      </c>
      <c r="B2247" t="s">
        <v>612</v>
      </c>
      <c r="D2247" t="s">
        <v>1557</v>
      </c>
      <c r="E2247" t="s">
        <v>979</v>
      </c>
      <c r="F2247" t="s">
        <v>1272</v>
      </c>
      <c r="G2247" t="s">
        <v>641</v>
      </c>
      <c r="H2247" s="595">
        <v>-624</v>
      </c>
      <c r="I2247" t="str">
        <f t="shared" si="118"/>
        <v>fevereiro 2026</v>
      </c>
      <c r="J2247">
        <f t="shared" si="119"/>
        <v>2026</v>
      </c>
      <c r="K2247" t="str">
        <f>VLOOKUP(G2247,METRICS!C:D,2,0)</f>
        <v>Vinhos/Espumantes</v>
      </c>
      <c r="L2247" t="str">
        <f>VLOOKUP(K2247,METRICS!D:E,2,0)</f>
        <v>CUSTOS DOS PRODUTOS VENDIDOS</v>
      </c>
    </row>
    <row r="2248" spans="1:12" ht="15" hidden="1">
      <c r="A2248" t="s">
        <v>1346</v>
      </c>
      <c r="B2248" t="s">
        <v>612</v>
      </c>
      <c r="D2248" t="s">
        <v>1558</v>
      </c>
      <c r="E2248" t="s">
        <v>826</v>
      </c>
      <c r="F2248" t="s">
        <v>1272</v>
      </c>
      <c r="G2248" t="s">
        <v>633</v>
      </c>
      <c r="H2248" s="595">
        <v>-1215</v>
      </c>
      <c r="I2248" t="str">
        <f t="shared" si="118"/>
        <v>fevereiro 2026</v>
      </c>
      <c r="J2248">
        <f t="shared" si="119"/>
        <v>2026</v>
      </c>
      <c r="K2248" t="str">
        <f>VLOOKUP(G2248,METRICS!C:D,2,0)</f>
        <v>Paes, Massas e Salgados</v>
      </c>
      <c r="L2248" t="str">
        <f>VLOOKUP(K2248,METRICS!D:E,2,0)</f>
        <v>CUSTOS DOS PRODUTOS VENDIDOS</v>
      </c>
    </row>
    <row r="2249" spans="1:12" ht="15" hidden="1">
      <c r="A2249" t="s">
        <v>1346</v>
      </c>
      <c r="B2249" t="s">
        <v>612</v>
      </c>
      <c r="D2249" t="s">
        <v>1559</v>
      </c>
      <c r="E2249" t="s">
        <v>767</v>
      </c>
      <c r="F2249" t="s">
        <v>1272</v>
      </c>
      <c r="G2249" t="s">
        <v>623</v>
      </c>
      <c r="H2249" s="595">
        <v>-768</v>
      </c>
      <c r="I2249" t="str">
        <f t="shared" si="118"/>
        <v>fevereiro 2026</v>
      </c>
      <c r="J2249">
        <f t="shared" si="119"/>
        <v>2026</v>
      </c>
      <c r="K2249" t="str">
        <f>VLOOKUP(G2249,METRICS!C:D,2,0)</f>
        <v>Secos - Mercearia</v>
      </c>
      <c r="L2249" t="str">
        <f>VLOOKUP(K2249,METRICS!D:E,2,0)</f>
        <v>CUSTOS DOS PRODUTOS VENDIDOS</v>
      </c>
    </row>
    <row r="2250" spans="1:12" ht="15" hidden="1">
      <c r="A2250" t="s">
        <v>1346</v>
      </c>
      <c r="B2250" t="s">
        <v>689</v>
      </c>
      <c r="D2250" t="s">
        <v>756</v>
      </c>
      <c r="E2250" t="s">
        <v>757</v>
      </c>
      <c r="F2250" t="s">
        <v>1272</v>
      </c>
      <c r="G2250" t="s">
        <v>666</v>
      </c>
      <c r="H2250" s="595">
        <v>-49.5</v>
      </c>
      <c r="I2250" t="str">
        <f t="shared" si="118"/>
        <v>fevereiro 2026</v>
      </c>
      <c r="J2250">
        <f t="shared" si="119"/>
        <v>2026</v>
      </c>
      <c r="K2250" t="str">
        <f>VLOOKUP(G2250,METRICS!C:D,2,0)</f>
        <v>Encargos Bancarios</v>
      </c>
      <c r="L2250" t="str">
        <f>VLOOKUP(K2250,METRICS!D:E,2,0)</f>
        <v>DESPESAS FINANCEIRAS</v>
      </c>
    </row>
    <row r="2251" spans="1:12" ht="15" hidden="1">
      <c r="A2251" t="s">
        <v>1346</v>
      </c>
      <c r="B2251" t="s">
        <v>612</v>
      </c>
      <c r="D2251" t="s">
        <v>1560</v>
      </c>
      <c r="E2251" t="s">
        <v>774</v>
      </c>
      <c r="F2251" t="s">
        <v>1272</v>
      </c>
      <c r="G2251" t="s">
        <v>629</v>
      </c>
      <c r="H2251" s="595">
        <v>-715.35</v>
      </c>
      <c r="I2251" t="str">
        <f t="shared" si="118"/>
        <v>fevereiro 2026</v>
      </c>
      <c r="J2251">
        <f t="shared" si="119"/>
        <v>2026</v>
      </c>
      <c r="K2251" t="str">
        <f>VLOOKUP(G2251,METRICS!C:D,2,0)</f>
        <v>Material de limpeza</v>
      </c>
      <c r="L2251" t="str">
        <f>VLOOKUP(K2251,METRICS!D:E,2,0)</f>
        <v>OPERAÇÃO</v>
      </c>
    </row>
    <row r="2252" spans="1:12" ht="15" hidden="1">
      <c r="A2252" t="s">
        <v>1346</v>
      </c>
      <c r="B2252" t="s">
        <v>612</v>
      </c>
      <c r="D2252" t="s">
        <v>1561</v>
      </c>
      <c r="E2252" t="s">
        <v>878</v>
      </c>
      <c r="F2252" t="s">
        <v>1272</v>
      </c>
      <c r="G2252" t="s">
        <v>609</v>
      </c>
      <c r="H2252" s="595">
        <v>-2944.26</v>
      </c>
      <c r="I2252" t="str">
        <f t="shared" si="118"/>
        <v>fevereiro 2026</v>
      </c>
      <c r="J2252">
        <f t="shared" si="119"/>
        <v>2026</v>
      </c>
      <c r="K2252" t="str">
        <f>VLOOKUP(G2252,METRICS!C:D,2,0)</f>
        <v>Carnes e Aves</v>
      </c>
      <c r="L2252" t="str">
        <f>VLOOKUP(K2252,METRICS!D:E,2,0)</f>
        <v>CUSTOS DOS PRODUTOS VENDIDOS</v>
      </c>
    </row>
    <row r="2253" spans="1:12" ht="15" hidden="1">
      <c r="A2253" t="s">
        <v>1346</v>
      </c>
      <c r="B2253" t="s">
        <v>689</v>
      </c>
      <c r="D2253" t="s">
        <v>883</v>
      </c>
      <c r="E2253" t="s">
        <v>746</v>
      </c>
      <c r="F2253" t="s">
        <v>1272</v>
      </c>
      <c r="G2253" t="s">
        <v>669</v>
      </c>
      <c r="H2253" s="595">
        <v>-132.85</v>
      </c>
      <c r="I2253" t="str">
        <f t="shared" si="118"/>
        <v>fevereiro 2026</v>
      </c>
      <c r="J2253">
        <f t="shared" si="119"/>
        <v>2026</v>
      </c>
      <c r="K2253" t="str">
        <f>VLOOKUP(G2253,METRICS!C:D,2,0)</f>
        <v>Taxas Financeiras Diversas</v>
      </c>
      <c r="L2253" t="str">
        <f>VLOOKUP(K2253,METRICS!D:E,2,0)</f>
        <v>TAXAS CARTÃO DE CRÉDITO</v>
      </c>
    </row>
    <row r="2254" spans="1:12" ht="15" hidden="1">
      <c r="A2254" t="s">
        <v>1346</v>
      </c>
      <c r="B2254" t="s">
        <v>612</v>
      </c>
      <c r="D2254" t="s">
        <v>1562</v>
      </c>
      <c r="E2254" t="s">
        <v>1039</v>
      </c>
      <c r="F2254" t="s">
        <v>1272</v>
      </c>
      <c r="G2254" t="s">
        <v>623</v>
      </c>
      <c r="H2254" s="595">
        <v>-243.93</v>
      </c>
      <c r="I2254" t="str">
        <f t="shared" si="118"/>
        <v>fevereiro 2026</v>
      </c>
      <c r="J2254">
        <f t="shared" si="119"/>
        <v>2026</v>
      </c>
      <c r="K2254" t="str">
        <f>VLOOKUP(G2254,METRICS!C:D,2,0)</f>
        <v>Secos - Mercearia</v>
      </c>
      <c r="L2254" t="str">
        <f>VLOOKUP(K2254,METRICS!D:E,2,0)</f>
        <v>CUSTOS DOS PRODUTOS VENDIDOS</v>
      </c>
    </row>
    <row r="2255" spans="1:12" ht="15" hidden="1">
      <c r="A2255" t="s">
        <v>1346</v>
      </c>
      <c r="B2255" t="s">
        <v>689</v>
      </c>
      <c r="D2255" t="s">
        <v>1048</v>
      </c>
      <c r="E2255" t="s">
        <v>1049</v>
      </c>
      <c r="F2255" t="s">
        <v>1272</v>
      </c>
      <c r="G2255" t="s">
        <v>674</v>
      </c>
      <c r="H2255" s="595">
        <v>-6124.09</v>
      </c>
      <c r="I2255" t="str">
        <f t="shared" si="118"/>
        <v>fevereiro 2026</v>
      </c>
      <c r="J2255">
        <f t="shared" si="119"/>
        <v>2026</v>
      </c>
      <c r="K2255" t="str">
        <f>VLOOKUP(G2255,METRICS!C:D,2,0)</f>
        <v>Energia Elétrica</v>
      </c>
      <c r="L2255" t="str">
        <f>VLOOKUP(K2255,METRICS!D:E,2,0)</f>
        <v>OPERAÇÃO</v>
      </c>
    </row>
    <row r="2256" spans="1:12" ht="15" hidden="1">
      <c r="A2256" t="s">
        <v>1346</v>
      </c>
      <c r="B2256" t="s">
        <v>689</v>
      </c>
      <c r="D2256" t="s">
        <v>1048</v>
      </c>
      <c r="E2256" t="s">
        <v>1049</v>
      </c>
      <c r="F2256" t="s">
        <v>1272</v>
      </c>
      <c r="G2256" t="s">
        <v>674</v>
      </c>
      <c r="H2256" s="595">
        <v>-24167.53</v>
      </c>
      <c r="I2256" t="str">
        <f t="shared" ref="I2256" si="120">TEXT(A2256, "mmmm aaaa")</f>
        <v>fevereiro 2026</v>
      </c>
      <c r="J2256">
        <f t="shared" ref="J2256" si="121">YEAR(A2256)</f>
        <v>2026</v>
      </c>
      <c r="K2256" t="str">
        <f>VLOOKUP(G2256,METRICS!C:D,2,0)</f>
        <v>Energia Elétrica</v>
      </c>
      <c r="L2256" t="str">
        <f>VLOOKUP(K2256,METRICS!D:E,2,0)</f>
        <v>OPERAÇÃO</v>
      </c>
    </row>
    <row r="2257" spans="1:13" ht="15" hidden="1">
      <c r="A2257" t="s">
        <v>1346</v>
      </c>
      <c r="B2257" t="s">
        <v>612</v>
      </c>
      <c r="D2257" t="s">
        <v>1563</v>
      </c>
      <c r="E2257" t="s">
        <v>1012</v>
      </c>
      <c r="F2257" t="s">
        <v>1272</v>
      </c>
      <c r="G2257" t="s">
        <v>611</v>
      </c>
      <c r="H2257" s="595">
        <v>-1449.98</v>
      </c>
      <c r="I2257" t="str">
        <f t="shared" si="118"/>
        <v>fevereiro 2026</v>
      </c>
      <c r="J2257">
        <f t="shared" si="119"/>
        <v>2026</v>
      </c>
      <c r="K2257" t="str">
        <f>VLOOKUP(G2257,METRICS!C:D,2,0)</f>
        <v>Bebidas Alcoólicas</v>
      </c>
      <c r="L2257" t="str">
        <f>VLOOKUP(K2257,METRICS!D:E,2,0)</f>
        <v>CUSTOS DOS PRODUTOS VENDIDOS</v>
      </c>
    </row>
    <row r="2258" spans="1:13" ht="15" hidden="1">
      <c r="A2258" t="s">
        <v>1347</v>
      </c>
      <c r="B2258" t="s">
        <v>689</v>
      </c>
      <c r="C2258" t="s">
        <v>690</v>
      </c>
      <c r="D2258" t="s">
        <v>1062</v>
      </c>
      <c r="E2258" t="s">
        <v>1063</v>
      </c>
      <c r="F2258" t="s">
        <v>1272</v>
      </c>
      <c r="G2258" t="s">
        <v>648</v>
      </c>
      <c r="H2258" s="595">
        <v>-63348.42</v>
      </c>
      <c r="I2258" t="str">
        <f t="shared" si="118"/>
        <v>fevereiro 2026</v>
      </c>
      <c r="J2258">
        <f t="shared" si="119"/>
        <v>2026</v>
      </c>
      <c r="K2258" t="str">
        <f>VLOOKUP(G2258,METRICS!C:D,2,0)</f>
        <v>Salários e Ordenados</v>
      </c>
      <c r="L2258" t="str">
        <f>VLOOKUP(K2258,METRICS!D:E,2,0)</f>
        <v>PESSOAL</v>
      </c>
      <c r="M2258" s="518"/>
    </row>
    <row r="2259" spans="1:13" ht="15" hidden="1">
      <c r="A2259" t="s">
        <v>1347</v>
      </c>
      <c r="B2259" t="s">
        <v>689</v>
      </c>
      <c r="C2259" t="s">
        <v>690</v>
      </c>
      <c r="D2259" t="s">
        <v>1062</v>
      </c>
      <c r="E2259" t="s">
        <v>1063</v>
      </c>
      <c r="F2259" t="s">
        <v>1272</v>
      </c>
      <c r="G2259" t="s">
        <v>1732</v>
      </c>
      <c r="H2259" s="595">
        <v>-75332.899999999994</v>
      </c>
      <c r="I2259" t="str">
        <f t="shared" si="118"/>
        <v>fevereiro 2026</v>
      </c>
      <c r="J2259">
        <f t="shared" si="119"/>
        <v>2026</v>
      </c>
      <c r="K2259" t="str">
        <f>VLOOKUP(G2259,METRICS!C:D,2,0)</f>
        <v>Gorjetas Pagas</v>
      </c>
      <c r="L2259" t="str">
        <f>VLOOKUP(K2259,METRICS!D:E,2,0)</f>
        <v>PESSOAL</v>
      </c>
      <c r="M2259" s="518"/>
    </row>
    <row r="2260" spans="1:13" ht="15" hidden="1">
      <c r="A2260" t="s">
        <v>1347</v>
      </c>
      <c r="B2260" t="s">
        <v>612</v>
      </c>
      <c r="D2260" t="s">
        <v>1564</v>
      </c>
      <c r="E2260" t="s">
        <v>990</v>
      </c>
      <c r="F2260" t="s">
        <v>1272</v>
      </c>
      <c r="G2260" t="s">
        <v>608</v>
      </c>
      <c r="H2260" s="595">
        <v>-1850.59</v>
      </c>
      <c r="I2260" t="str">
        <f t="shared" si="118"/>
        <v>fevereiro 2026</v>
      </c>
      <c r="J2260">
        <f t="shared" si="119"/>
        <v>2026</v>
      </c>
      <c r="K2260" t="str">
        <f>VLOOKUP(G2260,METRICS!C:D,2,0)</f>
        <v>Bebidas não Alcoolicas</v>
      </c>
      <c r="L2260" t="str">
        <f>VLOOKUP(K2260,METRICS!D:E,2,0)</f>
        <v>CUSTOS DOS PRODUTOS VENDIDOS</v>
      </c>
    </row>
    <row r="2261" spans="1:13" ht="15" hidden="1">
      <c r="A2261" t="s">
        <v>1347</v>
      </c>
      <c r="B2261" t="s">
        <v>612</v>
      </c>
      <c r="D2261" t="s">
        <v>1565</v>
      </c>
      <c r="E2261" t="s">
        <v>802</v>
      </c>
      <c r="F2261" t="s">
        <v>1272</v>
      </c>
      <c r="G2261" t="s">
        <v>633</v>
      </c>
      <c r="H2261" s="595">
        <v>-576</v>
      </c>
      <c r="I2261" t="str">
        <f t="shared" si="118"/>
        <v>fevereiro 2026</v>
      </c>
      <c r="J2261">
        <f t="shared" si="119"/>
        <v>2026</v>
      </c>
      <c r="K2261" t="str">
        <f>VLOOKUP(G2261,METRICS!C:D,2,0)</f>
        <v>Paes, Massas e Salgados</v>
      </c>
      <c r="L2261" t="str">
        <f>VLOOKUP(K2261,METRICS!D:E,2,0)</f>
        <v>CUSTOS DOS PRODUTOS VENDIDOS</v>
      </c>
    </row>
    <row r="2262" spans="1:13" ht="15" hidden="1">
      <c r="A2262" t="s">
        <v>1347</v>
      </c>
      <c r="B2262" t="s">
        <v>612</v>
      </c>
      <c r="D2262" t="s">
        <v>1566</v>
      </c>
      <c r="E2262" t="s">
        <v>1249</v>
      </c>
      <c r="F2262" t="s">
        <v>1272</v>
      </c>
      <c r="G2262" t="s">
        <v>413</v>
      </c>
      <c r="H2262" s="595">
        <v>-1198.5</v>
      </c>
      <c r="I2262" t="str">
        <f t="shared" si="118"/>
        <v>fevereiro 2026</v>
      </c>
      <c r="J2262">
        <f t="shared" si="119"/>
        <v>2026</v>
      </c>
      <c r="K2262" t="str">
        <f>VLOOKUP(G2262,METRICS!C:D,2,0)</f>
        <v>Pescados</v>
      </c>
      <c r="L2262" t="str">
        <f>VLOOKUP(K2262,METRICS!D:E,2,0)</f>
        <v>CUSTOS DOS PRODUTOS VENDIDOS</v>
      </c>
    </row>
    <row r="2263" spans="1:13" ht="15" hidden="1">
      <c r="A2263" t="s">
        <v>1347</v>
      </c>
      <c r="B2263" t="s">
        <v>689</v>
      </c>
      <c r="D2263" t="s">
        <v>883</v>
      </c>
      <c r="E2263" t="s">
        <v>746</v>
      </c>
      <c r="F2263" t="s">
        <v>1272</v>
      </c>
      <c r="G2263" t="s">
        <v>669</v>
      </c>
      <c r="H2263" s="595">
        <v>-25.3</v>
      </c>
      <c r="I2263" t="str">
        <f t="shared" si="118"/>
        <v>fevereiro 2026</v>
      </c>
      <c r="J2263">
        <f t="shared" si="119"/>
        <v>2026</v>
      </c>
      <c r="K2263" t="str">
        <f>VLOOKUP(G2263,METRICS!C:D,2,0)</f>
        <v>Taxas Financeiras Diversas</v>
      </c>
      <c r="L2263" t="str">
        <f>VLOOKUP(K2263,METRICS!D:E,2,0)</f>
        <v>TAXAS CARTÃO DE CRÉDITO</v>
      </c>
    </row>
    <row r="2264" spans="1:13" ht="15" hidden="1">
      <c r="A2264" t="s">
        <v>1347</v>
      </c>
      <c r="B2264" t="s">
        <v>612</v>
      </c>
      <c r="D2264" t="s">
        <v>1567</v>
      </c>
      <c r="E2264" t="s">
        <v>1691</v>
      </c>
      <c r="F2264" t="s">
        <v>1272</v>
      </c>
      <c r="G2264" t="s">
        <v>623</v>
      </c>
      <c r="H2264" s="595">
        <v>-1536.13</v>
      </c>
      <c r="I2264" t="str">
        <f t="shared" si="118"/>
        <v>fevereiro 2026</v>
      </c>
      <c r="J2264">
        <f t="shared" si="119"/>
        <v>2026</v>
      </c>
      <c r="K2264" t="str">
        <f>VLOOKUP(G2264,METRICS!C:D,2,0)</f>
        <v>Secos - Mercearia</v>
      </c>
      <c r="L2264" t="str">
        <f>VLOOKUP(K2264,METRICS!D:E,2,0)</f>
        <v>CUSTOS DOS PRODUTOS VENDIDOS</v>
      </c>
    </row>
    <row r="2265" spans="1:13" ht="15" hidden="1">
      <c r="A2265" t="s">
        <v>1347</v>
      </c>
      <c r="B2265" t="s">
        <v>612</v>
      </c>
      <c r="D2265" t="s">
        <v>1568</v>
      </c>
      <c r="E2265" t="s">
        <v>811</v>
      </c>
      <c r="F2265" t="s">
        <v>1272</v>
      </c>
      <c r="G2265" t="s">
        <v>636</v>
      </c>
      <c r="H2265" s="595">
        <v>-3818.39</v>
      </c>
      <c r="I2265" t="str">
        <f t="shared" si="118"/>
        <v>fevereiro 2026</v>
      </c>
      <c r="J2265">
        <f t="shared" si="119"/>
        <v>2026</v>
      </c>
      <c r="K2265" t="str">
        <f>VLOOKUP(G2265,METRICS!C:D,2,0)</f>
        <v>Secos - Mercearia</v>
      </c>
      <c r="L2265" t="str">
        <f>VLOOKUP(K2265,METRICS!D:E,2,0)</f>
        <v>CUSTOS DOS PRODUTOS VENDIDOS</v>
      </c>
    </row>
    <row r="2266" spans="1:13" ht="15" hidden="1">
      <c r="A2266" t="s">
        <v>1347</v>
      </c>
      <c r="B2266" t="s">
        <v>689</v>
      </c>
      <c r="D2266" t="s">
        <v>1569</v>
      </c>
      <c r="E2266" t="s">
        <v>1692</v>
      </c>
      <c r="F2266" t="s">
        <v>1272</v>
      </c>
      <c r="G2266" t="s">
        <v>661</v>
      </c>
      <c r="H2266" s="595">
        <v>-9000</v>
      </c>
      <c r="I2266" t="str">
        <f t="shared" si="118"/>
        <v>fevereiro 2026</v>
      </c>
      <c r="J2266">
        <f t="shared" si="119"/>
        <v>2026</v>
      </c>
      <c r="K2266" t="str">
        <f>VLOOKUP(G2266,METRICS!C:D,2,0)</f>
        <v>Consultoria OP</v>
      </c>
      <c r="L2266" t="str">
        <f>VLOOKUP(K2266,METRICS!D:E,2,0)</f>
        <v>OPERAÇÃO</v>
      </c>
    </row>
    <row r="2267" spans="1:13" ht="15" hidden="1">
      <c r="A2267" t="s">
        <v>1347</v>
      </c>
      <c r="B2267" t="s">
        <v>612</v>
      </c>
      <c r="D2267" t="s">
        <v>1570</v>
      </c>
      <c r="E2267" t="s">
        <v>828</v>
      </c>
      <c r="F2267" t="s">
        <v>1272</v>
      </c>
      <c r="G2267" t="s">
        <v>636</v>
      </c>
      <c r="H2267" s="595">
        <v>-2978.65</v>
      </c>
      <c r="I2267" t="str">
        <f t="shared" si="118"/>
        <v>fevereiro 2026</v>
      </c>
      <c r="J2267">
        <f t="shared" si="119"/>
        <v>2026</v>
      </c>
      <c r="K2267" t="str">
        <f>VLOOKUP(G2267,METRICS!C:D,2,0)</f>
        <v>Secos - Mercearia</v>
      </c>
      <c r="L2267" t="str">
        <f>VLOOKUP(K2267,METRICS!D:E,2,0)</f>
        <v>CUSTOS DOS PRODUTOS VENDIDOS</v>
      </c>
    </row>
    <row r="2268" spans="1:13" ht="15" hidden="1">
      <c r="A2268" t="s">
        <v>1347</v>
      </c>
      <c r="B2268" t="s">
        <v>612</v>
      </c>
      <c r="D2268" t="s">
        <v>1571</v>
      </c>
      <c r="E2268" t="s">
        <v>770</v>
      </c>
      <c r="F2268" t="s">
        <v>1272</v>
      </c>
      <c r="G2268" t="s">
        <v>630</v>
      </c>
      <c r="H2268" s="595">
        <v>-292.87</v>
      </c>
      <c r="I2268" t="str">
        <f t="shared" si="118"/>
        <v>fevereiro 2026</v>
      </c>
      <c r="J2268">
        <f t="shared" si="119"/>
        <v>2026</v>
      </c>
      <c r="K2268" t="str">
        <f>VLOOKUP(G2268,METRICS!C:D,2,0)</f>
        <v>Material de Copa e Limpeza</v>
      </c>
      <c r="L2268" t="str">
        <f>VLOOKUP(K2268,METRICS!D:E,2,0)</f>
        <v>ADMINISTRATIVA</v>
      </c>
    </row>
    <row r="2269" spans="1:13" ht="15" hidden="1">
      <c r="A2269" t="s">
        <v>1347</v>
      </c>
      <c r="B2269" t="s">
        <v>689</v>
      </c>
      <c r="C2269" t="s">
        <v>690</v>
      </c>
      <c r="D2269" t="s">
        <v>1228</v>
      </c>
      <c r="E2269" t="s">
        <v>789</v>
      </c>
      <c r="F2269" t="s">
        <v>1272</v>
      </c>
      <c r="G2269" t="s">
        <v>110</v>
      </c>
      <c r="H2269" s="595">
        <v>-15088.29</v>
      </c>
      <c r="I2269" t="str">
        <f t="shared" si="118"/>
        <v>fevereiro 2026</v>
      </c>
      <c r="J2269">
        <f t="shared" si="119"/>
        <v>2026</v>
      </c>
      <c r="K2269" t="str">
        <f>VLOOKUP(G2269,METRICS!C:D,2,0)</f>
        <v>FGTS</v>
      </c>
      <c r="L2269" t="str">
        <f>VLOOKUP(K2269,METRICS!D:E,2,0)</f>
        <v>PESSOAL</v>
      </c>
      <c r="M2269" s="518"/>
    </row>
    <row r="2270" spans="1:13" ht="15" hidden="1">
      <c r="A2270" t="s">
        <v>1347</v>
      </c>
      <c r="B2270" t="s">
        <v>689</v>
      </c>
      <c r="D2270" t="s">
        <v>789</v>
      </c>
      <c r="E2270" t="s">
        <v>789</v>
      </c>
      <c r="F2270" t="s">
        <v>1272</v>
      </c>
      <c r="G2270" t="s">
        <v>110</v>
      </c>
      <c r="H2270" s="595">
        <v>-26199.63</v>
      </c>
      <c r="I2270" t="str">
        <f t="shared" si="118"/>
        <v>fevereiro 2026</v>
      </c>
      <c r="J2270">
        <f t="shared" si="119"/>
        <v>2026</v>
      </c>
      <c r="K2270" t="str">
        <f>VLOOKUP(G2270,METRICS!C:D,2,0)</f>
        <v>FGTS</v>
      </c>
      <c r="L2270" t="str">
        <f>VLOOKUP(K2270,METRICS!D:E,2,0)</f>
        <v>PESSOAL</v>
      </c>
      <c r="M2270" s="518"/>
    </row>
    <row r="2271" spans="1:13" ht="15" hidden="1">
      <c r="A2271" t="s">
        <v>1348</v>
      </c>
      <c r="B2271" t="s">
        <v>612</v>
      </c>
      <c r="D2271" t="s">
        <v>1572</v>
      </c>
      <c r="E2271" t="s">
        <v>748</v>
      </c>
      <c r="F2271" t="s">
        <v>1272</v>
      </c>
      <c r="G2271" t="s">
        <v>620</v>
      </c>
      <c r="H2271" s="595">
        <v>-233.81</v>
      </c>
      <c r="I2271" t="str">
        <f t="shared" si="118"/>
        <v>fevereiro 2026</v>
      </c>
      <c r="J2271">
        <f t="shared" si="119"/>
        <v>2026</v>
      </c>
      <c r="K2271" t="str">
        <f>VLOOKUP(G2271,METRICS!C:D,2,0)</f>
        <v>Hortifruti</v>
      </c>
      <c r="L2271" t="str">
        <f>VLOOKUP(K2271,METRICS!D:E,2,0)</f>
        <v>CUSTOS DOS PRODUTOS VENDIDOS</v>
      </c>
    </row>
    <row r="2272" spans="1:13" ht="15" hidden="1">
      <c r="A2272" t="s">
        <v>1348</v>
      </c>
      <c r="B2272" t="s">
        <v>612</v>
      </c>
      <c r="D2272" t="s">
        <v>1573</v>
      </c>
      <c r="E2272" t="s">
        <v>784</v>
      </c>
      <c r="F2272" t="s">
        <v>1272</v>
      </c>
      <c r="G2272" t="s">
        <v>636</v>
      </c>
      <c r="H2272" s="595">
        <v>-1250</v>
      </c>
      <c r="I2272" t="str">
        <f t="shared" si="118"/>
        <v>fevereiro 2026</v>
      </c>
      <c r="J2272">
        <f t="shared" si="119"/>
        <v>2026</v>
      </c>
      <c r="K2272" t="str">
        <f>VLOOKUP(G2272,METRICS!C:D,2,0)</f>
        <v>Secos - Mercearia</v>
      </c>
      <c r="L2272" t="str">
        <f>VLOOKUP(K2272,METRICS!D:E,2,0)</f>
        <v>CUSTOS DOS PRODUTOS VENDIDOS</v>
      </c>
    </row>
    <row r="2273" spans="1:12" ht="15" hidden="1">
      <c r="A2273" t="s">
        <v>1348</v>
      </c>
      <c r="B2273" t="s">
        <v>612</v>
      </c>
      <c r="D2273" t="s">
        <v>1574</v>
      </c>
      <c r="E2273" t="s">
        <v>805</v>
      </c>
      <c r="F2273" t="s">
        <v>1272</v>
      </c>
      <c r="G2273" t="s">
        <v>609</v>
      </c>
      <c r="H2273" s="595">
        <v>-9906.34</v>
      </c>
      <c r="I2273" t="str">
        <f t="shared" si="118"/>
        <v>fevereiro 2026</v>
      </c>
      <c r="J2273">
        <f t="shared" si="119"/>
        <v>2026</v>
      </c>
      <c r="K2273" t="str">
        <f>VLOOKUP(G2273,METRICS!C:D,2,0)</f>
        <v>Carnes e Aves</v>
      </c>
      <c r="L2273" t="str">
        <f>VLOOKUP(K2273,METRICS!D:E,2,0)</f>
        <v>CUSTOS DOS PRODUTOS VENDIDOS</v>
      </c>
    </row>
    <row r="2274" spans="1:12" ht="15" hidden="1">
      <c r="A2274" t="s">
        <v>1349</v>
      </c>
      <c r="B2274" t="s">
        <v>689</v>
      </c>
      <c r="D2274" t="s">
        <v>1575</v>
      </c>
      <c r="E2274" t="s">
        <v>1314</v>
      </c>
      <c r="F2274" t="s">
        <v>1272</v>
      </c>
      <c r="G2274" t="s">
        <v>1315</v>
      </c>
      <c r="H2274" s="595">
        <v>-10238.16</v>
      </c>
      <c r="I2274" t="str">
        <f t="shared" si="118"/>
        <v>fevereiro 2026</v>
      </c>
      <c r="J2274">
        <f t="shared" si="119"/>
        <v>2026</v>
      </c>
      <c r="K2274" t="str">
        <f>VLOOKUP(G2274,METRICS!C:D,2,0)</f>
        <v>Água e Esgoto</v>
      </c>
      <c r="L2274" t="str">
        <f>VLOOKUP(K2274,METRICS!D:E,2,0)</f>
        <v>OPERAÇÃO</v>
      </c>
    </row>
    <row r="2275" spans="1:12" ht="15" hidden="1">
      <c r="A2275" t="s">
        <v>1350</v>
      </c>
      <c r="B2275" t="s">
        <v>612</v>
      </c>
      <c r="D2275" t="s">
        <v>1576</v>
      </c>
      <c r="E2275" t="s">
        <v>906</v>
      </c>
      <c r="F2275" t="s">
        <v>1272</v>
      </c>
      <c r="G2275" t="s">
        <v>628</v>
      </c>
      <c r="H2275" s="595">
        <v>-1004.38</v>
      </c>
      <c r="I2275" t="str">
        <f t="shared" si="118"/>
        <v>fevereiro 2026</v>
      </c>
      <c r="J2275">
        <f t="shared" si="119"/>
        <v>2026</v>
      </c>
      <c r="K2275" t="str">
        <f>VLOOKUP(G2275,METRICS!C:D,2,0)</f>
        <v>Material de Escritório</v>
      </c>
      <c r="L2275" t="str">
        <f>VLOOKUP(K2275,METRICS!D:E,2,0)</f>
        <v>ADMINISTRATIVA</v>
      </c>
    </row>
    <row r="2276" spans="1:12" ht="15" hidden="1">
      <c r="A2276" t="s">
        <v>1350</v>
      </c>
      <c r="B2276" t="s">
        <v>612</v>
      </c>
      <c r="D2276" t="s">
        <v>1577</v>
      </c>
      <c r="E2276" t="s">
        <v>752</v>
      </c>
      <c r="F2276" t="s">
        <v>1272</v>
      </c>
      <c r="G2276" t="s">
        <v>609</v>
      </c>
      <c r="H2276" s="595">
        <v>-2547.5</v>
      </c>
      <c r="I2276" t="str">
        <f t="shared" si="118"/>
        <v>fevereiro 2026</v>
      </c>
      <c r="J2276">
        <f t="shared" si="119"/>
        <v>2026</v>
      </c>
      <c r="K2276" t="str">
        <f>VLOOKUP(G2276,METRICS!C:D,2,0)</f>
        <v>Carnes e Aves</v>
      </c>
      <c r="L2276" t="str">
        <f>VLOOKUP(K2276,METRICS!D:E,2,0)</f>
        <v>CUSTOS DOS PRODUTOS VENDIDOS</v>
      </c>
    </row>
    <row r="2277" spans="1:12" ht="15" hidden="1">
      <c r="A2277" t="s">
        <v>1350</v>
      </c>
      <c r="B2277" t="s">
        <v>612</v>
      </c>
      <c r="D2277" t="s">
        <v>1578</v>
      </c>
      <c r="E2277" t="s">
        <v>1039</v>
      </c>
      <c r="F2277" t="s">
        <v>1272</v>
      </c>
      <c r="G2277" t="s">
        <v>623</v>
      </c>
      <c r="H2277" s="595">
        <v>-234.33</v>
      </c>
      <c r="I2277" t="str">
        <f t="shared" si="118"/>
        <v>fevereiro 2026</v>
      </c>
      <c r="J2277">
        <f t="shared" si="119"/>
        <v>2026</v>
      </c>
      <c r="K2277" t="str">
        <f>VLOOKUP(G2277,METRICS!C:D,2,0)</f>
        <v>Secos - Mercearia</v>
      </c>
      <c r="L2277" t="str">
        <f>VLOOKUP(K2277,METRICS!D:E,2,0)</f>
        <v>CUSTOS DOS PRODUTOS VENDIDOS</v>
      </c>
    </row>
    <row r="2278" spans="1:12" ht="15" hidden="1">
      <c r="A2278" t="s">
        <v>1350</v>
      </c>
      <c r="B2278" t="s">
        <v>612</v>
      </c>
      <c r="D2278" t="s">
        <v>1579</v>
      </c>
      <c r="E2278" t="s">
        <v>748</v>
      </c>
      <c r="F2278" t="s">
        <v>1272</v>
      </c>
      <c r="G2278" t="s">
        <v>620</v>
      </c>
      <c r="H2278" s="595">
        <v>-291.23</v>
      </c>
      <c r="I2278" t="str">
        <f t="shared" si="118"/>
        <v>fevereiro 2026</v>
      </c>
      <c r="J2278">
        <f t="shared" si="119"/>
        <v>2026</v>
      </c>
      <c r="K2278" t="str">
        <f>VLOOKUP(G2278,METRICS!C:D,2,0)</f>
        <v>Hortifruti</v>
      </c>
      <c r="L2278" t="str">
        <f>VLOOKUP(K2278,METRICS!D:E,2,0)</f>
        <v>CUSTOS DOS PRODUTOS VENDIDOS</v>
      </c>
    </row>
    <row r="2279" spans="1:12" ht="15" hidden="1">
      <c r="A2279" t="s">
        <v>1350</v>
      </c>
      <c r="B2279" t="s">
        <v>612</v>
      </c>
      <c r="D2279" t="s">
        <v>1580</v>
      </c>
      <c r="E2279" t="s">
        <v>857</v>
      </c>
      <c r="F2279" t="s">
        <v>1272</v>
      </c>
      <c r="G2279" t="s">
        <v>413</v>
      </c>
      <c r="H2279" s="595">
        <v>-330</v>
      </c>
      <c r="I2279" t="str">
        <f t="shared" si="118"/>
        <v>fevereiro 2026</v>
      </c>
      <c r="J2279">
        <f t="shared" si="119"/>
        <v>2026</v>
      </c>
      <c r="K2279" t="str">
        <f>VLOOKUP(G2279,METRICS!C:D,2,0)</f>
        <v>Pescados</v>
      </c>
      <c r="L2279" t="str">
        <f>VLOOKUP(K2279,METRICS!D:E,2,0)</f>
        <v>CUSTOS DOS PRODUTOS VENDIDOS</v>
      </c>
    </row>
    <row r="2280" spans="1:12" ht="15" hidden="1">
      <c r="A2280" t="s">
        <v>1350</v>
      </c>
      <c r="B2280" t="s">
        <v>612</v>
      </c>
      <c r="D2280" t="s">
        <v>1581</v>
      </c>
      <c r="E2280" t="s">
        <v>1693</v>
      </c>
      <c r="F2280" t="s">
        <v>1272</v>
      </c>
      <c r="G2280" t="s">
        <v>615</v>
      </c>
      <c r="H2280" s="595">
        <v>-803.52</v>
      </c>
      <c r="I2280" t="str">
        <f t="shared" si="118"/>
        <v>fevereiro 2026</v>
      </c>
      <c r="J2280">
        <f t="shared" si="119"/>
        <v>2026</v>
      </c>
      <c r="K2280" t="str">
        <f>VLOOKUP(G2280,METRICS!C:D,2,0)</f>
        <v>Embalagens</v>
      </c>
      <c r="L2280" t="str">
        <f>VLOOKUP(K2280,METRICS!D:E,2,0)</f>
        <v>OPERAÇÃO</v>
      </c>
    </row>
    <row r="2281" spans="1:12" ht="15" hidden="1">
      <c r="A2281" t="s">
        <v>1350</v>
      </c>
      <c r="B2281" t="s">
        <v>612</v>
      </c>
      <c r="D2281" t="s">
        <v>1582</v>
      </c>
      <c r="E2281" t="s">
        <v>1135</v>
      </c>
      <c r="F2281" t="s">
        <v>1272</v>
      </c>
      <c r="G2281" t="s">
        <v>636</v>
      </c>
      <c r="H2281" s="595">
        <v>-312</v>
      </c>
      <c r="I2281" t="str">
        <f t="shared" si="118"/>
        <v>fevereiro 2026</v>
      </c>
      <c r="J2281">
        <f t="shared" si="119"/>
        <v>2026</v>
      </c>
      <c r="K2281" t="str">
        <f>VLOOKUP(G2281,METRICS!C:D,2,0)</f>
        <v>Secos - Mercearia</v>
      </c>
      <c r="L2281" t="str">
        <f>VLOOKUP(K2281,METRICS!D:E,2,0)</f>
        <v>CUSTOS DOS PRODUTOS VENDIDOS</v>
      </c>
    </row>
    <row r="2282" spans="1:12" ht="15" hidden="1">
      <c r="A2282" t="s">
        <v>1350</v>
      </c>
      <c r="B2282" t="s">
        <v>612</v>
      </c>
      <c r="D2282" t="s">
        <v>1583</v>
      </c>
      <c r="E2282" t="s">
        <v>750</v>
      </c>
      <c r="F2282" t="s">
        <v>1272</v>
      </c>
      <c r="G2282" t="s">
        <v>610</v>
      </c>
      <c r="H2282" s="595">
        <v>-2388</v>
      </c>
      <c r="I2282" t="str">
        <f t="shared" si="118"/>
        <v>fevereiro 2026</v>
      </c>
      <c r="J2282">
        <f t="shared" si="119"/>
        <v>2026</v>
      </c>
      <c r="K2282" t="str">
        <f>VLOOKUP(G2282,METRICS!C:D,2,0)</f>
        <v>Carvão</v>
      </c>
      <c r="L2282" t="str">
        <f>VLOOKUP(K2282,METRICS!D:E,2,0)</f>
        <v>CUSTOS DOS PRODUTOS VENDIDOS</v>
      </c>
    </row>
    <row r="2283" spans="1:12" ht="15" hidden="1">
      <c r="A2283" t="s">
        <v>1350</v>
      </c>
      <c r="B2283" t="s">
        <v>612</v>
      </c>
      <c r="D2283" t="s">
        <v>1584</v>
      </c>
      <c r="E2283" t="s">
        <v>765</v>
      </c>
      <c r="F2283" t="s">
        <v>1272</v>
      </c>
      <c r="G2283" t="s">
        <v>619</v>
      </c>
      <c r="H2283" s="595">
        <v>-509.6</v>
      </c>
      <c r="I2283" t="str">
        <f t="shared" si="118"/>
        <v>fevereiro 2026</v>
      </c>
      <c r="J2283">
        <f t="shared" si="119"/>
        <v>2026</v>
      </c>
      <c r="K2283" t="str">
        <f>VLOOKUP(G2283,METRICS!C:D,2,0)</f>
        <v>Gelo</v>
      </c>
      <c r="L2283" t="str">
        <f>VLOOKUP(K2283,METRICS!D:E,2,0)</f>
        <v>CUSTOS DOS PRODUTOS VENDIDOS</v>
      </c>
    </row>
    <row r="2284" spans="1:12" ht="15" hidden="1">
      <c r="A2284" t="s">
        <v>1350</v>
      </c>
      <c r="B2284" t="s">
        <v>689</v>
      </c>
      <c r="D2284" t="s">
        <v>1585</v>
      </c>
      <c r="E2284" t="s">
        <v>1241</v>
      </c>
      <c r="F2284" t="s">
        <v>1272</v>
      </c>
      <c r="G2284" t="s">
        <v>606</v>
      </c>
      <c r="H2284" s="595">
        <v>-1156.6300000000001</v>
      </c>
      <c r="I2284" t="str">
        <f t="shared" si="118"/>
        <v>fevereiro 2026</v>
      </c>
      <c r="J2284">
        <f t="shared" si="119"/>
        <v>2026</v>
      </c>
      <c r="K2284" t="str">
        <f>VLOOKUP(G2284,METRICS!C:D,2,0)</f>
        <v>Propaganda, Publicidade e Patrocínio</v>
      </c>
      <c r="L2284" t="str">
        <f>VLOOKUP(K2284,METRICS!D:E,2,0)</f>
        <v>MARKETING</v>
      </c>
    </row>
    <row r="2285" spans="1:12" ht="15" hidden="1">
      <c r="A2285" t="s">
        <v>1350</v>
      </c>
      <c r="B2285" t="s">
        <v>612</v>
      </c>
      <c r="D2285" t="s">
        <v>1586</v>
      </c>
      <c r="E2285" t="s">
        <v>736</v>
      </c>
      <c r="F2285" t="s">
        <v>1272</v>
      </c>
      <c r="G2285" t="s">
        <v>636</v>
      </c>
      <c r="H2285" s="595">
        <v>-778.8</v>
      </c>
      <c r="I2285" t="str">
        <f t="shared" si="118"/>
        <v>fevereiro 2026</v>
      </c>
      <c r="J2285">
        <f t="shared" si="119"/>
        <v>2026</v>
      </c>
      <c r="K2285" t="str">
        <f>VLOOKUP(G2285,METRICS!C:D,2,0)</f>
        <v>Secos - Mercearia</v>
      </c>
      <c r="L2285" t="str">
        <f>VLOOKUP(K2285,METRICS!D:E,2,0)</f>
        <v>CUSTOS DOS PRODUTOS VENDIDOS</v>
      </c>
    </row>
    <row r="2286" spans="1:12" ht="15" hidden="1">
      <c r="A2286" t="s">
        <v>1350</v>
      </c>
      <c r="B2286" t="s">
        <v>689</v>
      </c>
      <c r="D2286" t="s">
        <v>756</v>
      </c>
      <c r="E2286" t="s">
        <v>757</v>
      </c>
      <c r="F2286" t="s">
        <v>1272</v>
      </c>
      <c r="G2286" t="s">
        <v>666</v>
      </c>
      <c r="H2286" s="595">
        <v>-36.700000000000003</v>
      </c>
      <c r="I2286" t="str">
        <f t="shared" si="118"/>
        <v>fevereiro 2026</v>
      </c>
      <c r="J2286">
        <f t="shared" si="119"/>
        <v>2026</v>
      </c>
      <c r="K2286" t="str">
        <f>VLOOKUP(G2286,METRICS!C:D,2,0)</f>
        <v>Encargos Bancarios</v>
      </c>
      <c r="L2286" t="str">
        <f>VLOOKUP(K2286,METRICS!D:E,2,0)</f>
        <v>DESPESAS FINANCEIRAS</v>
      </c>
    </row>
    <row r="2287" spans="1:12" ht="15" hidden="1">
      <c r="A2287" t="s">
        <v>1350</v>
      </c>
      <c r="B2287" t="s">
        <v>612</v>
      </c>
      <c r="D2287" t="s">
        <v>1587</v>
      </c>
      <c r="E2287" t="s">
        <v>832</v>
      </c>
      <c r="F2287" t="s">
        <v>1272</v>
      </c>
      <c r="G2287" t="s">
        <v>633</v>
      </c>
      <c r="H2287" s="595">
        <v>-347.01</v>
      </c>
      <c r="I2287" t="str">
        <f t="shared" si="118"/>
        <v>fevereiro 2026</v>
      </c>
      <c r="J2287">
        <f t="shared" si="119"/>
        <v>2026</v>
      </c>
      <c r="K2287" t="str">
        <f>VLOOKUP(G2287,METRICS!C:D,2,0)</f>
        <v>Paes, Massas e Salgados</v>
      </c>
      <c r="L2287" t="str">
        <f>VLOOKUP(K2287,METRICS!D:E,2,0)</f>
        <v>CUSTOS DOS PRODUTOS VENDIDOS</v>
      </c>
    </row>
    <row r="2288" spans="1:12" ht="15" hidden="1">
      <c r="A2288" t="s">
        <v>1350</v>
      </c>
      <c r="B2288" t="s">
        <v>612</v>
      </c>
      <c r="D2288" t="s">
        <v>1588</v>
      </c>
      <c r="E2288" t="s">
        <v>939</v>
      </c>
      <c r="F2288" t="s">
        <v>1272</v>
      </c>
      <c r="G2288" t="s">
        <v>636</v>
      </c>
      <c r="H2288" s="595">
        <v>-750.53</v>
      </c>
      <c r="I2288" t="str">
        <f t="shared" si="118"/>
        <v>fevereiro 2026</v>
      </c>
      <c r="J2288">
        <f t="shared" si="119"/>
        <v>2026</v>
      </c>
      <c r="K2288" t="str">
        <f>VLOOKUP(G2288,METRICS!C:D,2,0)</f>
        <v>Secos - Mercearia</v>
      </c>
      <c r="L2288" t="str">
        <f>VLOOKUP(K2288,METRICS!D:E,2,0)</f>
        <v>CUSTOS DOS PRODUTOS VENDIDOS</v>
      </c>
    </row>
    <row r="2289" spans="1:13" ht="15" hidden="1">
      <c r="A2289" t="s">
        <v>1350</v>
      </c>
      <c r="B2289" t="s">
        <v>612</v>
      </c>
      <c r="D2289" t="s">
        <v>1589</v>
      </c>
      <c r="E2289" t="s">
        <v>727</v>
      </c>
      <c r="F2289" t="s">
        <v>1272</v>
      </c>
      <c r="G2289" t="s">
        <v>620</v>
      </c>
      <c r="H2289" s="595">
        <v>-5291.7</v>
      </c>
      <c r="I2289" t="str">
        <f t="shared" si="118"/>
        <v>fevereiro 2026</v>
      </c>
      <c r="J2289">
        <f t="shared" si="119"/>
        <v>2026</v>
      </c>
      <c r="K2289" t="str">
        <f>VLOOKUP(G2289,METRICS!C:D,2,0)</f>
        <v>Hortifruti</v>
      </c>
      <c r="L2289" t="str">
        <f>VLOOKUP(K2289,METRICS!D:E,2,0)</f>
        <v>CUSTOS DOS PRODUTOS VENDIDOS</v>
      </c>
    </row>
    <row r="2290" spans="1:13" ht="15" hidden="1">
      <c r="A2290" t="s">
        <v>1350</v>
      </c>
      <c r="B2290" t="s">
        <v>612</v>
      </c>
      <c r="D2290" t="s">
        <v>1590</v>
      </c>
      <c r="E2290" t="s">
        <v>774</v>
      </c>
      <c r="F2290" t="s">
        <v>1272</v>
      </c>
      <c r="G2290" t="s">
        <v>629</v>
      </c>
      <c r="H2290" s="595">
        <v>-1729.62</v>
      </c>
      <c r="I2290" t="str">
        <f t="shared" si="118"/>
        <v>fevereiro 2026</v>
      </c>
      <c r="J2290">
        <f t="shared" si="119"/>
        <v>2026</v>
      </c>
      <c r="K2290" t="str">
        <f>VLOOKUP(G2290,METRICS!C:D,2,0)</f>
        <v>Material de limpeza</v>
      </c>
      <c r="L2290" t="str">
        <f>VLOOKUP(K2290,METRICS!D:E,2,0)</f>
        <v>OPERAÇÃO</v>
      </c>
    </row>
    <row r="2291" spans="1:13" ht="15" hidden="1">
      <c r="A2291" t="s">
        <v>1350</v>
      </c>
      <c r="B2291" t="s">
        <v>612</v>
      </c>
      <c r="D2291" t="s">
        <v>1591</v>
      </c>
      <c r="E2291" t="s">
        <v>770</v>
      </c>
      <c r="F2291" t="s">
        <v>1272</v>
      </c>
      <c r="G2291" t="s">
        <v>630</v>
      </c>
      <c r="H2291" s="595">
        <v>-518.78</v>
      </c>
      <c r="I2291" t="str">
        <f t="shared" si="118"/>
        <v>fevereiro 2026</v>
      </c>
      <c r="J2291">
        <f t="shared" si="119"/>
        <v>2026</v>
      </c>
      <c r="K2291" t="str">
        <f>VLOOKUP(G2291,METRICS!C:D,2,0)</f>
        <v>Material de Copa e Limpeza</v>
      </c>
      <c r="L2291" t="str">
        <f>VLOOKUP(K2291,METRICS!D:E,2,0)</f>
        <v>ADMINISTRATIVA</v>
      </c>
    </row>
    <row r="2292" spans="1:13" ht="15" hidden="1">
      <c r="A2292" t="s">
        <v>1350</v>
      </c>
      <c r="B2292" t="s">
        <v>612</v>
      </c>
      <c r="D2292" t="s">
        <v>1592</v>
      </c>
      <c r="E2292" t="s">
        <v>745</v>
      </c>
      <c r="F2292" t="s">
        <v>1272</v>
      </c>
      <c r="G2292" t="s">
        <v>620</v>
      </c>
      <c r="H2292" s="595">
        <v>-414.05</v>
      </c>
      <c r="I2292" t="str">
        <f t="shared" si="118"/>
        <v>fevereiro 2026</v>
      </c>
      <c r="J2292">
        <f t="shared" si="119"/>
        <v>2026</v>
      </c>
      <c r="K2292" t="str">
        <f>VLOOKUP(G2292,METRICS!C:D,2,0)</f>
        <v>Hortifruti</v>
      </c>
      <c r="L2292" t="str">
        <f>VLOOKUP(K2292,METRICS!D:E,2,0)</f>
        <v>CUSTOS DOS PRODUTOS VENDIDOS</v>
      </c>
    </row>
    <row r="2293" spans="1:13" ht="15">
      <c r="A2293" t="s">
        <v>1350</v>
      </c>
      <c r="B2293" t="s">
        <v>689</v>
      </c>
      <c r="D2293" t="s">
        <v>1386</v>
      </c>
      <c r="E2293" t="s">
        <v>1667</v>
      </c>
      <c r="F2293" t="s">
        <v>1272</v>
      </c>
      <c r="G2293" t="s">
        <v>1718</v>
      </c>
      <c r="H2293" s="595">
        <v>-559.44000000000005</v>
      </c>
      <c r="I2293" t="str">
        <f t="shared" si="118"/>
        <v>fevereiro 2026</v>
      </c>
      <c r="J2293">
        <f t="shared" si="119"/>
        <v>2026</v>
      </c>
      <c r="K2293" t="str">
        <f>VLOOKUP(G2293,METRICS!C:D,2,0)</f>
        <v>Utensílios</v>
      </c>
      <c r="L2293" t="str">
        <f>VLOOKUP(K2293,METRICS!D:E,2,0)</f>
        <v>OPERAÇÃO</v>
      </c>
    </row>
    <row r="2294" spans="1:13" ht="15" hidden="1">
      <c r="A2294" t="s">
        <v>1350</v>
      </c>
      <c r="B2294" t="s">
        <v>612</v>
      </c>
      <c r="D2294" t="s">
        <v>1593</v>
      </c>
      <c r="E2294" t="s">
        <v>1005</v>
      </c>
      <c r="F2294" t="s">
        <v>1272</v>
      </c>
      <c r="G2294" t="s">
        <v>608</v>
      </c>
      <c r="H2294" s="595">
        <v>-2287.1999999999998</v>
      </c>
      <c r="I2294" t="str">
        <f t="shared" si="118"/>
        <v>fevereiro 2026</v>
      </c>
      <c r="J2294">
        <f t="shared" si="119"/>
        <v>2026</v>
      </c>
      <c r="K2294" t="str">
        <f>VLOOKUP(G2294,METRICS!C:D,2,0)</f>
        <v>Bebidas não Alcoolicas</v>
      </c>
      <c r="L2294" t="str">
        <f>VLOOKUP(K2294,METRICS!D:E,2,0)</f>
        <v>CUSTOS DOS PRODUTOS VENDIDOS</v>
      </c>
    </row>
    <row r="2295" spans="1:13" ht="15" hidden="1">
      <c r="A2295" t="s">
        <v>1350</v>
      </c>
      <c r="B2295" t="s">
        <v>612</v>
      </c>
      <c r="D2295" t="s">
        <v>1594</v>
      </c>
      <c r="E2295" t="s">
        <v>979</v>
      </c>
      <c r="F2295" t="s">
        <v>1272</v>
      </c>
      <c r="G2295" t="s">
        <v>1718</v>
      </c>
      <c r="H2295" s="595">
        <v>-4560</v>
      </c>
      <c r="I2295" t="str">
        <f t="shared" si="118"/>
        <v>fevereiro 2026</v>
      </c>
      <c r="J2295">
        <f t="shared" si="119"/>
        <v>2026</v>
      </c>
      <c r="K2295" t="str">
        <f>VLOOKUP(G2295,METRICS!C:D,2,0)</f>
        <v>Utensílios</v>
      </c>
      <c r="L2295" t="str">
        <f>VLOOKUP(K2295,METRICS!D:E,2,0)</f>
        <v>OPERAÇÃO</v>
      </c>
    </row>
    <row r="2296" spans="1:13" ht="15" hidden="1">
      <c r="A2296" t="s">
        <v>1350</v>
      </c>
      <c r="B2296" t="s">
        <v>689</v>
      </c>
      <c r="D2296" t="s">
        <v>883</v>
      </c>
      <c r="E2296" t="s">
        <v>746</v>
      </c>
      <c r="F2296" t="s">
        <v>1272</v>
      </c>
      <c r="G2296" t="s">
        <v>669</v>
      </c>
      <c r="H2296" s="595">
        <v>-26.18</v>
      </c>
      <c r="I2296" t="str">
        <f t="shared" si="118"/>
        <v>fevereiro 2026</v>
      </c>
      <c r="J2296">
        <f t="shared" si="119"/>
        <v>2026</v>
      </c>
      <c r="K2296" t="str">
        <f>VLOOKUP(G2296,METRICS!C:D,2,0)</f>
        <v>Taxas Financeiras Diversas</v>
      </c>
      <c r="L2296" t="str">
        <f>VLOOKUP(K2296,METRICS!D:E,2,0)</f>
        <v>TAXAS CARTÃO DE CRÉDITO</v>
      </c>
    </row>
    <row r="2297" spans="1:13" ht="15" hidden="1">
      <c r="A2297" t="s">
        <v>1350</v>
      </c>
      <c r="B2297" t="s">
        <v>612</v>
      </c>
      <c r="D2297" t="s">
        <v>1595</v>
      </c>
      <c r="E2297" t="s">
        <v>752</v>
      </c>
      <c r="F2297" t="s">
        <v>1272</v>
      </c>
      <c r="G2297" t="s">
        <v>605</v>
      </c>
      <c r="H2297" s="595">
        <v>-4572.1899999999996</v>
      </c>
      <c r="I2297" t="str">
        <f t="shared" si="118"/>
        <v>fevereiro 2026</v>
      </c>
      <c r="J2297">
        <f t="shared" si="119"/>
        <v>2026</v>
      </c>
      <c r="K2297" t="str">
        <f>VLOOKUP(G2297,METRICS!C:D,2,0)</f>
        <v>Beneficios</v>
      </c>
      <c r="L2297" t="str">
        <f>VLOOKUP(K2297,METRICS!D:E,2,0)</f>
        <v>PESSOAL</v>
      </c>
    </row>
    <row r="2298" spans="1:13" ht="15" hidden="1">
      <c r="A2298" t="s">
        <v>1351</v>
      </c>
      <c r="B2298" t="s">
        <v>612</v>
      </c>
      <c r="D2298" t="s">
        <v>1596</v>
      </c>
      <c r="E2298" t="s">
        <v>1675</v>
      </c>
      <c r="F2298" t="s">
        <v>1272</v>
      </c>
      <c r="G2298" t="s">
        <v>625</v>
      </c>
      <c r="H2298" s="595">
        <v>-720</v>
      </c>
      <c r="I2298" t="str">
        <f t="shared" si="118"/>
        <v>fevereiro 2026</v>
      </c>
      <c r="J2298">
        <f t="shared" si="119"/>
        <v>2026</v>
      </c>
      <c r="K2298" t="str">
        <f>VLOOKUP(G2298,METRICS!C:D,2,0)</f>
        <v>Manutenção e Conservação</v>
      </c>
      <c r="L2298" t="str">
        <f>VLOOKUP(K2298,METRICS!D:E,2,0)</f>
        <v>OPERAÇÃO</v>
      </c>
    </row>
    <row r="2299" spans="1:13" ht="15" hidden="1">
      <c r="A2299" t="s">
        <v>1351</v>
      </c>
      <c r="B2299" t="s">
        <v>612</v>
      </c>
      <c r="D2299" t="s">
        <v>1597</v>
      </c>
      <c r="E2299" t="s">
        <v>1694</v>
      </c>
      <c r="F2299" t="s">
        <v>1272</v>
      </c>
      <c r="G2299" t="s">
        <v>625</v>
      </c>
      <c r="H2299" s="595">
        <v>-2509</v>
      </c>
      <c r="I2299" t="str">
        <f t="shared" si="118"/>
        <v>fevereiro 2026</v>
      </c>
      <c r="J2299">
        <f t="shared" si="119"/>
        <v>2026</v>
      </c>
      <c r="K2299" t="str">
        <f>VLOOKUP(G2299,METRICS!C:D,2,0)</f>
        <v>Manutenção e Conservação</v>
      </c>
      <c r="L2299" t="str">
        <f>VLOOKUP(K2299,METRICS!D:E,2,0)</f>
        <v>OPERAÇÃO</v>
      </c>
    </row>
    <row r="2300" spans="1:13" ht="15" hidden="1">
      <c r="A2300" t="s">
        <v>1351</v>
      </c>
      <c r="B2300" t="s">
        <v>612</v>
      </c>
      <c r="D2300" t="s">
        <v>1598</v>
      </c>
      <c r="E2300" t="s">
        <v>1695</v>
      </c>
      <c r="F2300" t="s">
        <v>1272</v>
      </c>
      <c r="G2300" t="s">
        <v>613</v>
      </c>
      <c r="H2300" s="595">
        <v>-1500</v>
      </c>
      <c r="I2300" t="str">
        <f t="shared" si="118"/>
        <v>fevereiro 2026</v>
      </c>
      <c r="J2300" s="593">
        <f t="shared" si="119"/>
        <v>2026</v>
      </c>
      <c r="K2300" s="593" t="str">
        <f>VLOOKUP(G2300,METRICS!C:D,2,0)</f>
        <v>Dedetização</v>
      </c>
      <c r="L2300" s="593" t="str">
        <f>VLOOKUP(K2300,METRICS!D:E,2,0)</f>
        <v>ADMINISTRATIVA</v>
      </c>
      <c r="M2300" s="518"/>
    </row>
    <row r="2301" spans="1:13" ht="15" hidden="1">
      <c r="A2301" t="s">
        <v>1351</v>
      </c>
      <c r="B2301" t="s">
        <v>612</v>
      </c>
      <c r="D2301" t="s">
        <v>1599</v>
      </c>
      <c r="E2301" t="s">
        <v>936</v>
      </c>
      <c r="F2301" t="s">
        <v>1272</v>
      </c>
      <c r="G2301" t="s">
        <v>283</v>
      </c>
      <c r="H2301" s="595">
        <v>-3102</v>
      </c>
      <c r="I2301" t="str">
        <f t="shared" si="118"/>
        <v>fevereiro 2026</v>
      </c>
      <c r="J2301">
        <f t="shared" si="119"/>
        <v>2026</v>
      </c>
      <c r="K2301" t="str">
        <f>VLOOKUP(G2301,METRICS!C:D,2,0)</f>
        <v>Hostess</v>
      </c>
      <c r="L2301" t="str">
        <f>VLOOKUP(K2301,METRICS!D:E,2,0)</f>
        <v>OPERAÇÃO</v>
      </c>
    </row>
    <row r="2302" spans="1:13" ht="15" hidden="1">
      <c r="A2302" t="s">
        <v>1351</v>
      </c>
      <c r="B2302" t="s">
        <v>689</v>
      </c>
      <c r="D2302" t="s">
        <v>883</v>
      </c>
      <c r="E2302" t="s">
        <v>746</v>
      </c>
      <c r="F2302" t="s">
        <v>1272</v>
      </c>
      <c r="G2302" t="s">
        <v>669</v>
      </c>
      <c r="H2302" s="595">
        <v>-186.96</v>
      </c>
      <c r="I2302" t="str">
        <f t="shared" si="118"/>
        <v>fevereiro 2026</v>
      </c>
      <c r="J2302">
        <f t="shared" si="119"/>
        <v>2026</v>
      </c>
      <c r="K2302" t="str">
        <f>VLOOKUP(G2302,METRICS!C:D,2,0)</f>
        <v>Taxas Financeiras Diversas</v>
      </c>
      <c r="L2302" t="str">
        <f>VLOOKUP(K2302,METRICS!D:E,2,0)</f>
        <v>TAXAS CARTÃO DE CRÉDITO</v>
      </c>
    </row>
    <row r="2303" spans="1:13" ht="15" hidden="1">
      <c r="A2303" t="s">
        <v>1351</v>
      </c>
      <c r="B2303" t="s">
        <v>689</v>
      </c>
      <c r="D2303" t="s">
        <v>1600</v>
      </c>
      <c r="E2303" t="s">
        <v>1696</v>
      </c>
      <c r="F2303" t="s">
        <v>1272</v>
      </c>
      <c r="G2303" t="s">
        <v>542</v>
      </c>
      <c r="H2303" s="595">
        <v>-106</v>
      </c>
      <c r="I2303" t="str">
        <f t="shared" si="118"/>
        <v>fevereiro 2026</v>
      </c>
      <c r="J2303">
        <f t="shared" si="119"/>
        <v>2026</v>
      </c>
      <c r="K2303" t="str">
        <f>VLOOKUP(G2303,METRICS!C:D,2,0)</f>
        <v>Vale Transporte</v>
      </c>
      <c r="L2303" t="str">
        <f>VLOOKUP(K2303,METRICS!D:E,2,0)</f>
        <v>PESSOAL</v>
      </c>
    </row>
    <row r="2304" spans="1:13" ht="15" hidden="1">
      <c r="A2304" t="s">
        <v>1351</v>
      </c>
      <c r="B2304" t="s">
        <v>612</v>
      </c>
      <c r="D2304" t="s">
        <v>1601</v>
      </c>
      <c r="E2304" t="s">
        <v>964</v>
      </c>
      <c r="F2304" t="s">
        <v>1272</v>
      </c>
      <c r="G2304" t="s">
        <v>608</v>
      </c>
      <c r="H2304" s="595">
        <v>-796.28</v>
      </c>
      <c r="I2304" t="str">
        <f t="shared" si="118"/>
        <v>fevereiro 2026</v>
      </c>
      <c r="J2304">
        <f t="shared" si="119"/>
        <v>2026</v>
      </c>
      <c r="K2304" t="str">
        <f>VLOOKUP(G2304,METRICS!C:D,2,0)</f>
        <v>Bebidas não Alcoolicas</v>
      </c>
      <c r="L2304" t="str">
        <f>VLOOKUP(K2304,METRICS!D:E,2,0)</f>
        <v>CUSTOS DOS PRODUTOS VENDIDOS</v>
      </c>
    </row>
    <row r="2305" spans="1:12" ht="15" hidden="1">
      <c r="A2305" t="s">
        <v>1351</v>
      </c>
      <c r="B2305" t="s">
        <v>689</v>
      </c>
      <c r="D2305" t="s">
        <v>1602</v>
      </c>
      <c r="E2305" t="s">
        <v>1697</v>
      </c>
      <c r="F2305" t="s">
        <v>1272</v>
      </c>
      <c r="G2305" t="s">
        <v>642</v>
      </c>
      <c r="H2305" s="595">
        <v>-3638.5</v>
      </c>
      <c r="I2305" t="str">
        <f t="shared" si="118"/>
        <v>fevereiro 2026</v>
      </c>
      <c r="J2305">
        <f t="shared" si="119"/>
        <v>2026</v>
      </c>
      <c r="K2305" t="str">
        <f>VLOOKUP(G2305,METRICS!C:D,2,0)</f>
        <v>Férias</v>
      </c>
      <c r="L2305" t="str">
        <f>VLOOKUP(K2305,METRICS!D:E,2,0)</f>
        <v>PESSOAL</v>
      </c>
    </row>
    <row r="2306" spans="1:12" ht="15" hidden="1">
      <c r="A2306" t="s">
        <v>1351</v>
      </c>
      <c r="B2306" t="s">
        <v>689</v>
      </c>
      <c r="D2306" t="s">
        <v>677</v>
      </c>
      <c r="E2306" t="s">
        <v>1217</v>
      </c>
      <c r="F2306" t="s">
        <v>1272</v>
      </c>
      <c r="G2306" t="s">
        <v>627</v>
      </c>
      <c r="H2306" s="595">
        <v>-51.4</v>
      </c>
      <c r="I2306" t="str">
        <f t="shared" si="118"/>
        <v>fevereiro 2026</v>
      </c>
      <c r="J2306">
        <f t="shared" si="119"/>
        <v>2026</v>
      </c>
      <c r="K2306" t="str">
        <f>VLOOKUP(G2306,METRICS!C:D,2,0)</f>
        <v>Manutenção e Conservação</v>
      </c>
      <c r="L2306" t="str">
        <f>VLOOKUP(K2306,METRICS!D:E,2,0)</f>
        <v>OPERAÇÃO</v>
      </c>
    </row>
    <row r="2307" spans="1:12" ht="15" hidden="1">
      <c r="A2307" t="s">
        <v>1351</v>
      </c>
      <c r="B2307" t="s">
        <v>689</v>
      </c>
      <c r="D2307" t="s">
        <v>1602</v>
      </c>
      <c r="E2307" t="s">
        <v>1698</v>
      </c>
      <c r="F2307" t="s">
        <v>1272</v>
      </c>
      <c r="G2307" t="s">
        <v>642</v>
      </c>
      <c r="H2307" s="595">
        <v>-2210.52</v>
      </c>
      <c r="I2307" t="str">
        <f t="shared" si="118"/>
        <v>fevereiro 2026</v>
      </c>
      <c r="J2307">
        <f t="shared" si="119"/>
        <v>2026</v>
      </c>
      <c r="K2307" t="str">
        <f>VLOOKUP(G2307,METRICS!C:D,2,0)</f>
        <v>Férias</v>
      </c>
      <c r="L2307" t="str">
        <f>VLOOKUP(K2307,METRICS!D:E,2,0)</f>
        <v>PESSOAL</v>
      </c>
    </row>
    <row r="2308" spans="1:12" ht="15" hidden="1">
      <c r="A2308" t="s">
        <v>1351</v>
      </c>
      <c r="B2308" t="s">
        <v>612</v>
      </c>
      <c r="D2308" t="s">
        <v>1603</v>
      </c>
      <c r="E2308" t="s">
        <v>330</v>
      </c>
      <c r="F2308" t="s">
        <v>1272</v>
      </c>
      <c r="G2308" t="s">
        <v>2227</v>
      </c>
      <c r="H2308" s="595">
        <v>-2113.64</v>
      </c>
      <c r="I2308" t="str">
        <f t="shared" ref="I2308:I2371" si="122">TEXT(A2308, "mmmm aaaa")</f>
        <v>fevereiro 2026</v>
      </c>
      <c r="J2308">
        <f t="shared" ref="J2308:J2371" si="123">YEAR(A2308)</f>
        <v>2026</v>
      </c>
      <c r="K2308" t="str">
        <f>VLOOKUP(G2308,METRICS!C:D,2,0)</f>
        <v>Coleta de Lixo</v>
      </c>
      <c r="L2308" t="str">
        <f>VLOOKUP(K2308,METRICS!D:E,2,0)</f>
        <v>OPERAÇÃO</v>
      </c>
    </row>
    <row r="2309" spans="1:12" ht="15" hidden="1">
      <c r="A2309" t="s">
        <v>1351</v>
      </c>
      <c r="B2309" t="s">
        <v>612</v>
      </c>
      <c r="D2309" t="s">
        <v>1604</v>
      </c>
      <c r="E2309" t="s">
        <v>1699</v>
      </c>
      <c r="F2309" t="s">
        <v>1272</v>
      </c>
      <c r="G2309" t="s">
        <v>1718</v>
      </c>
      <c r="H2309" s="595">
        <v>-1040.06</v>
      </c>
      <c r="I2309" t="str">
        <f t="shared" si="122"/>
        <v>fevereiro 2026</v>
      </c>
      <c r="J2309">
        <f t="shared" si="123"/>
        <v>2026</v>
      </c>
      <c r="K2309" t="str">
        <f>VLOOKUP(G2309,METRICS!C:D,2,0)</f>
        <v>Utensílios</v>
      </c>
      <c r="L2309" t="str">
        <f>VLOOKUP(K2309,METRICS!D:E,2,0)</f>
        <v>OPERAÇÃO</v>
      </c>
    </row>
    <row r="2310" spans="1:12" ht="15" hidden="1">
      <c r="A2310" t="s">
        <v>1351</v>
      </c>
      <c r="B2310" t="s">
        <v>689</v>
      </c>
      <c r="D2310" t="s">
        <v>1602</v>
      </c>
      <c r="E2310" t="s">
        <v>1700</v>
      </c>
      <c r="F2310" t="s">
        <v>1272</v>
      </c>
      <c r="G2310" t="s">
        <v>642</v>
      </c>
      <c r="H2310" s="595">
        <v>-7027.25</v>
      </c>
      <c r="I2310" t="str">
        <f t="shared" si="122"/>
        <v>fevereiro 2026</v>
      </c>
      <c r="J2310">
        <f t="shared" si="123"/>
        <v>2026</v>
      </c>
      <c r="K2310" t="str">
        <f>VLOOKUP(G2310,METRICS!C:D,2,0)</f>
        <v>Férias</v>
      </c>
      <c r="L2310" t="str">
        <f>VLOOKUP(K2310,METRICS!D:E,2,0)</f>
        <v>PESSOAL</v>
      </c>
    </row>
    <row r="2311" spans="1:12" ht="15" hidden="1">
      <c r="A2311" t="s">
        <v>1351</v>
      </c>
      <c r="B2311" t="s">
        <v>612</v>
      </c>
      <c r="D2311" t="s">
        <v>1605</v>
      </c>
      <c r="E2311" t="s">
        <v>748</v>
      </c>
      <c r="F2311" t="s">
        <v>1272</v>
      </c>
      <c r="G2311" t="s">
        <v>605</v>
      </c>
      <c r="H2311" s="595">
        <v>-1381.28</v>
      </c>
      <c r="I2311" t="str">
        <f t="shared" si="122"/>
        <v>fevereiro 2026</v>
      </c>
      <c r="J2311">
        <f t="shared" si="123"/>
        <v>2026</v>
      </c>
      <c r="K2311" t="str">
        <f>VLOOKUP(G2311,METRICS!C:D,2,0)</f>
        <v>Beneficios</v>
      </c>
      <c r="L2311" t="str">
        <f>VLOOKUP(K2311,METRICS!D:E,2,0)</f>
        <v>PESSOAL</v>
      </c>
    </row>
    <row r="2312" spans="1:12" ht="15" hidden="1">
      <c r="A2312" t="s">
        <v>1351</v>
      </c>
      <c r="B2312" t="s">
        <v>612</v>
      </c>
      <c r="D2312" t="s">
        <v>1606</v>
      </c>
      <c r="E2312" t="s">
        <v>765</v>
      </c>
      <c r="F2312" t="s">
        <v>1272</v>
      </c>
      <c r="G2312" t="s">
        <v>619</v>
      </c>
      <c r="H2312" s="595">
        <v>-509.6</v>
      </c>
      <c r="I2312" t="str">
        <f t="shared" si="122"/>
        <v>fevereiro 2026</v>
      </c>
      <c r="J2312">
        <f t="shared" si="123"/>
        <v>2026</v>
      </c>
      <c r="K2312" t="str">
        <f>VLOOKUP(G2312,METRICS!C:D,2,0)</f>
        <v>Gelo</v>
      </c>
      <c r="L2312" t="str">
        <f>VLOOKUP(K2312,METRICS!D:E,2,0)</f>
        <v>CUSTOS DOS PRODUTOS VENDIDOS</v>
      </c>
    </row>
    <row r="2313" spans="1:12" ht="15" hidden="1">
      <c r="A2313" t="s">
        <v>1351</v>
      </c>
      <c r="B2313" t="s">
        <v>612</v>
      </c>
      <c r="D2313" t="s">
        <v>1607</v>
      </c>
      <c r="E2313" t="s">
        <v>1007</v>
      </c>
      <c r="F2313" t="s">
        <v>1272</v>
      </c>
      <c r="G2313" t="s">
        <v>625</v>
      </c>
      <c r="H2313" s="595">
        <v>-1000</v>
      </c>
      <c r="I2313" t="str">
        <f t="shared" si="122"/>
        <v>fevereiro 2026</v>
      </c>
      <c r="J2313">
        <f t="shared" si="123"/>
        <v>2026</v>
      </c>
      <c r="K2313" t="str">
        <f>VLOOKUP(G2313,METRICS!C:D,2,0)</f>
        <v>Manutenção e Conservação</v>
      </c>
      <c r="L2313" t="str">
        <f>VLOOKUP(K2313,METRICS!D:E,2,0)</f>
        <v>OPERAÇÃO</v>
      </c>
    </row>
    <row r="2314" spans="1:12" ht="15" hidden="1">
      <c r="A2314" t="s">
        <v>1351</v>
      </c>
      <c r="B2314" t="s">
        <v>612</v>
      </c>
      <c r="D2314" t="s">
        <v>1608</v>
      </c>
      <c r="E2314" t="s">
        <v>1688</v>
      </c>
      <c r="F2314" t="s">
        <v>1272</v>
      </c>
      <c r="G2314" t="s">
        <v>625</v>
      </c>
      <c r="H2314" s="595">
        <v>-700</v>
      </c>
      <c r="I2314" t="str">
        <f t="shared" si="122"/>
        <v>fevereiro 2026</v>
      </c>
      <c r="J2314">
        <f t="shared" si="123"/>
        <v>2026</v>
      </c>
      <c r="K2314" t="str">
        <f>VLOOKUP(G2314,METRICS!C:D,2,0)</f>
        <v>Manutenção e Conservação</v>
      </c>
      <c r="L2314" t="str">
        <f>VLOOKUP(K2314,METRICS!D:E,2,0)</f>
        <v>OPERAÇÃO</v>
      </c>
    </row>
    <row r="2315" spans="1:12" ht="15" hidden="1">
      <c r="A2315" t="s">
        <v>1351</v>
      </c>
      <c r="B2315" t="s">
        <v>612</v>
      </c>
      <c r="D2315" t="s">
        <v>1609</v>
      </c>
      <c r="E2315" t="s">
        <v>1036</v>
      </c>
      <c r="F2315" t="s">
        <v>1272</v>
      </c>
      <c r="G2315" s="518" t="s">
        <v>1736</v>
      </c>
      <c r="H2315" s="595">
        <v>-2021.76</v>
      </c>
      <c r="I2315" t="str">
        <f t="shared" si="122"/>
        <v>fevereiro 2026</v>
      </c>
      <c r="J2315">
        <f t="shared" si="123"/>
        <v>2026</v>
      </c>
      <c r="K2315" t="str">
        <f>VLOOKUP(G2315,METRICS!C:D,2,0)</f>
        <v>Sistema e Software OP</v>
      </c>
      <c r="L2315" t="str">
        <f>VLOOKUP(K2315,METRICS!D:E,2,0)</f>
        <v>OPERAÇÃO</v>
      </c>
    </row>
    <row r="2316" spans="1:12" ht="15" hidden="1">
      <c r="A2316" t="s">
        <v>1351</v>
      </c>
      <c r="B2316" t="s">
        <v>612</v>
      </c>
      <c r="D2316" t="s">
        <v>1610</v>
      </c>
      <c r="E2316" t="s">
        <v>830</v>
      </c>
      <c r="F2316" t="s">
        <v>1272</v>
      </c>
      <c r="G2316" t="s">
        <v>623</v>
      </c>
      <c r="H2316" s="595">
        <v>-305.25</v>
      </c>
      <c r="I2316" t="str">
        <f t="shared" si="122"/>
        <v>fevereiro 2026</v>
      </c>
      <c r="J2316">
        <f t="shared" si="123"/>
        <v>2026</v>
      </c>
      <c r="K2316" t="str">
        <f>VLOOKUP(G2316,METRICS!C:D,2,0)</f>
        <v>Secos - Mercearia</v>
      </c>
      <c r="L2316" t="str">
        <f>VLOOKUP(K2316,METRICS!D:E,2,0)</f>
        <v>CUSTOS DOS PRODUTOS VENDIDOS</v>
      </c>
    </row>
    <row r="2317" spans="1:12" ht="15" hidden="1">
      <c r="A2317" t="s">
        <v>1351</v>
      </c>
      <c r="B2317" t="s">
        <v>612</v>
      </c>
      <c r="D2317" t="s">
        <v>1611</v>
      </c>
      <c r="E2317" t="s">
        <v>828</v>
      </c>
      <c r="F2317" t="s">
        <v>1272</v>
      </c>
      <c r="G2317" t="s">
        <v>636</v>
      </c>
      <c r="H2317" s="595">
        <v>-1408.36</v>
      </c>
      <c r="I2317" t="str">
        <f t="shared" si="122"/>
        <v>fevereiro 2026</v>
      </c>
      <c r="J2317">
        <f t="shared" si="123"/>
        <v>2026</v>
      </c>
      <c r="K2317" t="str">
        <f>VLOOKUP(G2317,METRICS!C:D,2,0)</f>
        <v>Secos - Mercearia</v>
      </c>
      <c r="L2317" t="str">
        <f>VLOOKUP(K2317,METRICS!D:E,2,0)</f>
        <v>CUSTOS DOS PRODUTOS VENDIDOS</v>
      </c>
    </row>
    <row r="2318" spans="1:12" ht="15" hidden="1">
      <c r="A2318" t="s">
        <v>1351</v>
      </c>
      <c r="B2318" t="s">
        <v>689</v>
      </c>
      <c r="D2318" t="s">
        <v>1602</v>
      </c>
      <c r="E2318" t="s">
        <v>1687</v>
      </c>
      <c r="F2318" t="s">
        <v>1272</v>
      </c>
      <c r="G2318" t="s">
        <v>642</v>
      </c>
      <c r="H2318" s="595">
        <v>-2980.43</v>
      </c>
      <c r="I2318" t="str">
        <f t="shared" si="122"/>
        <v>fevereiro 2026</v>
      </c>
      <c r="J2318">
        <f t="shared" si="123"/>
        <v>2026</v>
      </c>
      <c r="K2318" t="str">
        <f>VLOOKUP(G2318,METRICS!C:D,2,0)</f>
        <v>Férias</v>
      </c>
      <c r="L2318" t="str">
        <f>VLOOKUP(K2318,METRICS!D:E,2,0)</f>
        <v>PESSOAL</v>
      </c>
    </row>
    <row r="2319" spans="1:12" ht="15" hidden="1">
      <c r="A2319" t="s">
        <v>1351</v>
      </c>
      <c r="B2319" t="s">
        <v>689</v>
      </c>
      <c r="D2319" t="s">
        <v>1602</v>
      </c>
      <c r="E2319" t="s">
        <v>1701</v>
      </c>
      <c r="F2319" t="s">
        <v>1272</v>
      </c>
      <c r="G2319" t="s">
        <v>642</v>
      </c>
      <c r="H2319" s="595">
        <v>-2934.63</v>
      </c>
      <c r="I2319" t="str">
        <f t="shared" si="122"/>
        <v>fevereiro 2026</v>
      </c>
      <c r="J2319">
        <f t="shared" si="123"/>
        <v>2026</v>
      </c>
      <c r="K2319" t="str">
        <f>VLOOKUP(G2319,METRICS!C:D,2,0)</f>
        <v>Férias</v>
      </c>
      <c r="L2319" t="str">
        <f>VLOOKUP(K2319,METRICS!D:E,2,0)</f>
        <v>PESSOAL</v>
      </c>
    </row>
    <row r="2320" spans="1:12" ht="15" hidden="1">
      <c r="A2320" t="s">
        <v>1351</v>
      </c>
      <c r="B2320" t="s">
        <v>612</v>
      </c>
      <c r="D2320" t="s">
        <v>1612</v>
      </c>
      <c r="E2320" t="s">
        <v>841</v>
      </c>
      <c r="F2320" t="s">
        <v>1272</v>
      </c>
      <c r="G2320" t="s">
        <v>616</v>
      </c>
      <c r="H2320" s="595">
        <v>-400</v>
      </c>
      <c r="I2320" t="str">
        <f t="shared" si="122"/>
        <v>fevereiro 2026</v>
      </c>
      <c r="J2320">
        <f t="shared" si="123"/>
        <v>2026</v>
      </c>
      <c r="K2320" t="str">
        <f>VLOOKUP(G2320,METRICS!C:D,2,0)</f>
        <v>Enlatados e Conservas</v>
      </c>
      <c r="L2320" t="str">
        <f>VLOOKUP(K2320,METRICS!D:E,2,0)</f>
        <v>CUSTOS DOS PRODUTOS VENDIDOS</v>
      </c>
    </row>
    <row r="2321" spans="1:12" ht="15" hidden="1">
      <c r="A2321" t="s">
        <v>1352</v>
      </c>
      <c r="B2321" t="s">
        <v>612</v>
      </c>
      <c r="D2321" t="s">
        <v>1613</v>
      </c>
      <c r="E2321" t="s">
        <v>820</v>
      </c>
      <c r="F2321" t="s">
        <v>1272</v>
      </c>
      <c r="G2321" t="s">
        <v>611</v>
      </c>
      <c r="H2321" s="595">
        <v>-3370.74</v>
      </c>
      <c r="I2321" t="str">
        <f t="shared" si="122"/>
        <v>fevereiro 2026</v>
      </c>
      <c r="J2321">
        <f t="shared" si="123"/>
        <v>2026</v>
      </c>
      <c r="K2321" t="str">
        <f>VLOOKUP(G2321,METRICS!C:D,2,0)</f>
        <v>Bebidas Alcoólicas</v>
      </c>
      <c r="L2321" t="str">
        <f>VLOOKUP(K2321,METRICS!D:E,2,0)</f>
        <v>CUSTOS DOS PRODUTOS VENDIDOS</v>
      </c>
    </row>
    <row r="2322" spans="1:12" ht="15" hidden="1">
      <c r="A2322" t="s">
        <v>1352</v>
      </c>
      <c r="B2322" t="s">
        <v>689</v>
      </c>
      <c r="D2322" t="s">
        <v>1614</v>
      </c>
      <c r="E2322" s="518" t="s">
        <v>1702</v>
      </c>
      <c r="F2322" t="s">
        <v>1272</v>
      </c>
      <c r="G2322" s="518" t="s">
        <v>668</v>
      </c>
      <c r="H2322" s="595">
        <v>-8250</v>
      </c>
      <c r="I2322" t="str">
        <f t="shared" si="122"/>
        <v>fevereiro 2026</v>
      </c>
      <c r="J2322">
        <f t="shared" si="123"/>
        <v>2026</v>
      </c>
      <c r="K2322" t="str">
        <f>VLOOKUP(G2322,METRICS!C:D,2,0)</f>
        <v>Prestação de Serviço Pessoa Jurídica OP</v>
      </c>
      <c r="L2322" t="str">
        <f>VLOOKUP(K2322,METRICS!D:E,2,0)</f>
        <v>OPERAÇÃO</v>
      </c>
    </row>
    <row r="2323" spans="1:12" ht="15" hidden="1">
      <c r="A2323" t="s">
        <v>1352</v>
      </c>
      <c r="B2323" t="s">
        <v>689</v>
      </c>
      <c r="D2323" t="s">
        <v>1615</v>
      </c>
      <c r="E2323" s="518" t="s">
        <v>1684</v>
      </c>
      <c r="F2323" t="s">
        <v>1272</v>
      </c>
      <c r="G2323" s="518" t="s">
        <v>668</v>
      </c>
      <c r="H2323" s="595">
        <v>-15000</v>
      </c>
      <c r="I2323" t="str">
        <f t="shared" si="122"/>
        <v>fevereiro 2026</v>
      </c>
      <c r="J2323">
        <f t="shared" si="123"/>
        <v>2026</v>
      </c>
      <c r="K2323" t="str">
        <f>VLOOKUP(G2323,METRICS!C:D,2,0)</f>
        <v>Prestação de Serviço Pessoa Jurídica OP</v>
      </c>
      <c r="L2323" t="str">
        <f>VLOOKUP(K2323,METRICS!D:E,2,0)</f>
        <v>OPERAÇÃO</v>
      </c>
    </row>
    <row r="2324" spans="1:12" ht="15" hidden="1">
      <c r="A2324" t="s">
        <v>1352</v>
      </c>
      <c r="B2324" t="s">
        <v>689</v>
      </c>
      <c r="D2324" t="s">
        <v>1616</v>
      </c>
      <c r="E2324" s="518" t="s">
        <v>1703</v>
      </c>
      <c r="F2324" t="s">
        <v>1272</v>
      </c>
      <c r="G2324" s="518" t="s">
        <v>1323</v>
      </c>
      <c r="H2324" s="595">
        <v>-16000</v>
      </c>
      <c r="I2324" t="str">
        <f t="shared" si="122"/>
        <v>fevereiro 2026</v>
      </c>
      <c r="J2324">
        <f t="shared" si="123"/>
        <v>2026</v>
      </c>
      <c r="K2324" t="str">
        <f>VLOOKUP(G2324,METRICS!C:D,2,0)</f>
        <v>Prestação de Serviço Pessoa Jurídica ADM</v>
      </c>
      <c r="L2324" t="str">
        <f>VLOOKUP(K2324,METRICS!D:E,2,0)</f>
        <v>ADMINISTRATIVA</v>
      </c>
    </row>
    <row r="2325" spans="1:12" ht="15" hidden="1">
      <c r="A2325" t="s">
        <v>1352</v>
      </c>
      <c r="B2325" t="s">
        <v>689</v>
      </c>
      <c r="D2325" t="s">
        <v>1617</v>
      </c>
      <c r="E2325" s="518" t="s">
        <v>1704</v>
      </c>
      <c r="F2325" t="s">
        <v>1272</v>
      </c>
      <c r="G2325" s="518" t="s">
        <v>668</v>
      </c>
      <c r="H2325" s="595">
        <v>-9250</v>
      </c>
      <c r="I2325" t="str">
        <f t="shared" si="122"/>
        <v>fevereiro 2026</v>
      </c>
      <c r="J2325">
        <f t="shared" si="123"/>
        <v>2026</v>
      </c>
      <c r="K2325" t="str">
        <f>VLOOKUP(G2325,METRICS!C:D,2,0)</f>
        <v>Prestação de Serviço Pessoa Jurídica OP</v>
      </c>
      <c r="L2325" t="str">
        <f>VLOOKUP(K2325,METRICS!D:E,2,0)</f>
        <v>OPERAÇÃO</v>
      </c>
    </row>
    <row r="2326" spans="1:12" ht="15" hidden="1">
      <c r="A2326" t="s">
        <v>1352</v>
      </c>
      <c r="B2326" t="s">
        <v>689</v>
      </c>
      <c r="D2326" t="s">
        <v>1618</v>
      </c>
      <c r="E2326" s="518" t="s">
        <v>1705</v>
      </c>
      <c r="F2326" t="s">
        <v>1272</v>
      </c>
      <c r="G2326" s="518" t="s">
        <v>668</v>
      </c>
      <c r="H2326" s="595">
        <v>-8250</v>
      </c>
      <c r="I2326" t="str">
        <f t="shared" si="122"/>
        <v>fevereiro 2026</v>
      </c>
      <c r="J2326">
        <f t="shared" si="123"/>
        <v>2026</v>
      </c>
      <c r="K2326" t="str">
        <f>VLOOKUP(G2326,METRICS!C:D,2,0)</f>
        <v>Prestação de Serviço Pessoa Jurídica OP</v>
      </c>
      <c r="L2326" t="str">
        <f>VLOOKUP(K2326,METRICS!D:E,2,0)</f>
        <v>OPERAÇÃO</v>
      </c>
    </row>
    <row r="2327" spans="1:12" ht="15" hidden="1">
      <c r="A2327" t="s">
        <v>1352</v>
      </c>
      <c r="B2327" t="s">
        <v>612</v>
      </c>
      <c r="D2327" t="s">
        <v>1619</v>
      </c>
      <c r="E2327" s="518" t="s">
        <v>1706</v>
      </c>
      <c r="F2327" t="s">
        <v>1272</v>
      </c>
      <c r="G2327" s="518" t="s">
        <v>626</v>
      </c>
      <c r="H2327" s="595">
        <v>-508</v>
      </c>
      <c r="I2327" t="str">
        <f t="shared" si="122"/>
        <v>fevereiro 2026</v>
      </c>
      <c r="J2327">
        <f t="shared" si="123"/>
        <v>2026</v>
      </c>
      <c r="K2327" t="str">
        <f>VLOOKUP(G2327,METRICS!C:D,2,0)</f>
        <v>Manutenção e Conservação</v>
      </c>
      <c r="L2327" t="str">
        <f>VLOOKUP(K2327,METRICS!D:E,2,0)</f>
        <v>OPERAÇÃO</v>
      </c>
    </row>
    <row r="2328" spans="1:12" ht="15" hidden="1">
      <c r="A2328" t="s">
        <v>1352</v>
      </c>
      <c r="B2328" t="s">
        <v>689</v>
      </c>
      <c r="D2328" t="s">
        <v>1620</v>
      </c>
      <c r="E2328" s="518" t="s">
        <v>1707</v>
      </c>
      <c r="F2328" t="s">
        <v>1272</v>
      </c>
      <c r="G2328" s="518" t="s">
        <v>668</v>
      </c>
      <c r="H2328" s="595">
        <v>-6250</v>
      </c>
      <c r="I2328" t="str">
        <f t="shared" si="122"/>
        <v>fevereiro 2026</v>
      </c>
      <c r="J2328">
        <f t="shared" si="123"/>
        <v>2026</v>
      </c>
      <c r="K2328" t="str">
        <f>VLOOKUP(G2328,METRICS!C:D,2,0)</f>
        <v>Prestação de Serviço Pessoa Jurídica OP</v>
      </c>
      <c r="L2328" t="str">
        <f>VLOOKUP(K2328,METRICS!D:E,2,0)</f>
        <v>OPERAÇÃO</v>
      </c>
    </row>
    <row r="2329" spans="1:12" ht="15" hidden="1">
      <c r="A2329" t="s">
        <v>1352</v>
      </c>
      <c r="B2329" t="s">
        <v>689</v>
      </c>
      <c r="D2329" t="s">
        <v>1621</v>
      </c>
      <c r="E2329" s="518" t="s">
        <v>1708</v>
      </c>
      <c r="F2329" t="s">
        <v>1272</v>
      </c>
      <c r="G2329" s="518" t="s">
        <v>1323</v>
      </c>
      <c r="H2329" s="595">
        <v>-3641.66</v>
      </c>
      <c r="I2329" t="str">
        <f t="shared" si="122"/>
        <v>fevereiro 2026</v>
      </c>
      <c r="J2329">
        <f t="shared" si="123"/>
        <v>2026</v>
      </c>
      <c r="K2329" t="str">
        <f>VLOOKUP(G2329,METRICS!C:D,2,0)</f>
        <v>Prestação de Serviço Pessoa Jurídica ADM</v>
      </c>
      <c r="L2329" t="str">
        <f>VLOOKUP(K2329,METRICS!D:E,2,0)</f>
        <v>ADMINISTRATIVA</v>
      </c>
    </row>
    <row r="2330" spans="1:12" ht="15" hidden="1">
      <c r="A2330" t="s">
        <v>1352</v>
      </c>
      <c r="B2330" t="s">
        <v>689</v>
      </c>
      <c r="D2330" t="s">
        <v>1622</v>
      </c>
      <c r="E2330" s="518" t="s">
        <v>1709</v>
      </c>
      <c r="F2330" t="s">
        <v>1272</v>
      </c>
      <c r="G2330" s="518" t="s">
        <v>668</v>
      </c>
      <c r="H2330" s="595">
        <v>-4400</v>
      </c>
      <c r="I2330" t="str">
        <f t="shared" si="122"/>
        <v>fevereiro 2026</v>
      </c>
      <c r="J2330">
        <f t="shared" si="123"/>
        <v>2026</v>
      </c>
      <c r="K2330" t="str">
        <f>VLOOKUP(G2330,METRICS!C:D,2,0)</f>
        <v>Prestação de Serviço Pessoa Jurídica OP</v>
      </c>
      <c r="L2330" t="str">
        <f>VLOOKUP(K2330,METRICS!D:E,2,0)</f>
        <v>OPERAÇÃO</v>
      </c>
    </row>
    <row r="2331" spans="1:12" ht="15" hidden="1">
      <c r="A2331" t="s">
        <v>1352</v>
      </c>
      <c r="B2331" t="s">
        <v>689</v>
      </c>
      <c r="D2331" t="s">
        <v>1623</v>
      </c>
      <c r="E2331" s="518" t="s">
        <v>700</v>
      </c>
      <c r="F2331" t="s">
        <v>1272</v>
      </c>
      <c r="G2331" s="518" t="s">
        <v>661</v>
      </c>
      <c r="H2331" s="595">
        <v>-5000</v>
      </c>
      <c r="I2331" t="str">
        <f t="shared" si="122"/>
        <v>fevereiro 2026</v>
      </c>
      <c r="J2331">
        <f t="shared" si="123"/>
        <v>2026</v>
      </c>
      <c r="K2331" t="str">
        <f>VLOOKUP(G2331,METRICS!C:D,2,0)</f>
        <v>Consultoria OP</v>
      </c>
      <c r="L2331" t="str">
        <f>VLOOKUP(K2331,METRICS!D:E,2,0)</f>
        <v>OPERAÇÃO</v>
      </c>
    </row>
    <row r="2332" spans="1:12" ht="15" hidden="1">
      <c r="A2332" t="s">
        <v>1352</v>
      </c>
      <c r="B2332" t="s">
        <v>689</v>
      </c>
      <c r="D2332" t="s">
        <v>1624</v>
      </c>
      <c r="E2332" s="518" t="s">
        <v>1689</v>
      </c>
      <c r="F2332" t="s">
        <v>1272</v>
      </c>
      <c r="G2332" s="518" t="s">
        <v>1722</v>
      </c>
      <c r="H2332" s="595">
        <v>-5762.48</v>
      </c>
      <c r="I2332" t="str">
        <f t="shared" si="122"/>
        <v>fevereiro 2026</v>
      </c>
      <c r="J2332">
        <f t="shared" si="123"/>
        <v>2026</v>
      </c>
      <c r="K2332" t="str">
        <f>VLOOKUP(G2332,METRICS!C:D,2,0)</f>
        <v>Decoração e Paisagismo</v>
      </c>
      <c r="L2332" t="str">
        <f>VLOOKUP(K2332,METRICS!D:E,2,0)</f>
        <v>OPERAÇÃO</v>
      </c>
    </row>
    <row r="2333" spans="1:12" ht="15" hidden="1">
      <c r="A2333" t="s">
        <v>1352</v>
      </c>
      <c r="B2333" t="s">
        <v>689</v>
      </c>
      <c r="D2333" t="s">
        <v>1144</v>
      </c>
      <c r="E2333" s="518" t="s">
        <v>1145</v>
      </c>
      <c r="F2333" t="s">
        <v>1272</v>
      </c>
      <c r="G2333" s="518" t="s">
        <v>676</v>
      </c>
      <c r="H2333" s="595">
        <v>-7200</v>
      </c>
      <c r="I2333" t="str">
        <f t="shared" si="122"/>
        <v>fevereiro 2026</v>
      </c>
      <c r="J2333">
        <f t="shared" si="123"/>
        <v>2026</v>
      </c>
      <c r="K2333" t="str">
        <f>VLOOKUP(G2333,METRICS!C:D,2,0)</f>
        <v>Propaganda, Publicidade e Patrocínio</v>
      </c>
      <c r="L2333" t="str">
        <f>VLOOKUP(K2333,METRICS!D:E,2,0)</f>
        <v>MARKETING</v>
      </c>
    </row>
    <row r="2334" spans="1:12" ht="15" hidden="1">
      <c r="A2334" t="s">
        <v>1352</v>
      </c>
      <c r="B2334" t="s">
        <v>612</v>
      </c>
      <c r="D2334" t="s">
        <v>1625</v>
      </c>
      <c r="E2334" s="518" t="s">
        <v>826</v>
      </c>
      <c r="F2334" t="s">
        <v>1272</v>
      </c>
      <c r="G2334" s="518" t="s">
        <v>633</v>
      </c>
      <c r="H2334" s="595">
        <v>-3771</v>
      </c>
      <c r="I2334" t="str">
        <f t="shared" si="122"/>
        <v>fevereiro 2026</v>
      </c>
      <c r="J2334">
        <f t="shared" si="123"/>
        <v>2026</v>
      </c>
      <c r="K2334" t="str">
        <f>VLOOKUP(G2334,METRICS!C:D,2,0)</f>
        <v>Paes, Massas e Salgados</v>
      </c>
      <c r="L2334" t="str">
        <f>VLOOKUP(K2334,METRICS!D:E,2,0)</f>
        <v>CUSTOS DOS PRODUTOS VENDIDOS</v>
      </c>
    </row>
    <row r="2335" spans="1:12" ht="15" hidden="1">
      <c r="A2335" t="s">
        <v>1352</v>
      </c>
      <c r="B2335" t="s">
        <v>689</v>
      </c>
      <c r="D2335" t="s">
        <v>1626</v>
      </c>
      <c r="E2335" s="518" t="s">
        <v>1710</v>
      </c>
      <c r="F2335" t="s">
        <v>1272</v>
      </c>
      <c r="G2335" s="518" t="s">
        <v>668</v>
      </c>
      <c r="H2335" s="595">
        <v>-7000</v>
      </c>
      <c r="I2335" t="str">
        <f t="shared" si="122"/>
        <v>fevereiro 2026</v>
      </c>
      <c r="J2335">
        <f t="shared" si="123"/>
        <v>2026</v>
      </c>
      <c r="K2335" t="str">
        <f>VLOOKUP(G2335,METRICS!C:D,2,0)</f>
        <v>Prestação de Serviço Pessoa Jurídica OP</v>
      </c>
      <c r="L2335" t="str">
        <f>VLOOKUP(K2335,METRICS!D:E,2,0)</f>
        <v>OPERAÇÃO</v>
      </c>
    </row>
    <row r="2336" spans="1:12" ht="15" hidden="1">
      <c r="A2336" t="s">
        <v>1352</v>
      </c>
      <c r="B2336" t="s">
        <v>689</v>
      </c>
      <c r="D2336" t="s">
        <v>1627</v>
      </c>
      <c r="E2336" s="518" t="s">
        <v>1711</v>
      </c>
      <c r="F2336" t="s">
        <v>1272</v>
      </c>
      <c r="G2336" s="518" t="s">
        <v>1323</v>
      </c>
      <c r="H2336" s="595">
        <v>-13000</v>
      </c>
      <c r="I2336" t="str">
        <f t="shared" si="122"/>
        <v>fevereiro 2026</v>
      </c>
      <c r="J2336">
        <f t="shared" si="123"/>
        <v>2026</v>
      </c>
      <c r="K2336" t="str">
        <f>VLOOKUP(G2336,METRICS!C:D,2,0)</f>
        <v>Prestação de Serviço Pessoa Jurídica ADM</v>
      </c>
      <c r="L2336" t="str">
        <f>VLOOKUP(K2336,METRICS!D:E,2,0)</f>
        <v>ADMINISTRATIVA</v>
      </c>
    </row>
    <row r="2337" spans="1:12" ht="15" hidden="1">
      <c r="A2337" t="s">
        <v>1352</v>
      </c>
      <c r="B2337" t="s">
        <v>689</v>
      </c>
      <c r="D2337" t="s">
        <v>1628</v>
      </c>
      <c r="E2337" s="518" t="s">
        <v>1217</v>
      </c>
      <c r="F2337" t="s">
        <v>1272</v>
      </c>
      <c r="G2337" s="518" t="s">
        <v>668</v>
      </c>
      <c r="H2337" s="595">
        <v>-10000</v>
      </c>
      <c r="I2337" t="str">
        <f t="shared" si="122"/>
        <v>fevereiro 2026</v>
      </c>
      <c r="J2337">
        <f t="shared" si="123"/>
        <v>2026</v>
      </c>
      <c r="K2337" t="str">
        <f>VLOOKUP(G2337,METRICS!C:D,2,0)</f>
        <v>Prestação de Serviço Pessoa Jurídica OP</v>
      </c>
      <c r="L2337" t="str">
        <f>VLOOKUP(K2337,METRICS!D:E,2,0)</f>
        <v>OPERAÇÃO</v>
      </c>
    </row>
    <row r="2338" spans="1:12" ht="15" hidden="1">
      <c r="A2338" t="s">
        <v>1352</v>
      </c>
      <c r="B2338" t="s">
        <v>612</v>
      </c>
      <c r="D2338" t="s">
        <v>1629</v>
      </c>
      <c r="E2338" s="518" t="s">
        <v>979</v>
      </c>
      <c r="F2338" t="s">
        <v>1272</v>
      </c>
      <c r="G2338" s="518" t="s">
        <v>641</v>
      </c>
      <c r="H2338" s="595">
        <v>-3869.46</v>
      </c>
      <c r="I2338" t="str">
        <f t="shared" si="122"/>
        <v>fevereiro 2026</v>
      </c>
      <c r="J2338">
        <f t="shared" si="123"/>
        <v>2026</v>
      </c>
      <c r="K2338" t="str">
        <f>VLOOKUP(G2338,METRICS!C:D,2,0)</f>
        <v>Vinhos/Espumantes</v>
      </c>
      <c r="L2338" t="str">
        <f>VLOOKUP(K2338,METRICS!D:E,2,0)</f>
        <v>CUSTOS DOS PRODUTOS VENDIDOS</v>
      </c>
    </row>
    <row r="2339" spans="1:12" ht="15" hidden="1">
      <c r="A2339" t="s">
        <v>1352</v>
      </c>
      <c r="B2339" t="s">
        <v>612</v>
      </c>
      <c r="D2339" t="s">
        <v>1630</v>
      </c>
      <c r="E2339" s="518" t="s">
        <v>1712</v>
      </c>
      <c r="F2339" t="s">
        <v>1272</v>
      </c>
      <c r="G2339" s="518" t="s">
        <v>641</v>
      </c>
      <c r="H2339" s="595">
        <v>-13252.7</v>
      </c>
      <c r="I2339" t="str">
        <f t="shared" si="122"/>
        <v>fevereiro 2026</v>
      </c>
      <c r="J2339">
        <f t="shared" si="123"/>
        <v>2026</v>
      </c>
      <c r="K2339" t="str">
        <f>VLOOKUP(G2339,METRICS!C:D,2,0)</f>
        <v>Vinhos/Espumantes</v>
      </c>
      <c r="L2339" t="str">
        <f>VLOOKUP(K2339,METRICS!D:E,2,0)</f>
        <v>CUSTOS DOS PRODUTOS VENDIDOS</v>
      </c>
    </row>
    <row r="2340" spans="1:12" ht="15" hidden="1">
      <c r="A2340" t="s">
        <v>1352</v>
      </c>
      <c r="B2340" t="s">
        <v>689</v>
      </c>
      <c r="D2340" t="s">
        <v>1631</v>
      </c>
      <c r="E2340" s="518" t="s">
        <v>1230</v>
      </c>
      <c r="F2340" t="s">
        <v>1272</v>
      </c>
      <c r="G2340" s="518" t="s">
        <v>1323</v>
      </c>
      <c r="H2340" s="595">
        <v>-8000</v>
      </c>
      <c r="I2340" t="str">
        <f t="shared" si="122"/>
        <v>fevereiro 2026</v>
      </c>
      <c r="J2340">
        <f t="shared" si="123"/>
        <v>2026</v>
      </c>
      <c r="K2340" t="str">
        <f>VLOOKUP(G2340,METRICS!C:D,2,0)</f>
        <v>Prestação de Serviço Pessoa Jurídica ADM</v>
      </c>
      <c r="L2340" t="str">
        <f>VLOOKUP(K2340,METRICS!D:E,2,0)</f>
        <v>ADMINISTRATIVA</v>
      </c>
    </row>
    <row r="2341" spans="1:12" ht="15" hidden="1">
      <c r="A2341" t="s">
        <v>1352</v>
      </c>
      <c r="B2341" t="s">
        <v>689</v>
      </c>
      <c r="D2341" t="s">
        <v>1632</v>
      </c>
      <c r="E2341" s="518" t="s">
        <v>1713</v>
      </c>
      <c r="F2341" t="s">
        <v>1272</v>
      </c>
      <c r="G2341" s="518" t="s">
        <v>668</v>
      </c>
      <c r="H2341" s="595">
        <v>-8500</v>
      </c>
      <c r="I2341" t="str">
        <f t="shared" si="122"/>
        <v>fevereiro 2026</v>
      </c>
      <c r="J2341">
        <f t="shared" si="123"/>
        <v>2026</v>
      </c>
      <c r="K2341" t="str">
        <f>VLOOKUP(G2341,METRICS!C:D,2,0)</f>
        <v>Prestação de Serviço Pessoa Jurídica OP</v>
      </c>
      <c r="L2341" t="str">
        <f>VLOOKUP(K2341,METRICS!D:E,2,0)</f>
        <v>OPERAÇÃO</v>
      </c>
    </row>
    <row r="2342" spans="1:12" ht="15" hidden="1">
      <c r="A2342" t="s">
        <v>1352</v>
      </c>
      <c r="B2342" t="s">
        <v>689</v>
      </c>
      <c r="D2342" t="s">
        <v>1631</v>
      </c>
      <c r="E2342" s="518" t="s">
        <v>1714</v>
      </c>
      <c r="F2342" t="s">
        <v>1272</v>
      </c>
      <c r="G2342" s="518" t="s">
        <v>1323</v>
      </c>
      <c r="H2342" s="595">
        <v>-5750</v>
      </c>
      <c r="I2342" t="str">
        <f t="shared" si="122"/>
        <v>fevereiro 2026</v>
      </c>
      <c r="J2342">
        <f t="shared" si="123"/>
        <v>2026</v>
      </c>
      <c r="K2342" t="str">
        <f>VLOOKUP(G2342,METRICS!C:D,2,0)</f>
        <v>Prestação de Serviço Pessoa Jurídica ADM</v>
      </c>
      <c r="L2342" t="str">
        <f>VLOOKUP(K2342,METRICS!D:E,2,0)</f>
        <v>ADMINISTRATIVA</v>
      </c>
    </row>
    <row r="2343" spans="1:12" ht="15" hidden="1">
      <c r="A2343" t="s">
        <v>1352</v>
      </c>
      <c r="B2343" t="s">
        <v>689</v>
      </c>
      <c r="D2343" t="s">
        <v>1633</v>
      </c>
      <c r="E2343" s="518" t="s">
        <v>1715</v>
      </c>
      <c r="F2343" t="s">
        <v>1272</v>
      </c>
      <c r="G2343" s="518" t="s">
        <v>1323</v>
      </c>
      <c r="H2343" s="595">
        <v>-8750</v>
      </c>
      <c r="I2343" t="str">
        <f t="shared" si="122"/>
        <v>fevereiro 2026</v>
      </c>
      <c r="J2343">
        <f t="shared" si="123"/>
        <v>2026</v>
      </c>
      <c r="K2343" t="str">
        <f>VLOOKUP(G2343,METRICS!C:D,2,0)</f>
        <v>Prestação de Serviço Pessoa Jurídica ADM</v>
      </c>
      <c r="L2343" t="str">
        <f>VLOOKUP(K2343,METRICS!D:E,2,0)</f>
        <v>ADMINISTRATIVA</v>
      </c>
    </row>
    <row r="2344" spans="1:12" ht="15" hidden="1">
      <c r="A2344" t="s">
        <v>1352</v>
      </c>
      <c r="B2344" t="s">
        <v>689</v>
      </c>
      <c r="D2344" t="s">
        <v>1634</v>
      </c>
      <c r="E2344" t="str">
        <f>D2344</f>
        <v>SERVICOS OPERACIONAL REF AO MES DE FEV/2026 -  ALEX MARCONDE CARLOS DA SILVA FILHO</v>
      </c>
      <c r="F2344" t="s">
        <v>1272</v>
      </c>
      <c r="G2344" s="518" t="s">
        <v>661</v>
      </c>
      <c r="H2344" s="595">
        <v>-6000</v>
      </c>
      <c r="I2344" t="str">
        <f t="shared" si="122"/>
        <v>fevereiro 2026</v>
      </c>
      <c r="J2344">
        <f t="shared" si="123"/>
        <v>2026</v>
      </c>
      <c r="K2344" t="str">
        <f>VLOOKUP(G2344,METRICS!C:D,2,0)</f>
        <v>Consultoria OP</v>
      </c>
      <c r="L2344" t="str">
        <f>VLOOKUP(K2344,METRICS!D:E,2,0)</f>
        <v>OPERAÇÃO</v>
      </c>
    </row>
    <row r="2345" spans="1:12" ht="15" hidden="1">
      <c r="A2345" t="s">
        <v>1352</v>
      </c>
      <c r="B2345" t="s">
        <v>689</v>
      </c>
      <c r="D2345" t="s">
        <v>709</v>
      </c>
      <c r="E2345" t="s">
        <v>710</v>
      </c>
      <c r="F2345" t="s">
        <v>1272</v>
      </c>
      <c r="G2345" t="s">
        <v>542</v>
      </c>
      <c r="H2345" s="595">
        <v>-17845.490000000002</v>
      </c>
      <c r="I2345" t="str">
        <f t="shared" si="122"/>
        <v>fevereiro 2026</v>
      </c>
      <c r="J2345">
        <f t="shared" si="123"/>
        <v>2026</v>
      </c>
      <c r="K2345" t="str">
        <f>VLOOKUP(G2345,METRICS!C:D,2,0)</f>
        <v>Vale Transporte</v>
      </c>
      <c r="L2345" t="str">
        <f>VLOOKUP(K2345,METRICS!D:E,2,0)</f>
        <v>PESSOAL</v>
      </c>
    </row>
    <row r="2346" spans="1:12" ht="15" hidden="1">
      <c r="A2346" t="s">
        <v>1353</v>
      </c>
      <c r="B2346" t="s">
        <v>612</v>
      </c>
      <c r="D2346" t="s">
        <v>1635</v>
      </c>
      <c r="E2346" t="s">
        <v>752</v>
      </c>
      <c r="F2346" t="s">
        <v>1272</v>
      </c>
      <c r="G2346" t="s">
        <v>609</v>
      </c>
      <c r="H2346" s="595">
        <v>-875.86</v>
      </c>
      <c r="I2346" t="str">
        <f t="shared" si="122"/>
        <v>fevereiro 2026</v>
      </c>
      <c r="J2346">
        <f t="shared" si="123"/>
        <v>2026</v>
      </c>
      <c r="K2346" t="str">
        <f>VLOOKUP(G2346,METRICS!C:D,2,0)</f>
        <v>Carnes e Aves</v>
      </c>
      <c r="L2346" t="str">
        <f>VLOOKUP(K2346,METRICS!D:E,2,0)</f>
        <v>CUSTOS DOS PRODUTOS VENDIDOS</v>
      </c>
    </row>
    <row r="2347" spans="1:12" ht="15" hidden="1">
      <c r="A2347" t="s">
        <v>1353</v>
      </c>
      <c r="B2347" t="s">
        <v>612</v>
      </c>
      <c r="D2347" t="s">
        <v>1636</v>
      </c>
      <c r="E2347" t="s">
        <v>794</v>
      </c>
      <c r="F2347" t="s">
        <v>1272</v>
      </c>
      <c r="G2347" t="s">
        <v>608</v>
      </c>
      <c r="H2347" s="595">
        <v>-237.6</v>
      </c>
      <c r="I2347" t="str">
        <f t="shared" si="122"/>
        <v>fevereiro 2026</v>
      </c>
      <c r="J2347">
        <f t="shared" si="123"/>
        <v>2026</v>
      </c>
      <c r="K2347" t="str">
        <f>VLOOKUP(G2347,METRICS!C:D,2,0)</f>
        <v>Bebidas não Alcoolicas</v>
      </c>
      <c r="L2347" t="str">
        <f>VLOOKUP(K2347,METRICS!D:E,2,0)</f>
        <v>CUSTOS DOS PRODUTOS VENDIDOS</v>
      </c>
    </row>
    <row r="2348" spans="1:12" ht="15" hidden="1">
      <c r="A2348" t="s">
        <v>1353</v>
      </c>
      <c r="B2348" t="s">
        <v>612</v>
      </c>
      <c r="D2348" t="s">
        <v>1637</v>
      </c>
      <c r="E2348" t="s">
        <v>784</v>
      </c>
      <c r="F2348" t="s">
        <v>1272</v>
      </c>
      <c r="G2348" t="s">
        <v>636</v>
      </c>
      <c r="H2348" s="595">
        <v>-1165</v>
      </c>
      <c r="I2348" t="str">
        <f t="shared" si="122"/>
        <v>fevereiro 2026</v>
      </c>
      <c r="J2348">
        <f t="shared" si="123"/>
        <v>2026</v>
      </c>
      <c r="K2348" t="str">
        <f>VLOOKUP(G2348,METRICS!C:D,2,0)</f>
        <v>Secos - Mercearia</v>
      </c>
      <c r="L2348" t="str">
        <f>VLOOKUP(K2348,METRICS!D:E,2,0)</f>
        <v>CUSTOS DOS PRODUTOS VENDIDOS</v>
      </c>
    </row>
    <row r="2349" spans="1:12" ht="15" hidden="1">
      <c r="A2349" t="s">
        <v>1353</v>
      </c>
      <c r="B2349" t="s">
        <v>612</v>
      </c>
      <c r="D2349" t="s">
        <v>1638</v>
      </c>
      <c r="E2349" t="s">
        <v>1039</v>
      </c>
      <c r="F2349" t="s">
        <v>1272</v>
      </c>
      <c r="G2349" t="s">
        <v>623</v>
      </c>
      <c r="H2349" s="595">
        <v>-312.43</v>
      </c>
      <c r="I2349" t="str">
        <f t="shared" si="122"/>
        <v>fevereiro 2026</v>
      </c>
      <c r="J2349">
        <f t="shared" si="123"/>
        <v>2026</v>
      </c>
      <c r="K2349" t="str">
        <f>VLOOKUP(G2349,METRICS!C:D,2,0)</f>
        <v>Secos - Mercearia</v>
      </c>
      <c r="L2349" t="str">
        <f>VLOOKUP(K2349,METRICS!D:E,2,0)</f>
        <v>CUSTOS DOS PRODUTOS VENDIDOS</v>
      </c>
    </row>
    <row r="2350" spans="1:12" ht="15" hidden="1">
      <c r="A2350" t="s">
        <v>1353</v>
      </c>
      <c r="B2350" t="s">
        <v>612</v>
      </c>
      <c r="D2350" t="s">
        <v>1639</v>
      </c>
      <c r="E2350" t="s">
        <v>727</v>
      </c>
      <c r="F2350" t="s">
        <v>1272</v>
      </c>
      <c r="G2350" t="s">
        <v>620</v>
      </c>
      <c r="H2350" s="595">
        <v>-5295.14</v>
      </c>
      <c r="I2350" t="str">
        <f t="shared" si="122"/>
        <v>fevereiro 2026</v>
      </c>
      <c r="J2350">
        <f t="shared" si="123"/>
        <v>2026</v>
      </c>
      <c r="K2350" t="str">
        <f>VLOOKUP(G2350,METRICS!C:D,2,0)</f>
        <v>Hortifruti</v>
      </c>
      <c r="L2350" t="str">
        <f>VLOOKUP(K2350,METRICS!D:E,2,0)</f>
        <v>CUSTOS DOS PRODUTOS VENDIDOS</v>
      </c>
    </row>
    <row r="2351" spans="1:12" ht="15" hidden="1">
      <c r="A2351" t="s">
        <v>1353</v>
      </c>
      <c r="B2351" t="s">
        <v>612</v>
      </c>
      <c r="D2351" t="s">
        <v>1640</v>
      </c>
      <c r="E2351" t="s">
        <v>830</v>
      </c>
      <c r="F2351" t="s">
        <v>1272</v>
      </c>
      <c r="G2351" t="s">
        <v>623</v>
      </c>
      <c r="H2351" s="595">
        <v>-407</v>
      </c>
      <c r="I2351" t="str">
        <f t="shared" si="122"/>
        <v>fevereiro 2026</v>
      </c>
      <c r="J2351">
        <f t="shared" si="123"/>
        <v>2026</v>
      </c>
      <c r="K2351" t="str">
        <f>VLOOKUP(G2351,METRICS!C:D,2,0)</f>
        <v>Secos - Mercearia</v>
      </c>
      <c r="L2351" t="str">
        <f>VLOOKUP(K2351,METRICS!D:E,2,0)</f>
        <v>CUSTOS DOS PRODUTOS VENDIDOS</v>
      </c>
    </row>
    <row r="2352" spans="1:12" ht="15" hidden="1">
      <c r="A2352" t="s">
        <v>1353</v>
      </c>
      <c r="B2352" t="s">
        <v>612</v>
      </c>
      <c r="D2352" t="s">
        <v>1641</v>
      </c>
      <c r="E2352" t="s">
        <v>1716</v>
      </c>
      <c r="F2352" t="s">
        <v>1272</v>
      </c>
      <c r="G2352" t="s">
        <v>607</v>
      </c>
      <c r="H2352" s="595">
        <v>-465</v>
      </c>
      <c r="I2352" t="str">
        <f t="shared" si="122"/>
        <v>fevereiro 2026</v>
      </c>
      <c r="J2352">
        <f t="shared" si="123"/>
        <v>2026</v>
      </c>
      <c r="K2352" t="str">
        <f>VLOOKUP(G2352,METRICS!C:D,2,0)</f>
        <v>Bebidas Alcoólicas</v>
      </c>
      <c r="L2352" t="str">
        <f>VLOOKUP(K2352,METRICS!D:E,2,0)</f>
        <v>CUSTOS DOS PRODUTOS VENDIDOS</v>
      </c>
    </row>
    <row r="2353" spans="1:13" ht="15" hidden="1">
      <c r="A2353" t="s">
        <v>1353</v>
      </c>
      <c r="B2353" t="s">
        <v>612</v>
      </c>
      <c r="D2353" t="s">
        <v>1642</v>
      </c>
      <c r="E2353" t="s">
        <v>964</v>
      </c>
      <c r="F2353" t="s">
        <v>1272</v>
      </c>
      <c r="G2353" t="s">
        <v>607</v>
      </c>
      <c r="H2353" s="595">
        <v>-3004.56</v>
      </c>
      <c r="I2353" t="str">
        <f t="shared" si="122"/>
        <v>fevereiro 2026</v>
      </c>
      <c r="J2353">
        <f t="shared" si="123"/>
        <v>2026</v>
      </c>
      <c r="K2353" t="str">
        <f>VLOOKUP(G2353,METRICS!C:D,2,0)</f>
        <v>Bebidas Alcoólicas</v>
      </c>
      <c r="L2353" t="str">
        <f>VLOOKUP(K2353,METRICS!D:E,2,0)</f>
        <v>CUSTOS DOS PRODUTOS VENDIDOS</v>
      </c>
    </row>
    <row r="2354" spans="1:13" ht="15" hidden="1">
      <c r="A2354" t="s">
        <v>1353</v>
      </c>
      <c r="B2354" t="s">
        <v>689</v>
      </c>
      <c r="D2354" t="s">
        <v>817</v>
      </c>
      <c r="E2354" t="str">
        <f>D2354</f>
        <v>PAGAMENTO EXTRA</v>
      </c>
      <c r="F2354" t="s">
        <v>1272</v>
      </c>
      <c r="G2354" t="s">
        <v>664</v>
      </c>
      <c r="H2354" s="595">
        <v>-3300</v>
      </c>
      <c r="I2354" t="str">
        <f t="shared" si="122"/>
        <v>fevereiro 2026</v>
      </c>
      <c r="J2354">
        <f t="shared" si="123"/>
        <v>2026</v>
      </c>
      <c r="K2354" t="str">
        <f>VLOOKUP(G2354,METRICS!C:D,2,0)</f>
        <v>Colaborador Extra</v>
      </c>
      <c r="L2354" t="str">
        <f>VLOOKUP(K2354,METRICS!D:E,2,0)</f>
        <v>PESSOAL</v>
      </c>
    </row>
    <row r="2355" spans="1:13" ht="15" hidden="1">
      <c r="A2355" t="s">
        <v>1353</v>
      </c>
      <c r="B2355" t="s">
        <v>689</v>
      </c>
      <c r="D2355" t="s">
        <v>1643</v>
      </c>
      <c r="E2355" t="s">
        <v>1695</v>
      </c>
      <c r="F2355" t="s">
        <v>1272</v>
      </c>
      <c r="G2355" t="s">
        <v>613</v>
      </c>
      <c r="H2355" s="595">
        <v>-800</v>
      </c>
      <c r="I2355" t="str">
        <f t="shared" si="122"/>
        <v>fevereiro 2026</v>
      </c>
      <c r="J2355">
        <f t="shared" si="123"/>
        <v>2026</v>
      </c>
      <c r="K2355" t="str">
        <f>VLOOKUP(G2355,METRICS!C:D,2,0)</f>
        <v>Dedetização</v>
      </c>
      <c r="L2355" t="str">
        <f>VLOOKUP(K2355,METRICS!D:E,2,0)</f>
        <v>ADMINISTRATIVA</v>
      </c>
      <c r="M2355" s="518"/>
    </row>
    <row r="2356" spans="1:13" ht="15" hidden="1">
      <c r="A2356" t="s">
        <v>1353</v>
      </c>
      <c r="B2356" t="s">
        <v>612</v>
      </c>
      <c r="D2356" t="s">
        <v>1644</v>
      </c>
      <c r="E2356" t="s">
        <v>878</v>
      </c>
      <c r="F2356" t="s">
        <v>1272</v>
      </c>
      <c r="G2356" t="s">
        <v>609</v>
      </c>
      <c r="H2356" s="595">
        <v>-1938.13</v>
      </c>
      <c r="I2356" t="str">
        <f t="shared" si="122"/>
        <v>fevereiro 2026</v>
      </c>
      <c r="J2356">
        <f t="shared" si="123"/>
        <v>2026</v>
      </c>
      <c r="K2356" t="str">
        <f>VLOOKUP(G2356,METRICS!C:D,2,0)</f>
        <v>Carnes e Aves</v>
      </c>
      <c r="L2356" t="str">
        <f>VLOOKUP(K2356,METRICS!D:E,2,0)</f>
        <v>CUSTOS DOS PRODUTOS VENDIDOS</v>
      </c>
    </row>
    <row r="2357" spans="1:13" ht="15" hidden="1">
      <c r="A2357" t="s">
        <v>1353</v>
      </c>
      <c r="B2357" t="s">
        <v>689</v>
      </c>
      <c r="D2357" t="s">
        <v>756</v>
      </c>
      <c r="E2357" t="s">
        <v>757</v>
      </c>
      <c r="F2357" t="s">
        <v>1272</v>
      </c>
      <c r="G2357" t="s">
        <v>666</v>
      </c>
      <c r="H2357" s="595">
        <v>-18.649999999999999</v>
      </c>
      <c r="I2357" t="str">
        <f t="shared" si="122"/>
        <v>fevereiro 2026</v>
      </c>
      <c r="J2357">
        <f t="shared" si="123"/>
        <v>2026</v>
      </c>
      <c r="K2357" t="str">
        <f>VLOOKUP(G2357,METRICS!C:D,2,0)</f>
        <v>Encargos Bancarios</v>
      </c>
      <c r="L2357" t="str">
        <f>VLOOKUP(K2357,METRICS!D:E,2,0)</f>
        <v>DESPESAS FINANCEIRAS</v>
      </c>
    </row>
    <row r="2358" spans="1:13" ht="15" hidden="1">
      <c r="A2358" t="s">
        <v>1353</v>
      </c>
      <c r="B2358" t="s">
        <v>612</v>
      </c>
      <c r="D2358" t="s">
        <v>1645</v>
      </c>
      <c r="E2358" t="s">
        <v>738</v>
      </c>
      <c r="F2358" t="s">
        <v>1272</v>
      </c>
      <c r="G2358" t="s">
        <v>636</v>
      </c>
      <c r="H2358" s="595">
        <v>-1139.5999999999999</v>
      </c>
      <c r="I2358" t="str">
        <f t="shared" si="122"/>
        <v>fevereiro 2026</v>
      </c>
      <c r="J2358">
        <f t="shared" si="123"/>
        <v>2026</v>
      </c>
      <c r="K2358" t="str">
        <f>VLOOKUP(G2358,METRICS!C:D,2,0)</f>
        <v>Secos - Mercearia</v>
      </c>
      <c r="L2358" t="str">
        <f>VLOOKUP(K2358,METRICS!D:E,2,0)</f>
        <v>CUSTOS DOS PRODUTOS VENDIDOS</v>
      </c>
    </row>
    <row r="2359" spans="1:13" ht="15" hidden="1">
      <c r="A2359" t="s">
        <v>1353</v>
      </c>
      <c r="B2359" t="s">
        <v>612</v>
      </c>
      <c r="D2359" t="s">
        <v>1646</v>
      </c>
      <c r="E2359" t="s">
        <v>1249</v>
      </c>
      <c r="F2359" t="s">
        <v>1272</v>
      </c>
      <c r="G2359" t="s">
        <v>413</v>
      </c>
      <c r="H2359" s="595">
        <v>-1198.5</v>
      </c>
      <c r="I2359" t="str">
        <f t="shared" si="122"/>
        <v>fevereiro 2026</v>
      </c>
      <c r="J2359">
        <f t="shared" si="123"/>
        <v>2026</v>
      </c>
      <c r="K2359" t="str">
        <f>VLOOKUP(G2359,METRICS!C:D,2,0)</f>
        <v>Pescados</v>
      </c>
      <c r="L2359" t="str">
        <f>VLOOKUP(K2359,METRICS!D:E,2,0)</f>
        <v>CUSTOS DOS PRODUTOS VENDIDOS</v>
      </c>
    </row>
    <row r="2360" spans="1:13" ht="15" hidden="1">
      <c r="A2360" t="s">
        <v>1353</v>
      </c>
      <c r="B2360" t="s">
        <v>612</v>
      </c>
      <c r="D2360" t="s">
        <v>1647</v>
      </c>
      <c r="E2360" t="s">
        <v>748</v>
      </c>
      <c r="F2360" t="s">
        <v>1272</v>
      </c>
      <c r="G2360" t="s">
        <v>620</v>
      </c>
      <c r="H2360" s="595">
        <v>-222.62</v>
      </c>
      <c r="I2360" t="str">
        <f t="shared" si="122"/>
        <v>fevereiro 2026</v>
      </c>
      <c r="J2360">
        <f t="shared" si="123"/>
        <v>2026</v>
      </c>
      <c r="K2360" t="str">
        <f>VLOOKUP(G2360,METRICS!C:D,2,0)</f>
        <v>Hortifruti</v>
      </c>
      <c r="L2360" t="str">
        <f>VLOOKUP(K2360,METRICS!D:E,2,0)</f>
        <v>CUSTOS DOS PRODUTOS VENDIDOS</v>
      </c>
    </row>
    <row r="2361" spans="1:13" ht="15" hidden="1">
      <c r="A2361" t="s">
        <v>1353</v>
      </c>
      <c r="B2361" t="s">
        <v>689</v>
      </c>
      <c r="D2361" t="s">
        <v>883</v>
      </c>
      <c r="E2361" t="s">
        <v>746</v>
      </c>
      <c r="F2361" t="s">
        <v>1272</v>
      </c>
      <c r="G2361" t="s">
        <v>669</v>
      </c>
      <c r="H2361" s="595">
        <v>-39.78</v>
      </c>
      <c r="I2361" t="str">
        <f t="shared" si="122"/>
        <v>fevereiro 2026</v>
      </c>
      <c r="J2361">
        <f t="shared" si="123"/>
        <v>2026</v>
      </c>
      <c r="K2361" t="str">
        <f>VLOOKUP(G2361,METRICS!C:D,2,0)</f>
        <v>Taxas Financeiras Diversas</v>
      </c>
      <c r="L2361" t="str">
        <f>VLOOKUP(K2361,METRICS!D:E,2,0)</f>
        <v>TAXAS CARTÃO DE CRÉDITO</v>
      </c>
    </row>
    <row r="2362" spans="1:13" ht="15" hidden="1">
      <c r="A2362" t="s">
        <v>1353</v>
      </c>
      <c r="B2362" t="s">
        <v>612</v>
      </c>
      <c r="D2362" t="s">
        <v>1648</v>
      </c>
      <c r="E2362" t="s">
        <v>878</v>
      </c>
      <c r="F2362" t="s">
        <v>1272</v>
      </c>
      <c r="G2362" t="s">
        <v>609</v>
      </c>
      <c r="H2362" s="595">
        <v>-9498.93</v>
      </c>
      <c r="I2362" t="str">
        <f t="shared" si="122"/>
        <v>fevereiro 2026</v>
      </c>
      <c r="J2362">
        <f t="shared" si="123"/>
        <v>2026</v>
      </c>
      <c r="K2362" t="str">
        <f>VLOOKUP(G2362,METRICS!C:D,2,0)</f>
        <v>Carnes e Aves</v>
      </c>
      <c r="L2362" t="str">
        <f>VLOOKUP(K2362,METRICS!D:E,2,0)</f>
        <v>CUSTOS DOS PRODUTOS VENDIDOS</v>
      </c>
    </row>
    <row r="2363" spans="1:13" ht="15" hidden="1">
      <c r="A2363" t="s">
        <v>1354</v>
      </c>
      <c r="B2363" t="s">
        <v>612</v>
      </c>
      <c r="D2363" t="s">
        <v>1649</v>
      </c>
      <c r="E2363" t="s">
        <v>1239</v>
      </c>
      <c r="F2363" t="s">
        <v>1272</v>
      </c>
      <c r="G2363" t="s">
        <v>413</v>
      </c>
      <c r="H2363" s="595">
        <v>-3115.4</v>
      </c>
      <c r="I2363" t="str">
        <f t="shared" si="122"/>
        <v>fevereiro 2026</v>
      </c>
      <c r="J2363">
        <f t="shared" si="123"/>
        <v>2026</v>
      </c>
      <c r="K2363" t="str">
        <f>VLOOKUP(G2363,METRICS!C:D,2,0)</f>
        <v>Pescados</v>
      </c>
      <c r="L2363" t="str">
        <f>VLOOKUP(K2363,METRICS!D:E,2,0)</f>
        <v>CUSTOS DOS PRODUTOS VENDIDOS</v>
      </c>
    </row>
    <row r="2364" spans="1:13" ht="15" hidden="1">
      <c r="A2364" t="s">
        <v>1354</v>
      </c>
      <c r="B2364" t="s">
        <v>612</v>
      </c>
      <c r="D2364" t="s">
        <v>1650</v>
      </c>
      <c r="E2364" t="s">
        <v>1074</v>
      </c>
      <c r="F2364" t="s">
        <v>1272</v>
      </c>
      <c r="G2364" t="s">
        <v>636</v>
      </c>
      <c r="H2364" s="595">
        <v>-219.1</v>
      </c>
      <c r="I2364" t="str">
        <f t="shared" si="122"/>
        <v>fevereiro 2026</v>
      </c>
      <c r="J2364">
        <f t="shared" si="123"/>
        <v>2026</v>
      </c>
      <c r="K2364" t="str">
        <f>VLOOKUP(G2364,METRICS!C:D,2,0)</f>
        <v>Secos - Mercearia</v>
      </c>
      <c r="L2364" t="str">
        <f>VLOOKUP(K2364,METRICS!D:E,2,0)</f>
        <v>CUSTOS DOS PRODUTOS VENDIDOS</v>
      </c>
    </row>
    <row r="2365" spans="1:13" ht="15" hidden="1">
      <c r="A2365" t="s">
        <v>1354</v>
      </c>
      <c r="B2365" t="s">
        <v>612</v>
      </c>
      <c r="D2365" t="s">
        <v>1651</v>
      </c>
      <c r="E2365" t="s">
        <v>767</v>
      </c>
      <c r="F2365" t="s">
        <v>1272</v>
      </c>
      <c r="G2365" t="s">
        <v>623</v>
      </c>
      <c r="H2365" s="595">
        <v>-768</v>
      </c>
      <c r="I2365" t="str">
        <f t="shared" si="122"/>
        <v>fevereiro 2026</v>
      </c>
      <c r="J2365">
        <f t="shared" si="123"/>
        <v>2026</v>
      </c>
      <c r="K2365" t="str">
        <f>VLOOKUP(G2365,METRICS!C:D,2,0)</f>
        <v>Secos - Mercearia</v>
      </c>
      <c r="L2365" t="str">
        <f>VLOOKUP(K2365,METRICS!D:E,2,0)</f>
        <v>CUSTOS DOS PRODUTOS VENDIDOS</v>
      </c>
    </row>
    <row r="2366" spans="1:13" ht="15" hidden="1">
      <c r="A2366" t="s">
        <v>1354</v>
      </c>
      <c r="B2366" t="s">
        <v>689</v>
      </c>
      <c r="D2366" t="s">
        <v>1652</v>
      </c>
      <c r="E2366" t="str">
        <f>D2366</f>
        <v xml:space="preserve">VALE TRANSPORTE NOVOS COLABORADORES </v>
      </c>
      <c r="F2366" t="s">
        <v>1272</v>
      </c>
      <c r="G2366" t="s">
        <v>542</v>
      </c>
      <c r="H2366" s="595">
        <v>-1800.96</v>
      </c>
      <c r="I2366" t="str">
        <f t="shared" si="122"/>
        <v>fevereiro 2026</v>
      </c>
      <c r="J2366">
        <f t="shared" si="123"/>
        <v>2026</v>
      </c>
      <c r="K2366" t="str">
        <f>VLOOKUP(G2366,METRICS!C:D,2,0)</f>
        <v>Vale Transporte</v>
      </c>
      <c r="L2366" t="str">
        <f>VLOOKUP(K2366,METRICS!D:E,2,0)</f>
        <v>PESSOAL</v>
      </c>
    </row>
    <row r="2367" spans="1:13" ht="15" hidden="1">
      <c r="A2367" t="s">
        <v>1354</v>
      </c>
      <c r="B2367" t="s">
        <v>612</v>
      </c>
      <c r="D2367" t="s">
        <v>1653</v>
      </c>
      <c r="E2367" t="s">
        <v>820</v>
      </c>
      <c r="F2367" t="s">
        <v>1272</v>
      </c>
      <c r="G2367" t="s">
        <v>611</v>
      </c>
      <c r="H2367" s="595">
        <v>-2172.2399999999998</v>
      </c>
      <c r="I2367" t="str">
        <f t="shared" si="122"/>
        <v>fevereiro 2026</v>
      </c>
      <c r="J2367">
        <f t="shared" si="123"/>
        <v>2026</v>
      </c>
      <c r="K2367" t="str">
        <f>VLOOKUP(G2367,METRICS!C:D,2,0)</f>
        <v>Bebidas Alcoólicas</v>
      </c>
      <c r="L2367" t="str">
        <f>VLOOKUP(K2367,METRICS!D:E,2,0)</f>
        <v>CUSTOS DOS PRODUTOS VENDIDOS</v>
      </c>
    </row>
    <row r="2368" spans="1:13" ht="15" hidden="1">
      <c r="A2368" t="s">
        <v>1354</v>
      </c>
      <c r="B2368" t="s">
        <v>612</v>
      </c>
      <c r="D2368" t="s">
        <v>1654</v>
      </c>
      <c r="E2368" t="s">
        <v>921</v>
      </c>
      <c r="F2368" t="s">
        <v>1272</v>
      </c>
      <c r="G2368" t="s">
        <v>636</v>
      </c>
      <c r="H2368" s="595">
        <v>-384.9</v>
      </c>
      <c r="I2368" t="str">
        <f t="shared" si="122"/>
        <v>fevereiro 2026</v>
      </c>
      <c r="J2368">
        <f t="shared" si="123"/>
        <v>2026</v>
      </c>
      <c r="K2368" t="str">
        <f>VLOOKUP(G2368,METRICS!C:D,2,0)</f>
        <v>Secos - Mercearia</v>
      </c>
      <c r="L2368" t="str">
        <f>VLOOKUP(K2368,METRICS!D:E,2,0)</f>
        <v>CUSTOS DOS PRODUTOS VENDIDOS</v>
      </c>
    </row>
    <row r="2369" spans="1:12" ht="15" hidden="1">
      <c r="A2369" t="s">
        <v>1354</v>
      </c>
      <c r="B2369" t="s">
        <v>612</v>
      </c>
      <c r="D2369" t="s">
        <v>1655</v>
      </c>
      <c r="E2369" t="s">
        <v>1712</v>
      </c>
      <c r="F2369" t="s">
        <v>1272</v>
      </c>
      <c r="G2369" t="s">
        <v>641</v>
      </c>
      <c r="H2369" s="595">
        <v>-29900.68</v>
      </c>
      <c r="I2369" t="str">
        <f t="shared" si="122"/>
        <v>fevereiro 2026</v>
      </c>
      <c r="J2369">
        <f t="shared" si="123"/>
        <v>2026</v>
      </c>
      <c r="K2369" t="str">
        <f>VLOOKUP(G2369,METRICS!C:D,2,0)</f>
        <v>Vinhos/Espumantes</v>
      </c>
      <c r="L2369" t="str">
        <f>VLOOKUP(K2369,METRICS!D:E,2,0)</f>
        <v>CUSTOS DOS PRODUTOS VENDIDOS</v>
      </c>
    </row>
    <row r="2370" spans="1:12" ht="15" hidden="1">
      <c r="A2370" t="s">
        <v>1354</v>
      </c>
      <c r="B2370" t="s">
        <v>612</v>
      </c>
      <c r="D2370" t="s">
        <v>1656</v>
      </c>
      <c r="E2370" t="s">
        <v>828</v>
      </c>
      <c r="F2370" t="s">
        <v>1272</v>
      </c>
      <c r="G2370" t="s">
        <v>636</v>
      </c>
      <c r="H2370" s="595">
        <v>-1435.05</v>
      </c>
      <c r="I2370" t="str">
        <f t="shared" si="122"/>
        <v>fevereiro 2026</v>
      </c>
      <c r="J2370">
        <f t="shared" si="123"/>
        <v>2026</v>
      </c>
      <c r="K2370" t="str">
        <f>VLOOKUP(G2370,METRICS!C:D,2,0)</f>
        <v>Secos - Mercearia</v>
      </c>
      <c r="L2370" t="str">
        <f>VLOOKUP(K2370,METRICS!D:E,2,0)</f>
        <v>CUSTOS DOS PRODUTOS VENDIDOS</v>
      </c>
    </row>
    <row r="2371" spans="1:12" ht="15" hidden="1">
      <c r="A2371" t="s">
        <v>1354</v>
      </c>
      <c r="B2371" t="s">
        <v>612</v>
      </c>
      <c r="D2371" t="s">
        <v>1657</v>
      </c>
      <c r="E2371" t="s">
        <v>770</v>
      </c>
      <c r="F2371" t="s">
        <v>1272</v>
      </c>
      <c r="G2371" t="s">
        <v>630</v>
      </c>
      <c r="H2371" s="595">
        <v>-988.32</v>
      </c>
      <c r="I2371" t="str">
        <f t="shared" si="122"/>
        <v>fevereiro 2026</v>
      </c>
      <c r="J2371">
        <f t="shared" si="123"/>
        <v>2026</v>
      </c>
      <c r="K2371" t="str">
        <f>VLOOKUP(G2371,METRICS!C:D,2,0)</f>
        <v>Material de Copa e Limpeza</v>
      </c>
      <c r="L2371" t="str">
        <f>VLOOKUP(K2371,METRICS!D:E,2,0)</f>
        <v>ADMINISTRATIVA</v>
      </c>
    </row>
    <row r="2372" spans="1:12" ht="15" hidden="1">
      <c r="A2372" t="s">
        <v>1354</v>
      </c>
      <c r="B2372" t="s">
        <v>689</v>
      </c>
      <c r="D2372" t="s">
        <v>1056</v>
      </c>
      <c r="E2372" t="s">
        <v>1057</v>
      </c>
      <c r="F2372" t="s">
        <v>1272</v>
      </c>
      <c r="G2372" t="s">
        <v>618</v>
      </c>
      <c r="H2372" s="595">
        <v>-1456.41</v>
      </c>
      <c r="I2372" t="str">
        <f t="shared" ref="I2372:I2442" si="124">TEXT(A2372, "mmmm aaaa")</f>
        <v>fevereiro 2026</v>
      </c>
      <c r="J2372">
        <f t="shared" ref="J2372:J2442" si="125">YEAR(A2372)</f>
        <v>2026</v>
      </c>
      <c r="K2372" t="str">
        <f>VLOOKUP(G2372,METRICS!C:D,2,0)</f>
        <v>Gás Encanado</v>
      </c>
      <c r="L2372" t="str">
        <f>VLOOKUP(K2372,METRICS!D:E,2,0)</f>
        <v>OPERAÇÃO</v>
      </c>
    </row>
    <row r="2373" spans="1:12" ht="15" hidden="1">
      <c r="A2373" t="s">
        <v>1354</v>
      </c>
      <c r="B2373" t="s">
        <v>612</v>
      </c>
      <c r="D2373" t="s">
        <v>1658</v>
      </c>
      <c r="E2373" t="s">
        <v>811</v>
      </c>
      <c r="F2373" t="s">
        <v>1272</v>
      </c>
      <c r="G2373" t="s">
        <v>636</v>
      </c>
      <c r="H2373" s="595">
        <v>-2266.67</v>
      </c>
      <c r="I2373" t="str">
        <f t="shared" si="124"/>
        <v>fevereiro 2026</v>
      </c>
      <c r="J2373">
        <f t="shared" si="125"/>
        <v>2026</v>
      </c>
      <c r="K2373" t="str">
        <f>VLOOKUP(G2373,METRICS!C:D,2,0)</f>
        <v>Secos - Mercearia</v>
      </c>
      <c r="L2373" t="str">
        <f>VLOOKUP(K2373,METRICS!D:E,2,0)</f>
        <v>CUSTOS DOS PRODUTOS VENDIDOS</v>
      </c>
    </row>
    <row r="2374" spans="1:12" ht="15" hidden="1">
      <c r="A2374" t="s">
        <v>1354</v>
      </c>
      <c r="B2374" t="s">
        <v>612</v>
      </c>
      <c r="D2374" t="s">
        <v>1659</v>
      </c>
      <c r="E2374" t="s">
        <v>1670</v>
      </c>
      <c r="F2374" t="s">
        <v>1272</v>
      </c>
      <c r="G2374" t="s">
        <v>1718</v>
      </c>
      <c r="H2374" s="595">
        <v>-711.96</v>
      </c>
      <c r="I2374" t="str">
        <f t="shared" si="124"/>
        <v>fevereiro 2026</v>
      </c>
      <c r="J2374">
        <f t="shared" si="125"/>
        <v>2026</v>
      </c>
      <c r="K2374" t="str">
        <f>VLOOKUP(G2374,METRICS!C:D,2,0)</f>
        <v>Utensílios</v>
      </c>
      <c r="L2374" t="str">
        <f>VLOOKUP(K2374,METRICS!D:E,2,0)</f>
        <v>OPERAÇÃO</v>
      </c>
    </row>
    <row r="2375" spans="1:12" ht="15" hidden="1">
      <c r="A2375" t="s">
        <v>1354</v>
      </c>
      <c r="B2375" t="s">
        <v>612</v>
      </c>
      <c r="D2375" t="s">
        <v>1660</v>
      </c>
      <c r="E2375" t="s">
        <v>1691</v>
      </c>
      <c r="F2375" t="s">
        <v>1272</v>
      </c>
      <c r="G2375" t="s">
        <v>623</v>
      </c>
      <c r="H2375" s="595">
        <v>-2353.34</v>
      </c>
      <c r="I2375" t="str">
        <f t="shared" si="124"/>
        <v>fevereiro 2026</v>
      </c>
      <c r="J2375">
        <f t="shared" si="125"/>
        <v>2026</v>
      </c>
      <c r="K2375" t="str">
        <f>VLOOKUP(G2375,METRICS!C:D,2,0)</f>
        <v>Secos - Mercearia</v>
      </c>
      <c r="L2375" t="str">
        <f>VLOOKUP(K2375,METRICS!D:E,2,0)</f>
        <v>CUSTOS DOS PRODUTOS VENDIDOS</v>
      </c>
    </row>
    <row r="2376" spans="1:12" ht="15" hidden="1">
      <c r="A2376" t="s">
        <v>1354</v>
      </c>
      <c r="B2376" t="s">
        <v>612</v>
      </c>
      <c r="D2376" t="s">
        <v>1661</v>
      </c>
      <c r="E2376" t="s">
        <v>878</v>
      </c>
      <c r="F2376" t="s">
        <v>1272</v>
      </c>
      <c r="G2376" t="s">
        <v>609</v>
      </c>
      <c r="H2376" s="595">
        <v>-2903.48</v>
      </c>
      <c r="I2376" t="str">
        <f t="shared" si="124"/>
        <v>fevereiro 2026</v>
      </c>
      <c r="J2376">
        <f t="shared" si="125"/>
        <v>2026</v>
      </c>
      <c r="K2376" t="str">
        <f>VLOOKUP(G2376,METRICS!C:D,2,0)</f>
        <v>Carnes e Aves</v>
      </c>
      <c r="L2376" t="str">
        <f>VLOOKUP(K2376,METRICS!D:E,2,0)</f>
        <v>CUSTOS DOS PRODUTOS VENDIDOS</v>
      </c>
    </row>
    <row r="2377" spans="1:12" ht="15" hidden="1">
      <c r="A2377" t="s">
        <v>1355</v>
      </c>
      <c r="B2377" t="s">
        <v>612</v>
      </c>
      <c r="D2377" t="s">
        <v>1662</v>
      </c>
      <c r="E2377" t="s">
        <v>805</v>
      </c>
      <c r="F2377" t="s">
        <v>1272</v>
      </c>
      <c r="G2377" t="s">
        <v>609</v>
      </c>
      <c r="H2377" s="595">
        <v>-1881.2</v>
      </c>
      <c r="I2377" t="str">
        <f t="shared" si="124"/>
        <v>fevereiro 2026</v>
      </c>
      <c r="J2377">
        <f t="shared" si="125"/>
        <v>2026</v>
      </c>
      <c r="K2377" t="str">
        <f>VLOOKUP(G2377,METRICS!C:D,2,0)</f>
        <v>Carnes e Aves</v>
      </c>
      <c r="L2377" t="str">
        <f>VLOOKUP(K2377,METRICS!D:E,2,0)</f>
        <v>CUSTOS DOS PRODUTOS VENDIDOS</v>
      </c>
    </row>
    <row r="2378" spans="1:12" ht="15" hidden="1">
      <c r="A2378" t="s">
        <v>1355</v>
      </c>
      <c r="B2378" t="s">
        <v>689</v>
      </c>
      <c r="D2378" t="s">
        <v>1259</v>
      </c>
      <c r="E2378" t="s">
        <v>1260</v>
      </c>
      <c r="F2378" t="s">
        <v>1272</v>
      </c>
      <c r="G2378" t="s">
        <v>663</v>
      </c>
      <c r="H2378" s="595">
        <v>-45000</v>
      </c>
      <c r="I2378" t="str">
        <f t="shared" si="124"/>
        <v>fevereiro 2026</v>
      </c>
      <c r="J2378">
        <f t="shared" si="125"/>
        <v>2026</v>
      </c>
      <c r="K2378" t="str">
        <f>VLOOKUP(G2378,METRICS!C:D,2,0)</f>
        <v>Aluguéis</v>
      </c>
      <c r="L2378" t="str">
        <f>VLOOKUP(K2378,METRICS!D:E,2,0)</f>
        <v>OCUPAÇÃO</v>
      </c>
    </row>
    <row r="2379" spans="1:12" ht="15" hidden="1">
      <c r="A2379" t="s">
        <v>1355</v>
      </c>
      <c r="B2379" t="s">
        <v>689</v>
      </c>
      <c r="D2379" t="s">
        <v>1759</v>
      </c>
      <c r="E2379" t="s">
        <v>1760</v>
      </c>
      <c r="F2379" t="s">
        <v>1272</v>
      </c>
      <c r="G2379" t="s">
        <v>651</v>
      </c>
      <c r="H2379" s="595">
        <v>-16406.98</v>
      </c>
      <c r="I2379" t="str">
        <f t="shared" si="124"/>
        <v>fevereiro 2026</v>
      </c>
      <c r="J2379">
        <f t="shared" si="125"/>
        <v>2026</v>
      </c>
      <c r="K2379" t="str">
        <f>VLOOKUP(G2379,METRICS!C:D,2,0)</f>
        <v>Assistência Médica e Social</v>
      </c>
      <c r="L2379" t="str">
        <f>VLOOKUP(K2379,METRICS!D:E,2,0)</f>
        <v>PESSOAL</v>
      </c>
    </row>
    <row r="2380" spans="1:12" ht="15" hidden="1">
      <c r="A2380" s="512">
        <v>46081</v>
      </c>
      <c r="B2380" t="s">
        <v>689</v>
      </c>
      <c r="D2380" t="s">
        <v>1811</v>
      </c>
      <c r="E2380" t="s">
        <v>2186</v>
      </c>
      <c r="F2380" t="s">
        <v>1272</v>
      </c>
      <c r="G2380" t="s">
        <v>664</v>
      </c>
      <c r="H2380" s="595">
        <v>-1000</v>
      </c>
      <c r="I2380" t="str">
        <f t="shared" ref="I2380:I2386" si="126">TEXT(A2380, "mmmm aaaa")</f>
        <v>fevereiro 2026</v>
      </c>
      <c r="J2380">
        <f t="shared" ref="J2380:J2386" si="127">YEAR(A2380)</f>
        <v>2026</v>
      </c>
      <c r="K2380" t="str">
        <f>VLOOKUP(G2380,METRICS!C:D,2,0)</f>
        <v>Colaborador Extra</v>
      </c>
      <c r="L2380" t="str">
        <f>VLOOKUP(K2380,METRICS!D:E,2,0)</f>
        <v>PESSOAL</v>
      </c>
    </row>
    <row r="2381" spans="1:12" ht="15" hidden="1">
      <c r="A2381" s="512">
        <v>46081</v>
      </c>
      <c r="B2381" t="s">
        <v>689</v>
      </c>
      <c r="D2381" t="s">
        <v>1811</v>
      </c>
      <c r="E2381" t="s">
        <v>2187</v>
      </c>
      <c r="F2381" t="s">
        <v>1272</v>
      </c>
      <c r="G2381" t="s">
        <v>664</v>
      </c>
      <c r="H2381" s="595">
        <v>-1500</v>
      </c>
      <c r="I2381" t="str">
        <f t="shared" si="126"/>
        <v>fevereiro 2026</v>
      </c>
      <c r="J2381">
        <f t="shared" si="127"/>
        <v>2026</v>
      </c>
      <c r="K2381" t="str">
        <f>VLOOKUP(G2381,METRICS!C:D,2,0)</f>
        <v>Colaborador Extra</v>
      </c>
      <c r="L2381" t="str">
        <f>VLOOKUP(K2381,METRICS!D:E,2,0)</f>
        <v>PESSOAL</v>
      </c>
    </row>
    <row r="2382" spans="1:12" ht="15" hidden="1">
      <c r="A2382" s="512">
        <v>46081</v>
      </c>
      <c r="B2382" t="s">
        <v>689</v>
      </c>
      <c r="D2382" s="518" t="s">
        <v>1811</v>
      </c>
      <c r="E2382" t="s">
        <v>2185</v>
      </c>
      <c r="F2382" t="s">
        <v>1272</v>
      </c>
      <c r="G2382" t="s">
        <v>664</v>
      </c>
      <c r="H2382" s="595">
        <v>-1500</v>
      </c>
      <c r="I2382" t="str">
        <f t="shared" si="126"/>
        <v>fevereiro 2026</v>
      </c>
      <c r="J2382">
        <f t="shared" si="127"/>
        <v>2026</v>
      </c>
      <c r="K2382" t="str">
        <f>VLOOKUP(G2382,METRICS!C:D,2,0)</f>
        <v>Colaborador Extra</v>
      </c>
      <c r="L2382" t="str">
        <f>VLOOKUP(K2382,METRICS!D:E,2,0)</f>
        <v>PESSOAL</v>
      </c>
    </row>
    <row r="2383" spans="1:12" ht="15" hidden="1">
      <c r="A2383" s="512">
        <v>46081</v>
      </c>
      <c r="B2383" t="s">
        <v>689</v>
      </c>
      <c r="D2383" t="s">
        <v>1811</v>
      </c>
      <c r="E2383" t="s">
        <v>2184</v>
      </c>
      <c r="F2383" t="s">
        <v>1272</v>
      </c>
      <c r="G2383" t="s">
        <v>664</v>
      </c>
      <c r="H2383" s="595">
        <v>-1500</v>
      </c>
      <c r="I2383" t="str">
        <f t="shared" si="126"/>
        <v>fevereiro 2026</v>
      </c>
      <c r="J2383">
        <f t="shared" si="127"/>
        <v>2026</v>
      </c>
      <c r="K2383" t="str">
        <f>VLOOKUP(G2383,METRICS!C:D,2,0)</f>
        <v>Colaborador Extra</v>
      </c>
      <c r="L2383" t="str">
        <f>VLOOKUP(K2383,METRICS!D:E,2,0)</f>
        <v>PESSOAL</v>
      </c>
    </row>
    <row r="2384" spans="1:12" ht="15" hidden="1">
      <c r="A2384" s="512">
        <v>46081</v>
      </c>
      <c r="B2384" t="s">
        <v>689</v>
      </c>
      <c r="D2384" t="s">
        <v>1811</v>
      </c>
      <c r="E2384" t="s">
        <v>2183</v>
      </c>
      <c r="F2384" t="s">
        <v>1272</v>
      </c>
      <c r="G2384" t="s">
        <v>664</v>
      </c>
      <c r="H2384" s="595">
        <v>-1500</v>
      </c>
      <c r="I2384" t="str">
        <f t="shared" si="126"/>
        <v>fevereiro 2026</v>
      </c>
      <c r="J2384">
        <f t="shared" si="127"/>
        <v>2026</v>
      </c>
      <c r="K2384" t="str">
        <f>VLOOKUP(G2384,METRICS!C:D,2,0)</f>
        <v>Colaborador Extra</v>
      </c>
      <c r="L2384" t="str">
        <f>VLOOKUP(K2384,METRICS!D:E,2,0)</f>
        <v>PESSOAL</v>
      </c>
    </row>
    <row r="2385" spans="1:12" ht="15" hidden="1">
      <c r="A2385" s="512">
        <v>46081</v>
      </c>
      <c r="B2385" t="s">
        <v>689</v>
      </c>
      <c r="D2385" t="s">
        <v>1811</v>
      </c>
      <c r="E2385" t="s">
        <v>2179</v>
      </c>
      <c r="F2385" t="s">
        <v>1272</v>
      </c>
      <c r="G2385" t="s">
        <v>664</v>
      </c>
      <c r="H2385" s="595">
        <v>-1500</v>
      </c>
      <c r="I2385" t="str">
        <f t="shared" si="126"/>
        <v>fevereiro 2026</v>
      </c>
      <c r="J2385">
        <f t="shared" si="127"/>
        <v>2026</v>
      </c>
      <c r="K2385" t="str">
        <f>VLOOKUP(G2385,METRICS!C:D,2,0)</f>
        <v>Colaborador Extra</v>
      </c>
      <c r="L2385" t="str">
        <f>VLOOKUP(K2385,METRICS!D:E,2,0)</f>
        <v>PESSOAL</v>
      </c>
    </row>
    <row r="2386" spans="1:12" ht="15" hidden="1">
      <c r="A2386" s="512">
        <v>46081</v>
      </c>
      <c r="B2386" t="s">
        <v>689</v>
      </c>
      <c r="D2386" t="s">
        <v>1811</v>
      </c>
      <c r="E2386" t="s">
        <v>2188</v>
      </c>
      <c r="F2386" t="s">
        <v>1272</v>
      </c>
      <c r="G2386" t="s">
        <v>664</v>
      </c>
      <c r="H2386" s="595">
        <v>-1000</v>
      </c>
      <c r="I2386" t="str">
        <f t="shared" si="126"/>
        <v>fevereiro 2026</v>
      </c>
      <c r="J2386">
        <f t="shared" si="127"/>
        <v>2026</v>
      </c>
      <c r="K2386" t="str">
        <f>VLOOKUP(G2386,METRICS!C:D,2,0)</f>
        <v>Colaborador Extra</v>
      </c>
      <c r="L2386" t="str">
        <f>VLOOKUP(K2386,METRICS!D:E,2,0)</f>
        <v>PESSOAL</v>
      </c>
    </row>
    <row r="2387" spans="1:12" ht="15" hidden="1">
      <c r="A2387" s="512">
        <v>46081</v>
      </c>
      <c r="B2387" t="s">
        <v>689</v>
      </c>
      <c r="C2387" t="s">
        <v>690</v>
      </c>
      <c r="D2387" t="s">
        <v>883</v>
      </c>
      <c r="E2387" t="s">
        <v>746</v>
      </c>
      <c r="F2387" t="s">
        <v>1272</v>
      </c>
      <c r="G2387" t="s">
        <v>665</v>
      </c>
      <c r="H2387" s="595">
        <v>-17327.47</v>
      </c>
      <c r="I2387" t="str">
        <f t="shared" ref="I2387" si="128">TEXT(A2387, "mmmm aaaa")</f>
        <v>fevereiro 2026</v>
      </c>
      <c r="J2387">
        <f t="shared" ref="J2387" si="129">YEAR(A2387)</f>
        <v>2026</v>
      </c>
      <c r="K2387" t="str">
        <f>VLOOKUP(G2387,METRICS!C:D,2,0)</f>
        <v>Taxas Financeiras Diversas</v>
      </c>
      <c r="L2387" t="str">
        <f>VLOOKUP(K2387,METRICS!D:E,2,0)</f>
        <v>TAXAS CARTÃO DE CRÉDITO</v>
      </c>
    </row>
    <row r="2388" spans="1:12" ht="15" hidden="1">
      <c r="A2388" s="512">
        <v>46081</v>
      </c>
      <c r="B2388" t="s">
        <v>689</v>
      </c>
      <c r="D2388" s="518" t="s">
        <v>2608</v>
      </c>
      <c r="E2388" s="518" t="s">
        <v>2608</v>
      </c>
      <c r="F2388" t="s">
        <v>1272</v>
      </c>
      <c r="G2388" t="s">
        <v>23</v>
      </c>
      <c r="H2388" s="595">
        <v>-1056</v>
      </c>
      <c r="I2388" t="str">
        <f t="shared" ref="I2388:I2390" si="130">TEXT(A2388, "mmmm aaaa")</f>
        <v>fevereiro 2026</v>
      </c>
      <c r="J2388">
        <f t="shared" ref="J2388:J2390" si="131">YEAR(A2388)</f>
        <v>2026</v>
      </c>
      <c r="K2388" t="str">
        <f>VLOOKUP(G2388,METRICS!C:D,2,0)</f>
        <v>(-) PIS/Pasep</v>
      </c>
      <c r="L2388" t="str">
        <f>VLOOKUP(K2388,METRICS!D:E,2,0)</f>
        <v xml:space="preserve">IMPOSTOS </v>
      </c>
    </row>
    <row r="2389" spans="1:12" ht="15" hidden="1">
      <c r="A2389" s="512">
        <v>46081</v>
      </c>
      <c r="B2389" t="s">
        <v>689</v>
      </c>
      <c r="D2389" s="518" t="s">
        <v>2608</v>
      </c>
      <c r="E2389" s="518" t="s">
        <v>2608</v>
      </c>
      <c r="F2389" t="s">
        <v>1272</v>
      </c>
      <c r="G2389" t="s">
        <v>21</v>
      </c>
      <c r="H2389" s="595">
        <v>-15493.73</v>
      </c>
      <c r="I2389" t="str">
        <f t="shared" si="130"/>
        <v>fevereiro 2026</v>
      </c>
      <c r="J2389">
        <f t="shared" si="131"/>
        <v>2026</v>
      </c>
      <c r="K2389" t="str">
        <f>VLOOKUP(G2389,METRICS!C:D,2,0)</f>
        <v>(-) ICMS</v>
      </c>
      <c r="L2389" t="str">
        <f>VLOOKUP(K2389,METRICS!D:E,2,0)</f>
        <v xml:space="preserve">IMPOSTOS </v>
      </c>
    </row>
    <row r="2390" spans="1:12" ht="15" hidden="1">
      <c r="A2390" s="512">
        <v>46081</v>
      </c>
      <c r="B2390" t="s">
        <v>689</v>
      </c>
      <c r="D2390" s="518" t="s">
        <v>2608</v>
      </c>
      <c r="E2390" s="518" t="s">
        <v>2608</v>
      </c>
      <c r="F2390" t="s">
        <v>1272</v>
      </c>
      <c r="G2390" t="s">
        <v>22</v>
      </c>
      <c r="H2390" s="595">
        <v>-4877.08</v>
      </c>
      <c r="I2390" t="str">
        <f t="shared" si="130"/>
        <v>fevereiro 2026</v>
      </c>
      <c r="J2390">
        <f t="shared" si="131"/>
        <v>2026</v>
      </c>
      <c r="K2390" t="str">
        <f>VLOOKUP(G2390,METRICS!C:D,2,0)</f>
        <v>(-) COFINS</v>
      </c>
      <c r="L2390" t="str">
        <f>VLOOKUP(K2390,METRICS!D:E,2,0)</f>
        <v xml:space="preserve">IMPOSTOS </v>
      </c>
    </row>
    <row r="2391" spans="1:12" ht="15" hidden="1">
      <c r="A2391" t="s">
        <v>1779</v>
      </c>
      <c r="B2391" t="s">
        <v>612</v>
      </c>
      <c r="D2391" t="s">
        <v>1807</v>
      </c>
      <c r="E2391" t="s">
        <v>721</v>
      </c>
      <c r="F2391" t="s">
        <v>1272</v>
      </c>
      <c r="G2391" s="518" t="s">
        <v>1736</v>
      </c>
      <c r="H2391" s="595">
        <v>-1461.91</v>
      </c>
      <c r="I2391" t="str">
        <f t="shared" si="124"/>
        <v>março 2026</v>
      </c>
      <c r="J2391">
        <f t="shared" si="125"/>
        <v>2026</v>
      </c>
      <c r="K2391" t="str">
        <f>VLOOKUP(G2391,METRICS!C:D,2,0)</f>
        <v>Sistema e Software OP</v>
      </c>
      <c r="L2391" t="str">
        <f>VLOOKUP(K2391,METRICS!D:E,2,0)</f>
        <v>OPERAÇÃO</v>
      </c>
    </row>
    <row r="2392" spans="1:12" ht="15" hidden="1">
      <c r="A2392" t="s">
        <v>1779</v>
      </c>
      <c r="B2392" s="593" t="s">
        <v>689</v>
      </c>
      <c r="C2392" s="593"/>
      <c r="D2392" s="593" t="s">
        <v>1396</v>
      </c>
      <c r="E2392" s="593" t="s">
        <v>1222</v>
      </c>
      <c r="F2392" s="593" t="s">
        <v>1272</v>
      </c>
      <c r="G2392" s="593" t="s">
        <v>1329</v>
      </c>
      <c r="H2392" s="594">
        <v>-771.93</v>
      </c>
      <c r="I2392" s="593" t="str">
        <f t="shared" si="124"/>
        <v>março 2026</v>
      </c>
      <c r="J2392" s="593">
        <f t="shared" si="125"/>
        <v>2026</v>
      </c>
      <c r="K2392" s="593" t="str">
        <f>VLOOKUP(G2392,METRICS!C:D,2,0)</f>
        <v>Seguro de Vida</v>
      </c>
      <c r="L2392" s="593" t="str">
        <f>VLOOKUP(K2392,METRICS!D:E,2,0)</f>
        <v>PESSOAL</v>
      </c>
    </row>
    <row r="2393" spans="1:12" ht="15" hidden="1">
      <c r="A2393" t="s">
        <v>1780</v>
      </c>
      <c r="B2393" t="s">
        <v>689</v>
      </c>
      <c r="D2393" t="s">
        <v>1808</v>
      </c>
      <c r="E2393" t="s">
        <v>958</v>
      </c>
      <c r="F2393" t="s">
        <v>1272</v>
      </c>
      <c r="G2393" t="s">
        <v>660</v>
      </c>
      <c r="H2393" s="595">
        <v>-205.86</v>
      </c>
      <c r="I2393" t="str">
        <f t="shared" si="124"/>
        <v>março 2026</v>
      </c>
      <c r="J2393">
        <f t="shared" si="125"/>
        <v>2026</v>
      </c>
      <c r="K2393" t="str">
        <f>VLOOKUP(G2393,METRICS!C:D,2,0)</f>
        <v>Telefone e Internet</v>
      </c>
      <c r="L2393" t="str">
        <f>VLOOKUP(K2393,METRICS!D:E,2,0)</f>
        <v>ADMINISTRATIVA</v>
      </c>
    </row>
    <row r="2394" spans="1:12" ht="15" hidden="1">
      <c r="A2394" t="s">
        <v>1780</v>
      </c>
      <c r="B2394" t="s">
        <v>612</v>
      </c>
      <c r="D2394" t="s">
        <v>1809</v>
      </c>
      <c r="E2394" t="s">
        <v>1156</v>
      </c>
      <c r="F2394" t="s">
        <v>1272</v>
      </c>
      <c r="G2394" t="s">
        <v>615</v>
      </c>
      <c r="H2394" s="595">
        <v>-950</v>
      </c>
      <c r="I2394" t="str">
        <f t="shared" si="124"/>
        <v>março 2026</v>
      </c>
      <c r="J2394">
        <f t="shared" si="125"/>
        <v>2026</v>
      </c>
      <c r="K2394" t="str">
        <f>VLOOKUP(G2394,METRICS!C:D,2,0)</f>
        <v>Embalagens</v>
      </c>
      <c r="L2394" t="str">
        <f>VLOOKUP(K2394,METRICS!D:E,2,0)</f>
        <v>OPERAÇÃO</v>
      </c>
    </row>
    <row r="2395" spans="1:12" ht="15" hidden="1">
      <c r="A2395" t="s">
        <v>1780</v>
      </c>
      <c r="B2395" t="s">
        <v>612</v>
      </c>
      <c r="D2395" t="s">
        <v>1810</v>
      </c>
      <c r="E2395" t="s">
        <v>738</v>
      </c>
      <c r="F2395" t="s">
        <v>1272</v>
      </c>
      <c r="G2395" t="s">
        <v>636</v>
      </c>
      <c r="H2395" s="595">
        <v>-1472.12</v>
      </c>
      <c r="I2395" t="str">
        <f t="shared" si="124"/>
        <v>março 2026</v>
      </c>
      <c r="J2395">
        <f t="shared" si="125"/>
        <v>2026</v>
      </c>
      <c r="K2395" t="str">
        <f>VLOOKUP(G2395,METRICS!C:D,2,0)</f>
        <v>Secos - Mercearia</v>
      </c>
      <c r="L2395" t="str">
        <f>VLOOKUP(K2395,METRICS!D:E,2,0)</f>
        <v>CUSTOS DOS PRODUTOS VENDIDOS</v>
      </c>
    </row>
    <row r="2396" spans="1:12" ht="15" hidden="1">
      <c r="A2396" t="s">
        <v>1780</v>
      </c>
      <c r="B2396" t="s">
        <v>689</v>
      </c>
      <c r="D2396" t="s">
        <v>1602</v>
      </c>
      <c r="E2396" t="s">
        <v>2180</v>
      </c>
      <c r="F2396" t="s">
        <v>1272</v>
      </c>
      <c r="G2396" t="s">
        <v>642</v>
      </c>
      <c r="H2396" s="595">
        <v>-3622.02</v>
      </c>
      <c r="I2396" t="str">
        <f t="shared" si="124"/>
        <v>março 2026</v>
      </c>
      <c r="J2396">
        <f t="shared" si="125"/>
        <v>2026</v>
      </c>
      <c r="K2396" t="str">
        <f>VLOOKUP(G2396,METRICS!C:D,2,0)</f>
        <v>Férias</v>
      </c>
      <c r="L2396" t="str">
        <f>VLOOKUP(K2396,METRICS!D:E,2,0)</f>
        <v>PESSOAL</v>
      </c>
    </row>
    <row r="2397" spans="1:12" ht="15" hidden="1">
      <c r="A2397" t="s">
        <v>1780</v>
      </c>
      <c r="B2397" t="s">
        <v>612</v>
      </c>
      <c r="D2397" t="s">
        <v>1812</v>
      </c>
      <c r="E2397" t="s">
        <v>752</v>
      </c>
      <c r="F2397" t="s">
        <v>1272</v>
      </c>
      <c r="G2397" t="s">
        <v>609</v>
      </c>
      <c r="H2397" s="595">
        <v>-3197.78</v>
      </c>
      <c r="I2397" t="str">
        <f t="shared" si="124"/>
        <v>março 2026</v>
      </c>
      <c r="J2397">
        <f t="shared" si="125"/>
        <v>2026</v>
      </c>
      <c r="K2397" t="str">
        <f>VLOOKUP(G2397,METRICS!C:D,2,0)</f>
        <v>Carnes e Aves</v>
      </c>
      <c r="L2397" t="str">
        <f>VLOOKUP(K2397,METRICS!D:E,2,0)</f>
        <v>CUSTOS DOS PRODUTOS VENDIDOS</v>
      </c>
    </row>
    <row r="2398" spans="1:12" ht="15" hidden="1">
      <c r="A2398" t="s">
        <v>1780</v>
      </c>
      <c r="B2398" t="s">
        <v>612</v>
      </c>
      <c r="D2398" t="s">
        <v>1813</v>
      </c>
      <c r="E2398" t="s">
        <v>755</v>
      </c>
      <c r="F2398" t="s">
        <v>1272</v>
      </c>
      <c r="G2398" t="s">
        <v>646</v>
      </c>
      <c r="H2398" s="595">
        <v>-3500</v>
      </c>
      <c r="I2398" t="str">
        <f t="shared" si="124"/>
        <v>março 2026</v>
      </c>
      <c r="J2398">
        <f t="shared" si="125"/>
        <v>2026</v>
      </c>
      <c r="K2398" t="str">
        <f>VLOOKUP(G2398,METRICS!C:D,2,0)</f>
        <v>Ações (Eventos com Funcionários)</v>
      </c>
      <c r="L2398" t="str">
        <f>VLOOKUP(K2398,METRICS!D:E,2,0)</f>
        <v>OPERAÇÃO</v>
      </c>
    </row>
    <row r="2399" spans="1:12" ht="15" hidden="1">
      <c r="A2399" t="s">
        <v>1780</v>
      </c>
      <c r="B2399" t="s">
        <v>612</v>
      </c>
      <c r="D2399" t="s">
        <v>1814</v>
      </c>
      <c r="E2399" t="s">
        <v>2181</v>
      </c>
      <c r="F2399" t="s">
        <v>1272</v>
      </c>
      <c r="G2399" t="s">
        <v>628</v>
      </c>
      <c r="H2399" s="595">
        <v>-510</v>
      </c>
      <c r="I2399" t="str">
        <f t="shared" si="124"/>
        <v>março 2026</v>
      </c>
      <c r="J2399">
        <f t="shared" si="125"/>
        <v>2026</v>
      </c>
      <c r="K2399" t="str">
        <f>VLOOKUP(G2399,METRICS!C:D,2,0)</f>
        <v>Material de Escritório</v>
      </c>
      <c r="L2399" t="str">
        <f>VLOOKUP(K2399,METRICS!D:E,2,0)</f>
        <v>ADMINISTRATIVA</v>
      </c>
    </row>
    <row r="2400" spans="1:12" ht="15" hidden="1">
      <c r="A2400" t="s">
        <v>1780</v>
      </c>
      <c r="B2400" t="s">
        <v>689</v>
      </c>
      <c r="D2400" t="s">
        <v>1815</v>
      </c>
      <c r="E2400" t="s">
        <v>2182</v>
      </c>
      <c r="F2400" t="s">
        <v>1272</v>
      </c>
      <c r="G2400" t="s">
        <v>657</v>
      </c>
      <c r="H2400" s="595">
        <v>-2300</v>
      </c>
      <c r="I2400" t="str">
        <f t="shared" si="124"/>
        <v>março 2026</v>
      </c>
      <c r="J2400">
        <f t="shared" si="125"/>
        <v>2026</v>
      </c>
      <c r="K2400" t="str">
        <f>VLOOKUP(G2400,METRICS!C:D,2,0)</f>
        <v>Aluguel de Maquinas</v>
      </c>
      <c r="L2400" t="str">
        <f>VLOOKUP(K2400,METRICS!D:E,2,0)</f>
        <v>OPERAÇÃO</v>
      </c>
    </row>
    <row r="2401" spans="1:12" ht="15" hidden="1">
      <c r="A2401" t="s">
        <v>1780</v>
      </c>
      <c r="B2401" t="s">
        <v>612</v>
      </c>
      <c r="D2401" t="s">
        <v>1816</v>
      </c>
      <c r="E2401" t="s">
        <v>857</v>
      </c>
      <c r="F2401" t="s">
        <v>1272</v>
      </c>
      <c r="G2401" t="s">
        <v>413</v>
      </c>
      <c r="H2401" s="595">
        <v>-330</v>
      </c>
      <c r="I2401" t="str">
        <f t="shared" si="124"/>
        <v>março 2026</v>
      </c>
      <c r="J2401">
        <f t="shared" si="125"/>
        <v>2026</v>
      </c>
      <c r="K2401" t="str">
        <f>VLOOKUP(G2401,METRICS!C:D,2,0)</f>
        <v>Pescados</v>
      </c>
      <c r="L2401" t="str">
        <f>VLOOKUP(K2401,METRICS!D:E,2,0)</f>
        <v>CUSTOS DOS PRODUTOS VENDIDOS</v>
      </c>
    </row>
    <row r="2402" spans="1:12" ht="15" hidden="1">
      <c r="A2402" t="s">
        <v>1780</v>
      </c>
      <c r="B2402" t="s">
        <v>612</v>
      </c>
      <c r="D2402" t="s">
        <v>1817</v>
      </c>
      <c r="E2402" t="s">
        <v>898</v>
      </c>
      <c r="F2402" t="s">
        <v>1272</v>
      </c>
      <c r="G2402" t="s">
        <v>609</v>
      </c>
      <c r="H2402" s="595">
        <v>-1845</v>
      </c>
      <c r="I2402" t="str">
        <f t="shared" si="124"/>
        <v>março 2026</v>
      </c>
      <c r="J2402">
        <f t="shared" si="125"/>
        <v>2026</v>
      </c>
      <c r="K2402" t="str">
        <f>VLOOKUP(G2402,METRICS!C:D,2,0)</f>
        <v>Carnes e Aves</v>
      </c>
      <c r="L2402" t="str">
        <f>VLOOKUP(K2402,METRICS!D:E,2,0)</f>
        <v>CUSTOS DOS PRODUTOS VENDIDOS</v>
      </c>
    </row>
    <row r="2403" spans="1:12" ht="15" hidden="1">
      <c r="A2403" t="s">
        <v>1780</v>
      </c>
      <c r="B2403" t="s">
        <v>612</v>
      </c>
      <c r="D2403" t="s">
        <v>1818</v>
      </c>
      <c r="E2403" t="s">
        <v>936</v>
      </c>
      <c r="F2403" t="s">
        <v>1272</v>
      </c>
      <c r="G2403" t="s">
        <v>283</v>
      </c>
      <c r="H2403" s="595">
        <v>-3157</v>
      </c>
      <c r="I2403" t="str">
        <f t="shared" si="124"/>
        <v>março 2026</v>
      </c>
      <c r="J2403">
        <f t="shared" si="125"/>
        <v>2026</v>
      </c>
      <c r="K2403" t="str">
        <f>VLOOKUP(G2403,METRICS!C:D,2,0)</f>
        <v>Hostess</v>
      </c>
      <c r="L2403" t="str">
        <f>VLOOKUP(K2403,METRICS!D:E,2,0)</f>
        <v>OPERAÇÃO</v>
      </c>
    </row>
    <row r="2404" spans="1:12" ht="15" hidden="1">
      <c r="A2404" t="s">
        <v>1780</v>
      </c>
      <c r="B2404" t="s">
        <v>612</v>
      </c>
      <c r="D2404" t="s">
        <v>1819</v>
      </c>
      <c r="E2404" t="s">
        <v>770</v>
      </c>
      <c r="F2404" t="s">
        <v>1272</v>
      </c>
      <c r="G2404" t="s">
        <v>630</v>
      </c>
      <c r="H2404" s="595">
        <v>-1322.04</v>
      </c>
      <c r="I2404" t="str">
        <f t="shared" si="124"/>
        <v>março 2026</v>
      </c>
      <c r="J2404">
        <f t="shared" si="125"/>
        <v>2026</v>
      </c>
      <c r="K2404" t="str">
        <f>VLOOKUP(G2404,METRICS!C:D,2,0)</f>
        <v>Material de Copa e Limpeza</v>
      </c>
      <c r="L2404" t="str">
        <f>VLOOKUP(K2404,METRICS!D:E,2,0)</f>
        <v>ADMINISTRATIVA</v>
      </c>
    </row>
    <row r="2405" spans="1:12" ht="15" hidden="1">
      <c r="A2405" s="752" t="s">
        <v>1780</v>
      </c>
      <c r="B2405" t="s">
        <v>612</v>
      </c>
      <c r="D2405" t="s">
        <v>1820</v>
      </c>
      <c r="E2405" t="s">
        <v>767</v>
      </c>
      <c r="F2405" t="s">
        <v>1272</v>
      </c>
      <c r="G2405" t="s">
        <v>623</v>
      </c>
      <c r="H2405" s="595">
        <v>-489.6</v>
      </c>
      <c r="I2405" t="str">
        <f t="shared" si="124"/>
        <v>março 2026</v>
      </c>
      <c r="J2405">
        <f t="shared" si="125"/>
        <v>2026</v>
      </c>
      <c r="K2405" t="str">
        <f>VLOOKUP(G2405,METRICS!C:D,2,0)</f>
        <v>Secos - Mercearia</v>
      </c>
      <c r="L2405" t="str">
        <f>VLOOKUP(K2405,METRICS!D:E,2,0)</f>
        <v>CUSTOS DOS PRODUTOS VENDIDOS</v>
      </c>
    </row>
    <row r="2406" spans="1:12" ht="15" hidden="1">
      <c r="A2406" s="752" t="s">
        <v>1780</v>
      </c>
      <c r="B2406" t="s">
        <v>612</v>
      </c>
      <c r="D2406" t="s">
        <v>1821</v>
      </c>
      <c r="E2406" t="s">
        <v>727</v>
      </c>
      <c r="F2406" t="s">
        <v>1272</v>
      </c>
      <c r="G2406" t="s">
        <v>620</v>
      </c>
      <c r="H2406" s="595">
        <v>-6660.38</v>
      </c>
      <c r="I2406" t="str">
        <f t="shared" si="124"/>
        <v>março 2026</v>
      </c>
      <c r="J2406">
        <f t="shared" si="125"/>
        <v>2026</v>
      </c>
      <c r="K2406" t="str">
        <f>VLOOKUP(G2406,METRICS!C:D,2,0)</f>
        <v>Hortifruti</v>
      </c>
      <c r="L2406" t="str">
        <f>VLOOKUP(K2406,METRICS!D:E,2,0)</f>
        <v>CUSTOS DOS PRODUTOS VENDIDOS</v>
      </c>
    </row>
    <row r="2407" spans="1:12" ht="15" hidden="1">
      <c r="A2407" s="752" t="s">
        <v>1780</v>
      </c>
      <c r="B2407" t="s">
        <v>612</v>
      </c>
      <c r="D2407" t="s">
        <v>1822</v>
      </c>
      <c r="E2407" t="s">
        <v>1664</v>
      </c>
      <c r="F2407" t="s">
        <v>1272</v>
      </c>
      <c r="G2407" t="s">
        <v>349</v>
      </c>
      <c r="H2407" s="595">
        <v>-10700</v>
      </c>
      <c r="I2407" t="str">
        <f t="shared" si="124"/>
        <v>março 2026</v>
      </c>
      <c r="J2407">
        <f t="shared" si="125"/>
        <v>2026</v>
      </c>
      <c r="K2407" t="str">
        <f>VLOOKUP(G2407,METRICS!C:D,2,0)</f>
        <v>Contabilidade</v>
      </c>
      <c r="L2407" t="str">
        <f>VLOOKUP(K2407,METRICS!D:E,2,0)</f>
        <v>ADMINISTRATIVA</v>
      </c>
    </row>
    <row r="2408" spans="1:12" ht="15" hidden="1">
      <c r="A2408" s="752" t="s">
        <v>1780</v>
      </c>
      <c r="B2408" t="s">
        <v>612</v>
      </c>
      <c r="D2408" t="s">
        <v>1823</v>
      </c>
      <c r="E2408" t="s">
        <v>750</v>
      </c>
      <c r="F2408" t="s">
        <v>1272</v>
      </c>
      <c r="G2408" t="s">
        <v>610</v>
      </c>
      <c r="H2408" s="595">
        <v>-2514</v>
      </c>
      <c r="I2408" t="str">
        <f t="shared" si="124"/>
        <v>março 2026</v>
      </c>
      <c r="J2408">
        <f t="shared" si="125"/>
        <v>2026</v>
      </c>
      <c r="K2408" t="str">
        <f>VLOOKUP(G2408,METRICS!C:D,2,0)</f>
        <v>Carvão</v>
      </c>
      <c r="L2408" t="str">
        <f>VLOOKUP(K2408,METRICS!D:E,2,0)</f>
        <v>CUSTOS DOS PRODUTOS VENDIDOS</v>
      </c>
    </row>
    <row r="2409" spans="1:12" ht="15" hidden="1">
      <c r="A2409" s="752" t="s">
        <v>1780</v>
      </c>
      <c r="B2409" t="s">
        <v>689</v>
      </c>
      <c r="D2409" t="s">
        <v>756</v>
      </c>
      <c r="E2409" t="s">
        <v>757</v>
      </c>
      <c r="F2409" t="s">
        <v>1272</v>
      </c>
      <c r="G2409" t="s">
        <v>666</v>
      </c>
      <c r="H2409" s="595">
        <v>-49.5</v>
      </c>
      <c r="I2409" t="str">
        <f t="shared" si="124"/>
        <v>março 2026</v>
      </c>
      <c r="J2409">
        <f t="shared" si="125"/>
        <v>2026</v>
      </c>
      <c r="K2409" t="str">
        <f>VLOOKUP(G2409,METRICS!C:D,2,0)</f>
        <v>Encargos Bancarios</v>
      </c>
      <c r="L2409" t="str">
        <f>VLOOKUP(K2409,METRICS!D:E,2,0)</f>
        <v>DESPESAS FINANCEIRAS</v>
      </c>
    </row>
    <row r="2410" spans="1:12" ht="15" hidden="1">
      <c r="A2410" s="752" t="s">
        <v>1780</v>
      </c>
      <c r="B2410" t="s">
        <v>612</v>
      </c>
      <c r="D2410" t="s">
        <v>1824</v>
      </c>
      <c r="E2410" t="s">
        <v>745</v>
      </c>
      <c r="F2410" t="s">
        <v>1272</v>
      </c>
      <c r="G2410" t="s">
        <v>620</v>
      </c>
      <c r="H2410" s="595">
        <v>-423.25</v>
      </c>
      <c r="I2410" t="str">
        <f t="shared" si="124"/>
        <v>março 2026</v>
      </c>
      <c r="J2410">
        <f t="shared" si="125"/>
        <v>2026</v>
      </c>
      <c r="K2410" t="str">
        <f>VLOOKUP(G2410,METRICS!C:D,2,0)</f>
        <v>Hortifruti</v>
      </c>
      <c r="L2410" t="str">
        <f>VLOOKUP(K2410,METRICS!D:E,2,0)</f>
        <v>CUSTOS DOS PRODUTOS VENDIDOS</v>
      </c>
    </row>
    <row r="2411" spans="1:12" ht="15" hidden="1">
      <c r="A2411" s="752" t="s">
        <v>1780</v>
      </c>
      <c r="B2411" t="s">
        <v>612</v>
      </c>
      <c r="D2411" t="s">
        <v>1825</v>
      </c>
      <c r="E2411" t="s">
        <v>990</v>
      </c>
      <c r="F2411" t="s">
        <v>1272</v>
      </c>
      <c r="G2411" t="s">
        <v>608</v>
      </c>
      <c r="H2411" s="595">
        <v>-2414.5100000000002</v>
      </c>
      <c r="I2411" t="str">
        <f t="shared" si="124"/>
        <v>março 2026</v>
      </c>
      <c r="J2411">
        <f t="shared" si="125"/>
        <v>2026</v>
      </c>
      <c r="K2411" t="str">
        <f>VLOOKUP(G2411,METRICS!C:D,2,0)</f>
        <v>Bebidas não Alcoolicas</v>
      </c>
      <c r="L2411" t="str">
        <f>VLOOKUP(K2411,METRICS!D:E,2,0)</f>
        <v>CUSTOS DOS PRODUTOS VENDIDOS</v>
      </c>
    </row>
    <row r="2412" spans="1:12" ht="15" hidden="1">
      <c r="A2412" s="752" t="s">
        <v>1780</v>
      </c>
      <c r="B2412" t="s">
        <v>689</v>
      </c>
      <c r="D2412" t="s">
        <v>1826</v>
      </c>
      <c r="E2412" t="s">
        <v>1314</v>
      </c>
      <c r="F2412" t="s">
        <v>1272</v>
      </c>
      <c r="G2412" s="477" t="s">
        <v>1315</v>
      </c>
      <c r="H2412" s="595">
        <v>-17513.38</v>
      </c>
      <c r="I2412" t="str">
        <f t="shared" si="124"/>
        <v>março 2026</v>
      </c>
      <c r="J2412">
        <f t="shared" si="125"/>
        <v>2026</v>
      </c>
      <c r="K2412" t="str">
        <f>VLOOKUP(G2412,METRICS!C:D,2,0)</f>
        <v>Água e Esgoto</v>
      </c>
      <c r="L2412" t="str">
        <f>VLOOKUP(K2412,METRICS!D:E,2,0)</f>
        <v>OPERAÇÃO</v>
      </c>
    </row>
    <row r="2413" spans="1:12" ht="15" hidden="1">
      <c r="A2413" s="752" t="s">
        <v>1780</v>
      </c>
      <c r="B2413" t="s">
        <v>612</v>
      </c>
      <c r="D2413" t="s">
        <v>1827</v>
      </c>
      <c r="E2413" t="s">
        <v>765</v>
      </c>
      <c r="F2413" t="s">
        <v>1272</v>
      </c>
      <c r="G2413" t="s">
        <v>619</v>
      </c>
      <c r="H2413" s="595">
        <v>-509.6</v>
      </c>
      <c r="I2413" t="str">
        <f t="shared" si="124"/>
        <v>março 2026</v>
      </c>
      <c r="J2413">
        <f t="shared" si="125"/>
        <v>2026</v>
      </c>
      <c r="K2413" t="str">
        <f>VLOOKUP(G2413,METRICS!C:D,2,0)</f>
        <v>Gelo</v>
      </c>
      <c r="L2413" t="str">
        <f>VLOOKUP(K2413,METRICS!D:E,2,0)</f>
        <v>CUSTOS DOS PRODUTOS VENDIDOS</v>
      </c>
    </row>
    <row r="2414" spans="1:12" ht="15" hidden="1">
      <c r="A2414" s="752" t="s">
        <v>1780</v>
      </c>
      <c r="B2414" t="s">
        <v>612</v>
      </c>
      <c r="D2414" t="s">
        <v>1828</v>
      </c>
      <c r="E2414" t="s">
        <v>752</v>
      </c>
      <c r="F2414" t="s">
        <v>1272</v>
      </c>
      <c r="G2414" t="s">
        <v>605</v>
      </c>
      <c r="H2414" s="595">
        <v>-5329.51</v>
      </c>
      <c r="I2414" t="str">
        <f t="shared" si="124"/>
        <v>março 2026</v>
      </c>
      <c r="J2414">
        <f t="shared" si="125"/>
        <v>2026</v>
      </c>
      <c r="K2414" t="str">
        <f>VLOOKUP(G2414,METRICS!C:D,2,0)</f>
        <v>Beneficios</v>
      </c>
      <c r="L2414" t="str">
        <f>VLOOKUP(K2414,METRICS!D:E,2,0)</f>
        <v>PESSOAL</v>
      </c>
    </row>
    <row r="2415" spans="1:12" ht="15" hidden="1">
      <c r="A2415" t="s">
        <v>1780</v>
      </c>
      <c r="B2415" t="s">
        <v>612</v>
      </c>
      <c r="D2415" t="s">
        <v>1829</v>
      </c>
      <c r="E2415" t="s">
        <v>767</v>
      </c>
      <c r="F2415" t="s">
        <v>1272</v>
      </c>
      <c r="G2415" t="s">
        <v>623</v>
      </c>
      <c r="H2415" s="595">
        <v>-384</v>
      </c>
      <c r="I2415" t="str">
        <f t="shared" si="124"/>
        <v>março 2026</v>
      </c>
      <c r="J2415">
        <f t="shared" si="125"/>
        <v>2026</v>
      </c>
      <c r="K2415" t="str">
        <f>VLOOKUP(G2415,METRICS!C:D,2,0)</f>
        <v>Secos - Mercearia</v>
      </c>
      <c r="L2415" t="str">
        <f>VLOOKUP(K2415,METRICS!D:E,2,0)</f>
        <v>CUSTOS DOS PRODUTOS VENDIDOS</v>
      </c>
    </row>
    <row r="2416" spans="1:12" ht="15" hidden="1">
      <c r="A2416" t="s">
        <v>1780</v>
      </c>
      <c r="B2416" t="s">
        <v>689</v>
      </c>
      <c r="D2416" s="518" t="s">
        <v>2635</v>
      </c>
      <c r="E2416" t="s">
        <v>956</v>
      </c>
      <c r="F2416" t="s">
        <v>1272</v>
      </c>
      <c r="G2416" s="518" t="s">
        <v>1736</v>
      </c>
      <c r="H2416" s="595">
        <v>-1578</v>
      </c>
      <c r="I2416" t="str">
        <f t="shared" si="124"/>
        <v>março 2026</v>
      </c>
      <c r="J2416">
        <f t="shared" si="125"/>
        <v>2026</v>
      </c>
      <c r="K2416" t="str">
        <f>VLOOKUP(G2416,METRICS!C:D,2,0)</f>
        <v>Sistema e Software OP</v>
      </c>
      <c r="L2416" t="str">
        <f>VLOOKUP(K2416,METRICS!D:E,2,0)</f>
        <v>OPERAÇÃO</v>
      </c>
    </row>
    <row r="2417" spans="1:13" ht="15" hidden="1">
      <c r="A2417" t="s">
        <v>1780</v>
      </c>
      <c r="B2417" t="s">
        <v>689</v>
      </c>
      <c r="D2417" t="s">
        <v>883</v>
      </c>
      <c r="E2417" t="s">
        <v>746</v>
      </c>
      <c r="F2417" t="s">
        <v>1272</v>
      </c>
      <c r="G2417" t="s">
        <v>669</v>
      </c>
      <c r="H2417" s="595">
        <v>-81.260000000000005</v>
      </c>
      <c r="I2417" t="str">
        <f t="shared" si="124"/>
        <v>março 2026</v>
      </c>
      <c r="J2417">
        <f t="shared" si="125"/>
        <v>2026</v>
      </c>
      <c r="K2417" t="str">
        <f>VLOOKUP(G2417,METRICS!C:D,2,0)</f>
        <v>Taxas Financeiras Diversas</v>
      </c>
      <c r="L2417" t="str">
        <f>VLOOKUP(K2417,METRICS!D:E,2,0)</f>
        <v>TAXAS CARTÃO DE CRÉDITO</v>
      </c>
    </row>
    <row r="2418" spans="1:13" ht="15" hidden="1">
      <c r="A2418" t="s">
        <v>1780</v>
      </c>
      <c r="B2418" t="s">
        <v>612</v>
      </c>
      <c r="D2418" t="s">
        <v>1830</v>
      </c>
      <c r="E2418" t="s">
        <v>1012</v>
      </c>
      <c r="F2418" t="s">
        <v>1272</v>
      </c>
      <c r="G2418" t="s">
        <v>611</v>
      </c>
      <c r="H2418" s="595">
        <v>-3073.96</v>
      </c>
      <c r="I2418" t="str">
        <f t="shared" si="124"/>
        <v>março 2026</v>
      </c>
      <c r="J2418">
        <f t="shared" si="125"/>
        <v>2026</v>
      </c>
      <c r="K2418" t="str">
        <f>VLOOKUP(G2418,METRICS!C:D,2,0)</f>
        <v>Bebidas Alcoólicas</v>
      </c>
      <c r="L2418" t="str">
        <f>VLOOKUP(K2418,METRICS!D:E,2,0)</f>
        <v>CUSTOS DOS PRODUTOS VENDIDOS</v>
      </c>
    </row>
    <row r="2419" spans="1:13" ht="15" hidden="1">
      <c r="A2419" t="s">
        <v>1780</v>
      </c>
      <c r="B2419" t="s">
        <v>612</v>
      </c>
      <c r="D2419" t="s">
        <v>1831</v>
      </c>
      <c r="E2419" t="s">
        <v>1039</v>
      </c>
      <c r="F2419" t="s">
        <v>1272</v>
      </c>
      <c r="G2419" t="s">
        <v>623</v>
      </c>
      <c r="H2419" s="595">
        <v>-487.85</v>
      </c>
      <c r="I2419" t="str">
        <f t="shared" si="124"/>
        <v>março 2026</v>
      </c>
      <c r="J2419">
        <f t="shared" si="125"/>
        <v>2026</v>
      </c>
      <c r="K2419" t="str">
        <f>VLOOKUP(G2419,METRICS!C:D,2,0)</f>
        <v>Secos - Mercearia</v>
      </c>
      <c r="L2419" t="str">
        <f>VLOOKUP(K2419,METRICS!D:E,2,0)</f>
        <v>CUSTOS DOS PRODUTOS VENDIDOS</v>
      </c>
    </row>
    <row r="2420" spans="1:13" ht="15" hidden="1">
      <c r="A2420" t="s">
        <v>1780</v>
      </c>
      <c r="B2420" t="s">
        <v>689</v>
      </c>
      <c r="D2420" t="s">
        <v>716</v>
      </c>
      <c r="E2420" t="s">
        <v>717</v>
      </c>
      <c r="F2420" t="s">
        <v>1272</v>
      </c>
      <c r="G2420" t="s">
        <v>663</v>
      </c>
      <c r="H2420" s="595">
        <v>-16112.86</v>
      </c>
      <c r="I2420" t="str">
        <f t="shared" si="124"/>
        <v>março 2026</v>
      </c>
      <c r="J2420">
        <f t="shared" si="125"/>
        <v>2026</v>
      </c>
      <c r="K2420" t="str">
        <f>VLOOKUP(G2420,METRICS!C:D,2,0)</f>
        <v>Aluguéis</v>
      </c>
      <c r="L2420" t="str">
        <f>VLOOKUP(K2420,METRICS!D:E,2,0)</f>
        <v>OCUPAÇÃO</v>
      </c>
    </row>
    <row r="2421" spans="1:13" ht="15" hidden="1">
      <c r="A2421" t="s">
        <v>1780</v>
      </c>
      <c r="B2421" t="s">
        <v>689</v>
      </c>
      <c r="D2421" t="s">
        <v>1240</v>
      </c>
      <c r="E2421" t="s">
        <v>1241</v>
      </c>
      <c r="F2421" t="s">
        <v>1272</v>
      </c>
      <c r="G2421" t="s">
        <v>1274</v>
      </c>
      <c r="H2421" s="595">
        <v>-50000</v>
      </c>
      <c r="I2421" t="str">
        <f t="shared" si="124"/>
        <v>março 2026</v>
      </c>
      <c r="J2421">
        <f t="shared" si="125"/>
        <v>2026</v>
      </c>
      <c r="K2421" t="str">
        <f>VLOOKUP(G2421,METRICS!C:D,2,0)</f>
        <v>Honorários dos administradores</v>
      </c>
      <c r="L2421" t="str">
        <f>VLOOKUP(K2421,METRICS!D:E,2,0)</f>
        <v>ADMINISTRATIVA</v>
      </c>
    </row>
    <row r="2422" spans="1:13" ht="15" hidden="1">
      <c r="A2422" t="s">
        <v>1780</v>
      </c>
      <c r="B2422" t="s">
        <v>689</v>
      </c>
      <c r="D2422" t="s">
        <v>1832</v>
      </c>
      <c r="E2422" t="s">
        <v>2189</v>
      </c>
      <c r="F2422" t="s">
        <v>1272</v>
      </c>
      <c r="G2422" t="s">
        <v>642</v>
      </c>
      <c r="H2422" s="595">
        <v>-5067.47</v>
      </c>
      <c r="I2422" t="str">
        <f t="shared" si="124"/>
        <v>março 2026</v>
      </c>
      <c r="J2422">
        <f t="shared" si="125"/>
        <v>2026</v>
      </c>
      <c r="K2422" t="str">
        <f>VLOOKUP(G2422,METRICS!C:D,2,0)</f>
        <v>Férias</v>
      </c>
      <c r="L2422" t="str">
        <f>VLOOKUP(K2422,METRICS!D:E,2,0)</f>
        <v>PESSOAL</v>
      </c>
    </row>
    <row r="2423" spans="1:13" ht="15" hidden="1">
      <c r="A2423" t="s">
        <v>1780</v>
      </c>
      <c r="B2423" t="s">
        <v>612</v>
      </c>
      <c r="D2423" t="s">
        <v>1833</v>
      </c>
      <c r="E2423" t="s">
        <v>774</v>
      </c>
      <c r="F2423" t="s">
        <v>1272</v>
      </c>
      <c r="G2423" t="s">
        <v>629</v>
      </c>
      <c r="H2423" s="595">
        <v>-1948.67</v>
      </c>
      <c r="I2423" t="str">
        <f t="shared" si="124"/>
        <v>março 2026</v>
      </c>
      <c r="J2423">
        <f t="shared" si="125"/>
        <v>2026</v>
      </c>
      <c r="K2423" t="str">
        <f>VLOOKUP(G2423,METRICS!C:D,2,0)</f>
        <v>Material de limpeza</v>
      </c>
      <c r="L2423" t="str">
        <f>VLOOKUP(K2423,METRICS!D:E,2,0)</f>
        <v>OPERAÇÃO</v>
      </c>
    </row>
    <row r="2424" spans="1:13" ht="15" hidden="1">
      <c r="A2424" t="s">
        <v>1780</v>
      </c>
      <c r="B2424" t="s">
        <v>612</v>
      </c>
      <c r="D2424" t="s">
        <v>1834</v>
      </c>
      <c r="E2424" t="s">
        <v>1005</v>
      </c>
      <c r="F2424" t="s">
        <v>1272</v>
      </c>
      <c r="G2424" t="s">
        <v>608</v>
      </c>
      <c r="H2424" s="595">
        <v>-4574.3999999999996</v>
      </c>
      <c r="I2424" t="str">
        <f t="shared" si="124"/>
        <v>março 2026</v>
      </c>
      <c r="J2424">
        <f t="shared" si="125"/>
        <v>2026</v>
      </c>
      <c r="K2424" t="str">
        <f>VLOOKUP(G2424,METRICS!C:D,2,0)</f>
        <v>Bebidas não Alcoolicas</v>
      </c>
      <c r="L2424" t="str">
        <f>VLOOKUP(K2424,METRICS!D:E,2,0)</f>
        <v>CUSTOS DOS PRODUTOS VENDIDOS</v>
      </c>
    </row>
    <row r="2425" spans="1:13" ht="15" hidden="1">
      <c r="A2425" t="s">
        <v>1781</v>
      </c>
      <c r="B2425" t="s">
        <v>689</v>
      </c>
      <c r="D2425" t="s">
        <v>957</v>
      </c>
      <c r="E2425" t="s">
        <v>958</v>
      </c>
      <c r="F2425" t="s">
        <v>1272</v>
      </c>
      <c r="G2425" t="s">
        <v>660</v>
      </c>
      <c r="H2425" s="595">
        <v>-210.03</v>
      </c>
      <c r="I2425" t="str">
        <f t="shared" si="124"/>
        <v>março 2026</v>
      </c>
      <c r="J2425">
        <f t="shared" si="125"/>
        <v>2026</v>
      </c>
      <c r="K2425" t="str">
        <f>VLOOKUP(G2425,METRICS!C:D,2,0)</f>
        <v>Telefone e Internet</v>
      </c>
      <c r="L2425" t="str">
        <f>VLOOKUP(K2425,METRICS!D:E,2,0)</f>
        <v>ADMINISTRATIVA</v>
      </c>
    </row>
    <row r="2426" spans="1:13" ht="15" hidden="1">
      <c r="A2426" t="s">
        <v>1781</v>
      </c>
      <c r="B2426" t="s">
        <v>612</v>
      </c>
      <c r="D2426" t="s">
        <v>1835</v>
      </c>
      <c r="E2426" t="s">
        <v>826</v>
      </c>
      <c r="F2426" t="s">
        <v>1272</v>
      </c>
      <c r="G2426" t="s">
        <v>633</v>
      </c>
      <c r="H2426" s="595">
        <v>-4343</v>
      </c>
      <c r="I2426" t="str">
        <f t="shared" si="124"/>
        <v>março 2026</v>
      </c>
      <c r="J2426">
        <f t="shared" si="125"/>
        <v>2026</v>
      </c>
      <c r="K2426" t="str">
        <f>VLOOKUP(G2426,METRICS!C:D,2,0)</f>
        <v>Paes, Massas e Salgados</v>
      </c>
      <c r="L2426" t="str">
        <f>VLOOKUP(K2426,METRICS!D:E,2,0)</f>
        <v>CUSTOS DOS PRODUTOS VENDIDOS</v>
      </c>
    </row>
    <row r="2427" spans="1:13" ht="15" hidden="1">
      <c r="A2427" t="s">
        <v>1781</v>
      </c>
      <c r="B2427" t="s">
        <v>689</v>
      </c>
      <c r="D2427" t="s">
        <v>2610</v>
      </c>
      <c r="E2427" t="s">
        <v>1668</v>
      </c>
      <c r="F2427" t="s">
        <v>1272</v>
      </c>
      <c r="G2427" t="s">
        <v>124</v>
      </c>
      <c r="H2427" s="595">
        <v>-3703.46</v>
      </c>
      <c r="I2427" t="str">
        <f t="shared" si="124"/>
        <v>março 2026</v>
      </c>
      <c r="J2427">
        <f t="shared" si="125"/>
        <v>2026</v>
      </c>
      <c r="K2427" t="str">
        <f>VLOOKUP(G2427,METRICS!C:D,2,0)</f>
        <v>Contribuição Sindical</v>
      </c>
      <c r="L2427" t="str">
        <f>VLOOKUP(K2427,METRICS!D:E,2,0)</f>
        <v>PESSOAL</v>
      </c>
      <c r="M2427" t="s">
        <v>1731</v>
      </c>
    </row>
    <row r="2428" spans="1:13" ht="15" hidden="1">
      <c r="A2428" t="s">
        <v>1781</v>
      </c>
      <c r="B2428" t="s">
        <v>612</v>
      </c>
      <c r="D2428" t="s">
        <v>1836</v>
      </c>
      <c r="E2428" t="s">
        <v>807</v>
      </c>
      <c r="F2428" t="s">
        <v>1272</v>
      </c>
      <c r="G2428" t="s">
        <v>609</v>
      </c>
      <c r="H2428" s="595">
        <v>-2180.86</v>
      </c>
      <c r="I2428" t="str">
        <f t="shared" si="124"/>
        <v>março 2026</v>
      </c>
      <c r="J2428">
        <f t="shared" si="125"/>
        <v>2026</v>
      </c>
      <c r="K2428" t="str">
        <f>VLOOKUP(G2428,METRICS!C:D,2,0)</f>
        <v>Carnes e Aves</v>
      </c>
      <c r="L2428" t="str">
        <f>VLOOKUP(K2428,METRICS!D:E,2,0)</f>
        <v>CUSTOS DOS PRODUTOS VENDIDOS</v>
      </c>
    </row>
    <row r="2429" spans="1:13" ht="15" hidden="1">
      <c r="A2429" t="s">
        <v>1781</v>
      </c>
      <c r="B2429" t="s">
        <v>612</v>
      </c>
      <c r="D2429" t="s">
        <v>1837</v>
      </c>
      <c r="E2429" t="s">
        <v>878</v>
      </c>
      <c r="F2429" t="s">
        <v>1272</v>
      </c>
      <c r="G2429" t="s">
        <v>609</v>
      </c>
      <c r="H2429" s="595">
        <v>-7975.18</v>
      </c>
      <c r="I2429" t="str">
        <f t="shared" si="124"/>
        <v>março 2026</v>
      </c>
      <c r="J2429">
        <f t="shared" si="125"/>
        <v>2026</v>
      </c>
      <c r="K2429" t="str">
        <f>VLOOKUP(G2429,METRICS!C:D,2,0)</f>
        <v>Carnes e Aves</v>
      </c>
      <c r="L2429" t="str">
        <f>VLOOKUP(K2429,METRICS!D:E,2,0)</f>
        <v>CUSTOS DOS PRODUTOS VENDIDOS</v>
      </c>
    </row>
    <row r="2430" spans="1:13" ht="15" hidden="1">
      <c r="A2430" t="s">
        <v>1781</v>
      </c>
      <c r="B2430" t="s">
        <v>689</v>
      </c>
      <c r="D2430" t="s">
        <v>883</v>
      </c>
      <c r="E2430" t="s">
        <v>746</v>
      </c>
      <c r="F2430" t="s">
        <v>1272</v>
      </c>
      <c r="G2430" t="s">
        <v>669</v>
      </c>
      <c r="H2430" s="595">
        <v>-309.25</v>
      </c>
      <c r="I2430" t="str">
        <f t="shared" si="124"/>
        <v>março 2026</v>
      </c>
      <c r="J2430">
        <f t="shared" si="125"/>
        <v>2026</v>
      </c>
      <c r="K2430" t="str">
        <f>VLOOKUP(G2430,METRICS!C:D,2,0)</f>
        <v>Taxas Financeiras Diversas</v>
      </c>
      <c r="L2430" t="str">
        <f>VLOOKUP(K2430,METRICS!D:E,2,0)</f>
        <v>TAXAS CARTÃO DE CRÉDITO</v>
      </c>
    </row>
    <row r="2431" spans="1:13" ht="15" hidden="1">
      <c r="A2431" t="s">
        <v>1781</v>
      </c>
      <c r="B2431" t="s">
        <v>612</v>
      </c>
      <c r="D2431" t="s">
        <v>1838</v>
      </c>
      <c r="E2431" t="s">
        <v>830</v>
      </c>
      <c r="F2431" t="s">
        <v>1272</v>
      </c>
      <c r="G2431" t="s">
        <v>623</v>
      </c>
      <c r="H2431" s="595">
        <v>-305.25</v>
      </c>
      <c r="I2431" t="str">
        <f t="shared" si="124"/>
        <v>março 2026</v>
      </c>
      <c r="J2431">
        <f t="shared" si="125"/>
        <v>2026</v>
      </c>
      <c r="K2431" t="str">
        <f>VLOOKUP(G2431,METRICS!C:D,2,0)</f>
        <v>Secos - Mercearia</v>
      </c>
      <c r="L2431" t="str">
        <f>VLOOKUP(K2431,METRICS!D:E,2,0)</f>
        <v>CUSTOS DOS PRODUTOS VENDIDOS</v>
      </c>
    </row>
    <row r="2432" spans="1:13" ht="15" hidden="1">
      <c r="A2432" t="s">
        <v>1781</v>
      </c>
      <c r="B2432" t="s">
        <v>612</v>
      </c>
      <c r="D2432" t="s">
        <v>1839</v>
      </c>
      <c r="E2432" t="s">
        <v>748</v>
      </c>
      <c r="F2432" t="s">
        <v>1272</v>
      </c>
      <c r="G2432" t="s">
        <v>605</v>
      </c>
      <c r="H2432" s="595">
        <v>-1290.74</v>
      </c>
      <c r="I2432" t="str">
        <f t="shared" si="124"/>
        <v>março 2026</v>
      </c>
      <c r="J2432">
        <f t="shared" si="125"/>
        <v>2026</v>
      </c>
      <c r="K2432" t="str">
        <f>VLOOKUP(G2432,METRICS!C:D,2,0)</f>
        <v>Beneficios</v>
      </c>
      <c r="L2432" t="str">
        <f>VLOOKUP(K2432,METRICS!D:E,2,0)</f>
        <v>PESSOAL</v>
      </c>
    </row>
    <row r="2433" spans="1:12" ht="15" hidden="1">
      <c r="A2433" t="s">
        <v>1781</v>
      </c>
      <c r="B2433" t="s">
        <v>612</v>
      </c>
      <c r="D2433" t="s">
        <v>1840</v>
      </c>
      <c r="E2433" t="s">
        <v>811</v>
      </c>
      <c r="F2433" t="s">
        <v>1272</v>
      </c>
      <c r="G2433" t="s">
        <v>636</v>
      </c>
      <c r="H2433" s="595">
        <v>-4396.2</v>
      </c>
      <c r="I2433" t="str">
        <f t="shared" si="124"/>
        <v>março 2026</v>
      </c>
      <c r="J2433">
        <f t="shared" si="125"/>
        <v>2026</v>
      </c>
      <c r="K2433" t="str">
        <f>VLOOKUP(G2433,METRICS!C:D,2,0)</f>
        <v>Secos - Mercearia</v>
      </c>
      <c r="L2433" t="str">
        <f>VLOOKUP(K2433,METRICS!D:E,2,0)</f>
        <v>CUSTOS DOS PRODUTOS VENDIDOS</v>
      </c>
    </row>
    <row r="2434" spans="1:12" ht="15" hidden="1">
      <c r="A2434" s="783">
        <v>46056</v>
      </c>
      <c r="B2434" t="s">
        <v>689</v>
      </c>
      <c r="D2434" t="s">
        <v>1841</v>
      </c>
      <c r="E2434" s="518" t="s">
        <v>786</v>
      </c>
      <c r="F2434" t="s">
        <v>1272</v>
      </c>
      <c r="G2434" s="518" t="s">
        <v>1736</v>
      </c>
      <c r="H2434" s="595">
        <v>-81.52</v>
      </c>
      <c r="I2434" t="str">
        <f t="shared" ref="I2434:I2435" si="132">TEXT(A2434, "mmmm aaaa")</f>
        <v>fevereiro 2026</v>
      </c>
      <c r="J2434">
        <f t="shared" ref="J2434:J2435" si="133">YEAR(A2434)</f>
        <v>2026</v>
      </c>
      <c r="K2434" t="str">
        <f>VLOOKUP(G2434,METRICS!C:D,2,0)</f>
        <v>Sistema e Software OP</v>
      </c>
      <c r="L2434" t="str">
        <f>VLOOKUP(K2434,METRICS!D:E,2,0)</f>
        <v>OPERAÇÃO</v>
      </c>
    </row>
    <row r="2435" spans="1:12" ht="15" hidden="1">
      <c r="A2435" s="512">
        <v>46056</v>
      </c>
      <c r="B2435" t="s">
        <v>689</v>
      </c>
      <c r="D2435" t="s">
        <v>1842</v>
      </c>
      <c r="E2435" t="s">
        <v>786</v>
      </c>
      <c r="F2435" t="s">
        <v>1272</v>
      </c>
      <c r="G2435" s="518" t="s">
        <v>1736</v>
      </c>
      <c r="H2435" s="595">
        <v>-2503.31</v>
      </c>
      <c r="I2435" t="str">
        <f t="shared" si="132"/>
        <v>fevereiro 2026</v>
      </c>
      <c r="J2435">
        <f t="shared" si="133"/>
        <v>2026</v>
      </c>
      <c r="K2435" t="str">
        <f>VLOOKUP(G2435,METRICS!C:D,2,0)</f>
        <v>Sistema e Software OP</v>
      </c>
      <c r="L2435" t="str">
        <f>VLOOKUP(K2435,METRICS!D:E,2,0)</f>
        <v>OPERAÇÃO</v>
      </c>
    </row>
    <row r="2436" spans="1:12" ht="15" hidden="1">
      <c r="A2436" t="s">
        <v>1781</v>
      </c>
      <c r="B2436" t="s">
        <v>689</v>
      </c>
      <c r="D2436" t="s">
        <v>1841</v>
      </c>
      <c r="E2436" s="518" t="s">
        <v>786</v>
      </c>
      <c r="F2436" t="s">
        <v>1272</v>
      </c>
      <c r="G2436" s="518" t="s">
        <v>1736</v>
      </c>
      <c r="H2436" s="595">
        <v>-81.52</v>
      </c>
      <c r="I2436" t="str">
        <f t="shared" si="124"/>
        <v>março 2026</v>
      </c>
      <c r="J2436">
        <f t="shared" si="125"/>
        <v>2026</v>
      </c>
      <c r="K2436" t="str">
        <f>VLOOKUP(G2436,METRICS!C:D,2,0)</f>
        <v>Sistema e Software OP</v>
      </c>
      <c r="L2436" t="str">
        <f>VLOOKUP(K2436,METRICS!D:E,2,0)</f>
        <v>OPERAÇÃO</v>
      </c>
    </row>
    <row r="2437" spans="1:12" ht="15" hidden="1">
      <c r="A2437" s="512">
        <v>46115</v>
      </c>
      <c r="B2437" t="s">
        <v>689</v>
      </c>
      <c r="D2437" t="s">
        <v>1842</v>
      </c>
      <c r="E2437" t="s">
        <v>786</v>
      </c>
      <c r="F2437" t="s">
        <v>1272</v>
      </c>
      <c r="G2437" s="518" t="s">
        <v>1736</v>
      </c>
      <c r="H2437" s="595">
        <v>-2503.31</v>
      </c>
      <c r="I2437" t="str">
        <f t="shared" si="124"/>
        <v>abril 2026</v>
      </c>
      <c r="J2437">
        <f t="shared" si="125"/>
        <v>2026</v>
      </c>
      <c r="K2437" t="str">
        <f>VLOOKUP(G2437,METRICS!C:D,2,0)</f>
        <v>Sistema e Software OP</v>
      </c>
      <c r="L2437" t="str">
        <f>VLOOKUP(K2437,METRICS!D:E,2,0)</f>
        <v>OPERAÇÃO</v>
      </c>
    </row>
    <row r="2438" spans="1:12" ht="15" hidden="1">
      <c r="A2438" t="s">
        <v>1781</v>
      </c>
      <c r="B2438" t="s">
        <v>612</v>
      </c>
      <c r="D2438" t="s">
        <v>1843</v>
      </c>
      <c r="E2438" t="s">
        <v>964</v>
      </c>
      <c r="F2438" t="s">
        <v>1272</v>
      </c>
      <c r="G2438" t="s">
        <v>608</v>
      </c>
      <c r="H2438" s="595">
        <v>-2197.88</v>
      </c>
      <c r="I2438" t="str">
        <f t="shared" si="124"/>
        <v>março 2026</v>
      </c>
      <c r="J2438">
        <f t="shared" si="125"/>
        <v>2026</v>
      </c>
      <c r="K2438" t="str">
        <f>VLOOKUP(G2438,METRICS!C:D,2,0)</f>
        <v>Bebidas não Alcoolicas</v>
      </c>
      <c r="L2438" t="str">
        <f>VLOOKUP(K2438,METRICS!D:E,2,0)</f>
        <v>CUSTOS DOS PRODUTOS VENDIDOS</v>
      </c>
    </row>
    <row r="2439" spans="1:12" ht="15" hidden="1">
      <c r="A2439" t="s">
        <v>1781</v>
      </c>
      <c r="B2439" t="s">
        <v>689</v>
      </c>
      <c r="D2439" t="s">
        <v>1844</v>
      </c>
      <c r="E2439" t="s">
        <v>1203</v>
      </c>
      <c r="F2439" t="s">
        <v>1272</v>
      </c>
      <c r="G2439" t="s">
        <v>660</v>
      </c>
      <c r="H2439" s="595">
        <v>-615.12</v>
      </c>
      <c r="I2439" t="str">
        <f t="shared" si="124"/>
        <v>março 2026</v>
      </c>
      <c r="J2439">
        <f t="shared" si="125"/>
        <v>2026</v>
      </c>
      <c r="K2439" t="str">
        <f>VLOOKUP(G2439,METRICS!C:D,2,0)</f>
        <v>Telefone e Internet</v>
      </c>
      <c r="L2439" t="str">
        <f>VLOOKUP(K2439,METRICS!D:E,2,0)</f>
        <v>ADMINISTRATIVA</v>
      </c>
    </row>
    <row r="2440" spans="1:12" ht="15" hidden="1">
      <c r="A2440" t="s">
        <v>1781</v>
      </c>
      <c r="B2440" t="s">
        <v>612</v>
      </c>
      <c r="D2440" t="s">
        <v>1845</v>
      </c>
      <c r="E2440" t="s">
        <v>1690</v>
      </c>
      <c r="F2440" t="s">
        <v>1272</v>
      </c>
      <c r="G2440" t="s">
        <v>636</v>
      </c>
      <c r="H2440" s="595">
        <v>-1746.36</v>
      </c>
      <c r="I2440" t="str">
        <f t="shared" si="124"/>
        <v>março 2026</v>
      </c>
      <c r="J2440">
        <f t="shared" si="125"/>
        <v>2026</v>
      </c>
      <c r="K2440" t="str">
        <f>VLOOKUP(G2440,METRICS!C:D,2,0)</f>
        <v>Secos - Mercearia</v>
      </c>
      <c r="L2440" t="str">
        <f>VLOOKUP(K2440,METRICS!D:E,2,0)</f>
        <v>CUSTOS DOS PRODUTOS VENDIDOS</v>
      </c>
    </row>
    <row r="2441" spans="1:12" ht="15" hidden="1">
      <c r="A2441" t="s">
        <v>1781</v>
      </c>
      <c r="B2441" t="s">
        <v>689</v>
      </c>
      <c r="D2441" t="s">
        <v>756</v>
      </c>
      <c r="E2441" t="s">
        <v>757</v>
      </c>
      <c r="F2441" t="s">
        <v>1272</v>
      </c>
      <c r="G2441" t="s">
        <v>666</v>
      </c>
      <c r="H2441" s="595">
        <v>-151.19999999999999</v>
      </c>
      <c r="I2441" t="str">
        <f t="shared" si="124"/>
        <v>março 2026</v>
      </c>
      <c r="J2441">
        <f t="shared" si="125"/>
        <v>2026</v>
      </c>
      <c r="K2441" t="str">
        <f>VLOOKUP(G2441,METRICS!C:D,2,0)</f>
        <v>Encargos Bancarios</v>
      </c>
      <c r="L2441" t="str">
        <f>VLOOKUP(K2441,METRICS!D:E,2,0)</f>
        <v>DESPESAS FINANCEIRAS</v>
      </c>
    </row>
    <row r="2442" spans="1:12" ht="15" hidden="1">
      <c r="A2442" t="s">
        <v>1781</v>
      </c>
      <c r="B2442" t="s">
        <v>612</v>
      </c>
      <c r="D2442" t="s">
        <v>1846</v>
      </c>
      <c r="E2442" t="s">
        <v>805</v>
      </c>
      <c r="F2442" t="s">
        <v>1272</v>
      </c>
      <c r="G2442" t="s">
        <v>609</v>
      </c>
      <c r="H2442" s="595">
        <v>-2193.1</v>
      </c>
      <c r="I2442" t="str">
        <f t="shared" si="124"/>
        <v>março 2026</v>
      </c>
      <c r="J2442">
        <f t="shared" si="125"/>
        <v>2026</v>
      </c>
      <c r="K2442" t="str">
        <f>VLOOKUP(G2442,METRICS!C:D,2,0)</f>
        <v>Carnes e Aves</v>
      </c>
      <c r="L2442" t="str">
        <f>VLOOKUP(K2442,METRICS!D:E,2,0)</f>
        <v>CUSTOS DOS PRODUTOS VENDIDOS</v>
      </c>
    </row>
    <row r="2443" spans="1:12" ht="15" hidden="1">
      <c r="A2443" t="s">
        <v>1781</v>
      </c>
      <c r="B2443" t="s">
        <v>612</v>
      </c>
      <c r="D2443" t="s">
        <v>1847</v>
      </c>
      <c r="E2443" t="s">
        <v>765</v>
      </c>
      <c r="F2443" t="s">
        <v>1272</v>
      </c>
      <c r="G2443" t="s">
        <v>619</v>
      </c>
      <c r="H2443" s="595">
        <v>-509.6</v>
      </c>
      <c r="I2443" t="str">
        <f t="shared" ref="I2443:I2506" si="134">TEXT(A2443, "mmmm aaaa")</f>
        <v>março 2026</v>
      </c>
      <c r="J2443">
        <f t="shared" ref="J2443:J2506" si="135">YEAR(A2443)</f>
        <v>2026</v>
      </c>
      <c r="K2443" t="str">
        <f>VLOOKUP(G2443,METRICS!C:D,2,0)</f>
        <v>Gelo</v>
      </c>
      <c r="L2443" t="str">
        <f>VLOOKUP(K2443,METRICS!D:E,2,0)</f>
        <v>CUSTOS DOS PRODUTOS VENDIDOS</v>
      </c>
    </row>
    <row r="2444" spans="1:12" ht="15" hidden="1">
      <c r="A2444" t="s">
        <v>1781</v>
      </c>
      <c r="B2444" t="s">
        <v>612</v>
      </c>
      <c r="D2444" t="s">
        <v>1848</v>
      </c>
      <c r="E2444" t="s">
        <v>832</v>
      </c>
      <c r="F2444" t="s">
        <v>1272</v>
      </c>
      <c r="G2444" t="s">
        <v>633</v>
      </c>
      <c r="H2444" s="595">
        <v>-238.3</v>
      </c>
      <c r="I2444" t="str">
        <f t="shared" si="134"/>
        <v>março 2026</v>
      </c>
      <c r="J2444">
        <f t="shared" si="135"/>
        <v>2026</v>
      </c>
      <c r="K2444" t="str">
        <f>VLOOKUP(G2444,METRICS!C:D,2,0)</f>
        <v>Paes, Massas e Salgados</v>
      </c>
      <c r="L2444" t="str">
        <f>VLOOKUP(K2444,METRICS!D:E,2,0)</f>
        <v>CUSTOS DOS PRODUTOS VENDIDOS</v>
      </c>
    </row>
    <row r="2445" spans="1:12" ht="15" hidden="1">
      <c r="A2445" t="s">
        <v>1781</v>
      </c>
      <c r="B2445" t="s">
        <v>612</v>
      </c>
      <c r="D2445" t="s">
        <v>1849</v>
      </c>
      <c r="E2445" t="s">
        <v>910</v>
      </c>
      <c r="F2445" t="s">
        <v>1272</v>
      </c>
      <c r="G2445" t="s">
        <v>623</v>
      </c>
      <c r="H2445" s="595">
        <v>-210</v>
      </c>
      <c r="I2445" t="str">
        <f t="shared" si="134"/>
        <v>março 2026</v>
      </c>
      <c r="J2445">
        <f t="shared" si="135"/>
        <v>2026</v>
      </c>
      <c r="K2445" t="str">
        <f>VLOOKUP(G2445,METRICS!C:D,2,0)</f>
        <v>Secos - Mercearia</v>
      </c>
      <c r="L2445" t="str">
        <f>VLOOKUP(K2445,METRICS!D:E,2,0)</f>
        <v>CUSTOS DOS PRODUTOS VENDIDOS</v>
      </c>
    </row>
    <row r="2446" spans="1:12" ht="15" hidden="1">
      <c r="A2446" t="s">
        <v>1781</v>
      </c>
      <c r="B2446" t="s">
        <v>612</v>
      </c>
      <c r="D2446" t="s">
        <v>1850</v>
      </c>
      <c r="E2446" t="s">
        <v>780</v>
      </c>
      <c r="F2446" t="s">
        <v>1272</v>
      </c>
      <c r="G2446" t="s">
        <v>611</v>
      </c>
      <c r="H2446" s="595">
        <v>-1327.42</v>
      </c>
      <c r="I2446" t="str">
        <f t="shared" si="134"/>
        <v>março 2026</v>
      </c>
      <c r="J2446">
        <f t="shared" si="135"/>
        <v>2026</v>
      </c>
      <c r="K2446" t="str">
        <f>VLOOKUP(G2446,METRICS!C:D,2,0)</f>
        <v>Bebidas Alcoólicas</v>
      </c>
      <c r="L2446" t="str">
        <f>VLOOKUP(K2446,METRICS!D:E,2,0)</f>
        <v>CUSTOS DOS PRODUTOS VENDIDOS</v>
      </c>
    </row>
    <row r="2447" spans="1:12" ht="15" hidden="1">
      <c r="A2447" s="512">
        <v>46106</v>
      </c>
      <c r="B2447" t="s">
        <v>689</v>
      </c>
      <c r="D2447" t="s">
        <v>709</v>
      </c>
      <c r="E2447" t="s">
        <v>710</v>
      </c>
      <c r="F2447" t="s">
        <v>1272</v>
      </c>
      <c r="G2447" t="s">
        <v>542</v>
      </c>
      <c r="H2447" s="595">
        <v>-26880.38</v>
      </c>
      <c r="I2447" t="str">
        <f t="shared" si="134"/>
        <v>março 2026</v>
      </c>
      <c r="J2447">
        <f t="shared" si="135"/>
        <v>2026</v>
      </c>
      <c r="K2447" t="str">
        <f>VLOOKUP(G2447,METRICS!C:D,2,0)</f>
        <v>Vale Transporte</v>
      </c>
      <c r="L2447" t="str">
        <f>VLOOKUP(K2447,METRICS!D:E,2,0)</f>
        <v>PESSOAL</v>
      </c>
    </row>
    <row r="2448" spans="1:12" ht="15" hidden="1">
      <c r="A2448" t="s">
        <v>1781</v>
      </c>
      <c r="B2448" t="s">
        <v>612</v>
      </c>
      <c r="D2448" t="s">
        <v>1851</v>
      </c>
      <c r="E2448" t="s">
        <v>752</v>
      </c>
      <c r="F2448" t="s">
        <v>1272</v>
      </c>
      <c r="G2448" t="s">
        <v>609</v>
      </c>
      <c r="H2448" s="595">
        <v>-722.31</v>
      </c>
      <c r="I2448" t="str">
        <f t="shared" si="134"/>
        <v>março 2026</v>
      </c>
      <c r="J2448">
        <f t="shared" si="135"/>
        <v>2026</v>
      </c>
      <c r="K2448" t="str">
        <f>VLOOKUP(G2448,METRICS!C:D,2,0)</f>
        <v>Carnes e Aves</v>
      </c>
      <c r="L2448" t="str">
        <f>VLOOKUP(K2448,METRICS!D:E,2,0)</f>
        <v>CUSTOS DOS PRODUTOS VENDIDOS</v>
      </c>
    </row>
    <row r="2449" spans="1:12" ht="15" hidden="1">
      <c r="A2449" t="s">
        <v>1781</v>
      </c>
      <c r="B2449" t="s">
        <v>612</v>
      </c>
      <c r="D2449" t="s">
        <v>1852</v>
      </c>
      <c r="E2449" t="s">
        <v>780</v>
      </c>
      <c r="F2449" t="s">
        <v>1272</v>
      </c>
      <c r="G2449" t="s">
        <v>611</v>
      </c>
      <c r="H2449" s="595">
        <v>-1575.01</v>
      </c>
      <c r="I2449" t="str">
        <f t="shared" si="134"/>
        <v>março 2026</v>
      </c>
      <c r="J2449">
        <f t="shared" si="135"/>
        <v>2026</v>
      </c>
      <c r="K2449" t="str">
        <f>VLOOKUP(G2449,METRICS!C:D,2,0)</f>
        <v>Bebidas Alcoólicas</v>
      </c>
      <c r="L2449" t="str">
        <f>VLOOKUP(K2449,METRICS!D:E,2,0)</f>
        <v>CUSTOS DOS PRODUTOS VENDIDOS</v>
      </c>
    </row>
    <row r="2450" spans="1:12" ht="15" hidden="1">
      <c r="A2450" t="s">
        <v>1782</v>
      </c>
      <c r="B2450" t="s">
        <v>612</v>
      </c>
      <c r="D2450" t="s">
        <v>1853</v>
      </c>
      <c r="E2450" t="s">
        <v>802</v>
      </c>
      <c r="F2450" t="s">
        <v>1272</v>
      </c>
      <c r="G2450" t="s">
        <v>633</v>
      </c>
      <c r="H2450" s="595">
        <v>-288</v>
      </c>
      <c r="I2450" t="str">
        <f t="shared" si="134"/>
        <v>março 2026</v>
      </c>
      <c r="J2450">
        <f t="shared" si="135"/>
        <v>2026</v>
      </c>
      <c r="K2450" t="str">
        <f>VLOOKUP(G2450,METRICS!C:D,2,0)</f>
        <v>Paes, Massas e Salgados</v>
      </c>
      <c r="L2450" t="str">
        <f>VLOOKUP(K2450,METRICS!D:E,2,0)</f>
        <v>CUSTOS DOS PRODUTOS VENDIDOS</v>
      </c>
    </row>
    <row r="2451" spans="1:12" ht="15" hidden="1">
      <c r="A2451" t="s">
        <v>1782</v>
      </c>
      <c r="B2451" t="s">
        <v>689</v>
      </c>
      <c r="D2451" t="s">
        <v>883</v>
      </c>
      <c r="E2451" t="s">
        <v>746</v>
      </c>
      <c r="F2451" t="s">
        <v>1272</v>
      </c>
      <c r="G2451" t="s">
        <v>669</v>
      </c>
      <c r="H2451" s="595">
        <v>-32.29</v>
      </c>
      <c r="I2451" t="str">
        <f t="shared" si="134"/>
        <v>março 2026</v>
      </c>
      <c r="J2451">
        <f t="shared" si="135"/>
        <v>2026</v>
      </c>
      <c r="K2451" t="str">
        <f>VLOOKUP(G2451,METRICS!C:D,2,0)</f>
        <v>Taxas Financeiras Diversas</v>
      </c>
      <c r="L2451" t="str">
        <f>VLOOKUP(K2451,METRICS!D:E,2,0)</f>
        <v>TAXAS CARTÃO DE CRÉDITO</v>
      </c>
    </row>
    <row r="2452" spans="1:12" ht="15" hidden="1">
      <c r="A2452" t="s">
        <v>1782</v>
      </c>
      <c r="B2452" t="s">
        <v>612</v>
      </c>
      <c r="D2452" t="s">
        <v>1854</v>
      </c>
      <c r="E2452" t="s">
        <v>1099</v>
      </c>
      <c r="F2452" t="s">
        <v>1272</v>
      </c>
      <c r="G2452" t="s">
        <v>609</v>
      </c>
      <c r="H2452" s="595">
        <v>-12508.67</v>
      </c>
      <c r="I2452" t="str">
        <f t="shared" si="134"/>
        <v>março 2026</v>
      </c>
      <c r="J2452">
        <f t="shared" si="135"/>
        <v>2026</v>
      </c>
      <c r="K2452" t="str">
        <f>VLOOKUP(G2452,METRICS!C:D,2,0)</f>
        <v>Carnes e Aves</v>
      </c>
      <c r="L2452" t="str">
        <f>VLOOKUP(K2452,METRICS!D:E,2,0)</f>
        <v>CUSTOS DOS PRODUTOS VENDIDOS</v>
      </c>
    </row>
    <row r="2453" spans="1:12" ht="15" hidden="1">
      <c r="A2453" t="s">
        <v>1782</v>
      </c>
      <c r="B2453" t="s">
        <v>612</v>
      </c>
      <c r="D2453" t="s">
        <v>1855</v>
      </c>
      <c r="E2453" t="s">
        <v>820</v>
      </c>
      <c r="F2453" t="s">
        <v>1272</v>
      </c>
      <c r="G2453" t="s">
        <v>611</v>
      </c>
      <c r="H2453" s="595">
        <v>-2172.2399999999998</v>
      </c>
      <c r="I2453" t="str">
        <f t="shared" si="134"/>
        <v>março 2026</v>
      </c>
      <c r="J2453">
        <f t="shared" si="135"/>
        <v>2026</v>
      </c>
      <c r="K2453" t="str">
        <f>VLOOKUP(G2453,METRICS!C:D,2,0)</f>
        <v>Bebidas Alcoólicas</v>
      </c>
      <c r="L2453" t="str">
        <f>VLOOKUP(K2453,METRICS!D:E,2,0)</f>
        <v>CUSTOS DOS PRODUTOS VENDIDOS</v>
      </c>
    </row>
    <row r="2454" spans="1:12" ht="15" hidden="1">
      <c r="A2454" t="s">
        <v>1782</v>
      </c>
      <c r="B2454" t="s">
        <v>612</v>
      </c>
      <c r="D2454" t="s">
        <v>1856</v>
      </c>
      <c r="E2454" t="s">
        <v>1691</v>
      </c>
      <c r="F2454" t="s">
        <v>1272</v>
      </c>
      <c r="G2454" t="s">
        <v>623</v>
      </c>
      <c r="H2454" s="595">
        <v>-2205.48</v>
      </c>
      <c r="I2454" t="str">
        <f t="shared" si="134"/>
        <v>março 2026</v>
      </c>
      <c r="J2454">
        <f t="shared" si="135"/>
        <v>2026</v>
      </c>
      <c r="K2454" t="str">
        <f>VLOOKUP(G2454,METRICS!C:D,2,0)</f>
        <v>Secos - Mercearia</v>
      </c>
      <c r="L2454" t="str">
        <f>VLOOKUP(K2454,METRICS!D:E,2,0)</f>
        <v>CUSTOS DOS PRODUTOS VENDIDOS</v>
      </c>
    </row>
    <row r="2455" spans="1:12" ht="15" hidden="1">
      <c r="A2455" t="s">
        <v>1782</v>
      </c>
      <c r="B2455" t="s">
        <v>612</v>
      </c>
      <c r="D2455" t="s">
        <v>1857</v>
      </c>
      <c r="E2455" t="s">
        <v>828</v>
      </c>
      <c r="F2455" t="s">
        <v>1272</v>
      </c>
      <c r="G2455" t="s">
        <v>636</v>
      </c>
      <c r="H2455" s="595">
        <v>-3077.23</v>
      </c>
      <c r="I2455" t="str">
        <f t="shared" si="134"/>
        <v>março 2026</v>
      </c>
      <c r="J2455">
        <f t="shared" si="135"/>
        <v>2026</v>
      </c>
      <c r="K2455" t="str">
        <f>VLOOKUP(G2455,METRICS!C:D,2,0)</f>
        <v>Secos - Mercearia</v>
      </c>
      <c r="L2455" t="str">
        <f>VLOOKUP(K2455,METRICS!D:E,2,0)</f>
        <v>CUSTOS DOS PRODUTOS VENDIDOS</v>
      </c>
    </row>
    <row r="2456" spans="1:12" ht="15" hidden="1">
      <c r="A2456" t="s">
        <v>1782</v>
      </c>
      <c r="B2456" t="s">
        <v>612</v>
      </c>
      <c r="D2456" t="s">
        <v>1858</v>
      </c>
      <c r="E2456" t="s">
        <v>811</v>
      </c>
      <c r="F2456" t="s">
        <v>1272</v>
      </c>
      <c r="G2456" t="s">
        <v>636</v>
      </c>
      <c r="H2456" s="595">
        <v>-1088.2</v>
      </c>
      <c r="I2456" t="str">
        <f t="shared" si="134"/>
        <v>março 2026</v>
      </c>
      <c r="J2456">
        <f t="shared" si="135"/>
        <v>2026</v>
      </c>
      <c r="K2456" t="str">
        <f>VLOOKUP(G2456,METRICS!C:D,2,0)</f>
        <v>Secos - Mercearia</v>
      </c>
      <c r="L2456" t="str">
        <f>VLOOKUP(K2456,METRICS!D:E,2,0)</f>
        <v>CUSTOS DOS PRODUTOS VENDIDOS</v>
      </c>
    </row>
    <row r="2457" spans="1:12" ht="15" hidden="1">
      <c r="A2457" t="s">
        <v>1782</v>
      </c>
      <c r="B2457" t="s">
        <v>612</v>
      </c>
      <c r="D2457" t="s">
        <v>1859</v>
      </c>
      <c r="E2457" t="s">
        <v>979</v>
      </c>
      <c r="F2457" t="s">
        <v>1272</v>
      </c>
      <c r="G2457" t="s">
        <v>641</v>
      </c>
      <c r="H2457" s="595">
        <v>-4587.12</v>
      </c>
      <c r="I2457" t="str">
        <f t="shared" si="134"/>
        <v>março 2026</v>
      </c>
      <c r="J2457">
        <f t="shared" si="135"/>
        <v>2026</v>
      </c>
      <c r="K2457" t="str">
        <f>VLOOKUP(G2457,METRICS!C:D,2,0)</f>
        <v>Vinhos/Espumantes</v>
      </c>
      <c r="L2457" t="str">
        <f>VLOOKUP(K2457,METRICS!D:E,2,0)</f>
        <v>CUSTOS DOS PRODUTOS VENDIDOS</v>
      </c>
    </row>
    <row r="2458" spans="1:12" ht="15" hidden="1">
      <c r="A2458" t="s">
        <v>1782</v>
      </c>
      <c r="B2458" t="s">
        <v>612</v>
      </c>
      <c r="D2458" t="s">
        <v>1860</v>
      </c>
      <c r="E2458" t="s">
        <v>778</v>
      </c>
      <c r="F2458" t="s">
        <v>1272</v>
      </c>
      <c r="G2458" t="s">
        <v>640</v>
      </c>
      <c r="H2458" s="595">
        <v>-22464</v>
      </c>
      <c r="I2458" t="str">
        <f t="shared" si="134"/>
        <v>março 2026</v>
      </c>
      <c r="J2458">
        <f t="shared" si="135"/>
        <v>2026</v>
      </c>
      <c r="K2458" t="str">
        <f>VLOOKUP(G2458,METRICS!C:D,2,0)</f>
        <v>Uniforme</v>
      </c>
      <c r="L2458" t="str">
        <f>VLOOKUP(K2458,METRICS!D:E,2,0)</f>
        <v>OPERAÇÃO</v>
      </c>
    </row>
    <row r="2459" spans="1:12" ht="15" hidden="1">
      <c r="A2459" t="s">
        <v>1782</v>
      </c>
      <c r="B2459" t="s">
        <v>612</v>
      </c>
      <c r="D2459" t="s">
        <v>1861</v>
      </c>
      <c r="E2459" t="s">
        <v>878</v>
      </c>
      <c r="F2459" t="s">
        <v>1272</v>
      </c>
      <c r="G2459" t="s">
        <v>609</v>
      </c>
      <c r="H2459" s="595">
        <v>-2054.86</v>
      </c>
      <c r="I2459" t="str">
        <f t="shared" si="134"/>
        <v>março 2026</v>
      </c>
      <c r="J2459">
        <f t="shared" si="135"/>
        <v>2026</v>
      </c>
      <c r="K2459" t="str">
        <f>VLOOKUP(G2459,METRICS!C:D,2,0)</f>
        <v>Carnes e Aves</v>
      </c>
      <c r="L2459" t="str">
        <f>VLOOKUP(K2459,METRICS!D:E,2,0)</f>
        <v>CUSTOS DOS PRODUTOS VENDIDOS</v>
      </c>
    </row>
    <row r="2460" spans="1:12" ht="15" hidden="1">
      <c r="A2460" t="s">
        <v>1782</v>
      </c>
      <c r="B2460" t="s">
        <v>612</v>
      </c>
      <c r="C2460" t="s">
        <v>690</v>
      </c>
      <c r="D2460" t="s">
        <v>2194</v>
      </c>
      <c r="E2460" t="s">
        <v>724</v>
      </c>
      <c r="F2460" t="s">
        <v>1272</v>
      </c>
      <c r="G2460" t="s">
        <v>669</v>
      </c>
      <c r="H2460" s="595">
        <v>-44.69</v>
      </c>
      <c r="I2460" t="str">
        <f t="shared" si="134"/>
        <v>março 2026</v>
      </c>
      <c r="J2460">
        <f t="shared" si="135"/>
        <v>2026</v>
      </c>
      <c r="K2460" t="str">
        <f>VLOOKUP(G2460,METRICS!C:D,2,0)</f>
        <v>Taxas Financeiras Diversas</v>
      </c>
      <c r="L2460" t="str">
        <f>VLOOKUP(K2460,METRICS!D:E,2,0)</f>
        <v>TAXAS CARTÃO DE CRÉDITO</v>
      </c>
    </row>
    <row r="2461" spans="1:12" ht="15" hidden="1">
      <c r="A2461" t="s">
        <v>1782</v>
      </c>
      <c r="B2461" t="s">
        <v>612</v>
      </c>
      <c r="D2461" t="s">
        <v>1862</v>
      </c>
      <c r="E2461" t="s">
        <v>1712</v>
      </c>
      <c r="F2461" t="s">
        <v>1272</v>
      </c>
      <c r="G2461" t="s">
        <v>641</v>
      </c>
      <c r="H2461" s="595">
        <v>-10079.049999999999</v>
      </c>
      <c r="I2461" t="str">
        <f t="shared" si="134"/>
        <v>março 2026</v>
      </c>
      <c r="J2461">
        <f t="shared" si="135"/>
        <v>2026</v>
      </c>
      <c r="K2461" t="str">
        <f>VLOOKUP(G2461,METRICS!C:D,2,0)</f>
        <v>Vinhos/Espumantes</v>
      </c>
      <c r="L2461" t="str">
        <f>VLOOKUP(K2461,METRICS!D:E,2,0)</f>
        <v>CUSTOS DOS PRODUTOS VENDIDOS</v>
      </c>
    </row>
    <row r="2462" spans="1:12" ht="15" hidden="1">
      <c r="A2462" t="s">
        <v>1782</v>
      </c>
      <c r="B2462" t="s">
        <v>612</v>
      </c>
      <c r="D2462" t="s">
        <v>1863</v>
      </c>
      <c r="E2462" t="s">
        <v>2190</v>
      </c>
      <c r="F2462" t="s">
        <v>1272</v>
      </c>
      <c r="G2462" t="s">
        <v>607</v>
      </c>
      <c r="H2462" s="595">
        <v>-2600</v>
      </c>
      <c r="I2462" t="str">
        <f t="shared" si="134"/>
        <v>março 2026</v>
      </c>
      <c r="J2462">
        <f t="shared" si="135"/>
        <v>2026</v>
      </c>
      <c r="K2462" t="str">
        <f>VLOOKUP(G2462,METRICS!C:D,2,0)</f>
        <v>Bebidas Alcoólicas</v>
      </c>
      <c r="L2462" t="str">
        <f>VLOOKUP(K2462,METRICS!D:E,2,0)</f>
        <v>CUSTOS DOS PRODUTOS VENDIDOS</v>
      </c>
    </row>
    <row r="2463" spans="1:12" ht="15" hidden="1">
      <c r="A2463" t="s">
        <v>1783</v>
      </c>
      <c r="B2463" t="s">
        <v>689</v>
      </c>
      <c r="D2463" t="s">
        <v>1864</v>
      </c>
      <c r="E2463" t="s">
        <v>1726</v>
      </c>
      <c r="F2463" t="s">
        <v>1272</v>
      </c>
      <c r="G2463" s="518" t="s">
        <v>1323</v>
      </c>
      <c r="H2463" s="595">
        <v>-12000</v>
      </c>
      <c r="I2463" t="str">
        <f t="shared" si="134"/>
        <v>março 2026</v>
      </c>
      <c r="J2463">
        <f t="shared" si="135"/>
        <v>2026</v>
      </c>
      <c r="K2463" t="str">
        <f>VLOOKUP(G2463,METRICS!C:D,2,0)</f>
        <v>Prestação de Serviço Pessoa Jurídica ADM</v>
      </c>
      <c r="L2463" t="str">
        <f>VLOOKUP(K2463,METRICS!D:E,2,0)</f>
        <v>ADMINISTRATIVA</v>
      </c>
    </row>
    <row r="2464" spans="1:12" ht="15" hidden="1">
      <c r="A2464" t="s">
        <v>1783</v>
      </c>
      <c r="B2464" t="s">
        <v>689</v>
      </c>
      <c r="D2464" t="s">
        <v>756</v>
      </c>
      <c r="E2464" t="s">
        <v>757</v>
      </c>
      <c r="F2464" t="s">
        <v>1272</v>
      </c>
      <c r="G2464" t="s">
        <v>666</v>
      </c>
      <c r="H2464" s="595">
        <v>-49.5</v>
      </c>
      <c r="I2464" t="str">
        <f t="shared" si="134"/>
        <v>março 2026</v>
      </c>
      <c r="J2464">
        <f t="shared" si="135"/>
        <v>2026</v>
      </c>
      <c r="K2464" t="str">
        <f>VLOOKUP(G2464,METRICS!C:D,2,0)</f>
        <v>Encargos Bancarios</v>
      </c>
      <c r="L2464" t="str">
        <f>VLOOKUP(K2464,METRICS!D:E,2,0)</f>
        <v>DESPESAS FINANCEIRAS</v>
      </c>
    </row>
    <row r="2465" spans="1:12" ht="15" hidden="1">
      <c r="A2465" t="s">
        <v>1783</v>
      </c>
      <c r="B2465" t="s">
        <v>612</v>
      </c>
      <c r="D2465" t="s">
        <v>1865</v>
      </c>
      <c r="E2465" t="s">
        <v>939</v>
      </c>
      <c r="F2465" t="s">
        <v>1272</v>
      </c>
      <c r="G2465" t="s">
        <v>636</v>
      </c>
      <c r="H2465" s="595">
        <v>-493.5</v>
      </c>
      <c r="I2465" t="str">
        <f t="shared" si="134"/>
        <v>março 2026</v>
      </c>
      <c r="J2465">
        <f t="shared" si="135"/>
        <v>2026</v>
      </c>
      <c r="K2465" t="str">
        <f>VLOOKUP(G2465,METRICS!C:D,2,0)</f>
        <v>Secos - Mercearia</v>
      </c>
      <c r="L2465" t="str">
        <f>VLOOKUP(K2465,METRICS!D:E,2,0)</f>
        <v>CUSTOS DOS PRODUTOS VENDIDOS</v>
      </c>
    </row>
    <row r="2466" spans="1:12" ht="15" hidden="1">
      <c r="A2466" t="s">
        <v>1783</v>
      </c>
      <c r="B2466" t="s">
        <v>612</v>
      </c>
      <c r="D2466" t="s">
        <v>1866</v>
      </c>
      <c r="E2466" t="s">
        <v>727</v>
      </c>
      <c r="F2466" t="s">
        <v>1272</v>
      </c>
      <c r="G2466" t="s">
        <v>620</v>
      </c>
      <c r="H2466" s="595">
        <v>-5905.97</v>
      </c>
      <c r="I2466" t="str">
        <f t="shared" si="134"/>
        <v>março 2026</v>
      </c>
      <c r="J2466">
        <f t="shared" si="135"/>
        <v>2026</v>
      </c>
      <c r="K2466" t="str">
        <f>VLOOKUP(G2466,METRICS!C:D,2,0)</f>
        <v>Hortifruti</v>
      </c>
      <c r="L2466" t="str">
        <f>VLOOKUP(K2466,METRICS!D:E,2,0)</f>
        <v>CUSTOS DOS PRODUTOS VENDIDOS</v>
      </c>
    </row>
    <row r="2467" spans="1:12" ht="15" hidden="1">
      <c r="A2467" t="s">
        <v>1783</v>
      </c>
      <c r="B2467" t="s">
        <v>612</v>
      </c>
      <c r="D2467" t="s">
        <v>1867</v>
      </c>
      <c r="E2467" t="s">
        <v>830</v>
      </c>
      <c r="F2467" t="s">
        <v>1272</v>
      </c>
      <c r="G2467" t="s">
        <v>623</v>
      </c>
      <c r="H2467" s="595">
        <v>-407</v>
      </c>
      <c r="I2467" t="str">
        <f t="shared" si="134"/>
        <v>março 2026</v>
      </c>
      <c r="J2467">
        <f t="shared" si="135"/>
        <v>2026</v>
      </c>
      <c r="K2467" t="str">
        <f>VLOOKUP(G2467,METRICS!C:D,2,0)</f>
        <v>Secos - Mercearia</v>
      </c>
      <c r="L2467" t="str">
        <f>VLOOKUP(K2467,METRICS!D:E,2,0)</f>
        <v>CUSTOS DOS PRODUTOS VENDIDOS</v>
      </c>
    </row>
    <row r="2468" spans="1:12" ht="15" hidden="1">
      <c r="A2468" t="s">
        <v>1783</v>
      </c>
      <c r="B2468" t="s">
        <v>612</v>
      </c>
      <c r="D2468" t="s">
        <v>1868</v>
      </c>
      <c r="E2468" t="s">
        <v>770</v>
      </c>
      <c r="F2468" t="s">
        <v>1272</v>
      </c>
      <c r="G2468" t="s">
        <v>630</v>
      </c>
      <c r="H2468" s="595">
        <v>-1203.0899999999999</v>
      </c>
      <c r="I2468" t="str">
        <f t="shared" si="134"/>
        <v>março 2026</v>
      </c>
      <c r="J2468">
        <f t="shared" si="135"/>
        <v>2026</v>
      </c>
      <c r="K2468" t="str">
        <f>VLOOKUP(G2468,METRICS!C:D,2,0)</f>
        <v>Material de Copa e Limpeza</v>
      </c>
      <c r="L2468" t="str">
        <f>VLOOKUP(K2468,METRICS!D:E,2,0)</f>
        <v>ADMINISTRATIVA</v>
      </c>
    </row>
    <row r="2469" spans="1:12" ht="15" hidden="1">
      <c r="A2469" t="s">
        <v>1783</v>
      </c>
      <c r="B2469" t="s">
        <v>689</v>
      </c>
      <c r="D2469" t="s">
        <v>918</v>
      </c>
      <c r="E2469" t="s">
        <v>919</v>
      </c>
      <c r="F2469" t="s">
        <v>1272</v>
      </c>
      <c r="G2469" t="s">
        <v>657</v>
      </c>
      <c r="H2469" s="595">
        <v>-1995</v>
      </c>
      <c r="I2469" t="str">
        <f t="shared" si="134"/>
        <v>março 2026</v>
      </c>
      <c r="J2469">
        <f t="shared" si="135"/>
        <v>2026</v>
      </c>
      <c r="K2469" t="str">
        <f>VLOOKUP(G2469,METRICS!C:D,2,0)</f>
        <v>Aluguel de Maquinas</v>
      </c>
      <c r="L2469" t="str">
        <f>VLOOKUP(K2469,METRICS!D:E,2,0)</f>
        <v>OPERAÇÃO</v>
      </c>
    </row>
    <row r="2470" spans="1:12" ht="15" hidden="1">
      <c r="A2470" t="s">
        <v>1783</v>
      </c>
      <c r="B2470" t="s">
        <v>612</v>
      </c>
      <c r="D2470" t="s">
        <v>1869</v>
      </c>
      <c r="E2470" t="s">
        <v>1153</v>
      </c>
      <c r="F2470" t="s">
        <v>1272</v>
      </c>
      <c r="G2470" t="s">
        <v>607</v>
      </c>
      <c r="H2470" s="595">
        <v>-2310</v>
      </c>
      <c r="I2470" t="str">
        <f t="shared" si="134"/>
        <v>março 2026</v>
      </c>
      <c r="J2470">
        <f t="shared" si="135"/>
        <v>2026</v>
      </c>
      <c r="K2470" t="str">
        <f>VLOOKUP(G2470,METRICS!C:D,2,0)</f>
        <v>Bebidas Alcoólicas</v>
      </c>
      <c r="L2470" t="str">
        <f>VLOOKUP(K2470,METRICS!D:E,2,0)</f>
        <v>CUSTOS DOS PRODUTOS VENDIDOS</v>
      </c>
    </row>
    <row r="2471" spans="1:12" ht="15" hidden="1">
      <c r="A2471" t="s">
        <v>1783</v>
      </c>
      <c r="B2471" t="s">
        <v>612</v>
      </c>
      <c r="D2471" t="s">
        <v>1870</v>
      </c>
      <c r="E2471" t="s">
        <v>1677</v>
      </c>
      <c r="F2471" t="s">
        <v>1272</v>
      </c>
      <c r="G2471" t="s">
        <v>609</v>
      </c>
      <c r="H2471" s="595">
        <v>-1138.78</v>
      </c>
      <c r="I2471" t="str">
        <f t="shared" si="134"/>
        <v>março 2026</v>
      </c>
      <c r="J2471">
        <f t="shared" si="135"/>
        <v>2026</v>
      </c>
      <c r="K2471" t="str">
        <f>VLOOKUP(G2471,METRICS!C:D,2,0)</f>
        <v>Carnes e Aves</v>
      </c>
      <c r="L2471" t="str">
        <f>VLOOKUP(K2471,METRICS!D:E,2,0)</f>
        <v>CUSTOS DOS PRODUTOS VENDIDOS</v>
      </c>
    </row>
    <row r="2472" spans="1:12" ht="15" hidden="1">
      <c r="A2472" t="s">
        <v>1783</v>
      </c>
      <c r="B2472" t="s">
        <v>612</v>
      </c>
      <c r="D2472" t="s">
        <v>1871</v>
      </c>
      <c r="E2472" t="s">
        <v>784</v>
      </c>
      <c r="F2472" t="s">
        <v>1272</v>
      </c>
      <c r="G2472" t="s">
        <v>636</v>
      </c>
      <c r="H2472" s="595">
        <v>-1520</v>
      </c>
      <c r="I2472" t="str">
        <f t="shared" si="134"/>
        <v>março 2026</v>
      </c>
      <c r="J2472">
        <f t="shared" si="135"/>
        <v>2026</v>
      </c>
      <c r="K2472" t="str">
        <f>VLOOKUP(G2472,METRICS!C:D,2,0)</f>
        <v>Secos - Mercearia</v>
      </c>
      <c r="L2472" t="str">
        <f>VLOOKUP(K2472,METRICS!D:E,2,0)</f>
        <v>CUSTOS DOS PRODUTOS VENDIDOS</v>
      </c>
    </row>
    <row r="2473" spans="1:12" ht="15" hidden="1">
      <c r="A2473" t="s">
        <v>1783</v>
      </c>
      <c r="B2473" t="s">
        <v>612</v>
      </c>
      <c r="D2473" t="s">
        <v>1872</v>
      </c>
      <c r="E2473" t="s">
        <v>878</v>
      </c>
      <c r="F2473" t="s">
        <v>1272</v>
      </c>
      <c r="G2473" t="s">
        <v>609</v>
      </c>
      <c r="H2473" s="595">
        <v>-7093.92</v>
      </c>
      <c r="I2473" t="str">
        <f t="shared" si="134"/>
        <v>março 2026</v>
      </c>
      <c r="J2473">
        <f t="shared" si="135"/>
        <v>2026</v>
      </c>
      <c r="K2473" t="str">
        <f>VLOOKUP(G2473,METRICS!C:D,2,0)</f>
        <v>Carnes e Aves</v>
      </c>
      <c r="L2473" t="str">
        <f>VLOOKUP(K2473,METRICS!D:E,2,0)</f>
        <v>CUSTOS DOS PRODUTOS VENDIDOS</v>
      </c>
    </row>
    <row r="2474" spans="1:12" ht="15" hidden="1">
      <c r="A2474" t="s">
        <v>1783</v>
      </c>
      <c r="B2474" t="s">
        <v>612</v>
      </c>
      <c r="D2474" t="s">
        <v>1873</v>
      </c>
      <c r="E2474" t="s">
        <v>745</v>
      </c>
      <c r="F2474" t="s">
        <v>1272</v>
      </c>
      <c r="G2474" t="s">
        <v>620</v>
      </c>
      <c r="H2474" s="595">
        <v>-463.5</v>
      </c>
      <c r="I2474" t="str">
        <f t="shared" si="134"/>
        <v>março 2026</v>
      </c>
      <c r="J2474">
        <f t="shared" si="135"/>
        <v>2026</v>
      </c>
      <c r="K2474" t="str">
        <f>VLOOKUP(G2474,METRICS!C:D,2,0)</f>
        <v>Hortifruti</v>
      </c>
      <c r="L2474" t="str">
        <f>VLOOKUP(K2474,METRICS!D:E,2,0)</f>
        <v>CUSTOS DOS PRODUTOS VENDIDOS</v>
      </c>
    </row>
    <row r="2475" spans="1:12" ht="15" hidden="1">
      <c r="A2475" t="s">
        <v>1783</v>
      </c>
      <c r="B2475" t="s">
        <v>689</v>
      </c>
      <c r="D2475" t="s">
        <v>883</v>
      </c>
      <c r="E2475" t="s">
        <v>746</v>
      </c>
      <c r="F2475" t="s">
        <v>1272</v>
      </c>
      <c r="G2475" t="s">
        <v>669</v>
      </c>
      <c r="H2475" s="595">
        <v>-25.6</v>
      </c>
      <c r="I2475" t="str">
        <f t="shared" si="134"/>
        <v>março 2026</v>
      </c>
      <c r="J2475">
        <f t="shared" si="135"/>
        <v>2026</v>
      </c>
      <c r="K2475" t="str">
        <f>VLOOKUP(G2475,METRICS!C:D,2,0)</f>
        <v>Taxas Financeiras Diversas</v>
      </c>
      <c r="L2475" t="str">
        <f>VLOOKUP(K2475,METRICS!D:E,2,0)</f>
        <v>TAXAS CARTÃO DE CRÉDITO</v>
      </c>
    </row>
    <row r="2476" spans="1:12" ht="15" hidden="1">
      <c r="A2476" t="s">
        <v>1783</v>
      </c>
      <c r="B2476" t="s">
        <v>612</v>
      </c>
      <c r="D2476" t="s">
        <v>1875</v>
      </c>
      <c r="E2476" t="s">
        <v>811</v>
      </c>
      <c r="F2476" t="s">
        <v>1272</v>
      </c>
      <c r="G2476" t="s">
        <v>636</v>
      </c>
      <c r="H2476" s="595">
        <v>-1559.91</v>
      </c>
      <c r="I2476" t="str">
        <f t="shared" si="134"/>
        <v>março 2026</v>
      </c>
      <c r="J2476">
        <f t="shared" si="135"/>
        <v>2026</v>
      </c>
      <c r="K2476" t="str">
        <f>VLOOKUP(G2476,METRICS!C:D,2,0)</f>
        <v>Secos - Mercearia</v>
      </c>
      <c r="L2476" t="str">
        <f>VLOOKUP(K2476,METRICS!D:E,2,0)</f>
        <v>CUSTOS DOS PRODUTOS VENDIDOS</v>
      </c>
    </row>
    <row r="2477" spans="1:12" ht="15" hidden="1">
      <c r="A2477" t="s">
        <v>1783</v>
      </c>
      <c r="B2477" t="s">
        <v>689</v>
      </c>
      <c r="D2477" t="s">
        <v>758</v>
      </c>
      <c r="E2477" t="s">
        <v>759</v>
      </c>
      <c r="F2477" t="s">
        <v>1272</v>
      </c>
      <c r="G2477" t="s">
        <v>667</v>
      </c>
      <c r="H2477" s="595">
        <v>-3500</v>
      </c>
      <c r="I2477" t="str">
        <f t="shared" si="134"/>
        <v>março 2026</v>
      </c>
      <c r="J2477">
        <f t="shared" si="135"/>
        <v>2026</v>
      </c>
      <c r="K2477" t="str">
        <f>VLOOKUP(G2477,METRICS!C:D,2,0)</f>
        <v>Consultoria ADM</v>
      </c>
      <c r="L2477" t="str">
        <f>VLOOKUP(K2477,METRICS!D:E,2,0)</f>
        <v>ADMINISTRATIVA</v>
      </c>
    </row>
    <row r="2478" spans="1:12" ht="15" hidden="1">
      <c r="A2478" t="s">
        <v>1783</v>
      </c>
      <c r="B2478" t="s">
        <v>689</v>
      </c>
      <c r="C2478" t="s">
        <v>690</v>
      </c>
      <c r="D2478" t="s">
        <v>1106</v>
      </c>
      <c r="E2478" t="s">
        <v>1106</v>
      </c>
      <c r="F2478" t="s">
        <v>1272</v>
      </c>
      <c r="G2478" t="s">
        <v>650</v>
      </c>
      <c r="H2478" s="595">
        <v>-64005.11</v>
      </c>
      <c r="I2478" t="str">
        <f>TEXT(A2478, "mmmm aaaa")</f>
        <v>março 2026</v>
      </c>
      <c r="J2478">
        <f t="shared" ref="J2478:J2479" si="136">YEAR(A2478)</f>
        <v>2026</v>
      </c>
      <c r="K2478" t="str">
        <f>VLOOKUP(G2478,METRICS!C:D,2,0)</f>
        <v>Salários e Ordenados</v>
      </c>
      <c r="L2478" t="str">
        <f>VLOOKUP(K2478,METRICS!D:E,2,0)</f>
        <v>PESSOAL</v>
      </c>
    </row>
    <row r="2479" spans="1:12" ht="15" hidden="1">
      <c r="A2479" t="s">
        <v>1783</v>
      </c>
      <c r="B2479" t="s">
        <v>689</v>
      </c>
      <c r="C2479" t="s">
        <v>690</v>
      </c>
      <c r="D2479" t="s">
        <v>1106</v>
      </c>
      <c r="E2479" t="s">
        <v>1106</v>
      </c>
      <c r="F2479" t="s">
        <v>1272</v>
      </c>
      <c r="G2479" s="518" t="s">
        <v>1733</v>
      </c>
      <c r="H2479" s="595">
        <v>-84831.58</v>
      </c>
      <c r="I2479" t="str">
        <f>TEXT(A2479, "mmmm aaaa")</f>
        <v>março 2026</v>
      </c>
      <c r="J2479">
        <f t="shared" si="136"/>
        <v>2026</v>
      </c>
      <c r="K2479" t="str">
        <f>VLOOKUP(G2479,METRICS!C:D,2,0)</f>
        <v>Gorjetas Pagas</v>
      </c>
      <c r="L2479" t="str">
        <f>VLOOKUP(K2479,METRICS!D:E,2,0)</f>
        <v>PESSOAL</v>
      </c>
    </row>
    <row r="2480" spans="1:12" ht="15" hidden="1">
      <c r="A2480" t="s">
        <v>1783</v>
      </c>
      <c r="B2480" t="s">
        <v>612</v>
      </c>
      <c r="D2480" t="s">
        <v>1876</v>
      </c>
      <c r="E2480" t="s">
        <v>2191</v>
      </c>
      <c r="F2480" t="s">
        <v>1272</v>
      </c>
      <c r="G2480" t="s">
        <v>1718</v>
      </c>
      <c r="H2480" s="595">
        <v>-679.35</v>
      </c>
      <c r="I2480" t="str">
        <f t="shared" si="134"/>
        <v>março 2026</v>
      </c>
      <c r="J2480">
        <f t="shared" si="135"/>
        <v>2026</v>
      </c>
      <c r="K2480" t="str">
        <f>VLOOKUP(G2480,METRICS!C:D,2,0)</f>
        <v>Utensílios</v>
      </c>
      <c r="L2480" t="str">
        <f>VLOOKUP(K2480,METRICS!D:E,2,0)</f>
        <v>OPERAÇÃO</v>
      </c>
    </row>
    <row r="2481" spans="1:12" ht="15" hidden="1">
      <c r="A2481" t="s">
        <v>1783</v>
      </c>
      <c r="B2481" t="s">
        <v>612</v>
      </c>
      <c r="D2481" t="s">
        <v>1877</v>
      </c>
      <c r="E2481" t="s">
        <v>805</v>
      </c>
      <c r="F2481" t="s">
        <v>1272</v>
      </c>
      <c r="G2481" t="s">
        <v>609</v>
      </c>
      <c r="H2481" s="595">
        <v>-7967.12</v>
      </c>
      <c r="I2481" t="str">
        <f t="shared" si="134"/>
        <v>março 2026</v>
      </c>
      <c r="J2481">
        <f t="shared" si="135"/>
        <v>2026</v>
      </c>
      <c r="K2481" t="str">
        <f>VLOOKUP(G2481,METRICS!C:D,2,0)</f>
        <v>Carnes e Aves</v>
      </c>
      <c r="L2481" t="str">
        <f>VLOOKUP(K2481,METRICS!D:E,2,0)</f>
        <v>CUSTOS DOS PRODUTOS VENDIDOS</v>
      </c>
    </row>
    <row r="2482" spans="1:12" ht="15" hidden="1">
      <c r="A2482" t="s">
        <v>1783</v>
      </c>
      <c r="B2482" t="s">
        <v>612</v>
      </c>
      <c r="D2482" t="s">
        <v>1878</v>
      </c>
      <c r="E2482" t="s">
        <v>748</v>
      </c>
      <c r="F2482" t="s">
        <v>1272</v>
      </c>
      <c r="G2482" t="s">
        <v>620</v>
      </c>
      <c r="H2482" s="595">
        <v>-293.79000000000002</v>
      </c>
      <c r="I2482" t="str">
        <f t="shared" si="134"/>
        <v>março 2026</v>
      </c>
      <c r="J2482">
        <f t="shared" si="135"/>
        <v>2026</v>
      </c>
      <c r="K2482" t="str">
        <f>VLOOKUP(G2482,METRICS!C:D,2,0)</f>
        <v>Hortifruti</v>
      </c>
      <c r="L2482" t="str">
        <f>VLOOKUP(K2482,METRICS!D:E,2,0)</f>
        <v>CUSTOS DOS PRODUTOS VENDIDOS</v>
      </c>
    </row>
    <row r="2483" spans="1:12" ht="15" hidden="1">
      <c r="A2483" t="s">
        <v>1783</v>
      </c>
      <c r="B2483" t="s">
        <v>612</v>
      </c>
      <c r="D2483" t="s">
        <v>1879</v>
      </c>
      <c r="E2483" t="s">
        <v>752</v>
      </c>
      <c r="F2483" t="s">
        <v>1272</v>
      </c>
      <c r="G2483" t="s">
        <v>609</v>
      </c>
      <c r="H2483" s="595">
        <v>-2099.75</v>
      </c>
      <c r="I2483" t="str">
        <f t="shared" si="134"/>
        <v>março 2026</v>
      </c>
      <c r="J2483">
        <f t="shared" si="135"/>
        <v>2026</v>
      </c>
      <c r="K2483" t="str">
        <f>VLOOKUP(G2483,METRICS!C:D,2,0)</f>
        <v>Carnes e Aves</v>
      </c>
      <c r="L2483" t="str">
        <f>VLOOKUP(K2483,METRICS!D:E,2,0)</f>
        <v>CUSTOS DOS PRODUTOS VENDIDOS</v>
      </c>
    </row>
    <row r="2484" spans="1:12" ht="15" hidden="1">
      <c r="A2484" t="s">
        <v>1784</v>
      </c>
      <c r="B2484" t="s">
        <v>612</v>
      </c>
      <c r="D2484" t="s">
        <v>1880</v>
      </c>
      <c r="E2484" t="s">
        <v>846</v>
      </c>
      <c r="F2484" t="s">
        <v>1272</v>
      </c>
      <c r="G2484" t="s">
        <v>631</v>
      </c>
      <c r="H2484" s="595">
        <v>-6000</v>
      </c>
      <c r="I2484" t="str">
        <f t="shared" si="134"/>
        <v>março 2026</v>
      </c>
      <c r="J2484">
        <f t="shared" si="135"/>
        <v>2026</v>
      </c>
      <c r="K2484" t="str">
        <f>VLOOKUP(G2484,METRICS!C:D,2,0)</f>
        <v>Midias Sociais</v>
      </c>
      <c r="L2484" t="str">
        <f>VLOOKUP(K2484,METRICS!D:E,2,0)</f>
        <v>MARKETING</v>
      </c>
    </row>
    <row r="2485" spans="1:12" ht="15" hidden="1">
      <c r="A2485" t="s">
        <v>1784</v>
      </c>
      <c r="B2485" t="s">
        <v>612</v>
      </c>
      <c r="D2485" t="s">
        <v>1881</v>
      </c>
      <c r="E2485" t="s">
        <v>820</v>
      </c>
      <c r="F2485" t="s">
        <v>1272</v>
      </c>
      <c r="G2485" t="s">
        <v>611</v>
      </c>
      <c r="H2485" s="595">
        <v>-3295.82</v>
      </c>
      <c r="I2485" t="str">
        <f t="shared" si="134"/>
        <v>março 2026</v>
      </c>
      <c r="J2485">
        <f t="shared" si="135"/>
        <v>2026</v>
      </c>
      <c r="K2485" t="str">
        <f>VLOOKUP(G2485,METRICS!C:D,2,0)</f>
        <v>Bebidas Alcoólicas</v>
      </c>
      <c r="L2485" t="str">
        <f>VLOOKUP(K2485,METRICS!D:E,2,0)</f>
        <v>CUSTOS DOS PRODUTOS VENDIDOS</v>
      </c>
    </row>
    <row r="2486" spans="1:12" ht="15" hidden="1">
      <c r="A2486" t="s">
        <v>1784</v>
      </c>
      <c r="B2486" t="s">
        <v>689</v>
      </c>
      <c r="D2486" t="s">
        <v>883</v>
      </c>
      <c r="E2486" t="s">
        <v>746</v>
      </c>
      <c r="F2486" t="s">
        <v>1272</v>
      </c>
      <c r="G2486" t="s">
        <v>669</v>
      </c>
      <c r="H2486" s="595">
        <v>-55.31</v>
      </c>
      <c r="I2486" t="str">
        <f t="shared" si="134"/>
        <v>março 2026</v>
      </c>
      <c r="J2486">
        <f t="shared" si="135"/>
        <v>2026</v>
      </c>
      <c r="K2486" t="str">
        <f>VLOOKUP(G2486,METRICS!C:D,2,0)</f>
        <v>Taxas Financeiras Diversas</v>
      </c>
      <c r="L2486" t="str">
        <f>VLOOKUP(K2486,METRICS!D:E,2,0)</f>
        <v>TAXAS CARTÃO DE CRÉDITO</v>
      </c>
    </row>
    <row r="2487" spans="1:12" ht="15" hidden="1">
      <c r="A2487" t="s">
        <v>1784</v>
      </c>
      <c r="B2487" t="s">
        <v>612</v>
      </c>
      <c r="D2487" t="s">
        <v>1882</v>
      </c>
      <c r="E2487" t="s">
        <v>964</v>
      </c>
      <c r="F2487" t="s">
        <v>1272</v>
      </c>
      <c r="G2487" t="s">
        <v>608</v>
      </c>
      <c r="H2487" s="595">
        <v>-573.30999999999995</v>
      </c>
      <c r="I2487" t="str">
        <f t="shared" si="134"/>
        <v>março 2026</v>
      </c>
      <c r="J2487">
        <f t="shared" si="135"/>
        <v>2026</v>
      </c>
      <c r="K2487" t="str">
        <f>VLOOKUP(G2487,METRICS!C:D,2,0)</f>
        <v>Bebidas não Alcoolicas</v>
      </c>
      <c r="L2487" t="str">
        <f>VLOOKUP(K2487,METRICS!D:E,2,0)</f>
        <v>CUSTOS DOS PRODUTOS VENDIDOS</v>
      </c>
    </row>
    <row r="2488" spans="1:12" ht="15" hidden="1">
      <c r="A2488" t="s">
        <v>1784</v>
      </c>
      <c r="B2488" t="s">
        <v>612</v>
      </c>
      <c r="D2488" t="s">
        <v>1883</v>
      </c>
      <c r="E2488" t="s">
        <v>1249</v>
      </c>
      <c r="F2488" t="s">
        <v>1272</v>
      </c>
      <c r="G2488" t="s">
        <v>413</v>
      </c>
      <c r="H2488" s="595">
        <v>-1198.5</v>
      </c>
      <c r="I2488" t="str">
        <f t="shared" si="134"/>
        <v>março 2026</v>
      </c>
      <c r="J2488">
        <f t="shared" si="135"/>
        <v>2026</v>
      </c>
      <c r="K2488" t="str">
        <f>VLOOKUP(G2488,METRICS!C:D,2,0)</f>
        <v>Pescados</v>
      </c>
      <c r="L2488" t="str">
        <f>VLOOKUP(K2488,METRICS!D:E,2,0)</f>
        <v>CUSTOS DOS PRODUTOS VENDIDOS</v>
      </c>
    </row>
    <row r="2489" spans="1:12" ht="15" hidden="1">
      <c r="A2489" t="s">
        <v>1784</v>
      </c>
      <c r="B2489" t="s">
        <v>612</v>
      </c>
      <c r="D2489" t="s">
        <v>1884</v>
      </c>
      <c r="E2489" t="s">
        <v>1239</v>
      </c>
      <c r="F2489" t="s">
        <v>1272</v>
      </c>
      <c r="G2489" t="s">
        <v>413</v>
      </c>
      <c r="H2489" s="595">
        <v>-5985.09</v>
      </c>
      <c r="I2489" t="str">
        <f t="shared" si="134"/>
        <v>março 2026</v>
      </c>
      <c r="J2489">
        <f t="shared" si="135"/>
        <v>2026</v>
      </c>
      <c r="K2489" t="str">
        <f>VLOOKUP(G2489,METRICS!C:D,2,0)</f>
        <v>Pescados</v>
      </c>
      <c r="L2489" t="str">
        <f>VLOOKUP(K2489,METRICS!D:E,2,0)</f>
        <v>CUSTOS DOS PRODUTOS VENDIDOS</v>
      </c>
    </row>
    <row r="2490" spans="1:12" ht="15" hidden="1">
      <c r="A2490" t="s">
        <v>1784</v>
      </c>
      <c r="B2490" t="s">
        <v>612</v>
      </c>
      <c r="D2490" t="s">
        <v>1885</v>
      </c>
      <c r="E2490" t="s">
        <v>990</v>
      </c>
      <c r="F2490" t="s">
        <v>1272</v>
      </c>
      <c r="G2490" t="s">
        <v>608</v>
      </c>
      <c r="H2490" s="595">
        <v>-1593.98</v>
      </c>
      <c r="I2490" t="str">
        <f t="shared" si="134"/>
        <v>março 2026</v>
      </c>
      <c r="J2490">
        <f t="shared" si="135"/>
        <v>2026</v>
      </c>
      <c r="K2490" t="str">
        <f>VLOOKUP(G2490,METRICS!C:D,2,0)</f>
        <v>Bebidas não Alcoolicas</v>
      </c>
      <c r="L2490" t="str">
        <f>VLOOKUP(K2490,METRICS!D:E,2,0)</f>
        <v>CUSTOS DOS PRODUTOS VENDIDOS</v>
      </c>
    </row>
    <row r="2491" spans="1:12" ht="15" hidden="1">
      <c r="A2491" t="s">
        <v>1784</v>
      </c>
      <c r="B2491" t="s">
        <v>612</v>
      </c>
      <c r="D2491" t="s">
        <v>1886</v>
      </c>
      <c r="E2491" t="s">
        <v>1691</v>
      </c>
      <c r="F2491" t="s">
        <v>1272</v>
      </c>
      <c r="G2491" t="s">
        <v>623</v>
      </c>
      <c r="H2491" s="595">
        <v>-2619.48</v>
      </c>
      <c r="I2491" t="str">
        <f t="shared" si="134"/>
        <v>março 2026</v>
      </c>
      <c r="J2491">
        <f t="shared" si="135"/>
        <v>2026</v>
      </c>
      <c r="K2491" t="str">
        <f>VLOOKUP(G2491,METRICS!C:D,2,0)</f>
        <v>Secos - Mercearia</v>
      </c>
      <c r="L2491" t="str">
        <f>VLOOKUP(K2491,METRICS!D:E,2,0)</f>
        <v>CUSTOS DOS PRODUTOS VENDIDOS</v>
      </c>
    </row>
    <row r="2492" spans="1:12" ht="15" hidden="1">
      <c r="A2492" t="s">
        <v>1784</v>
      </c>
      <c r="B2492" t="s">
        <v>689</v>
      </c>
      <c r="D2492" t="s">
        <v>1887</v>
      </c>
      <c r="E2492" t="s">
        <v>1688</v>
      </c>
      <c r="F2492" t="s">
        <v>1272</v>
      </c>
      <c r="G2492" t="s">
        <v>635</v>
      </c>
      <c r="H2492" s="595">
        <v>-900</v>
      </c>
      <c r="I2492" t="str">
        <f t="shared" si="134"/>
        <v>março 2026</v>
      </c>
      <c r="J2492">
        <f t="shared" si="135"/>
        <v>2026</v>
      </c>
      <c r="K2492" t="str">
        <f>VLOOKUP(G2492,METRICS!C:D,2,0)</f>
        <v>Manutenção e Conservação</v>
      </c>
      <c r="L2492" t="str">
        <f>VLOOKUP(K2492,METRICS!D:E,2,0)</f>
        <v>OPERAÇÃO</v>
      </c>
    </row>
    <row r="2493" spans="1:12" ht="15" hidden="1">
      <c r="A2493" t="s">
        <v>1784</v>
      </c>
      <c r="B2493" t="s">
        <v>689</v>
      </c>
      <c r="D2493" t="s">
        <v>756</v>
      </c>
      <c r="E2493" t="s">
        <v>757</v>
      </c>
      <c r="F2493" t="s">
        <v>1272</v>
      </c>
      <c r="G2493" t="s">
        <v>666</v>
      </c>
      <c r="H2493" s="595">
        <v>-19.8</v>
      </c>
      <c r="I2493" t="str">
        <f t="shared" si="134"/>
        <v>março 2026</v>
      </c>
      <c r="J2493">
        <f t="shared" si="135"/>
        <v>2026</v>
      </c>
      <c r="K2493" t="str">
        <f>VLOOKUP(G2493,METRICS!C:D,2,0)</f>
        <v>Encargos Bancarios</v>
      </c>
      <c r="L2493" t="str">
        <f>VLOOKUP(K2493,METRICS!D:E,2,0)</f>
        <v>DESPESAS FINANCEIRAS</v>
      </c>
    </row>
    <row r="2494" spans="1:12" ht="15" hidden="1">
      <c r="A2494" t="s">
        <v>1784</v>
      </c>
      <c r="B2494" t="s">
        <v>612</v>
      </c>
      <c r="D2494" t="s">
        <v>1888</v>
      </c>
      <c r="E2494" t="s">
        <v>811</v>
      </c>
      <c r="F2494" t="s">
        <v>1272</v>
      </c>
      <c r="G2494" t="s">
        <v>636</v>
      </c>
      <c r="H2494" s="595">
        <v>-949.12</v>
      </c>
      <c r="I2494" t="str">
        <f t="shared" si="134"/>
        <v>março 2026</v>
      </c>
      <c r="J2494">
        <f t="shared" si="135"/>
        <v>2026</v>
      </c>
      <c r="K2494" t="str">
        <f>VLOOKUP(G2494,METRICS!C:D,2,0)</f>
        <v>Secos - Mercearia</v>
      </c>
      <c r="L2494" t="str">
        <f>VLOOKUP(K2494,METRICS!D:E,2,0)</f>
        <v>CUSTOS DOS PRODUTOS VENDIDOS</v>
      </c>
    </row>
    <row r="2495" spans="1:12" ht="15" hidden="1">
      <c r="A2495" t="s">
        <v>1784</v>
      </c>
      <c r="B2495" t="s">
        <v>612</v>
      </c>
      <c r="D2495" t="s">
        <v>1889</v>
      </c>
      <c r="E2495" t="s">
        <v>828</v>
      </c>
      <c r="F2495" t="s">
        <v>1272</v>
      </c>
      <c r="G2495" t="s">
        <v>636</v>
      </c>
      <c r="H2495" s="595">
        <v>-1620.61</v>
      </c>
      <c r="I2495" t="str">
        <f t="shared" si="134"/>
        <v>março 2026</v>
      </c>
      <c r="J2495">
        <f t="shared" si="135"/>
        <v>2026</v>
      </c>
      <c r="K2495" t="str">
        <f>VLOOKUP(G2495,METRICS!C:D,2,0)</f>
        <v>Secos - Mercearia</v>
      </c>
      <c r="L2495" t="str">
        <f>VLOOKUP(K2495,METRICS!D:E,2,0)</f>
        <v>CUSTOS DOS PRODUTOS VENDIDOS</v>
      </c>
    </row>
    <row r="2496" spans="1:12" ht="15" hidden="1">
      <c r="A2496" t="s">
        <v>1784</v>
      </c>
      <c r="B2496" t="s">
        <v>689</v>
      </c>
      <c r="D2496" t="s">
        <v>1890</v>
      </c>
      <c r="E2496" t="str">
        <f t="shared" ref="E2496:E2559" si="137">D2496</f>
        <v>ADEGA - Alex Junior de Moraes Santos</v>
      </c>
      <c r="F2496" t="s">
        <v>1272</v>
      </c>
      <c r="G2496" t="s">
        <v>2200</v>
      </c>
      <c r="H2496" s="595">
        <v>-13000</v>
      </c>
      <c r="I2496" t="str">
        <f t="shared" si="134"/>
        <v>março 2026</v>
      </c>
      <c r="J2496">
        <f t="shared" si="135"/>
        <v>2026</v>
      </c>
      <c r="K2496" t="str">
        <f>VLOOKUP(G2496,METRICS!C:D,2,0)</f>
        <v>IMOBILIZADO</v>
      </c>
      <c r="L2496" t="str">
        <f>VLOOKUP(K2496,METRICS!D:E,2,0)</f>
        <v>IMOBILIZADO</v>
      </c>
    </row>
    <row r="2497" spans="1:12" ht="15" hidden="1">
      <c r="A2497" t="s">
        <v>1785</v>
      </c>
      <c r="B2497" t="s">
        <v>612</v>
      </c>
      <c r="D2497" t="s">
        <v>1891</v>
      </c>
      <c r="E2497" t="str">
        <f t="shared" si="137"/>
        <v>Compra 931 (NFe 688482-3)</v>
      </c>
      <c r="F2497" t="s">
        <v>1272</v>
      </c>
      <c r="G2497" t="s">
        <v>609</v>
      </c>
      <c r="H2497" s="595">
        <v>-13585.77</v>
      </c>
      <c r="I2497" t="str">
        <f t="shared" si="134"/>
        <v>março 2026</v>
      </c>
      <c r="J2497">
        <f t="shared" si="135"/>
        <v>2026</v>
      </c>
      <c r="K2497" t="str">
        <f>VLOOKUP(G2497,METRICS!C:D,2,0)</f>
        <v>Carnes e Aves</v>
      </c>
      <c r="L2497" t="str">
        <f>VLOOKUP(K2497,METRICS!D:E,2,0)</f>
        <v>CUSTOS DOS PRODUTOS VENDIDOS</v>
      </c>
    </row>
    <row r="2498" spans="1:12" ht="15" hidden="1">
      <c r="A2498" t="s">
        <v>1785</v>
      </c>
      <c r="B2498" t="s">
        <v>612</v>
      </c>
      <c r="D2498" t="s">
        <v>1892</v>
      </c>
      <c r="E2498" t="str">
        <f t="shared" si="137"/>
        <v>Compra 932 (NFe 688483-3)</v>
      </c>
      <c r="F2498" t="s">
        <v>1272</v>
      </c>
      <c r="G2498" t="s">
        <v>609</v>
      </c>
      <c r="H2498" s="595">
        <v>-15338.99</v>
      </c>
      <c r="I2498" t="str">
        <f t="shared" si="134"/>
        <v>março 2026</v>
      </c>
      <c r="J2498">
        <f t="shared" si="135"/>
        <v>2026</v>
      </c>
      <c r="K2498" t="str">
        <f>VLOOKUP(G2498,METRICS!C:D,2,0)</f>
        <v>Carnes e Aves</v>
      </c>
      <c r="L2498" t="str">
        <f>VLOOKUP(K2498,METRICS!D:E,2,0)</f>
        <v>CUSTOS DOS PRODUTOS VENDIDOS</v>
      </c>
    </row>
    <row r="2499" spans="1:12" ht="15" hidden="1">
      <c r="A2499" t="s">
        <v>1786</v>
      </c>
      <c r="B2499" t="s">
        <v>612</v>
      </c>
      <c r="D2499" t="s">
        <v>1893</v>
      </c>
      <c r="E2499" t="str">
        <f t="shared" si="137"/>
        <v>Compra 954 (NFe 67731-1)</v>
      </c>
      <c r="F2499" t="s">
        <v>1272</v>
      </c>
      <c r="G2499" t="s">
        <v>605</v>
      </c>
      <c r="H2499" s="595">
        <v>-4756.8999999999996</v>
      </c>
      <c r="I2499" t="str">
        <f t="shared" si="134"/>
        <v>março 2026</v>
      </c>
      <c r="J2499">
        <f t="shared" si="135"/>
        <v>2026</v>
      </c>
      <c r="K2499" t="str">
        <f>VLOOKUP(G2499,METRICS!C:D,2,0)</f>
        <v>Beneficios</v>
      </c>
      <c r="L2499" t="str">
        <f>VLOOKUP(K2499,METRICS!D:E,2,0)</f>
        <v>PESSOAL</v>
      </c>
    </row>
    <row r="2500" spans="1:12" ht="15" hidden="1">
      <c r="A2500" t="s">
        <v>1786</v>
      </c>
      <c r="B2500" t="s">
        <v>689</v>
      </c>
      <c r="D2500" t="s">
        <v>883</v>
      </c>
      <c r="E2500" t="str">
        <f t="shared" si="137"/>
        <v>Tarifa Pix Recebido Qr Checkout</v>
      </c>
      <c r="F2500" t="s">
        <v>1272</v>
      </c>
      <c r="G2500" t="s">
        <v>669</v>
      </c>
      <c r="H2500" s="595">
        <v>-46.81</v>
      </c>
      <c r="I2500" t="str">
        <f t="shared" si="134"/>
        <v>março 2026</v>
      </c>
      <c r="J2500">
        <f t="shared" si="135"/>
        <v>2026</v>
      </c>
      <c r="K2500" t="str">
        <f>VLOOKUP(G2500,METRICS!C:D,2,0)</f>
        <v>Taxas Financeiras Diversas</v>
      </c>
      <c r="L2500" t="str">
        <f>VLOOKUP(K2500,METRICS!D:E,2,0)</f>
        <v>TAXAS CARTÃO DE CRÉDITO</v>
      </c>
    </row>
    <row r="2501" spans="1:12" ht="15" hidden="1">
      <c r="A2501" t="s">
        <v>1786</v>
      </c>
      <c r="B2501" t="s">
        <v>612</v>
      </c>
      <c r="D2501" t="s">
        <v>1894</v>
      </c>
      <c r="E2501" t="str">
        <f t="shared" si="137"/>
        <v>Compra 955 (NFe 67743-1)</v>
      </c>
      <c r="F2501" t="s">
        <v>1272</v>
      </c>
      <c r="G2501" t="s">
        <v>609</v>
      </c>
      <c r="H2501" s="595">
        <v>-3385.25</v>
      </c>
      <c r="I2501" t="str">
        <f t="shared" si="134"/>
        <v>março 2026</v>
      </c>
      <c r="J2501">
        <f t="shared" si="135"/>
        <v>2026</v>
      </c>
      <c r="K2501" t="str">
        <f>VLOOKUP(G2501,METRICS!C:D,2,0)</f>
        <v>Carnes e Aves</v>
      </c>
      <c r="L2501" t="str">
        <f>VLOOKUP(K2501,METRICS!D:E,2,0)</f>
        <v>CUSTOS DOS PRODUTOS VENDIDOS</v>
      </c>
    </row>
    <row r="2502" spans="1:12" ht="15" hidden="1">
      <c r="A2502" t="s">
        <v>1786</v>
      </c>
      <c r="B2502" t="s">
        <v>612</v>
      </c>
      <c r="D2502" t="s">
        <v>1895</v>
      </c>
      <c r="E2502" t="str">
        <f t="shared" si="137"/>
        <v>Compra 944 (NFe 408872-1)</v>
      </c>
      <c r="F2502" t="s">
        <v>1272</v>
      </c>
      <c r="G2502" t="s">
        <v>620</v>
      </c>
      <c r="H2502" s="595">
        <v>-383.95</v>
      </c>
      <c r="I2502" t="str">
        <f t="shared" si="134"/>
        <v>março 2026</v>
      </c>
      <c r="J2502">
        <f t="shared" si="135"/>
        <v>2026</v>
      </c>
      <c r="K2502" t="str">
        <f>VLOOKUP(G2502,METRICS!C:D,2,0)</f>
        <v>Hortifruti</v>
      </c>
      <c r="L2502" t="str">
        <f>VLOOKUP(K2502,METRICS!D:E,2,0)</f>
        <v>CUSTOS DOS PRODUTOS VENDIDOS</v>
      </c>
    </row>
    <row r="2503" spans="1:12" ht="15" hidden="1">
      <c r="A2503" t="s">
        <v>1786</v>
      </c>
      <c r="B2503" t="s">
        <v>612</v>
      </c>
      <c r="D2503" t="s">
        <v>1896</v>
      </c>
      <c r="E2503" t="str">
        <f t="shared" si="137"/>
        <v>Compra 941 (NFe 2619371-5)</v>
      </c>
      <c r="F2503" t="s">
        <v>1272</v>
      </c>
      <c r="G2503" t="s">
        <v>633</v>
      </c>
      <c r="H2503" s="595">
        <v>-238.3</v>
      </c>
      <c r="I2503" t="str">
        <f t="shared" si="134"/>
        <v>março 2026</v>
      </c>
      <c r="J2503">
        <f t="shared" si="135"/>
        <v>2026</v>
      </c>
      <c r="K2503" t="str">
        <f>VLOOKUP(G2503,METRICS!C:D,2,0)</f>
        <v>Paes, Massas e Salgados</v>
      </c>
      <c r="L2503" t="str">
        <f>VLOOKUP(K2503,METRICS!D:E,2,0)</f>
        <v>CUSTOS DOS PRODUTOS VENDIDOS</v>
      </c>
    </row>
    <row r="2504" spans="1:12" ht="15">
      <c r="A2504" t="s">
        <v>1786</v>
      </c>
      <c r="B2504" t="s">
        <v>689</v>
      </c>
      <c r="D2504" t="s">
        <v>1897</v>
      </c>
      <c r="E2504" t="str">
        <f t="shared" si="137"/>
        <v>Reembolso Henrique - pesquisa de mercado - NB STEAK</v>
      </c>
      <c r="F2504" t="s">
        <v>1272</v>
      </c>
      <c r="G2504" t="s">
        <v>606</v>
      </c>
      <c r="H2504" s="595">
        <v>-1039.5999999999999</v>
      </c>
      <c r="I2504" t="str">
        <f t="shared" si="134"/>
        <v>março 2026</v>
      </c>
      <c r="J2504">
        <f t="shared" si="135"/>
        <v>2026</v>
      </c>
      <c r="K2504" t="str">
        <f>VLOOKUP(G2504,METRICS!C:D,2,0)</f>
        <v>Propaganda, Publicidade e Patrocínio</v>
      </c>
      <c r="L2504" t="str">
        <f>VLOOKUP(K2504,METRICS!D:E,2,0)</f>
        <v>MARKETING</v>
      </c>
    </row>
    <row r="2505" spans="1:12" ht="15" hidden="1">
      <c r="A2505" t="s">
        <v>1786</v>
      </c>
      <c r="B2505" t="s">
        <v>612</v>
      </c>
      <c r="D2505" t="s">
        <v>1898</v>
      </c>
      <c r="E2505" t="str">
        <f t="shared" si="137"/>
        <v>Compra 946 (NFe 3570-1)</v>
      </c>
      <c r="F2505" t="s">
        <v>1272</v>
      </c>
      <c r="G2505" t="s">
        <v>623</v>
      </c>
      <c r="H2505" s="595">
        <v>-606</v>
      </c>
      <c r="I2505" t="str">
        <f t="shared" si="134"/>
        <v>março 2026</v>
      </c>
      <c r="J2505">
        <f t="shared" si="135"/>
        <v>2026</v>
      </c>
      <c r="K2505" t="str">
        <f>VLOOKUP(G2505,METRICS!C:D,2,0)</f>
        <v>Secos - Mercearia</v>
      </c>
      <c r="L2505" t="str">
        <f>VLOOKUP(K2505,METRICS!D:E,2,0)</f>
        <v>CUSTOS DOS PRODUTOS VENDIDOS</v>
      </c>
    </row>
    <row r="2506" spans="1:12" ht="15" hidden="1">
      <c r="A2506" t="s">
        <v>1786</v>
      </c>
      <c r="B2506" t="s">
        <v>612</v>
      </c>
      <c r="D2506" t="s">
        <v>1899</v>
      </c>
      <c r="E2506" t="str">
        <f t="shared" si="137"/>
        <v>Compra 938 (NFe 6427599-5)</v>
      </c>
      <c r="F2506" t="s">
        <v>1272</v>
      </c>
      <c r="G2506" t="s">
        <v>636</v>
      </c>
      <c r="H2506" s="595">
        <v>-1405</v>
      </c>
      <c r="I2506" t="str">
        <f t="shared" si="134"/>
        <v>março 2026</v>
      </c>
      <c r="J2506">
        <f t="shared" si="135"/>
        <v>2026</v>
      </c>
      <c r="K2506" t="str">
        <f>VLOOKUP(G2506,METRICS!C:D,2,0)</f>
        <v>Secos - Mercearia</v>
      </c>
      <c r="L2506" t="str">
        <f>VLOOKUP(K2506,METRICS!D:E,2,0)</f>
        <v>CUSTOS DOS PRODUTOS VENDIDOS</v>
      </c>
    </row>
    <row r="2507" spans="1:12" ht="15" hidden="1">
      <c r="A2507" t="s">
        <v>1786</v>
      </c>
      <c r="B2507" t="s">
        <v>612</v>
      </c>
      <c r="D2507" t="s">
        <v>1900</v>
      </c>
      <c r="E2507" t="str">
        <f t="shared" si="137"/>
        <v>Compra 936 (NFe 4793-0)</v>
      </c>
      <c r="F2507" t="s">
        <v>1272</v>
      </c>
      <c r="G2507" t="s">
        <v>629</v>
      </c>
      <c r="H2507" s="595">
        <v>-2099.7800000000002</v>
      </c>
      <c r="I2507" t="str">
        <f t="shared" ref="I2507:I2566" si="138">TEXT(A2507, "mmmm aaaa")</f>
        <v>março 2026</v>
      </c>
      <c r="J2507">
        <f t="shared" ref="J2507:J2566" si="139">YEAR(A2507)</f>
        <v>2026</v>
      </c>
      <c r="K2507" t="str">
        <f>VLOOKUP(G2507,METRICS!C:D,2,0)</f>
        <v>Material de limpeza</v>
      </c>
      <c r="L2507" t="str">
        <f>VLOOKUP(K2507,METRICS!D:E,2,0)</f>
        <v>OPERAÇÃO</v>
      </c>
    </row>
    <row r="2508" spans="1:12" ht="15" hidden="1">
      <c r="A2508" t="s">
        <v>1786</v>
      </c>
      <c r="B2508" t="s">
        <v>612</v>
      </c>
      <c r="D2508" t="s">
        <v>1901</v>
      </c>
      <c r="E2508" t="str">
        <f t="shared" si="137"/>
        <v>Compra 939 (NFe 50706-1)</v>
      </c>
      <c r="F2508" t="s">
        <v>1272</v>
      </c>
      <c r="G2508" t="s">
        <v>611</v>
      </c>
      <c r="H2508" s="595">
        <v>-4449.8999999999996</v>
      </c>
      <c r="I2508" t="str">
        <f t="shared" si="138"/>
        <v>março 2026</v>
      </c>
      <c r="J2508">
        <f t="shared" si="139"/>
        <v>2026</v>
      </c>
      <c r="K2508" t="str">
        <f>VLOOKUP(G2508,METRICS!C:D,2,0)</f>
        <v>Bebidas Alcoólicas</v>
      </c>
      <c r="L2508" t="str">
        <f>VLOOKUP(K2508,METRICS!D:E,2,0)</f>
        <v>CUSTOS DOS PRODUTOS VENDIDOS</v>
      </c>
    </row>
    <row r="2509" spans="1:12" ht="15" hidden="1">
      <c r="A2509" t="s">
        <v>1786</v>
      </c>
      <c r="B2509" t="s">
        <v>612</v>
      </c>
      <c r="D2509" t="s">
        <v>1902</v>
      </c>
      <c r="E2509" t="str">
        <f t="shared" si="137"/>
        <v>Compra 933 (NFe 93655-1)</v>
      </c>
      <c r="F2509" t="s">
        <v>1272</v>
      </c>
      <c r="G2509" t="s">
        <v>619</v>
      </c>
      <c r="H2509" s="595">
        <v>-509.6</v>
      </c>
      <c r="I2509" t="str">
        <f t="shared" si="138"/>
        <v>março 2026</v>
      </c>
      <c r="J2509">
        <f t="shared" si="139"/>
        <v>2026</v>
      </c>
      <c r="K2509" t="str">
        <f>VLOOKUP(G2509,METRICS!C:D,2,0)</f>
        <v>Gelo</v>
      </c>
      <c r="L2509" t="str">
        <f>VLOOKUP(K2509,METRICS!D:E,2,0)</f>
        <v>CUSTOS DOS PRODUTOS VENDIDOS</v>
      </c>
    </row>
    <row r="2510" spans="1:12" ht="15" hidden="1">
      <c r="A2510" t="s">
        <v>1786</v>
      </c>
      <c r="B2510" t="s">
        <v>612</v>
      </c>
      <c r="D2510" t="s">
        <v>1903</v>
      </c>
      <c r="E2510" t="str">
        <f t="shared" si="137"/>
        <v>Compra 935 (NFe 1316-1)</v>
      </c>
      <c r="F2510" t="s">
        <v>1272</v>
      </c>
      <c r="G2510" t="s">
        <v>620</v>
      </c>
      <c r="H2510" s="595">
        <v>-7090.25</v>
      </c>
      <c r="I2510" t="str">
        <f t="shared" si="138"/>
        <v>março 2026</v>
      </c>
      <c r="J2510">
        <f t="shared" si="139"/>
        <v>2026</v>
      </c>
      <c r="K2510" t="str">
        <f>VLOOKUP(G2510,METRICS!C:D,2,0)</f>
        <v>Hortifruti</v>
      </c>
      <c r="L2510" t="str">
        <f>VLOOKUP(K2510,METRICS!D:E,2,0)</f>
        <v>CUSTOS DOS PRODUTOS VENDIDOS</v>
      </c>
    </row>
    <row r="2511" spans="1:12" ht="15" hidden="1">
      <c r="A2511" t="s">
        <v>1786</v>
      </c>
      <c r="B2511" t="s">
        <v>612</v>
      </c>
      <c r="D2511" t="s">
        <v>1904</v>
      </c>
      <c r="E2511" t="str">
        <f t="shared" si="137"/>
        <v>Compra 942 (NFe 795132-1)</v>
      </c>
      <c r="F2511" t="s">
        <v>1272</v>
      </c>
      <c r="G2511" t="s">
        <v>608</v>
      </c>
      <c r="H2511" s="595">
        <v>-2122.56</v>
      </c>
      <c r="I2511" t="str">
        <f t="shared" si="138"/>
        <v>março 2026</v>
      </c>
      <c r="J2511">
        <f t="shared" si="139"/>
        <v>2026</v>
      </c>
      <c r="K2511" t="str">
        <f>VLOOKUP(G2511,METRICS!C:D,2,0)</f>
        <v>Bebidas não Alcoolicas</v>
      </c>
      <c r="L2511" t="str">
        <f>VLOOKUP(K2511,METRICS!D:E,2,0)</f>
        <v>CUSTOS DOS PRODUTOS VENDIDOS</v>
      </c>
    </row>
    <row r="2512" spans="1:12" ht="15" hidden="1">
      <c r="A2512" t="s">
        <v>1786</v>
      </c>
      <c r="B2512" t="s">
        <v>612</v>
      </c>
      <c r="D2512" t="s">
        <v>1905</v>
      </c>
      <c r="E2512" t="str">
        <f t="shared" si="137"/>
        <v>Compra 947 (NFe 174588-1)</v>
      </c>
      <c r="F2512" t="s">
        <v>1272</v>
      </c>
      <c r="G2512" t="s">
        <v>611</v>
      </c>
      <c r="H2512" s="595">
        <v>-2537.91</v>
      </c>
      <c r="I2512" t="str">
        <f t="shared" si="138"/>
        <v>março 2026</v>
      </c>
      <c r="J2512">
        <f t="shared" si="139"/>
        <v>2026</v>
      </c>
      <c r="K2512" t="str">
        <f>VLOOKUP(G2512,METRICS!C:D,2,0)</f>
        <v>Bebidas Alcoólicas</v>
      </c>
      <c r="L2512" t="str">
        <f>VLOOKUP(K2512,METRICS!D:E,2,0)</f>
        <v>CUSTOS DOS PRODUTOS VENDIDOS</v>
      </c>
    </row>
    <row r="2513" spans="1:12" ht="15" hidden="1">
      <c r="A2513" t="s">
        <v>1786</v>
      </c>
      <c r="B2513" t="s">
        <v>612</v>
      </c>
      <c r="D2513" t="s">
        <v>1906</v>
      </c>
      <c r="E2513" t="str">
        <f t="shared" si="137"/>
        <v>Compra 937 (NFe 162622-1)</v>
      </c>
      <c r="F2513" t="s">
        <v>1272</v>
      </c>
      <c r="G2513" t="s">
        <v>413</v>
      </c>
      <c r="H2513" s="595">
        <v>-165</v>
      </c>
      <c r="I2513" t="str">
        <f t="shared" si="138"/>
        <v>março 2026</v>
      </c>
      <c r="J2513">
        <f t="shared" si="139"/>
        <v>2026</v>
      </c>
      <c r="K2513" t="str">
        <f>VLOOKUP(G2513,METRICS!C:D,2,0)</f>
        <v>Pescados</v>
      </c>
      <c r="L2513" t="str">
        <f>VLOOKUP(K2513,METRICS!D:E,2,0)</f>
        <v>CUSTOS DOS PRODUTOS VENDIDOS</v>
      </c>
    </row>
    <row r="2514" spans="1:12" ht="15" hidden="1">
      <c r="A2514" t="s">
        <v>1786</v>
      </c>
      <c r="B2514" t="s">
        <v>612</v>
      </c>
      <c r="D2514" t="s">
        <v>1907</v>
      </c>
      <c r="E2514" t="str">
        <f t="shared" si="137"/>
        <v>Compra 940 (NFe 40163-1)</v>
      </c>
      <c r="F2514" t="s">
        <v>1272</v>
      </c>
      <c r="G2514" t="s">
        <v>610</v>
      </c>
      <c r="H2514" s="595">
        <v>-3352</v>
      </c>
      <c r="I2514" t="str">
        <f t="shared" si="138"/>
        <v>março 2026</v>
      </c>
      <c r="J2514">
        <f t="shared" si="139"/>
        <v>2026</v>
      </c>
      <c r="K2514" t="str">
        <f>VLOOKUP(G2514,METRICS!C:D,2,0)</f>
        <v>Carvão</v>
      </c>
      <c r="L2514" t="str">
        <f>VLOOKUP(K2514,METRICS!D:E,2,0)</f>
        <v>CUSTOS DOS PRODUTOS VENDIDOS</v>
      </c>
    </row>
    <row r="2515" spans="1:12" ht="15" hidden="1">
      <c r="A2515" t="s">
        <v>1786</v>
      </c>
      <c r="B2515" t="s">
        <v>612</v>
      </c>
      <c r="D2515" t="s">
        <v>1908</v>
      </c>
      <c r="E2515" t="str">
        <f t="shared" si="137"/>
        <v>Compra 943 (NFe 378443-1)</v>
      </c>
      <c r="F2515" t="s">
        <v>1272</v>
      </c>
      <c r="G2515" t="s">
        <v>630</v>
      </c>
      <c r="H2515" s="595">
        <v>-1668.64</v>
      </c>
      <c r="I2515" t="str">
        <f t="shared" si="138"/>
        <v>março 2026</v>
      </c>
      <c r="J2515">
        <f t="shared" si="139"/>
        <v>2026</v>
      </c>
      <c r="K2515" t="str">
        <f>VLOOKUP(G2515,METRICS!C:D,2,0)</f>
        <v>Material de Copa e Limpeza</v>
      </c>
      <c r="L2515" t="str">
        <f>VLOOKUP(K2515,METRICS!D:E,2,0)</f>
        <v>ADMINISTRATIVA</v>
      </c>
    </row>
    <row r="2516" spans="1:12" ht="15" hidden="1">
      <c r="A2516" t="s">
        <v>1786</v>
      </c>
      <c r="B2516" t="s">
        <v>612</v>
      </c>
      <c r="D2516" t="s">
        <v>1909</v>
      </c>
      <c r="E2516" t="str">
        <f t="shared" si="137"/>
        <v>Compra 945 (NFe 8183-1)</v>
      </c>
      <c r="F2516" t="s">
        <v>1272</v>
      </c>
      <c r="G2516" t="s">
        <v>636</v>
      </c>
      <c r="H2516" s="595">
        <v>-312</v>
      </c>
      <c r="I2516" t="str">
        <f t="shared" si="138"/>
        <v>março 2026</v>
      </c>
      <c r="J2516">
        <f t="shared" si="139"/>
        <v>2026</v>
      </c>
      <c r="K2516" t="str">
        <f>VLOOKUP(G2516,METRICS!C:D,2,0)</f>
        <v>Secos - Mercearia</v>
      </c>
      <c r="L2516" t="str">
        <f>VLOOKUP(K2516,METRICS!D:E,2,0)</f>
        <v>CUSTOS DOS PRODUTOS VENDIDOS</v>
      </c>
    </row>
    <row r="2517" spans="1:12" ht="15" hidden="1">
      <c r="A2517" t="s">
        <v>1786</v>
      </c>
      <c r="B2517" t="s">
        <v>612</v>
      </c>
      <c r="D2517" t="s">
        <v>1910</v>
      </c>
      <c r="E2517" t="s">
        <v>936</v>
      </c>
      <c r="F2517" t="s">
        <v>1272</v>
      </c>
      <c r="G2517" s="518" t="s">
        <v>283</v>
      </c>
      <c r="H2517" s="595">
        <v>-3102</v>
      </c>
      <c r="I2517" t="str">
        <f t="shared" si="138"/>
        <v>março 2026</v>
      </c>
      <c r="J2517">
        <f t="shared" si="139"/>
        <v>2026</v>
      </c>
      <c r="K2517" t="str">
        <f>VLOOKUP(G2517,METRICS!C:D,2,0)</f>
        <v>Hostess</v>
      </c>
      <c r="L2517" t="str">
        <f>VLOOKUP(K2517,METRICS!D:E,2,0)</f>
        <v>OPERAÇÃO</v>
      </c>
    </row>
    <row r="2518" spans="1:12" ht="15" hidden="1">
      <c r="A2518" t="s">
        <v>1786</v>
      </c>
      <c r="B2518" t="s">
        <v>612</v>
      </c>
      <c r="D2518" t="s">
        <v>1911</v>
      </c>
      <c r="E2518" t="str">
        <f t="shared" si="137"/>
        <v>Compra 934 (NFe 44848-1)</v>
      </c>
      <c r="F2518" t="s">
        <v>1272</v>
      </c>
      <c r="G2518" t="s">
        <v>620</v>
      </c>
      <c r="H2518" s="595">
        <v>-288.36</v>
      </c>
      <c r="I2518" t="str">
        <f t="shared" si="138"/>
        <v>março 2026</v>
      </c>
      <c r="J2518">
        <f t="shared" si="139"/>
        <v>2026</v>
      </c>
      <c r="K2518" t="str">
        <f>VLOOKUP(G2518,METRICS!C:D,2,0)</f>
        <v>Hortifruti</v>
      </c>
      <c r="L2518" t="str">
        <f>VLOOKUP(K2518,METRICS!D:E,2,0)</f>
        <v>CUSTOS DOS PRODUTOS VENDIDOS</v>
      </c>
    </row>
    <row r="2519" spans="1:12" ht="15" hidden="1">
      <c r="A2519" t="s">
        <v>1786</v>
      </c>
      <c r="B2519" t="s">
        <v>612</v>
      </c>
      <c r="C2519" t="s">
        <v>690</v>
      </c>
      <c r="D2519" t="s">
        <v>2195</v>
      </c>
      <c r="E2519" t="s">
        <v>993</v>
      </c>
      <c r="F2519" t="s">
        <v>1272</v>
      </c>
      <c r="G2519" t="s">
        <v>661</v>
      </c>
      <c r="H2519" s="595">
        <v>-9000</v>
      </c>
      <c r="I2519" t="str">
        <f t="shared" si="138"/>
        <v>março 2026</v>
      </c>
      <c r="J2519">
        <f t="shared" si="139"/>
        <v>2026</v>
      </c>
      <c r="K2519" t="str">
        <f>VLOOKUP(G2519,METRICS!C:D,2,0)</f>
        <v>Consultoria OP</v>
      </c>
      <c r="L2519" t="str">
        <f>VLOOKUP(K2519,METRICS!D:E,2,0)</f>
        <v>OPERAÇÃO</v>
      </c>
    </row>
    <row r="2520" spans="1:12" ht="15" hidden="1">
      <c r="A2520" t="s">
        <v>1786</v>
      </c>
      <c r="B2520" t="s">
        <v>689</v>
      </c>
      <c r="D2520" t="s">
        <v>756</v>
      </c>
      <c r="E2520" t="str">
        <f t="shared" si="137"/>
        <v>Tarifa Avulsa Envio Pix</v>
      </c>
      <c r="F2520" t="s">
        <v>1272</v>
      </c>
      <c r="G2520" t="s">
        <v>666</v>
      </c>
      <c r="H2520" s="595">
        <v>-39.6</v>
      </c>
      <c r="I2520" t="str">
        <f t="shared" si="138"/>
        <v>março 2026</v>
      </c>
      <c r="J2520">
        <f t="shared" si="139"/>
        <v>2026</v>
      </c>
      <c r="K2520" t="str">
        <f>VLOOKUP(G2520,METRICS!C:D,2,0)</f>
        <v>Encargos Bancarios</v>
      </c>
      <c r="L2520" t="str">
        <f>VLOOKUP(K2520,METRICS!D:E,2,0)</f>
        <v>DESPESAS FINANCEIRAS</v>
      </c>
    </row>
    <row r="2521" spans="1:12" ht="15" hidden="1">
      <c r="A2521" t="s">
        <v>1787</v>
      </c>
      <c r="B2521" t="s">
        <v>612</v>
      </c>
      <c r="D2521" t="s">
        <v>1912</v>
      </c>
      <c r="E2521" t="str">
        <f t="shared" si="137"/>
        <v>Compra 952 (NFe 295542-1)</v>
      </c>
      <c r="F2521" t="s">
        <v>1272</v>
      </c>
      <c r="G2521" t="s">
        <v>608</v>
      </c>
      <c r="H2521" s="595">
        <v>-3430.8</v>
      </c>
      <c r="I2521" t="str">
        <f t="shared" si="138"/>
        <v>março 2026</v>
      </c>
      <c r="J2521">
        <f t="shared" si="139"/>
        <v>2026</v>
      </c>
      <c r="K2521" t="str">
        <f>VLOOKUP(G2521,METRICS!C:D,2,0)</f>
        <v>Bebidas não Alcoolicas</v>
      </c>
      <c r="L2521" t="str">
        <f>VLOOKUP(K2521,METRICS!D:E,2,0)</f>
        <v>CUSTOS DOS PRODUTOS VENDIDOS</v>
      </c>
    </row>
    <row r="2522" spans="1:12" ht="15" hidden="1">
      <c r="A2522" t="s">
        <v>1787</v>
      </c>
      <c r="B2522" t="s">
        <v>612</v>
      </c>
      <c r="D2522" t="s">
        <v>1913</v>
      </c>
      <c r="E2522" t="str">
        <f t="shared" si="137"/>
        <v>Compra 962 (NFe 312240-1)</v>
      </c>
      <c r="F2522" t="s">
        <v>1272</v>
      </c>
      <c r="G2522" t="s">
        <v>609</v>
      </c>
      <c r="H2522" s="595">
        <v>-1318.9</v>
      </c>
      <c r="I2522" t="str">
        <f t="shared" si="138"/>
        <v>março 2026</v>
      </c>
      <c r="J2522">
        <f t="shared" si="139"/>
        <v>2026</v>
      </c>
      <c r="K2522" t="str">
        <f>VLOOKUP(G2522,METRICS!C:D,2,0)</f>
        <v>Carnes e Aves</v>
      </c>
      <c r="L2522" t="str">
        <f>VLOOKUP(K2522,METRICS!D:E,2,0)</f>
        <v>CUSTOS DOS PRODUTOS VENDIDOS</v>
      </c>
    </row>
    <row r="2523" spans="1:12" ht="15" hidden="1">
      <c r="A2523" t="s">
        <v>1787</v>
      </c>
      <c r="B2523" t="s">
        <v>612</v>
      </c>
      <c r="D2523" t="s">
        <v>1914</v>
      </c>
      <c r="E2523" t="str">
        <f t="shared" si="137"/>
        <v>Compra 956 (NFe 10200-1)</v>
      </c>
      <c r="F2523" t="s">
        <v>1272</v>
      </c>
      <c r="G2523" t="s">
        <v>641</v>
      </c>
      <c r="H2523" s="595">
        <v>-6687.66</v>
      </c>
      <c r="I2523" t="str">
        <f t="shared" si="138"/>
        <v>março 2026</v>
      </c>
      <c r="J2523">
        <f t="shared" si="139"/>
        <v>2026</v>
      </c>
      <c r="K2523" t="str">
        <f>VLOOKUP(G2523,METRICS!C:D,2,0)</f>
        <v>Vinhos/Espumantes</v>
      </c>
      <c r="L2523" t="str">
        <f>VLOOKUP(K2523,METRICS!D:E,2,0)</f>
        <v>CUSTOS DOS PRODUTOS VENDIDOS</v>
      </c>
    </row>
    <row r="2524" spans="1:12" ht="15" hidden="1">
      <c r="A2524" t="s">
        <v>1787</v>
      </c>
      <c r="B2524" t="s">
        <v>689</v>
      </c>
      <c r="D2524" t="s">
        <v>967</v>
      </c>
      <c r="E2524" t="str">
        <f t="shared" si="137"/>
        <v>LOCACAO DE PURIFICADORES DE AGUA REF AO PERIODO:  01/11/25 30/11/25</v>
      </c>
      <c r="F2524" t="s">
        <v>1272</v>
      </c>
      <c r="G2524" t="s">
        <v>657</v>
      </c>
      <c r="H2524" s="595">
        <v>-269.7</v>
      </c>
      <c r="I2524" t="str">
        <f t="shared" si="138"/>
        <v>março 2026</v>
      </c>
      <c r="J2524">
        <f t="shared" si="139"/>
        <v>2026</v>
      </c>
      <c r="K2524" t="str">
        <f>VLOOKUP(G2524,METRICS!C:D,2,0)</f>
        <v>Aluguel de Maquinas</v>
      </c>
      <c r="L2524" t="str">
        <f>VLOOKUP(K2524,METRICS!D:E,2,0)</f>
        <v>OPERAÇÃO</v>
      </c>
    </row>
    <row r="2525" spans="1:12" ht="15" hidden="1">
      <c r="A2525" t="s">
        <v>1787</v>
      </c>
      <c r="B2525" t="s">
        <v>612</v>
      </c>
      <c r="D2525" t="s">
        <v>1915</v>
      </c>
      <c r="E2525" t="str">
        <f t="shared" si="137"/>
        <v>Compra 959 (NFe 312530-1)</v>
      </c>
      <c r="F2525" t="s">
        <v>1272</v>
      </c>
      <c r="G2525" t="s">
        <v>623</v>
      </c>
      <c r="H2525" s="595">
        <v>-407</v>
      </c>
      <c r="I2525" t="str">
        <f t="shared" si="138"/>
        <v>março 2026</v>
      </c>
      <c r="J2525">
        <f t="shared" si="139"/>
        <v>2026</v>
      </c>
      <c r="K2525" t="str">
        <f>VLOOKUP(G2525,METRICS!C:D,2,0)</f>
        <v>Secos - Mercearia</v>
      </c>
      <c r="L2525" t="str">
        <f>VLOOKUP(K2525,METRICS!D:E,2,0)</f>
        <v>CUSTOS DOS PRODUTOS VENDIDOS</v>
      </c>
    </row>
    <row r="2526" spans="1:12" ht="15" hidden="1">
      <c r="A2526" t="s">
        <v>1787</v>
      </c>
      <c r="B2526" t="s">
        <v>612</v>
      </c>
      <c r="D2526" t="s">
        <v>1916</v>
      </c>
      <c r="E2526" t="str">
        <f t="shared" si="137"/>
        <v>Compra 950 (NFe 68938-1)</v>
      </c>
      <c r="F2526" t="s">
        <v>1272</v>
      </c>
      <c r="G2526" t="s">
        <v>636</v>
      </c>
      <c r="H2526" s="595">
        <v>-2297.98</v>
      </c>
      <c r="I2526" t="str">
        <f t="shared" si="138"/>
        <v>março 2026</v>
      </c>
      <c r="J2526">
        <f t="shared" si="139"/>
        <v>2026</v>
      </c>
      <c r="K2526" t="str">
        <f>VLOOKUP(G2526,METRICS!C:D,2,0)</f>
        <v>Secos - Mercearia</v>
      </c>
      <c r="L2526" t="str">
        <f>VLOOKUP(K2526,METRICS!D:E,2,0)</f>
        <v>CUSTOS DOS PRODUTOS VENDIDOS</v>
      </c>
    </row>
    <row r="2527" spans="1:12" ht="15" hidden="1">
      <c r="A2527" t="s">
        <v>1787</v>
      </c>
      <c r="B2527" t="s">
        <v>612</v>
      </c>
      <c r="D2527" t="s">
        <v>1917</v>
      </c>
      <c r="E2527" t="str">
        <f t="shared" si="137"/>
        <v>Compra 960 (NFe 688284-1)</v>
      </c>
      <c r="F2527" t="s">
        <v>1272</v>
      </c>
      <c r="G2527" t="s">
        <v>636</v>
      </c>
      <c r="H2527" s="595">
        <v>-1382.15</v>
      </c>
      <c r="I2527" t="str">
        <f t="shared" si="138"/>
        <v>março 2026</v>
      </c>
      <c r="J2527">
        <f t="shared" si="139"/>
        <v>2026</v>
      </c>
      <c r="K2527" t="str">
        <f>VLOOKUP(G2527,METRICS!C:D,2,0)</f>
        <v>Secos - Mercearia</v>
      </c>
      <c r="L2527" t="str">
        <f>VLOOKUP(K2527,METRICS!D:E,2,0)</f>
        <v>CUSTOS DOS PRODUTOS VENDIDOS</v>
      </c>
    </row>
    <row r="2528" spans="1:12" ht="15" hidden="1">
      <c r="A2528" t="s">
        <v>1787</v>
      </c>
      <c r="B2528" t="s">
        <v>689</v>
      </c>
      <c r="D2528" t="s">
        <v>2425</v>
      </c>
      <c r="E2528" s="518" t="s">
        <v>1672</v>
      </c>
      <c r="F2528" t="s">
        <v>1272</v>
      </c>
      <c r="G2528" s="518" t="s">
        <v>2231</v>
      </c>
      <c r="H2528" s="595">
        <v>-2097.46</v>
      </c>
      <c r="I2528" t="str">
        <f t="shared" si="138"/>
        <v>março 2026</v>
      </c>
      <c r="J2528">
        <f t="shared" si="139"/>
        <v>2026</v>
      </c>
      <c r="K2528" t="e">
        <f>VLOOKUP(G2528,METRICS!C:D,2,0)</f>
        <v>#N/A</v>
      </c>
      <c r="L2528" t="e">
        <f>VLOOKUP(K2528,METRICS!D:E,2,0)</f>
        <v>#N/A</v>
      </c>
    </row>
    <row r="2529" spans="1:12" ht="15" hidden="1">
      <c r="A2529" t="s">
        <v>1787</v>
      </c>
      <c r="B2529" t="s">
        <v>612</v>
      </c>
      <c r="D2529" t="s">
        <v>1918</v>
      </c>
      <c r="E2529" t="str">
        <f t="shared" si="137"/>
        <v>Compra 949 (NFe 3435-1)</v>
      </c>
      <c r="F2529" t="s">
        <v>1272</v>
      </c>
      <c r="G2529" t="s">
        <v>413</v>
      </c>
      <c r="H2529" s="595">
        <v>-2397</v>
      </c>
      <c r="I2529" t="str">
        <f t="shared" si="138"/>
        <v>março 2026</v>
      </c>
      <c r="J2529">
        <f t="shared" si="139"/>
        <v>2026</v>
      </c>
      <c r="K2529" t="str">
        <f>VLOOKUP(G2529,METRICS!C:D,2,0)</f>
        <v>Pescados</v>
      </c>
      <c r="L2529" t="str">
        <f>VLOOKUP(K2529,METRICS!D:E,2,0)</f>
        <v>CUSTOS DOS PRODUTOS VENDIDOS</v>
      </c>
    </row>
    <row r="2530" spans="1:12" ht="15" hidden="1">
      <c r="A2530" t="s">
        <v>1787</v>
      </c>
      <c r="B2530" t="s">
        <v>612</v>
      </c>
      <c r="D2530" t="s">
        <v>1919</v>
      </c>
      <c r="E2530" t="str">
        <f t="shared" si="137"/>
        <v>Compra 964 (NFe 499034-2)</v>
      </c>
      <c r="F2530" t="s">
        <v>1272</v>
      </c>
      <c r="G2530" t="s">
        <v>609</v>
      </c>
      <c r="H2530" s="595">
        <v>-14440.08</v>
      </c>
      <c r="I2530" t="str">
        <f t="shared" si="138"/>
        <v>março 2026</v>
      </c>
      <c r="J2530">
        <f t="shared" si="139"/>
        <v>2026</v>
      </c>
      <c r="K2530" t="str">
        <f>VLOOKUP(G2530,METRICS!C:D,2,0)</f>
        <v>Carnes e Aves</v>
      </c>
      <c r="L2530" t="str">
        <f>VLOOKUP(K2530,METRICS!D:E,2,0)</f>
        <v>CUSTOS DOS PRODUTOS VENDIDOS</v>
      </c>
    </row>
    <row r="2531" spans="1:12" ht="15" hidden="1">
      <c r="A2531" t="s">
        <v>1787</v>
      </c>
      <c r="B2531" t="s">
        <v>612</v>
      </c>
      <c r="D2531" t="s">
        <v>1920</v>
      </c>
      <c r="E2531" t="str">
        <f t="shared" si="137"/>
        <v>Compra 963 (NFe 13539-1)</v>
      </c>
      <c r="F2531" t="s">
        <v>1272</v>
      </c>
      <c r="G2531" t="s">
        <v>633</v>
      </c>
      <c r="H2531" s="595">
        <v>-2999</v>
      </c>
      <c r="I2531" t="str">
        <f t="shared" si="138"/>
        <v>março 2026</v>
      </c>
      <c r="J2531">
        <f t="shared" si="139"/>
        <v>2026</v>
      </c>
      <c r="K2531" t="str">
        <f>VLOOKUP(G2531,METRICS!C:D,2,0)</f>
        <v>Paes, Massas e Salgados</v>
      </c>
      <c r="L2531" t="str">
        <f>VLOOKUP(K2531,METRICS!D:E,2,0)</f>
        <v>CUSTOS DOS PRODUTOS VENDIDOS</v>
      </c>
    </row>
    <row r="2532" spans="1:12" ht="15" hidden="1">
      <c r="A2532" t="s">
        <v>1787</v>
      </c>
      <c r="B2532" t="s">
        <v>612</v>
      </c>
      <c r="D2532" t="s">
        <v>1921</v>
      </c>
      <c r="E2532" t="str">
        <f t="shared" si="137"/>
        <v>Compra 957 (NFe 44888-1)</v>
      </c>
      <c r="F2532" t="s">
        <v>1272</v>
      </c>
      <c r="G2532" t="s">
        <v>620</v>
      </c>
      <c r="H2532" s="595">
        <v>-1381.54</v>
      </c>
      <c r="I2532" t="str">
        <f t="shared" si="138"/>
        <v>março 2026</v>
      </c>
      <c r="J2532">
        <f t="shared" si="139"/>
        <v>2026</v>
      </c>
      <c r="K2532" t="str">
        <f>VLOOKUP(G2532,METRICS!C:D,2,0)</f>
        <v>Hortifruti</v>
      </c>
      <c r="L2532" t="str">
        <f>VLOOKUP(K2532,METRICS!D:E,2,0)</f>
        <v>CUSTOS DOS PRODUTOS VENDIDOS</v>
      </c>
    </row>
    <row r="2533" spans="1:12" ht="15" hidden="1">
      <c r="A2533" t="s">
        <v>1787</v>
      </c>
      <c r="B2533" t="s">
        <v>612</v>
      </c>
      <c r="D2533" t="s">
        <v>1922</v>
      </c>
      <c r="E2533" t="str">
        <f t="shared" si="137"/>
        <v>Compra 958 (NFe 761570-1)</v>
      </c>
      <c r="F2533" t="s">
        <v>1272</v>
      </c>
      <c r="G2533" t="s">
        <v>607</v>
      </c>
      <c r="H2533" s="595">
        <v>-13822.28</v>
      </c>
      <c r="I2533" t="str">
        <f t="shared" si="138"/>
        <v>março 2026</v>
      </c>
      <c r="J2533">
        <f t="shared" si="139"/>
        <v>2026</v>
      </c>
      <c r="K2533" t="str">
        <f>VLOOKUP(G2533,METRICS!C:D,2,0)</f>
        <v>Bebidas Alcoólicas</v>
      </c>
      <c r="L2533" t="str">
        <f>VLOOKUP(K2533,METRICS!D:E,2,0)</f>
        <v>CUSTOS DOS PRODUTOS VENDIDOS</v>
      </c>
    </row>
    <row r="2534" spans="1:12" ht="15" hidden="1">
      <c r="A2534" t="s">
        <v>1787</v>
      </c>
      <c r="B2534" t="s">
        <v>612</v>
      </c>
      <c r="D2534" t="s">
        <v>1923</v>
      </c>
      <c r="E2534" t="str">
        <f t="shared" si="137"/>
        <v>Compra 948 (NFe 4118487-1)</v>
      </c>
      <c r="F2534" t="s">
        <v>1272</v>
      </c>
      <c r="G2534" t="s">
        <v>636</v>
      </c>
      <c r="H2534" s="595">
        <v>-5541.4</v>
      </c>
      <c r="I2534" t="str">
        <f t="shared" si="138"/>
        <v>março 2026</v>
      </c>
      <c r="J2534">
        <f t="shared" si="139"/>
        <v>2026</v>
      </c>
      <c r="K2534" t="str">
        <f>VLOOKUP(G2534,METRICS!C:D,2,0)</f>
        <v>Secos - Mercearia</v>
      </c>
      <c r="L2534" t="str">
        <f>VLOOKUP(K2534,METRICS!D:E,2,0)</f>
        <v>CUSTOS DOS PRODUTOS VENDIDOS</v>
      </c>
    </row>
    <row r="2535" spans="1:12" ht="15" hidden="1">
      <c r="A2535" t="s">
        <v>1787</v>
      </c>
      <c r="B2535" t="s">
        <v>612</v>
      </c>
      <c r="D2535" t="s">
        <v>1924</v>
      </c>
      <c r="E2535" t="str">
        <f t="shared" si="137"/>
        <v>Compra 961 (NFe 2599081-1)</v>
      </c>
      <c r="F2535" t="s">
        <v>1272</v>
      </c>
      <c r="G2535" t="s">
        <v>623</v>
      </c>
      <c r="H2535" s="595">
        <v>-1152</v>
      </c>
      <c r="I2535" t="str">
        <f t="shared" si="138"/>
        <v>março 2026</v>
      </c>
      <c r="J2535">
        <f t="shared" si="139"/>
        <v>2026</v>
      </c>
      <c r="K2535" t="str">
        <f>VLOOKUP(G2535,METRICS!C:D,2,0)</f>
        <v>Secos - Mercearia</v>
      </c>
      <c r="L2535" t="str">
        <f>VLOOKUP(K2535,METRICS!D:E,2,0)</f>
        <v>CUSTOS DOS PRODUTOS VENDIDOS</v>
      </c>
    </row>
    <row r="2536" spans="1:12" ht="15" hidden="1">
      <c r="A2536" t="s">
        <v>1787</v>
      </c>
      <c r="B2536" t="s">
        <v>612</v>
      </c>
      <c r="D2536" t="s">
        <v>1925</v>
      </c>
      <c r="E2536" t="str">
        <f t="shared" si="137"/>
        <v>Compra 951 (NFe 111953-1)</v>
      </c>
      <c r="F2536" t="s">
        <v>1272</v>
      </c>
      <c r="G2536" t="s">
        <v>413</v>
      </c>
      <c r="H2536" s="595">
        <v>-4777.5</v>
      </c>
      <c r="I2536" t="str">
        <f t="shared" si="138"/>
        <v>março 2026</v>
      </c>
      <c r="J2536">
        <f t="shared" si="139"/>
        <v>2026</v>
      </c>
      <c r="K2536" t="str">
        <f>VLOOKUP(G2536,METRICS!C:D,2,0)</f>
        <v>Pescados</v>
      </c>
      <c r="L2536" t="str">
        <f>VLOOKUP(K2536,METRICS!D:E,2,0)</f>
        <v>CUSTOS DOS PRODUTOS VENDIDOS</v>
      </c>
    </row>
    <row r="2537" spans="1:12" ht="15" hidden="1">
      <c r="A2537" t="s">
        <v>1787</v>
      </c>
      <c r="B2537" t="s">
        <v>612</v>
      </c>
      <c r="D2537" t="s">
        <v>1926</v>
      </c>
      <c r="E2537" t="str">
        <f t="shared" si="137"/>
        <v>Compra 953 (NFe 93736-1)</v>
      </c>
      <c r="F2537" t="s">
        <v>1272</v>
      </c>
      <c r="G2537" t="s">
        <v>619</v>
      </c>
      <c r="H2537" s="595">
        <v>-509.6</v>
      </c>
      <c r="I2537" t="str">
        <f t="shared" si="138"/>
        <v>março 2026</v>
      </c>
      <c r="J2537">
        <f t="shared" si="139"/>
        <v>2026</v>
      </c>
      <c r="K2537" t="str">
        <f>VLOOKUP(G2537,METRICS!C:D,2,0)</f>
        <v>Gelo</v>
      </c>
      <c r="L2537" t="str">
        <f>VLOOKUP(K2537,METRICS!D:E,2,0)</f>
        <v>CUSTOS DOS PRODUTOS VENDIDOS</v>
      </c>
    </row>
    <row r="2538" spans="1:12" ht="15" hidden="1">
      <c r="A2538" t="s">
        <v>1788</v>
      </c>
      <c r="B2538" t="s">
        <v>689</v>
      </c>
      <c r="D2538" t="s">
        <v>1500</v>
      </c>
      <c r="E2538" t="str">
        <f t="shared" si="137"/>
        <v>Pagamento Fornecedor</v>
      </c>
      <c r="F2538" t="s">
        <v>1272</v>
      </c>
      <c r="G2538" t="s">
        <v>625</v>
      </c>
      <c r="H2538" s="595">
        <v>-690</v>
      </c>
      <c r="I2538" t="str">
        <f t="shared" si="138"/>
        <v>março 2026</v>
      </c>
      <c r="J2538">
        <f t="shared" si="139"/>
        <v>2026</v>
      </c>
      <c r="K2538" t="str">
        <f>VLOOKUP(G2538,METRICS!C:D,2,0)</f>
        <v>Manutenção e Conservação</v>
      </c>
      <c r="L2538" t="str">
        <f>VLOOKUP(K2538,METRICS!D:E,2,0)</f>
        <v>OPERAÇÃO</v>
      </c>
    </row>
    <row r="2539" spans="1:12" ht="15" hidden="1">
      <c r="A2539" t="s">
        <v>1788</v>
      </c>
      <c r="B2539" t="s">
        <v>612</v>
      </c>
      <c r="D2539" t="s">
        <v>1927</v>
      </c>
      <c r="E2539" t="str">
        <f t="shared" si="137"/>
        <v>Compra 970 (NFe 54342-1)</v>
      </c>
      <c r="F2539" t="s">
        <v>1272</v>
      </c>
      <c r="G2539" t="s">
        <v>633</v>
      </c>
      <c r="H2539" s="595">
        <v>-576</v>
      </c>
      <c r="I2539" t="str">
        <f t="shared" si="138"/>
        <v>março 2026</v>
      </c>
      <c r="J2539">
        <f t="shared" si="139"/>
        <v>2026</v>
      </c>
      <c r="K2539" t="str">
        <f>VLOOKUP(G2539,METRICS!C:D,2,0)</f>
        <v>Paes, Massas e Salgados</v>
      </c>
      <c r="L2539" t="str">
        <f>VLOOKUP(K2539,METRICS!D:E,2,0)</f>
        <v>CUSTOS DOS PRODUTOS VENDIDOS</v>
      </c>
    </row>
    <row r="2540" spans="1:12" ht="15" hidden="1">
      <c r="A2540" t="s">
        <v>1788</v>
      </c>
      <c r="B2540" t="s">
        <v>612</v>
      </c>
      <c r="D2540" t="s">
        <v>1928</v>
      </c>
      <c r="E2540" t="str">
        <f t="shared" si="137"/>
        <v>Compra 966 (NFe 43968-2)</v>
      </c>
      <c r="F2540" t="s">
        <v>1272</v>
      </c>
      <c r="G2540" t="s">
        <v>607</v>
      </c>
      <c r="H2540" s="595">
        <v>-2039</v>
      </c>
      <c r="I2540" t="str">
        <f t="shared" si="138"/>
        <v>março 2026</v>
      </c>
      <c r="J2540">
        <f t="shared" si="139"/>
        <v>2026</v>
      </c>
      <c r="K2540" t="str">
        <f>VLOOKUP(G2540,METRICS!C:D,2,0)</f>
        <v>Bebidas Alcoólicas</v>
      </c>
      <c r="L2540" t="str">
        <f>VLOOKUP(K2540,METRICS!D:E,2,0)</f>
        <v>CUSTOS DOS PRODUTOS VENDIDOS</v>
      </c>
    </row>
    <row r="2541" spans="1:12" ht="15" hidden="1">
      <c r="A2541" t="s">
        <v>1788</v>
      </c>
      <c r="B2541" t="s">
        <v>689</v>
      </c>
      <c r="D2541" s="518" t="s">
        <v>2225</v>
      </c>
      <c r="E2541" t="str">
        <f t="shared" si="137"/>
        <v>VERBAS RESCISORIAS JANAINA</v>
      </c>
      <c r="F2541" t="s">
        <v>1272</v>
      </c>
      <c r="G2541" t="s">
        <v>643</v>
      </c>
      <c r="H2541" s="595">
        <v>-5608.72</v>
      </c>
      <c r="I2541" t="str">
        <f t="shared" si="138"/>
        <v>março 2026</v>
      </c>
      <c r="J2541">
        <f t="shared" si="139"/>
        <v>2026</v>
      </c>
      <c r="K2541" t="str">
        <f>VLOOKUP(G2541,METRICS!C:D,2,0)</f>
        <v>Rescisões Trabalhistas</v>
      </c>
      <c r="L2541" t="str">
        <f>VLOOKUP(K2541,METRICS!D:E,2,0)</f>
        <v>PESSOAL</v>
      </c>
    </row>
    <row r="2542" spans="1:12" ht="15" hidden="1">
      <c r="A2542" t="s">
        <v>1788</v>
      </c>
      <c r="B2542" t="s">
        <v>689</v>
      </c>
      <c r="D2542" t="s">
        <v>1500</v>
      </c>
      <c r="E2542" t="str">
        <f t="shared" si="137"/>
        <v>Pagamento Fornecedor</v>
      </c>
      <c r="F2542" t="s">
        <v>1272</v>
      </c>
      <c r="G2542" t="s">
        <v>625</v>
      </c>
      <c r="H2542" s="595">
        <v>-1930</v>
      </c>
      <c r="I2542" t="str">
        <f t="shared" si="138"/>
        <v>março 2026</v>
      </c>
      <c r="J2542">
        <f t="shared" si="139"/>
        <v>2026</v>
      </c>
      <c r="K2542" t="str">
        <f>VLOOKUP(G2542,METRICS!C:D,2,0)</f>
        <v>Manutenção e Conservação</v>
      </c>
      <c r="L2542" t="str">
        <f>VLOOKUP(K2542,METRICS!D:E,2,0)</f>
        <v>OPERAÇÃO</v>
      </c>
    </row>
    <row r="2543" spans="1:12" ht="15" hidden="1">
      <c r="A2543" t="s">
        <v>1788</v>
      </c>
      <c r="B2543" t="s">
        <v>612</v>
      </c>
      <c r="D2543" t="s">
        <v>1929</v>
      </c>
      <c r="E2543" t="str">
        <f t="shared" si="137"/>
        <v>Compra 968 (NFe 5667838-1)</v>
      </c>
      <c r="F2543" t="s">
        <v>1272</v>
      </c>
      <c r="G2543" t="s">
        <v>623</v>
      </c>
      <c r="H2543" s="595">
        <v>-1793.41</v>
      </c>
      <c r="I2543" t="str">
        <f t="shared" si="138"/>
        <v>março 2026</v>
      </c>
      <c r="J2543">
        <f t="shared" si="139"/>
        <v>2026</v>
      </c>
      <c r="K2543" t="str">
        <f>VLOOKUP(G2543,METRICS!C:D,2,0)</f>
        <v>Secos - Mercearia</v>
      </c>
      <c r="L2543" t="str">
        <f>VLOOKUP(K2543,METRICS!D:E,2,0)</f>
        <v>CUSTOS DOS PRODUTOS VENDIDOS</v>
      </c>
    </row>
    <row r="2544" spans="1:12" ht="15" hidden="1">
      <c r="A2544" t="s">
        <v>1788</v>
      </c>
      <c r="B2544" t="s">
        <v>612</v>
      </c>
      <c r="D2544" t="s">
        <v>1930</v>
      </c>
      <c r="E2544" t="str">
        <f t="shared" si="137"/>
        <v>Compra 969 (NFe 13203-1)</v>
      </c>
      <c r="F2544" t="s">
        <v>1272</v>
      </c>
      <c r="G2544" t="s">
        <v>636</v>
      </c>
      <c r="H2544" s="595">
        <v>-1003.9</v>
      </c>
      <c r="I2544" t="str">
        <f t="shared" si="138"/>
        <v>março 2026</v>
      </c>
      <c r="J2544">
        <f t="shared" si="139"/>
        <v>2026</v>
      </c>
      <c r="K2544" t="str">
        <f>VLOOKUP(G2544,METRICS!C:D,2,0)</f>
        <v>Secos - Mercearia</v>
      </c>
      <c r="L2544" t="str">
        <f>VLOOKUP(K2544,METRICS!D:E,2,0)</f>
        <v>CUSTOS DOS PRODUTOS VENDIDOS</v>
      </c>
    </row>
    <row r="2545" spans="1:12" ht="15" hidden="1">
      <c r="A2545" t="s">
        <v>1788</v>
      </c>
      <c r="B2545" t="s">
        <v>689</v>
      </c>
      <c r="D2545" s="518" t="s">
        <v>2221</v>
      </c>
      <c r="E2545" t="str">
        <f t="shared" si="137"/>
        <v>VERBAS RESCISORIAS RAUL</v>
      </c>
      <c r="F2545" t="s">
        <v>1272</v>
      </c>
      <c r="G2545" t="s">
        <v>643</v>
      </c>
      <c r="H2545" s="595">
        <v>-14115.65</v>
      </c>
      <c r="I2545" t="str">
        <f t="shared" si="138"/>
        <v>março 2026</v>
      </c>
      <c r="J2545">
        <f t="shared" si="139"/>
        <v>2026</v>
      </c>
      <c r="K2545" t="str">
        <f>VLOOKUP(G2545,METRICS!C:D,2,0)</f>
        <v>Rescisões Trabalhistas</v>
      </c>
      <c r="L2545" t="str">
        <f>VLOOKUP(K2545,METRICS!D:E,2,0)</f>
        <v>PESSOAL</v>
      </c>
    </row>
    <row r="2546" spans="1:12" ht="15" hidden="1">
      <c r="A2546" t="s">
        <v>1788</v>
      </c>
      <c r="B2546" t="s">
        <v>689</v>
      </c>
      <c r="D2546" s="518" t="s">
        <v>2222</v>
      </c>
      <c r="E2546" t="str">
        <f t="shared" si="137"/>
        <v>VERBAS RESCISORIAS JOYCE</v>
      </c>
      <c r="F2546" t="s">
        <v>1272</v>
      </c>
      <c r="G2546" t="s">
        <v>643</v>
      </c>
      <c r="H2546" s="595">
        <v>-386.88</v>
      </c>
      <c r="I2546" t="str">
        <f t="shared" si="138"/>
        <v>março 2026</v>
      </c>
      <c r="J2546">
        <f t="shared" si="139"/>
        <v>2026</v>
      </c>
      <c r="K2546" t="str">
        <f>VLOOKUP(G2546,METRICS!C:D,2,0)</f>
        <v>Rescisões Trabalhistas</v>
      </c>
      <c r="L2546" t="str">
        <f>VLOOKUP(K2546,METRICS!D:E,2,0)</f>
        <v>PESSOAL</v>
      </c>
    </row>
    <row r="2547" spans="1:12" ht="15" hidden="1">
      <c r="A2547" t="s">
        <v>1788</v>
      </c>
      <c r="B2547" t="s">
        <v>612</v>
      </c>
      <c r="D2547" t="s">
        <v>1931</v>
      </c>
      <c r="E2547" t="str">
        <f t="shared" si="137"/>
        <v xml:space="preserve">Compra 972 </v>
      </c>
      <c r="F2547" t="s">
        <v>1272</v>
      </c>
      <c r="G2547" t="s">
        <v>632</v>
      </c>
      <c r="H2547" s="595">
        <v>-2750</v>
      </c>
      <c r="I2547" t="str">
        <f t="shared" si="138"/>
        <v>março 2026</v>
      </c>
      <c r="J2547">
        <f t="shared" si="139"/>
        <v>2026</v>
      </c>
      <c r="K2547" t="str">
        <f>VLOOKUP(G2547,METRICS!C:D,2,0)</f>
        <v>Assessoria Nutricional</v>
      </c>
      <c r="L2547" t="str">
        <f>VLOOKUP(K2547,METRICS!D:E,2,0)</f>
        <v>OPERAÇÃO</v>
      </c>
    </row>
    <row r="2548" spans="1:12" ht="15" hidden="1">
      <c r="A2548" t="s">
        <v>1788</v>
      </c>
      <c r="B2548" t="s">
        <v>689</v>
      </c>
      <c r="D2548" t="s">
        <v>1500</v>
      </c>
      <c r="E2548" t="str">
        <f t="shared" si="137"/>
        <v>Pagamento Fornecedor</v>
      </c>
      <c r="F2548" t="s">
        <v>1272</v>
      </c>
      <c r="G2548" t="s">
        <v>625</v>
      </c>
      <c r="H2548" s="595">
        <v>-1600</v>
      </c>
      <c r="I2548" t="str">
        <f t="shared" si="138"/>
        <v>março 2026</v>
      </c>
      <c r="J2548">
        <f t="shared" si="139"/>
        <v>2026</v>
      </c>
      <c r="K2548" t="str">
        <f>VLOOKUP(G2548,METRICS!C:D,2,0)</f>
        <v>Manutenção e Conservação</v>
      </c>
      <c r="L2548" t="str">
        <f>VLOOKUP(K2548,METRICS!D:E,2,0)</f>
        <v>OPERAÇÃO</v>
      </c>
    </row>
    <row r="2549" spans="1:12" ht="15" hidden="1">
      <c r="A2549" t="s">
        <v>1788</v>
      </c>
      <c r="B2549" t="s">
        <v>612</v>
      </c>
      <c r="D2549" t="s">
        <v>1932</v>
      </c>
      <c r="E2549" t="str">
        <f t="shared" si="137"/>
        <v>Compra 967 (NFe 2848578-3)</v>
      </c>
      <c r="F2549" t="s">
        <v>1272</v>
      </c>
      <c r="G2549" t="s">
        <v>623</v>
      </c>
      <c r="H2549" s="595">
        <v>-657.57</v>
      </c>
      <c r="I2549" t="str">
        <f t="shared" si="138"/>
        <v>março 2026</v>
      </c>
      <c r="J2549">
        <f t="shared" si="139"/>
        <v>2026</v>
      </c>
      <c r="K2549" t="str">
        <f>VLOOKUP(G2549,METRICS!C:D,2,0)</f>
        <v>Secos - Mercearia</v>
      </c>
      <c r="L2549" t="str">
        <f>VLOOKUP(K2549,METRICS!D:E,2,0)</f>
        <v>CUSTOS DOS PRODUTOS VENDIDOS</v>
      </c>
    </row>
    <row r="2550" spans="1:12" ht="15" hidden="1">
      <c r="A2550" t="s">
        <v>1788</v>
      </c>
      <c r="B2550" t="s">
        <v>612</v>
      </c>
      <c r="D2550" t="s">
        <v>1933</v>
      </c>
      <c r="E2550" t="str">
        <f t="shared" si="137"/>
        <v>Compra 965 (NFe 16485446-16)</v>
      </c>
      <c r="F2550" t="s">
        <v>1272</v>
      </c>
      <c r="G2550" t="s">
        <v>608</v>
      </c>
      <c r="H2550" s="595">
        <v>-1734.35</v>
      </c>
      <c r="I2550" t="str">
        <f t="shared" si="138"/>
        <v>março 2026</v>
      </c>
      <c r="J2550">
        <f t="shared" si="139"/>
        <v>2026</v>
      </c>
      <c r="K2550" t="str">
        <f>VLOOKUP(G2550,METRICS!C:D,2,0)</f>
        <v>Bebidas não Alcoolicas</v>
      </c>
      <c r="L2550" t="str">
        <f>VLOOKUP(K2550,METRICS!D:E,2,0)</f>
        <v>CUSTOS DOS PRODUTOS VENDIDOS</v>
      </c>
    </row>
    <row r="2551" spans="1:12" ht="15" hidden="1">
      <c r="A2551" t="s">
        <v>1788</v>
      </c>
      <c r="B2551" t="s">
        <v>612</v>
      </c>
      <c r="D2551" t="s">
        <v>1934</v>
      </c>
      <c r="E2551" t="str">
        <f t="shared" si="137"/>
        <v xml:space="preserve">Compra 971 </v>
      </c>
      <c r="F2551" t="s">
        <v>1272</v>
      </c>
      <c r="G2551" t="s">
        <v>614</v>
      </c>
      <c r="H2551" s="595">
        <v>-3220</v>
      </c>
      <c r="I2551" t="str">
        <f t="shared" si="138"/>
        <v>março 2026</v>
      </c>
      <c r="J2551">
        <f t="shared" si="139"/>
        <v>2026</v>
      </c>
      <c r="K2551" t="str">
        <f>VLOOKUP(G2551,METRICS!C:D,2,0)</f>
        <v>Honorarios Advocaticios</v>
      </c>
      <c r="L2551" t="str">
        <f>VLOOKUP(K2551,METRICS!D:E,2,0)</f>
        <v>ADMINISTRATIVA</v>
      </c>
    </row>
    <row r="2552" spans="1:12" ht="15" hidden="1">
      <c r="A2552" t="s">
        <v>1788</v>
      </c>
      <c r="B2552" t="s">
        <v>689</v>
      </c>
      <c r="D2552" s="518" t="s">
        <v>2223</v>
      </c>
      <c r="E2552" t="str">
        <f t="shared" si="137"/>
        <v>VERBAS RESCISORIAS AGUINALDO</v>
      </c>
      <c r="F2552" t="s">
        <v>1272</v>
      </c>
      <c r="G2552" t="s">
        <v>643</v>
      </c>
      <c r="H2552" s="595">
        <v>-2870.84</v>
      </c>
      <c r="I2552" t="str">
        <f t="shared" si="138"/>
        <v>março 2026</v>
      </c>
      <c r="J2552">
        <f t="shared" si="139"/>
        <v>2026</v>
      </c>
      <c r="K2552" t="str">
        <f>VLOOKUP(G2552,METRICS!C:D,2,0)</f>
        <v>Rescisões Trabalhistas</v>
      </c>
      <c r="L2552" t="str">
        <f>VLOOKUP(K2552,METRICS!D:E,2,0)</f>
        <v>PESSOAL</v>
      </c>
    </row>
    <row r="2553" spans="1:12" ht="15" hidden="1">
      <c r="A2553" t="s">
        <v>1788</v>
      </c>
      <c r="B2553" t="s">
        <v>612</v>
      </c>
      <c r="D2553" t="s">
        <v>1935</v>
      </c>
      <c r="E2553" t="str">
        <f t="shared" si="137"/>
        <v>Compra 974 (NFe 308920-101)</v>
      </c>
      <c r="F2553" t="s">
        <v>1272</v>
      </c>
      <c r="G2553" t="s">
        <v>636</v>
      </c>
      <c r="H2553" s="595">
        <v>-1746.36</v>
      </c>
      <c r="I2553" t="str">
        <f t="shared" si="138"/>
        <v>março 2026</v>
      </c>
      <c r="J2553">
        <f t="shared" si="139"/>
        <v>2026</v>
      </c>
      <c r="K2553" t="str">
        <f>VLOOKUP(G2553,METRICS!C:D,2,0)</f>
        <v>Secos - Mercearia</v>
      </c>
      <c r="L2553" t="str">
        <f>VLOOKUP(K2553,METRICS!D:E,2,0)</f>
        <v>CUSTOS DOS PRODUTOS VENDIDOS</v>
      </c>
    </row>
    <row r="2554" spans="1:12" ht="15" hidden="1">
      <c r="A2554" t="s">
        <v>1789</v>
      </c>
      <c r="B2554" t="s">
        <v>612</v>
      </c>
      <c r="D2554" t="s">
        <v>1936</v>
      </c>
      <c r="E2554" t="str">
        <f t="shared" si="137"/>
        <v>Compra 982 (NFe 145729-1)</v>
      </c>
      <c r="F2554" t="s">
        <v>1272</v>
      </c>
      <c r="G2554" t="s">
        <v>636</v>
      </c>
      <c r="H2554" s="595">
        <v>-585.91</v>
      </c>
      <c r="I2554" t="str">
        <f t="shared" si="138"/>
        <v>março 2026</v>
      </c>
      <c r="J2554">
        <f t="shared" si="139"/>
        <v>2026</v>
      </c>
      <c r="K2554" t="str">
        <f>VLOOKUP(G2554,METRICS!C:D,2,0)</f>
        <v>Secos - Mercearia</v>
      </c>
      <c r="L2554" t="str">
        <f>VLOOKUP(K2554,METRICS!D:E,2,0)</f>
        <v>CUSTOS DOS PRODUTOS VENDIDOS</v>
      </c>
    </row>
    <row r="2555" spans="1:12" ht="15" hidden="1">
      <c r="A2555" t="s">
        <v>1789</v>
      </c>
      <c r="B2555" t="s">
        <v>612</v>
      </c>
      <c r="D2555" t="s">
        <v>1937</v>
      </c>
      <c r="E2555" t="str">
        <f t="shared" si="137"/>
        <v>Compra 980 (NFe 296126-1)</v>
      </c>
      <c r="F2555" t="s">
        <v>1272</v>
      </c>
      <c r="G2555" t="s">
        <v>608</v>
      </c>
      <c r="H2555" s="595">
        <v>-1906</v>
      </c>
      <c r="I2555" t="str">
        <f t="shared" si="138"/>
        <v>março 2026</v>
      </c>
      <c r="J2555">
        <f t="shared" si="139"/>
        <v>2026</v>
      </c>
      <c r="K2555" t="str">
        <f>VLOOKUP(G2555,METRICS!C:D,2,0)</f>
        <v>Bebidas não Alcoolicas</v>
      </c>
      <c r="L2555" t="str">
        <f>VLOOKUP(K2555,METRICS!D:E,2,0)</f>
        <v>CUSTOS DOS PRODUTOS VENDIDOS</v>
      </c>
    </row>
    <row r="2556" spans="1:12" ht="15" hidden="1">
      <c r="A2556" t="s">
        <v>1789</v>
      </c>
      <c r="B2556" t="s">
        <v>689</v>
      </c>
      <c r="D2556" t="s">
        <v>1938</v>
      </c>
      <c r="E2556" t="s">
        <v>694</v>
      </c>
      <c r="F2556" t="s">
        <v>1272</v>
      </c>
      <c r="G2556" t="s">
        <v>657</v>
      </c>
      <c r="H2556" s="595">
        <v>-5338.71</v>
      </c>
      <c r="I2556" t="str">
        <f t="shared" si="138"/>
        <v>março 2026</v>
      </c>
      <c r="J2556">
        <f t="shared" si="139"/>
        <v>2026</v>
      </c>
      <c r="K2556" t="str">
        <f>VLOOKUP(G2556,METRICS!C:D,2,0)</f>
        <v>Aluguel de Maquinas</v>
      </c>
      <c r="L2556" t="str">
        <f>VLOOKUP(K2556,METRICS!D:E,2,0)</f>
        <v>OPERAÇÃO</v>
      </c>
    </row>
    <row r="2557" spans="1:12" ht="15" hidden="1">
      <c r="A2557" t="s">
        <v>1789</v>
      </c>
      <c r="B2557" t="s">
        <v>612</v>
      </c>
      <c r="D2557" t="s">
        <v>1939</v>
      </c>
      <c r="E2557" t="str">
        <f t="shared" si="137"/>
        <v>Compra 975 (NFe 312979-1)</v>
      </c>
      <c r="F2557" t="s">
        <v>1272</v>
      </c>
      <c r="G2557" t="s">
        <v>623</v>
      </c>
      <c r="H2557" s="484">
        <v>-407</v>
      </c>
      <c r="I2557" t="str">
        <f t="shared" si="138"/>
        <v>março 2026</v>
      </c>
      <c r="J2557">
        <f t="shared" si="139"/>
        <v>2026</v>
      </c>
      <c r="K2557" t="str">
        <f>VLOOKUP(G2557,METRICS!C:D,2,0)</f>
        <v>Secos - Mercearia</v>
      </c>
      <c r="L2557" t="str">
        <f>VLOOKUP(K2557,METRICS!D:E,2,0)</f>
        <v>CUSTOS DOS PRODUTOS VENDIDOS</v>
      </c>
    </row>
    <row r="2558" spans="1:12" ht="15" hidden="1">
      <c r="A2558" t="s">
        <v>1789</v>
      </c>
      <c r="B2558" t="s">
        <v>612</v>
      </c>
      <c r="D2558" t="s">
        <v>1940</v>
      </c>
      <c r="E2558" t="str">
        <f t="shared" si="137"/>
        <v>Compra 985 (NFe 1318-1)</v>
      </c>
      <c r="F2558" t="s">
        <v>1272</v>
      </c>
      <c r="G2558" t="s">
        <v>620</v>
      </c>
      <c r="H2558" s="484">
        <v>-4629.1899999999996</v>
      </c>
      <c r="I2558" t="str">
        <f t="shared" si="138"/>
        <v>março 2026</v>
      </c>
      <c r="J2558">
        <f t="shared" si="139"/>
        <v>2026</v>
      </c>
      <c r="K2558" t="str">
        <f>VLOOKUP(G2558,METRICS!C:D,2,0)</f>
        <v>Hortifruti</v>
      </c>
      <c r="L2558" t="str">
        <f>VLOOKUP(K2558,METRICS!D:E,2,0)</f>
        <v>CUSTOS DOS PRODUTOS VENDIDOS</v>
      </c>
    </row>
    <row r="2559" spans="1:12" ht="15" hidden="1">
      <c r="A2559" t="s">
        <v>1789</v>
      </c>
      <c r="B2559" t="s">
        <v>612</v>
      </c>
      <c r="D2559" t="s">
        <v>1941</v>
      </c>
      <c r="E2559" t="str">
        <f t="shared" si="137"/>
        <v>Compra 991 (NFe 777888-0)</v>
      </c>
      <c r="F2559" t="s">
        <v>1272</v>
      </c>
      <c r="G2559" t="s">
        <v>641</v>
      </c>
      <c r="H2559" s="484">
        <v>-21200.12</v>
      </c>
      <c r="I2559" t="str">
        <f t="shared" si="138"/>
        <v>março 2026</v>
      </c>
      <c r="J2559">
        <f t="shared" si="139"/>
        <v>2026</v>
      </c>
      <c r="K2559" t="str">
        <f>VLOOKUP(G2559,METRICS!C:D,2,0)</f>
        <v>Vinhos/Espumantes</v>
      </c>
      <c r="L2559" t="str">
        <f>VLOOKUP(K2559,METRICS!D:E,2,0)</f>
        <v>CUSTOS DOS PRODUTOS VENDIDOS</v>
      </c>
    </row>
    <row r="2560" spans="1:12" ht="15" hidden="1">
      <c r="A2560" t="s">
        <v>1789</v>
      </c>
      <c r="B2560" t="s">
        <v>612</v>
      </c>
      <c r="D2560" t="s">
        <v>1942</v>
      </c>
      <c r="E2560" t="str">
        <f t="shared" ref="E2560:E2621" si="140">D2560</f>
        <v>Compra 977 (NFe 50821-1)</v>
      </c>
      <c r="F2560" t="s">
        <v>1272</v>
      </c>
      <c r="G2560" t="s">
        <v>611</v>
      </c>
      <c r="H2560" s="484">
        <v>-1449.98</v>
      </c>
      <c r="I2560" t="str">
        <f t="shared" si="138"/>
        <v>março 2026</v>
      </c>
      <c r="J2560">
        <f t="shared" si="139"/>
        <v>2026</v>
      </c>
      <c r="K2560" t="str">
        <f>VLOOKUP(G2560,METRICS!C:D,2,0)</f>
        <v>Bebidas Alcoólicas</v>
      </c>
      <c r="L2560" t="str">
        <f>VLOOKUP(K2560,METRICS!D:E,2,0)</f>
        <v>CUSTOS DOS PRODUTOS VENDIDOS</v>
      </c>
    </row>
    <row r="2561" spans="1:12" ht="15" hidden="1">
      <c r="A2561" t="s">
        <v>1789</v>
      </c>
      <c r="B2561" t="s">
        <v>612</v>
      </c>
      <c r="D2561" t="s">
        <v>1943</v>
      </c>
      <c r="E2561" t="str">
        <f t="shared" si="140"/>
        <v>Compra 984 (NFe 272-1)</v>
      </c>
      <c r="F2561" t="s">
        <v>1272</v>
      </c>
      <c r="G2561" t="s">
        <v>615</v>
      </c>
      <c r="H2561" s="484">
        <v>-1612.8</v>
      </c>
      <c r="I2561" t="str">
        <f t="shared" si="138"/>
        <v>março 2026</v>
      </c>
      <c r="J2561">
        <f t="shared" si="139"/>
        <v>2026</v>
      </c>
      <c r="K2561" t="str">
        <f>VLOOKUP(G2561,METRICS!C:D,2,0)</f>
        <v>Embalagens</v>
      </c>
      <c r="L2561" t="str">
        <f>VLOOKUP(K2561,METRICS!D:E,2,0)</f>
        <v>OPERAÇÃO</v>
      </c>
    </row>
    <row r="2562" spans="1:12" ht="15" hidden="1">
      <c r="A2562" t="s">
        <v>1789</v>
      </c>
      <c r="B2562" t="s">
        <v>612</v>
      </c>
      <c r="D2562" t="s">
        <v>1944</v>
      </c>
      <c r="E2562" t="str">
        <f t="shared" si="140"/>
        <v xml:space="preserve">Compra 973 </v>
      </c>
      <c r="F2562" t="s">
        <v>1272</v>
      </c>
      <c r="G2562" t="s">
        <v>626</v>
      </c>
      <c r="H2562" s="484">
        <v>-1400</v>
      </c>
      <c r="I2562" t="str">
        <f t="shared" si="138"/>
        <v>março 2026</v>
      </c>
      <c r="J2562">
        <f t="shared" si="139"/>
        <v>2026</v>
      </c>
      <c r="K2562" t="str">
        <f>VLOOKUP(G2562,METRICS!C:D,2,0)</f>
        <v>Manutenção e Conservação</v>
      </c>
      <c r="L2562" t="str">
        <f>VLOOKUP(K2562,METRICS!D:E,2,0)</f>
        <v>OPERAÇÃO</v>
      </c>
    </row>
    <row r="2563" spans="1:12" ht="15" hidden="1">
      <c r="A2563" t="s">
        <v>1789</v>
      </c>
      <c r="B2563" t="s">
        <v>689</v>
      </c>
      <c r="D2563" t="s">
        <v>1945</v>
      </c>
      <c r="E2563" t="str">
        <f t="shared" si="140"/>
        <v>COMISSAO REF AO MES DE  Fev/2026</v>
      </c>
      <c r="F2563" t="s">
        <v>1272</v>
      </c>
      <c r="G2563" t="s">
        <v>673</v>
      </c>
      <c r="H2563" s="484">
        <v>-6700</v>
      </c>
      <c r="I2563" t="str">
        <f t="shared" si="138"/>
        <v>março 2026</v>
      </c>
      <c r="J2563">
        <f t="shared" si="139"/>
        <v>2026</v>
      </c>
      <c r="K2563" t="str">
        <f>VLOOKUP(G2563,METRICS!C:D,2,0)</f>
        <v>Comissões Eventos</v>
      </c>
      <c r="L2563" t="str">
        <f>VLOOKUP(K2563,METRICS!D:E,2,0)</f>
        <v>OPERAÇÃO</v>
      </c>
    </row>
    <row r="2564" spans="1:12" ht="15" hidden="1">
      <c r="A2564" t="s">
        <v>1789</v>
      </c>
      <c r="B2564" t="s">
        <v>612</v>
      </c>
      <c r="D2564" t="s">
        <v>1946</v>
      </c>
      <c r="E2564" t="str">
        <f t="shared" si="140"/>
        <v>Compra 988 (NFe 379405-1)</v>
      </c>
      <c r="F2564" t="s">
        <v>1272</v>
      </c>
      <c r="G2564" t="s">
        <v>630</v>
      </c>
      <c r="H2564" s="484">
        <v>-1224.6600000000001</v>
      </c>
      <c r="I2564" t="str">
        <f t="shared" si="138"/>
        <v>março 2026</v>
      </c>
      <c r="J2564">
        <f t="shared" si="139"/>
        <v>2026</v>
      </c>
      <c r="K2564" t="str">
        <f>VLOOKUP(G2564,METRICS!C:D,2,0)</f>
        <v>Material de Copa e Limpeza</v>
      </c>
      <c r="L2564" t="str">
        <f>VLOOKUP(K2564,METRICS!D:E,2,0)</f>
        <v>ADMINISTRATIVA</v>
      </c>
    </row>
    <row r="2565" spans="1:12" ht="15" hidden="1">
      <c r="A2565" t="s">
        <v>1789</v>
      </c>
      <c r="B2565" t="s">
        <v>612</v>
      </c>
      <c r="D2565" t="s">
        <v>1947</v>
      </c>
      <c r="E2565" t="str">
        <f t="shared" si="140"/>
        <v>Compra 981 (NFe 44987-1)</v>
      </c>
      <c r="F2565" t="s">
        <v>1272</v>
      </c>
      <c r="G2565" t="s">
        <v>620</v>
      </c>
      <c r="H2565" s="484">
        <v>-132.76</v>
      </c>
      <c r="I2565" t="str">
        <f t="shared" si="138"/>
        <v>março 2026</v>
      </c>
      <c r="J2565">
        <f t="shared" si="139"/>
        <v>2026</v>
      </c>
      <c r="K2565" t="str">
        <f>VLOOKUP(G2565,METRICS!C:D,2,0)</f>
        <v>Hortifruti</v>
      </c>
      <c r="L2565" t="str">
        <f>VLOOKUP(K2565,METRICS!D:E,2,0)</f>
        <v>CUSTOS DOS PRODUTOS VENDIDOS</v>
      </c>
    </row>
    <row r="2566" spans="1:12" ht="15" hidden="1">
      <c r="A2566" t="s">
        <v>1789</v>
      </c>
      <c r="B2566" t="s">
        <v>612</v>
      </c>
      <c r="D2566" t="s">
        <v>1948</v>
      </c>
      <c r="E2566" t="str">
        <f t="shared" si="140"/>
        <v>Compra 995 (NFe 67816-1)</v>
      </c>
      <c r="F2566" t="s">
        <v>1272</v>
      </c>
      <c r="G2566" t="s">
        <v>609</v>
      </c>
      <c r="H2566" s="484">
        <v>-4370.4399999999996</v>
      </c>
      <c r="I2566" t="str">
        <f t="shared" si="138"/>
        <v>março 2026</v>
      </c>
      <c r="J2566">
        <f t="shared" si="139"/>
        <v>2026</v>
      </c>
      <c r="K2566" t="str">
        <f>VLOOKUP(G2566,METRICS!C:D,2,0)</f>
        <v>Carnes e Aves</v>
      </c>
      <c r="L2566" t="str">
        <f>VLOOKUP(K2566,METRICS!D:E,2,0)</f>
        <v>CUSTOS DOS PRODUTOS VENDIDOS</v>
      </c>
    </row>
    <row r="2567" spans="1:12" ht="15" hidden="1">
      <c r="A2567" t="s">
        <v>1789</v>
      </c>
      <c r="B2567" t="s">
        <v>612</v>
      </c>
      <c r="D2567" t="s">
        <v>1949</v>
      </c>
      <c r="E2567" t="str">
        <f t="shared" si="140"/>
        <v>Compra 976 (NFe 50820-1)</v>
      </c>
      <c r="F2567" t="s">
        <v>1272</v>
      </c>
      <c r="G2567" t="s">
        <v>611</v>
      </c>
      <c r="H2567" s="484">
        <v>-838.8</v>
      </c>
      <c r="I2567" t="str">
        <f t="shared" ref="I2567:I2627" si="141">TEXT(A2567, "mmmm aaaa")</f>
        <v>março 2026</v>
      </c>
      <c r="J2567">
        <f t="shared" ref="J2567:J2627" si="142">YEAR(A2567)</f>
        <v>2026</v>
      </c>
      <c r="K2567" t="str">
        <f>VLOOKUP(G2567,METRICS!C:D,2,0)</f>
        <v>Bebidas Alcoólicas</v>
      </c>
      <c r="L2567" t="str">
        <f>VLOOKUP(K2567,METRICS!D:E,2,0)</f>
        <v>CUSTOS DOS PRODUTOS VENDIDOS</v>
      </c>
    </row>
    <row r="2568" spans="1:12" ht="15" hidden="1">
      <c r="A2568" t="s">
        <v>1789</v>
      </c>
      <c r="B2568" t="s">
        <v>612</v>
      </c>
      <c r="D2568" t="s">
        <v>1950</v>
      </c>
      <c r="E2568" t="str">
        <f t="shared" si="140"/>
        <v>Compra 979 (NFe 201777-1)</v>
      </c>
      <c r="F2568" t="s">
        <v>1272</v>
      </c>
      <c r="G2568" t="s">
        <v>636</v>
      </c>
      <c r="H2568" s="484">
        <v>-778.8</v>
      </c>
      <c r="I2568" t="str">
        <f t="shared" si="141"/>
        <v>março 2026</v>
      </c>
      <c r="J2568">
        <f t="shared" si="142"/>
        <v>2026</v>
      </c>
      <c r="K2568" t="str">
        <f>VLOOKUP(G2568,METRICS!C:D,2,0)</f>
        <v>Secos - Mercearia</v>
      </c>
      <c r="L2568" t="str">
        <f>VLOOKUP(K2568,METRICS!D:E,2,0)</f>
        <v>CUSTOS DOS PRODUTOS VENDIDOS</v>
      </c>
    </row>
    <row r="2569" spans="1:12" ht="15" hidden="1">
      <c r="A2569" t="s">
        <v>1789</v>
      </c>
      <c r="B2569" t="s">
        <v>612</v>
      </c>
      <c r="D2569" t="s">
        <v>1951</v>
      </c>
      <c r="E2569" t="str">
        <f t="shared" si="140"/>
        <v>Compra 987 (NFe 38051-1)</v>
      </c>
      <c r="F2569" t="s">
        <v>1272</v>
      </c>
      <c r="G2569" t="s">
        <v>1718</v>
      </c>
      <c r="H2569" s="484">
        <v>-2553.6</v>
      </c>
      <c r="I2569" t="str">
        <f t="shared" si="141"/>
        <v>março 2026</v>
      </c>
      <c r="J2569">
        <f t="shared" si="142"/>
        <v>2026</v>
      </c>
      <c r="K2569" t="str">
        <f>VLOOKUP(G2569,METRICS!C:D,2,0)</f>
        <v>Utensílios</v>
      </c>
      <c r="L2569" t="str">
        <f>VLOOKUP(K2569,METRICS!D:E,2,0)</f>
        <v>OPERAÇÃO</v>
      </c>
    </row>
    <row r="2570" spans="1:12" ht="15" hidden="1">
      <c r="A2570" t="s">
        <v>1789</v>
      </c>
      <c r="B2570" t="s">
        <v>612</v>
      </c>
      <c r="D2570" t="s">
        <v>1952</v>
      </c>
      <c r="E2570" t="str">
        <f t="shared" si="140"/>
        <v>Compra 990 (NFe 501202-1)</v>
      </c>
      <c r="F2570" t="s">
        <v>1272</v>
      </c>
      <c r="G2570" t="s">
        <v>623</v>
      </c>
      <c r="H2570" s="484">
        <v>-1509.54</v>
      </c>
      <c r="I2570" t="str">
        <f t="shared" si="141"/>
        <v>março 2026</v>
      </c>
      <c r="J2570">
        <f t="shared" si="142"/>
        <v>2026</v>
      </c>
      <c r="K2570" t="str">
        <f>VLOOKUP(G2570,METRICS!C:D,2,0)</f>
        <v>Secos - Mercearia</v>
      </c>
      <c r="L2570" t="str">
        <f>VLOOKUP(K2570,METRICS!D:E,2,0)</f>
        <v>CUSTOS DOS PRODUTOS VENDIDOS</v>
      </c>
    </row>
    <row r="2571" spans="1:12" ht="15" hidden="1">
      <c r="A2571" t="s">
        <v>1789</v>
      </c>
      <c r="B2571" t="s">
        <v>612</v>
      </c>
      <c r="D2571" t="s">
        <v>1953</v>
      </c>
      <c r="E2571" t="str">
        <f t="shared" si="140"/>
        <v>Compra 989 (NFe 409349-1)</v>
      </c>
      <c r="F2571" t="s">
        <v>1272</v>
      </c>
      <c r="G2571" t="s">
        <v>620</v>
      </c>
      <c r="H2571" s="484">
        <v>-510.45</v>
      </c>
      <c r="I2571" t="str">
        <f t="shared" si="141"/>
        <v>março 2026</v>
      </c>
      <c r="J2571">
        <f t="shared" si="142"/>
        <v>2026</v>
      </c>
      <c r="K2571" t="str">
        <f>VLOOKUP(G2571,METRICS!C:D,2,0)</f>
        <v>Hortifruti</v>
      </c>
      <c r="L2571" t="str">
        <f>VLOOKUP(K2571,METRICS!D:E,2,0)</f>
        <v>CUSTOS DOS PRODUTOS VENDIDOS</v>
      </c>
    </row>
    <row r="2572" spans="1:12" ht="15" hidden="1">
      <c r="A2572" t="s">
        <v>1789</v>
      </c>
      <c r="B2572" t="s">
        <v>612</v>
      </c>
      <c r="D2572" t="s">
        <v>1954</v>
      </c>
      <c r="E2572" t="str">
        <f t="shared" si="140"/>
        <v>Compra 983 (NFe 763023-1)</v>
      </c>
      <c r="F2572" t="s">
        <v>1272</v>
      </c>
      <c r="G2572" t="s">
        <v>607</v>
      </c>
      <c r="H2572" s="484">
        <v>-6539.75</v>
      </c>
      <c r="I2572" t="str">
        <f t="shared" si="141"/>
        <v>março 2026</v>
      </c>
      <c r="J2572">
        <f t="shared" si="142"/>
        <v>2026</v>
      </c>
      <c r="K2572" t="str">
        <f>VLOOKUP(G2572,METRICS!C:D,2,0)</f>
        <v>Bebidas Alcoólicas</v>
      </c>
      <c r="L2572" t="str">
        <f>VLOOKUP(K2572,METRICS!D:E,2,0)</f>
        <v>CUSTOS DOS PRODUTOS VENDIDOS</v>
      </c>
    </row>
    <row r="2573" spans="1:12" ht="15" hidden="1">
      <c r="A2573" t="s">
        <v>1789</v>
      </c>
      <c r="B2573" t="s">
        <v>612</v>
      </c>
      <c r="D2573" t="s">
        <v>1955</v>
      </c>
      <c r="E2573" t="str">
        <f t="shared" si="140"/>
        <v>Compra 986 (NFe 3441-1)</v>
      </c>
      <c r="F2573" t="s">
        <v>1272</v>
      </c>
      <c r="G2573" t="s">
        <v>413</v>
      </c>
      <c r="H2573" s="484">
        <v>-1198.5</v>
      </c>
      <c r="I2573" t="str">
        <f t="shared" si="141"/>
        <v>março 2026</v>
      </c>
      <c r="J2573">
        <f t="shared" si="142"/>
        <v>2026</v>
      </c>
      <c r="K2573" t="str">
        <f>VLOOKUP(G2573,METRICS!C:D,2,0)</f>
        <v>Pescados</v>
      </c>
      <c r="L2573" t="str">
        <f>VLOOKUP(K2573,METRICS!D:E,2,0)</f>
        <v>CUSTOS DOS PRODUTOS VENDIDOS</v>
      </c>
    </row>
    <row r="2574" spans="1:12" ht="15" hidden="1">
      <c r="A2574" t="s">
        <v>1789</v>
      </c>
      <c r="B2574" t="s">
        <v>612</v>
      </c>
      <c r="D2574" t="s">
        <v>1956</v>
      </c>
      <c r="E2574" t="str">
        <f t="shared" si="140"/>
        <v>Compra 978 (NFe 12158-1)</v>
      </c>
      <c r="F2574" t="s">
        <v>1272</v>
      </c>
      <c r="G2574" t="s">
        <v>641</v>
      </c>
      <c r="H2574" s="484">
        <v>-1920</v>
      </c>
      <c r="I2574" t="str">
        <f t="shared" si="141"/>
        <v>março 2026</v>
      </c>
      <c r="J2574">
        <f t="shared" si="142"/>
        <v>2026</v>
      </c>
      <c r="K2574" t="str">
        <f>VLOOKUP(G2574,METRICS!C:D,2,0)</f>
        <v>Vinhos/Espumantes</v>
      </c>
      <c r="L2574" t="str">
        <f>VLOOKUP(K2574,METRICS!D:E,2,0)</f>
        <v>CUSTOS DOS PRODUTOS VENDIDOS</v>
      </c>
    </row>
    <row r="2575" spans="1:12" ht="15" hidden="1">
      <c r="A2575" t="s">
        <v>1790</v>
      </c>
      <c r="B2575" t="s">
        <v>612</v>
      </c>
      <c r="D2575" t="s">
        <v>1957</v>
      </c>
      <c r="E2575" t="str">
        <f t="shared" si="140"/>
        <v>Compra 992 (NFe 43350-1)</v>
      </c>
      <c r="F2575" t="s">
        <v>1272</v>
      </c>
      <c r="G2575" t="s">
        <v>609</v>
      </c>
      <c r="H2575" s="484">
        <v>-7561.34</v>
      </c>
      <c r="I2575" t="str">
        <f t="shared" si="141"/>
        <v>março 2026</v>
      </c>
      <c r="J2575">
        <f t="shared" si="142"/>
        <v>2026</v>
      </c>
      <c r="K2575" t="str">
        <f>VLOOKUP(G2575,METRICS!C:D,2,0)</f>
        <v>Carnes e Aves</v>
      </c>
      <c r="L2575" t="str">
        <f>VLOOKUP(K2575,METRICS!D:E,2,0)</f>
        <v>CUSTOS DOS PRODUTOS VENDIDOS</v>
      </c>
    </row>
    <row r="2576" spans="1:12" ht="15" hidden="1">
      <c r="A2576" t="s">
        <v>1790</v>
      </c>
      <c r="B2576" t="s">
        <v>612</v>
      </c>
      <c r="D2576" t="s">
        <v>1958</v>
      </c>
      <c r="E2576" t="str">
        <f t="shared" si="140"/>
        <v>Compra 994 (NFe 4122473-1)</v>
      </c>
      <c r="F2576" t="s">
        <v>1272</v>
      </c>
      <c r="G2576" t="s">
        <v>636</v>
      </c>
      <c r="H2576" s="484">
        <v>-2167.4899999999998</v>
      </c>
      <c r="I2576" t="str">
        <f t="shared" si="141"/>
        <v>março 2026</v>
      </c>
      <c r="J2576">
        <f t="shared" si="142"/>
        <v>2026</v>
      </c>
      <c r="K2576" t="str">
        <f>VLOOKUP(G2576,METRICS!C:D,2,0)</f>
        <v>Secos - Mercearia</v>
      </c>
      <c r="L2576" t="str">
        <f>VLOOKUP(K2576,METRICS!D:E,2,0)</f>
        <v>CUSTOS DOS PRODUTOS VENDIDOS</v>
      </c>
    </row>
    <row r="2577" spans="1:12" ht="15" hidden="1">
      <c r="A2577" t="s">
        <v>1790</v>
      </c>
      <c r="B2577" t="s">
        <v>612</v>
      </c>
      <c r="D2577" t="s">
        <v>1959</v>
      </c>
      <c r="E2577" t="str">
        <f t="shared" si="140"/>
        <v>Compra 993 (NFe 69488-1)</v>
      </c>
      <c r="F2577" t="s">
        <v>1272</v>
      </c>
      <c r="G2577" t="s">
        <v>636</v>
      </c>
      <c r="H2577" s="484">
        <v>-2069.13</v>
      </c>
      <c r="I2577" t="str">
        <f t="shared" si="141"/>
        <v>março 2026</v>
      </c>
      <c r="J2577">
        <f t="shared" si="142"/>
        <v>2026</v>
      </c>
      <c r="K2577" t="str">
        <f>VLOOKUP(G2577,METRICS!C:D,2,0)</f>
        <v>Secos - Mercearia</v>
      </c>
      <c r="L2577" t="str">
        <f>VLOOKUP(K2577,METRICS!D:E,2,0)</f>
        <v>CUSTOS DOS PRODUTOS VENDIDOS</v>
      </c>
    </row>
    <row r="2578" spans="1:12" ht="15" hidden="1">
      <c r="A2578" t="s">
        <v>1790</v>
      </c>
      <c r="B2578" t="s">
        <v>689</v>
      </c>
      <c r="D2578" s="518" t="s">
        <v>2224</v>
      </c>
      <c r="E2578" t="str">
        <f t="shared" si="140"/>
        <v>VERBAS RESCISORIAS FRANCISCA ALVES</v>
      </c>
      <c r="F2578" t="s">
        <v>1272</v>
      </c>
      <c r="G2578" t="s">
        <v>643</v>
      </c>
      <c r="H2578" s="484">
        <v>-262.27</v>
      </c>
      <c r="I2578" t="str">
        <f t="shared" si="141"/>
        <v>março 2026</v>
      </c>
      <c r="J2578">
        <f t="shared" si="142"/>
        <v>2026</v>
      </c>
      <c r="K2578" t="str">
        <f>VLOOKUP(G2578,METRICS!C:D,2,0)</f>
        <v>Rescisões Trabalhistas</v>
      </c>
      <c r="L2578" t="str">
        <f>VLOOKUP(K2578,METRICS!D:E,2,0)</f>
        <v>PESSOAL</v>
      </c>
    </row>
    <row r="2579" spans="1:12" ht="15" hidden="1">
      <c r="A2579" t="s">
        <v>1790</v>
      </c>
      <c r="B2579" t="s">
        <v>612</v>
      </c>
      <c r="D2579" t="s">
        <v>1960</v>
      </c>
      <c r="E2579" t="str">
        <f t="shared" si="140"/>
        <v>Compra 998 (NFe 778155-0)</v>
      </c>
      <c r="F2579" t="s">
        <v>1272</v>
      </c>
      <c r="G2579" t="s">
        <v>641</v>
      </c>
      <c r="H2579" s="484">
        <v>-701.72</v>
      </c>
      <c r="I2579" t="str">
        <f t="shared" si="141"/>
        <v>março 2026</v>
      </c>
      <c r="J2579">
        <f t="shared" si="142"/>
        <v>2026</v>
      </c>
      <c r="K2579" t="str">
        <f>VLOOKUP(G2579,METRICS!C:D,2,0)</f>
        <v>Vinhos/Espumantes</v>
      </c>
      <c r="L2579" t="str">
        <f>VLOOKUP(K2579,METRICS!D:E,2,0)</f>
        <v>CUSTOS DOS PRODUTOS VENDIDOS</v>
      </c>
    </row>
    <row r="2580" spans="1:12" ht="15" hidden="1">
      <c r="A2580" t="s">
        <v>1790</v>
      </c>
      <c r="B2580" t="s">
        <v>612</v>
      </c>
      <c r="D2580" t="s">
        <v>1961</v>
      </c>
      <c r="E2580" t="str">
        <f t="shared" si="140"/>
        <v>Compra 996 (NFe 13565-1)</v>
      </c>
      <c r="F2580" t="s">
        <v>1272</v>
      </c>
      <c r="G2580" t="s">
        <v>633</v>
      </c>
      <c r="H2580" s="484">
        <v>-1218</v>
      </c>
      <c r="I2580" t="str">
        <f t="shared" si="141"/>
        <v>março 2026</v>
      </c>
      <c r="J2580">
        <f t="shared" si="142"/>
        <v>2026</v>
      </c>
      <c r="K2580" t="str">
        <f>VLOOKUP(G2580,METRICS!C:D,2,0)</f>
        <v>Paes, Massas e Salgados</v>
      </c>
      <c r="L2580" t="str">
        <f>VLOOKUP(K2580,METRICS!D:E,2,0)</f>
        <v>CUSTOS DOS PRODUTOS VENDIDOS</v>
      </c>
    </row>
    <row r="2581" spans="1:12" ht="15" hidden="1">
      <c r="A2581" t="s">
        <v>1790</v>
      </c>
      <c r="B2581" t="s">
        <v>689</v>
      </c>
      <c r="D2581" t="s">
        <v>1962</v>
      </c>
      <c r="E2581" t="str">
        <f t="shared" si="140"/>
        <v>IR/ INSS</v>
      </c>
      <c r="F2581" t="s">
        <v>1272</v>
      </c>
      <c r="G2581" t="s">
        <v>108</v>
      </c>
      <c r="H2581" s="484">
        <v>-139703.75</v>
      </c>
      <c r="I2581" t="str">
        <f t="shared" si="141"/>
        <v>março 2026</v>
      </c>
      <c r="J2581">
        <f t="shared" si="142"/>
        <v>2026</v>
      </c>
      <c r="K2581" t="str">
        <f>VLOOKUP(G2581,METRICS!C:D,2,0)</f>
        <v>IR/INSS</v>
      </c>
      <c r="L2581" t="str">
        <f>VLOOKUP(K2581,METRICS!D:E,2,0)</f>
        <v>PESSOAL</v>
      </c>
    </row>
    <row r="2582" spans="1:12" ht="15" hidden="1">
      <c r="A2582" t="s">
        <v>1791</v>
      </c>
      <c r="B2582" t="s">
        <v>612</v>
      </c>
      <c r="D2582" t="s">
        <v>1963</v>
      </c>
      <c r="E2582" t="str">
        <f t="shared" si="140"/>
        <v>Compra 999 (NFe 45033-1)</v>
      </c>
      <c r="F2582" t="s">
        <v>1272</v>
      </c>
      <c r="G2582" t="s">
        <v>620</v>
      </c>
      <c r="H2582" s="484">
        <v>-98.64</v>
      </c>
      <c r="I2582" t="str">
        <f t="shared" si="141"/>
        <v>março 2026</v>
      </c>
      <c r="J2582">
        <f t="shared" si="142"/>
        <v>2026</v>
      </c>
      <c r="K2582" t="str">
        <f>VLOOKUP(G2582,METRICS!C:D,2,0)</f>
        <v>Hortifruti</v>
      </c>
      <c r="L2582" t="str">
        <f>VLOOKUP(K2582,METRICS!D:E,2,0)</f>
        <v>CUSTOS DOS PRODUTOS VENDIDOS</v>
      </c>
    </row>
    <row r="2583" spans="1:12" ht="15" hidden="1">
      <c r="A2583" t="s">
        <v>1791</v>
      </c>
      <c r="B2583" t="s">
        <v>612</v>
      </c>
      <c r="D2583" t="s">
        <v>1964</v>
      </c>
      <c r="E2583" t="str">
        <f t="shared" si="140"/>
        <v>Compra 997 (NFe 689852-3)</v>
      </c>
      <c r="F2583" t="s">
        <v>1272</v>
      </c>
      <c r="G2583" t="s">
        <v>609</v>
      </c>
      <c r="H2583" s="484">
        <v>-5335.92</v>
      </c>
      <c r="I2583" t="str">
        <f t="shared" si="141"/>
        <v>março 2026</v>
      </c>
      <c r="J2583">
        <f t="shared" si="142"/>
        <v>2026</v>
      </c>
      <c r="K2583" t="str">
        <f>VLOOKUP(G2583,METRICS!C:D,2,0)</f>
        <v>Carnes e Aves</v>
      </c>
      <c r="L2583" t="str">
        <f>VLOOKUP(K2583,METRICS!D:E,2,0)</f>
        <v>CUSTOS DOS PRODUTOS VENDIDOS</v>
      </c>
    </row>
    <row r="2584" spans="1:12" ht="15" hidden="1">
      <c r="A2584" t="s">
        <v>1792</v>
      </c>
      <c r="B2584" t="s">
        <v>612</v>
      </c>
      <c r="D2584" t="s">
        <v>1965</v>
      </c>
      <c r="E2584" t="str">
        <f t="shared" si="140"/>
        <v>Compra 1000 (NFe 16495246-16)</v>
      </c>
      <c r="F2584" t="s">
        <v>1272</v>
      </c>
      <c r="G2584" t="s">
        <v>608</v>
      </c>
      <c r="H2584" s="484">
        <v>-2499.65</v>
      </c>
      <c r="I2584" t="str">
        <f t="shared" si="141"/>
        <v>março 2026</v>
      </c>
      <c r="J2584">
        <f t="shared" si="142"/>
        <v>2026</v>
      </c>
      <c r="K2584" t="str">
        <f>VLOOKUP(G2584,METRICS!C:D,2,0)</f>
        <v>Bebidas não Alcoolicas</v>
      </c>
      <c r="L2584" t="str">
        <f>VLOOKUP(K2584,METRICS!D:E,2,0)</f>
        <v>CUSTOS DOS PRODUTOS VENDIDOS</v>
      </c>
    </row>
    <row r="2585" spans="1:12" ht="15" hidden="1">
      <c r="A2585" t="s">
        <v>1793</v>
      </c>
      <c r="B2585" t="s">
        <v>612</v>
      </c>
      <c r="D2585" t="s">
        <v>1966</v>
      </c>
      <c r="E2585" t="str">
        <f t="shared" si="140"/>
        <v>Compra 1015 (NFe 796106-1)</v>
      </c>
      <c r="F2585" t="s">
        <v>1272</v>
      </c>
      <c r="G2585" t="s">
        <v>608</v>
      </c>
      <c r="H2585" s="484">
        <v>-964.8</v>
      </c>
      <c r="I2585" t="str">
        <f t="shared" si="141"/>
        <v>março 2026</v>
      </c>
      <c r="J2585">
        <f t="shared" si="142"/>
        <v>2026</v>
      </c>
      <c r="K2585" t="str">
        <f>VLOOKUP(G2585,METRICS!C:D,2,0)</f>
        <v>Bebidas não Alcoolicas</v>
      </c>
      <c r="L2585" t="str">
        <f>VLOOKUP(K2585,METRICS!D:E,2,0)</f>
        <v>CUSTOS DOS PRODUTOS VENDIDOS</v>
      </c>
    </row>
    <row r="2586" spans="1:12" ht="15" hidden="1">
      <c r="A2586" t="s">
        <v>1793</v>
      </c>
      <c r="B2586" t="s">
        <v>689</v>
      </c>
      <c r="D2586" t="s">
        <v>1967</v>
      </c>
      <c r="E2586" t="str">
        <f t="shared" si="140"/>
        <v>PLANO DE SAUDE FUNCIONARIOS COMP. DEZEMBRO/2025</v>
      </c>
      <c r="F2586" t="s">
        <v>1272</v>
      </c>
      <c r="G2586" t="s">
        <v>651</v>
      </c>
      <c r="H2586" s="484">
        <v>-14030.09</v>
      </c>
      <c r="I2586" t="str">
        <f t="shared" si="141"/>
        <v>março 2026</v>
      </c>
      <c r="J2586">
        <f t="shared" si="142"/>
        <v>2026</v>
      </c>
      <c r="K2586" t="str">
        <f>VLOOKUP(G2586,METRICS!C:D,2,0)</f>
        <v>Assistência Médica e Social</v>
      </c>
      <c r="L2586" t="str">
        <f>VLOOKUP(K2586,METRICS!D:E,2,0)</f>
        <v>PESSOAL</v>
      </c>
    </row>
    <row r="2587" spans="1:12" ht="15" hidden="1">
      <c r="A2587" t="s">
        <v>1793</v>
      </c>
      <c r="B2587" t="s">
        <v>612</v>
      </c>
      <c r="D2587" t="s">
        <v>1968</v>
      </c>
      <c r="E2587" t="str">
        <f t="shared" si="140"/>
        <v>Compra 1018 (NFe 409804-1)</v>
      </c>
      <c r="F2587" t="s">
        <v>1272</v>
      </c>
      <c r="G2587" t="s">
        <v>620</v>
      </c>
      <c r="H2587" s="484">
        <v>-463.5</v>
      </c>
      <c r="I2587" t="str">
        <f t="shared" si="141"/>
        <v>março 2026</v>
      </c>
      <c r="J2587">
        <f t="shared" si="142"/>
        <v>2026</v>
      </c>
      <c r="K2587" t="str">
        <f>VLOOKUP(G2587,METRICS!C:D,2,0)</f>
        <v>Hortifruti</v>
      </c>
      <c r="L2587" t="str">
        <f>VLOOKUP(K2587,METRICS!D:E,2,0)</f>
        <v>CUSTOS DOS PRODUTOS VENDIDOS</v>
      </c>
    </row>
    <row r="2588" spans="1:12" ht="15" hidden="1">
      <c r="A2588" t="s">
        <v>1793</v>
      </c>
      <c r="B2588" t="s">
        <v>612</v>
      </c>
      <c r="D2588" t="s">
        <v>1969</v>
      </c>
      <c r="E2588" t="str">
        <f t="shared" si="140"/>
        <v>Compra 1011 (NFe 296493-1)</v>
      </c>
      <c r="F2588" t="s">
        <v>1272</v>
      </c>
      <c r="G2588" t="s">
        <v>608</v>
      </c>
      <c r="H2588" s="484">
        <v>-2287.1999999999998</v>
      </c>
      <c r="I2588" t="str">
        <f t="shared" si="141"/>
        <v>março 2026</v>
      </c>
      <c r="J2588">
        <f t="shared" si="142"/>
        <v>2026</v>
      </c>
      <c r="K2588" t="str">
        <f>VLOOKUP(G2588,METRICS!C:D,2,0)</f>
        <v>Bebidas não Alcoolicas</v>
      </c>
      <c r="L2588" t="str">
        <f>VLOOKUP(K2588,METRICS!D:E,2,0)</f>
        <v>CUSTOS DOS PRODUTOS VENDIDOS</v>
      </c>
    </row>
    <row r="2589" spans="1:12" ht="15" hidden="1">
      <c r="A2589" t="s">
        <v>1793</v>
      </c>
      <c r="B2589" t="s">
        <v>612</v>
      </c>
      <c r="D2589" t="s">
        <v>1970</v>
      </c>
      <c r="E2589" t="str">
        <f t="shared" si="140"/>
        <v>Compra 1009 (NFe 40220-1)</v>
      </c>
      <c r="F2589" t="s">
        <v>1272</v>
      </c>
      <c r="G2589" t="s">
        <v>610</v>
      </c>
      <c r="H2589" s="484">
        <v>-3352</v>
      </c>
      <c r="I2589" t="str">
        <f t="shared" si="141"/>
        <v>março 2026</v>
      </c>
      <c r="J2589">
        <f t="shared" si="142"/>
        <v>2026</v>
      </c>
      <c r="K2589" t="str">
        <f>VLOOKUP(G2589,METRICS!C:D,2,0)</f>
        <v>Carvão</v>
      </c>
      <c r="L2589" t="str">
        <f>VLOOKUP(K2589,METRICS!D:E,2,0)</f>
        <v>CUSTOS DOS PRODUTOS VENDIDOS</v>
      </c>
    </row>
    <row r="2590" spans="1:12" ht="15" hidden="1">
      <c r="A2590" t="s">
        <v>1793</v>
      </c>
      <c r="B2590" t="s">
        <v>612</v>
      </c>
      <c r="D2590" t="s">
        <v>1971</v>
      </c>
      <c r="E2590" t="str">
        <f t="shared" si="140"/>
        <v>Compra 1022 (NFe 76511-1)</v>
      </c>
      <c r="F2590" t="s">
        <v>1272</v>
      </c>
      <c r="G2590" t="s">
        <v>623</v>
      </c>
      <c r="H2590" s="484">
        <v>-468.65</v>
      </c>
      <c r="I2590" t="str">
        <f t="shared" si="141"/>
        <v>março 2026</v>
      </c>
      <c r="J2590">
        <f t="shared" si="142"/>
        <v>2026</v>
      </c>
      <c r="K2590" t="str">
        <f>VLOOKUP(G2590,METRICS!C:D,2,0)</f>
        <v>Secos - Mercearia</v>
      </c>
      <c r="L2590" t="str">
        <f>VLOOKUP(K2590,METRICS!D:E,2,0)</f>
        <v>CUSTOS DOS PRODUTOS VENDIDOS</v>
      </c>
    </row>
    <row r="2591" spans="1:12" ht="15" hidden="1">
      <c r="A2591" t="s">
        <v>1793</v>
      </c>
      <c r="B2591" t="s">
        <v>612</v>
      </c>
      <c r="D2591" t="s">
        <v>1972</v>
      </c>
      <c r="E2591" t="str">
        <f t="shared" si="140"/>
        <v>Compra 1003 (NFe 45068-1)</v>
      </c>
      <c r="F2591" t="s">
        <v>1272</v>
      </c>
      <c r="G2591" t="s">
        <v>620</v>
      </c>
      <c r="H2591" s="484">
        <v>-358.26</v>
      </c>
      <c r="I2591" t="str">
        <f t="shared" si="141"/>
        <v>março 2026</v>
      </c>
      <c r="J2591">
        <f t="shared" si="142"/>
        <v>2026</v>
      </c>
      <c r="K2591" t="str">
        <f>VLOOKUP(G2591,METRICS!C:D,2,0)</f>
        <v>Hortifruti</v>
      </c>
      <c r="L2591" t="str">
        <f>VLOOKUP(K2591,METRICS!D:E,2,0)</f>
        <v>CUSTOS DOS PRODUTOS VENDIDOS</v>
      </c>
    </row>
    <row r="2592" spans="1:12" ht="15" hidden="1">
      <c r="A2592" t="s">
        <v>1793</v>
      </c>
      <c r="B2592" t="s">
        <v>689</v>
      </c>
      <c r="D2592" t="s">
        <v>916</v>
      </c>
      <c r="E2592" t="str">
        <f t="shared" si="140"/>
        <v>MANUTENÇÃO</v>
      </c>
      <c r="F2592" t="s">
        <v>1272</v>
      </c>
      <c r="G2592" t="s">
        <v>626</v>
      </c>
      <c r="H2592" s="484">
        <v>-3780</v>
      </c>
      <c r="I2592" t="str">
        <f t="shared" si="141"/>
        <v>março 2026</v>
      </c>
      <c r="J2592">
        <f t="shared" si="142"/>
        <v>2026</v>
      </c>
      <c r="K2592" t="str">
        <f>VLOOKUP(G2592,METRICS!C:D,2,0)</f>
        <v>Manutenção e Conservação</v>
      </c>
      <c r="L2592" t="str">
        <f>VLOOKUP(K2592,METRICS!D:E,2,0)</f>
        <v>OPERAÇÃO</v>
      </c>
    </row>
    <row r="2593" spans="1:12" ht="15" hidden="1">
      <c r="A2593" t="s">
        <v>1793</v>
      </c>
      <c r="B2593" t="s">
        <v>612</v>
      </c>
      <c r="D2593" t="s">
        <v>1973</v>
      </c>
      <c r="E2593" t="str">
        <f t="shared" si="140"/>
        <v>Compra 1034 (NFe 764497-1)</v>
      </c>
      <c r="F2593" t="s">
        <v>1272</v>
      </c>
      <c r="G2593" t="s">
        <v>607</v>
      </c>
      <c r="H2593" s="484">
        <v>-510</v>
      </c>
      <c r="I2593" t="str">
        <f t="shared" si="141"/>
        <v>março 2026</v>
      </c>
      <c r="J2593">
        <f t="shared" si="142"/>
        <v>2026</v>
      </c>
      <c r="K2593" t="str">
        <f>VLOOKUP(G2593,METRICS!C:D,2,0)</f>
        <v>Bebidas Alcoólicas</v>
      </c>
      <c r="L2593" t="str">
        <f>VLOOKUP(K2593,METRICS!D:E,2,0)</f>
        <v>CUSTOS DOS PRODUTOS VENDIDOS</v>
      </c>
    </row>
    <row r="2594" spans="1:12" ht="15" hidden="1">
      <c r="A2594" t="s">
        <v>1793</v>
      </c>
      <c r="B2594" t="s">
        <v>612</v>
      </c>
      <c r="D2594" t="s">
        <v>1974</v>
      </c>
      <c r="E2594" t="str">
        <f t="shared" si="140"/>
        <v>Compra 1014 (NFe 379782-1)</v>
      </c>
      <c r="F2594" t="s">
        <v>1272</v>
      </c>
      <c r="G2594" t="s">
        <v>630</v>
      </c>
      <c r="H2594" s="484">
        <v>-1834.84</v>
      </c>
      <c r="I2594" t="str">
        <f t="shared" si="141"/>
        <v>março 2026</v>
      </c>
      <c r="J2594">
        <f t="shared" si="142"/>
        <v>2026</v>
      </c>
      <c r="K2594" t="str">
        <f>VLOOKUP(G2594,METRICS!C:D,2,0)</f>
        <v>Material de Copa e Limpeza</v>
      </c>
      <c r="L2594" t="str">
        <f>VLOOKUP(K2594,METRICS!D:E,2,0)</f>
        <v>ADMINISTRATIVA</v>
      </c>
    </row>
    <row r="2595" spans="1:12" ht="15">
      <c r="A2595" s="593" t="s">
        <v>1793</v>
      </c>
      <c r="B2595" s="593" t="s">
        <v>689</v>
      </c>
      <c r="C2595" s="593"/>
      <c r="D2595" s="596" t="s">
        <v>2201</v>
      </c>
      <c r="E2595" s="593" t="s">
        <v>759</v>
      </c>
      <c r="F2595" s="593" t="s">
        <v>1272</v>
      </c>
      <c r="G2595" t="s">
        <v>631</v>
      </c>
      <c r="H2595" s="594">
        <v>-3930.37</v>
      </c>
      <c r="I2595" s="593" t="str">
        <f t="shared" si="141"/>
        <v>março 2026</v>
      </c>
      <c r="J2595" s="593">
        <f t="shared" si="142"/>
        <v>2026</v>
      </c>
      <c r="K2595" s="593" t="str">
        <f>VLOOKUP(G2595,METRICS!C:D,2,0)</f>
        <v>Midias Sociais</v>
      </c>
      <c r="L2595" s="593" t="str">
        <f>VLOOKUP(K2595,METRICS!D:E,2,0)</f>
        <v>MARKETING</v>
      </c>
    </row>
    <row r="2596" spans="1:12" ht="15" hidden="1">
      <c r="A2596" t="s">
        <v>1793</v>
      </c>
      <c r="B2596" t="s">
        <v>612</v>
      </c>
      <c r="D2596" t="s">
        <v>1975</v>
      </c>
      <c r="E2596" t="str">
        <f t="shared" si="140"/>
        <v>Compra 1010 (NFe 33221-1)</v>
      </c>
      <c r="F2596" t="s">
        <v>1272</v>
      </c>
      <c r="G2596" t="s">
        <v>608</v>
      </c>
      <c r="H2596" s="484">
        <v>-237.6</v>
      </c>
      <c r="I2596" t="str">
        <f t="shared" si="141"/>
        <v>março 2026</v>
      </c>
      <c r="J2596">
        <f t="shared" si="142"/>
        <v>2026</v>
      </c>
      <c r="K2596" t="str">
        <f>VLOOKUP(G2596,METRICS!C:D,2,0)</f>
        <v>Bebidas não Alcoolicas</v>
      </c>
      <c r="L2596" t="str">
        <f>VLOOKUP(K2596,METRICS!D:E,2,0)</f>
        <v>CUSTOS DOS PRODUTOS VENDIDOS</v>
      </c>
    </row>
    <row r="2597" spans="1:12" ht="15" hidden="1">
      <c r="A2597" t="s">
        <v>1793</v>
      </c>
      <c r="B2597" t="s">
        <v>612</v>
      </c>
      <c r="D2597" t="s">
        <v>1976</v>
      </c>
      <c r="E2597" t="str">
        <f t="shared" si="140"/>
        <v>Compra 1013 (NFe 2602073-1)</v>
      </c>
      <c r="F2597" t="s">
        <v>1272</v>
      </c>
      <c r="G2597" t="s">
        <v>623</v>
      </c>
      <c r="H2597" s="484">
        <v>-768</v>
      </c>
      <c r="I2597" t="str">
        <f t="shared" si="141"/>
        <v>março 2026</v>
      </c>
      <c r="J2597">
        <f t="shared" si="142"/>
        <v>2026</v>
      </c>
      <c r="K2597" t="str">
        <f>VLOOKUP(G2597,METRICS!C:D,2,0)</f>
        <v>Secos - Mercearia</v>
      </c>
      <c r="L2597" t="str">
        <f>VLOOKUP(K2597,METRICS!D:E,2,0)</f>
        <v>CUSTOS DOS PRODUTOS VENDIDOS</v>
      </c>
    </row>
    <row r="2598" spans="1:12" ht="15" hidden="1">
      <c r="A2598" t="s">
        <v>1793</v>
      </c>
      <c r="B2598" t="s">
        <v>612</v>
      </c>
      <c r="D2598" t="s">
        <v>1977</v>
      </c>
      <c r="E2598" t="str">
        <f t="shared" si="140"/>
        <v>Compra 1005 (NFe 764493-1)</v>
      </c>
      <c r="F2598" t="s">
        <v>1272</v>
      </c>
      <c r="G2598" t="s">
        <v>607</v>
      </c>
      <c r="H2598" s="484">
        <v>-6470.46</v>
      </c>
      <c r="I2598" t="str">
        <f t="shared" si="141"/>
        <v>março 2026</v>
      </c>
      <c r="J2598">
        <f t="shared" si="142"/>
        <v>2026</v>
      </c>
      <c r="K2598" t="str">
        <f>VLOOKUP(G2598,METRICS!C:D,2,0)</f>
        <v>Bebidas Alcoólicas</v>
      </c>
      <c r="L2598" t="str">
        <f>VLOOKUP(K2598,METRICS!D:E,2,0)</f>
        <v>CUSTOS DOS PRODUTOS VENDIDOS</v>
      </c>
    </row>
    <row r="2599" spans="1:12" ht="15" hidden="1">
      <c r="A2599" t="s">
        <v>1793</v>
      </c>
      <c r="B2599" t="s">
        <v>612</v>
      </c>
      <c r="D2599" t="s">
        <v>1978</v>
      </c>
      <c r="E2599" t="str">
        <f t="shared" si="140"/>
        <v>Compra 1023 (NFe 3444-1)</v>
      </c>
      <c r="F2599" t="s">
        <v>1272</v>
      </c>
      <c r="G2599" t="s">
        <v>413</v>
      </c>
      <c r="H2599" s="484">
        <v>-1198.5</v>
      </c>
      <c r="I2599" t="str">
        <f t="shared" si="141"/>
        <v>março 2026</v>
      </c>
      <c r="J2599">
        <f t="shared" si="142"/>
        <v>2026</v>
      </c>
      <c r="K2599" t="str">
        <f>VLOOKUP(G2599,METRICS!C:D,2,0)</f>
        <v>Pescados</v>
      </c>
      <c r="L2599" t="str">
        <f>VLOOKUP(K2599,METRICS!D:E,2,0)</f>
        <v>CUSTOS DOS PRODUTOS VENDIDOS</v>
      </c>
    </row>
    <row r="2600" spans="1:12" ht="15" hidden="1">
      <c r="A2600" t="s">
        <v>1793</v>
      </c>
      <c r="B2600" t="s">
        <v>612</v>
      </c>
      <c r="D2600" t="s">
        <v>1979</v>
      </c>
      <c r="E2600" t="str">
        <f t="shared" si="140"/>
        <v>Compra 1001 (NFe 45056-1)</v>
      </c>
      <c r="F2600" t="s">
        <v>1272</v>
      </c>
      <c r="G2600" t="s">
        <v>620</v>
      </c>
      <c r="H2600" s="484">
        <v>-228.18</v>
      </c>
      <c r="I2600" t="str">
        <f t="shared" si="141"/>
        <v>março 2026</v>
      </c>
      <c r="J2600">
        <f t="shared" si="142"/>
        <v>2026</v>
      </c>
      <c r="K2600" t="str">
        <f>VLOOKUP(G2600,METRICS!C:D,2,0)</f>
        <v>Hortifruti</v>
      </c>
      <c r="L2600" t="str">
        <f>VLOOKUP(K2600,METRICS!D:E,2,0)</f>
        <v>CUSTOS DOS PRODUTOS VENDIDOS</v>
      </c>
    </row>
    <row r="2601" spans="1:12" ht="15" hidden="1">
      <c r="A2601" t="s">
        <v>1793</v>
      </c>
      <c r="B2601" t="s">
        <v>612</v>
      </c>
      <c r="D2601" t="s">
        <v>1980</v>
      </c>
      <c r="E2601" t="str">
        <f t="shared" si="140"/>
        <v>Compra 1033 (NFe 67897-1)</v>
      </c>
      <c r="F2601" t="s">
        <v>1272</v>
      </c>
      <c r="G2601" t="s">
        <v>609</v>
      </c>
      <c r="H2601" s="484">
        <v>-4962.09</v>
      </c>
      <c r="I2601" t="str">
        <f t="shared" si="141"/>
        <v>março 2026</v>
      </c>
      <c r="J2601">
        <f t="shared" si="142"/>
        <v>2026</v>
      </c>
      <c r="K2601" t="str">
        <f>VLOOKUP(G2601,METRICS!C:D,2,0)</f>
        <v>Carnes e Aves</v>
      </c>
      <c r="L2601" t="str">
        <f>VLOOKUP(K2601,METRICS!D:E,2,0)</f>
        <v>CUSTOS DOS PRODUTOS VENDIDOS</v>
      </c>
    </row>
    <row r="2602" spans="1:12" ht="15" hidden="1">
      <c r="A2602" t="s">
        <v>1793</v>
      </c>
      <c r="B2602" t="s">
        <v>612</v>
      </c>
      <c r="D2602" t="s">
        <v>1981</v>
      </c>
      <c r="E2602" t="str">
        <f t="shared" si="140"/>
        <v>Compra 1008 (NFe 4835-0)</v>
      </c>
      <c r="F2602" t="s">
        <v>1272</v>
      </c>
      <c r="G2602" t="s">
        <v>629</v>
      </c>
      <c r="H2602" s="484">
        <v>-3057.6</v>
      </c>
      <c r="I2602" t="str">
        <f t="shared" si="141"/>
        <v>março 2026</v>
      </c>
      <c r="J2602">
        <f t="shared" si="142"/>
        <v>2026</v>
      </c>
      <c r="K2602" t="str">
        <f>VLOOKUP(G2602,METRICS!C:D,2,0)</f>
        <v>Material de limpeza</v>
      </c>
      <c r="L2602" t="str">
        <f>VLOOKUP(K2602,METRICS!D:E,2,0)</f>
        <v>OPERAÇÃO</v>
      </c>
    </row>
    <row r="2603" spans="1:12" ht="15" hidden="1">
      <c r="A2603" t="s">
        <v>1793</v>
      </c>
      <c r="B2603" t="s">
        <v>612</v>
      </c>
      <c r="D2603" t="s">
        <v>1982</v>
      </c>
      <c r="E2603" t="str">
        <f t="shared" si="140"/>
        <v>Compra 1017 (NFe 2627642-5)</v>
      </c>
      <c r="F2603" t="s">
        <v>1272</v>
      </c>
      <c r="G2603" t="s">
        <v>633</v>
      </c>
      <c r="H2603" s="484">
        <v>-238.3</v>
      </c>
      <c r="I2603" t="str">
        <f t="shared" si="141"/>
        <v>março 2026</v>
      </c>
      <c r="J2603">
        <f t="shared" si="142"/>
        <v>2026</v>
      </c>
      <c r="K2603" t="str">
        <f>VLOOKUP(G2603,METRICS!C:D,2,0)</f>
        <v>Paes, Massas e Salgados</v>
      </c>
      <c r="L2603" t="str">
        <f>VLOOKUP(K2603,METRICS!D:E,2,0)</f>
        <v>CUSTOS DOS PRODUTOS VENDIDOS</v>
      </c>
    </row>
    <row r="2604" spans="1:12" ht="15" hidden="1">
      <c r="A2604" t="s">
        <v>1793</v>
      </c>
      <c r="B2604" t="s">
        <v>612</v>
      </c>
      <c r="D2604" t="s">
        <v>1983</v>
      </c>
      <c r="E2604" t="str">
        <f t="shared" si="140"/>
        <v>Compra 1006 (NFe 1322-1)</v>
      </c>
      <c r="F2604" t="s">
        <v>1272</v>
      </c>
      <c r="G2604" t="s">
        <v>620</v>
      </c>
      <c r="H2604" s="484">
        <v>-7719.27</v>
      </c>
      <c r="I2604" t="str">
        <f t="shared" si="141"/>
        <v>março 2026</v>
      </c>
      <c r="J2604">
        <f t="shared" si="142"/>
        <v>2026</v>
      </c>
      <c r="K2604" t="str">
        <f>VLOOKUP(G2604,METRICS!C:D,2,0)</f>
        <v>Hortifruti</v>
      </c>
      <c r="L2604" t="str">
        <f>VLOOKUP(K2604,METRICS!D:E,2,0)</f>
        <v>CUSTOS DOS PRODUTOS VENDIDOS</v>
      </c>
    </row>
    <row r="2605" spans="1:12" ht="15" hidden="1">
      <c r="A2605" t="s">
        <v>1793</v>
      </c>
      <c r="B2605" t="s">
        <v>612</v>
      </c>
      <c r="D2605" t="s">
        <v>1984</v>
      </c>
      <c r="E2605" t="str">
        <f t="shared" si="140"/>
        <v>Compra 1016 (NFe 1387-1)</v>
      </c>
      <c r="F2605" t="s">
        <v>1272</v>
      </c>
      <c r="G2605" t="s">
        <v>615</v>
      </c>
      <c r="H2605" s="484">
        <v>-950</v>
      </c>
      <c r="I2605" t="str">
        <f t="shared" si="141"/>
        <v>março 2026</v>
      </c>
      <c r="J2605">
        <f t="shared" si="142"/>
        <v>2026</v>
      </c>
      <c r="K2605" t="str">
        <f>VLOOKUP(G2605,METRICS!C:D,2,0)</f>
        <v>Embalagens</v>
      </c>
      <c r="L2605" t="str">
        <f>VLOOKUP(K2605,METRICS!D:E,2,0)</f>
        <v>OPERAÇÃO</v>
      </c>
    </row>
    <row r="2606" spans="1:12" ht="15" hidden="1">
      <c r="A2606" t="s">
        <v>1793</v>
      </c>
      <c r="B2606" t="s">
        <v>612</v>
      </c>
      <c r="D2606" t="s">
        <v>1985</v>
      </c>
      <c r="E2606" t="str">
        <f t="shared" si="140"/>
        <v>Compra 1032 (NFe 67896-1)</v>
      </c>
      <c r="F2606" t="s">
        <v>1272</v>
      </c>
      <c r="G2606" t="s">
        <v>605</v>
      </c>
      <c r="H2606" s="484">
        <v>-3987.56</v>
      </c>
      <c r="I2606" t="str">
        <f t="shared" si="141"/>
        <v>março 2026</v>
      </c>
      <c r="J2606">
        <f t="shared" si="142"/>
        <v>2026</v>
      </c>
      <c r="K2606" t="str">
        <f>VLOOKUP(G2606,METRICS!C:D,2,0)</f>
        <v>Beneficios</v>
      </c>
      <c r="L2606" t="str">
        <f>VLOOKUP(K2606,METRICS!D:E,2,0)</f>
        <v>PESSOAL</v>
      </c>
    </row>
    <row r="2607" spans="1:12" ht="15" hidden="1">
      <c r="A2607" t="s">
        <v>1793</v>
      </c>
      <c r="B2607" t="s">
        <v>612</v>
      </c>
      <c r="D2607" t="s">
        <v>1986</v>
      </c>
      <c r="E2607" t="str">
        <f t="shared" si="140"/>
        <v>Compra 1012 (NFe 2602050-1)</v>
      </c>
      <c r="F2607" t="s">
        <v>1272</v>
      </c>
      <c r="G2607" t="s">
        <v>623</v>
      </c>
      <c r="H2607" s="484">
        <v>-489.6</v>
      </c>
      <c r="I2607" t="str">
        <f t="shared" si="141"/>
        <v>março 2026</v>
      </c>
      <c r="J2607">
        <f t="shared" si="142"/>
        <v>2026</v>
      </c>
      <c r="K2607" t="str">
        <f>VLOOKUP(G2607,METRICS!C:D,2,0)</f>
        <v>Secos - Mercearia</v>
      </c>
      <c r="L2607" t="str">
        <f>VLOOKUP(K2607,METRICS!D:E,2,0)</f>
        <v>CUSTOS DOS PRODUTOS VENDIDOS</v>
      </c>
    </row>
    <row r="2608" spans="1:12" ht="15" hidden="1">
      <c r="A2608" t="s">
        <v>1793</v>
      </c>
      <c r="B2608" t="s">
        <v>612</v>
      </c>
      <c r="D2608" t="s">
        <v>1987</v>
      </c>
      <c r="E2608" t="str">
        <f t="shared" si="140"/>
        <v>Compra 1007 (NFe 94046-1)</v>
      </c>
      <c r="F2608" t="s">
        <v>1272</v>
      </c>
      <c r="G2608" t="s">
        <v>619</v>
      </c>
      <c r="H2608" s="484">
        <v>-509.6</v>
      </c>
      <c r="I2608" t="str">
        <f t="shared" si="141"/>
        <v>março 2026</v>
      </c>
      <c r="J2608">
        <f t="shared" si="142"/>
        <v>2026</v>
      </c>
      <c r="K2608" t="str">
        <f>VLOOKUP(G2608,METRICS!C:D,2,0)</f>
        <v>Gelo</v>
      </c>
      <c r="L2608" t="str">
        <f>VLOOKUP(K2608,METRICS!D:E,2,0)</f>
        <v>CUSTOS DOS PRODUTOS VENDIDOS</v>
      </c>
    </row>
    <row r="2609" spans="1:12" ht="15" hidden="1">
      <c r="A2609" t="s">
        <v>1793</v>
      </c>
      <c r="B2609" t="s">
        <v>612</v>
      </c>
      <c r="D2609" t="s">
        <v>1988</v>
      </c>
      <c r="E2609" t="str">
        <f t="shared" si="140"/>
        <v>Compra 1019 (NFe 51667-1)</v>
      </c>
      <c r="F2609" t="s">
        <v>1272</v>
      </c>
      <c r="G2609" t="s">
        <v>609</v>
      </c>
      <c r="H2609" s="484">
        <v>-1030.72</v>
      </c>
      <c r="I2609" t="str">
        <f t="shared" si="141"/>
        <v>março 2026</v>
      </c>
      <c r="J2609">
        <f t="shared" si="142"/>
        <v>2026</v>
      </c>
      <c r="K2609" t="str">
        <f>VLOOKUP(G2609,METRICS!C:D,2,0)</f>
        <v>Carnes e Aves</v>
      </c>
      <c r="L2609" t="str">
        <f>VLOOKUP(K2609,METRICS!D:E,2,0)</f>
        <v>CUSTOS DOS PRODUTOS VENDIDOS</v>
      </c>
    </row>
    <row r="2610" spans="1:12" ht="15" hidden="1">
      <c r="A2610" t="s">
        <v>1793</v>
      </c>
      <c r="B2610" t="s">
        <v>612</v>
      </c>
      <c r="D2610" t="s">
        <v>1989</v>
      </c>
      <c r="E2610" t="str">
        <f t="shared" si="140"/>
        <v>Compra 1004 (NFe 24577-1)</v>
      </c>
      <c r="F2610" t="s">
        <v>1272</v>
      </c>
      <c r="G2610" t="s">
        <v>609</v>
      </c>
      <c r="H2610" s="484">
        <v>-3584.25</v>
      </c>
      <c r="I2610" t="str">
        <f t="shared" si="141"/>
        <v>março 2026</v>
      </c>
      <c r="J2610">
        <f t="shared" si="142"/>
        <v>2026</v>
      </c>
      <c r="K2610" t="str">
        <f>VLOOKUP(G2610,METRICS!C:D,2,0)</f>
        <v>Carnes e Aves</v>
      </c>
      <c r="L2610" t="str">
        <f>VLOOKUP(K2610,METRICS!D:E,2,0)</f>
        <v>CUSTOS DOS PRODUTOS VENDIDOS</v>
      </c>
    </row>
    <row r="2611" spans="1:12" ht="15" hidden="1">
      <c r="A2611" t="s">
        <v>1793</v>
      </c>
      <c r="B2611" t="s">
        <v>612</v>
      </c>
      <c r="D2611" t="s">
        <v>1990</v>
      </c>
      <c r="E2611" t="str">
        <f t="shared" si="140"/>
        <v>Compra 1002 (NFe 84700-1)</v>
      </c>
      <c r="F2611" t="s">
        <v>1272</v>
      </c>
      <c r="G2611" t="s">
        <v>607</v>
      </c>
      <c r="H2611" s="484">
        <v>-333.8</v>
      </c>
      <c r="I2611" t="str">
        <f t="shared" si="141"/>
        <v>março 2026</v>
      </c>
      <c r="J2611">
        <f t="shared" si="142"/>
        <v>2026</v>
      </c>
      <c r="K2611" t="str">
        <f>VLOOKUP(G2611,METRICS!C:D,2,0)</f>
        <v>Bebidas Alcoólicas</v>
      </c>
      <c r="L2611" t="str">
        <f>VLOOKUP(K2611,METRICS!D:E,2,0)</f>
        <v>CUSTOS DOS PRODUTOS VENDIDOS</v>
      </c>
    </row>
    <row r="2612" spans="1:12" ht="15" hidden="1">
      <c r="A2612" t="s">
        <v>1794</v>
      </c>
      <c r="B2612" t="s">
        <v>612</v>
      </c>
      <c r="D2612" t="s">
        <v>2425</v>
      </c>
      <c r="E2612" t="s">
        <v>1672</v>
      </c>
      <c r="F2612" t="s">
        <v>1272</v>
      </c>
      <c r="G2612" s="518" t="s">
        <v>2231</v>
      </c>
      <c r="H2612" s="595">
        <v>-2097.46</v>
      </c>
      <c r="I2612" t="str">
        <f t="shared" si="141"/>
        <v>março 2026</v>
      </c>
      <c r="J2612">
        <f t="shared" si="142"/>
        <v>2026</v>
      </c>
      <c r="K2612" t="e">
        <f>VLOOKUP(G2612,METRICS!C:D,2,0)</f>
        <v>#N/A</v>
      </c>
      <c r="L2612" t="e">
        <f>VLOOKUP(K2612,METRICS!D:E,2,0)</f>
        <v>#N/A</v>
      </c>
    </row>
    <row r="2613" spans="1:12" ht="15" hidden="1">
      <c r="A2613" t="s">
        <v>1794</v>
      </c>
      <c r="B2613" t="s">
        <v>612</v>
      </c>
      <c r="D2613" t="s">
        <v>1991</v>
      </c>
      <c r="E2613" t="str">
        <f t="shared" si="140"/>
        <v>Compra 1038 (NFe 313437-1)</v>
      </c>
      <c r="F2613" t="s">
        <v>1272</v>
      </c>
      <c r="G2613" t="s">
        <v>623</v>
      </c>
      <c r="H2613" s="484">
        <v>-407</v>
      </c>
      <c r="I2613" t="str">
        <f t="shared" si="141"/>
        <v>março 2026</v>
      </c>
      <c r="J2613">
        <f t="shared" si="142"/>
        <v>2026</v>
      </c>
      <c r="K2613" t="str">
        <f>VLOOKUP(G2613,METRICS!C:D,2,0)</f>
        <v>Secos - Mercearia</v>
      </c>
      <c r="L2613" t="str">
        <f>VLOOKUP(K2613,METRICS!D:E,2,0)</f>
        <v>CUSTOS DOS PRODUTOS VENDIDOS</v>
      </c>
    </row>
    <row r="2614" spans="1:12" ht="15" hidden="1">
      <c r="A2614" t="s">
        <v>1794</v>
      </c>
      <c r="B2614" t="s">
        <v>612</v>
      </c>
      <c r="D2614" t="s">
        <v>1992</v>
      </c>
      <c r="E2614" t="str">
        <f t="shared" si="140"/>
        <v>Compra 1048 (NFe 45096-1)</v>
      </c>
      <c r="F2614" t="s">
        <v>1272</v>
      </c>
      <c r="G2614" t="s">
        <v>620</v>
      </c>
      <c r="H2614" s="484">
        <v>-1705.62</v>
      </c>
      <c r="I2614" t="str">
        <f t="shared" si="141"/>
        <v>março 2026</v>
      </c>
      <c r="J2614">
        <f t="shared" si="142"/>
        <v>2026</v>
      </c>
      <c r="K2614" t="str">
        <f>VLOOKUP(G2614,METRICS!C:D,2,0)</f>
        <v>Hortifruti</v>
      </c>
      <c r="L2614" t="str">
        <f>VLOOKUP(K2614,METRICS!D:E,2,0)</f>
        <v>CUSTOS DOS PRODUTOS VENDIDOS</v>
      </c>
    </row>
    <row r="2615" spans="1:12" ht="15" hidden="1">
      <c r="A2615" t="s">
        <v>1794</v>
      </c>
      <c r="B2615" t="s">
        <v>612</v>
      </c>
      <c r="D2615" t="s">
        <v>1993</v>
      </c>
      <c r="E2615" t="str">
        <f t="shared" si="140"/>
        <v>Compra 1031 (NFe 1741-1)</v>
      </c>
      <c r="F2615" t="s">
        <v>1272</v>
      </c>
      <c r="G2615" t="s">
        <v>413</v>
      </c>
      <c r="H2615" s="484">
        <v>-4637.49</v>
      </c>
      <c r="I2615" t="str">
        <f t="shared" si="141"/>
        <v>março 2026</v>
      </c>
      <c r="J2615">
        <f t="shared" si="142"/>
        <v>2026</v>
      </c>
      <c r="K2615" t="str">
        <f>VLOOKUP(G2615,METRICS!C:D,2,0)</f>
        <v>Pescados</v>
      </c>
      <c r="L2615" t="str">
        <f>VLOOKUP(K2615,METRICS!D:E,2,0)</f>
        <v>CUSTOS DOS PRODUTOS VENDIDOS</v>
      </c>
    </row>
    <row r="2616" spans="1:12" ht="15" hidden="1">
      <c r="A2616" t="s">
        <v>1794</v>
      </c>
      <c r="B2616" t="s">
        <v>612</v>
      </c>
      <c r="D2616" t="s">
        <v>1994</v>
      </c>
      <c r="E2616" t="str">
        <f t="shared" si="140"/>
        <v>Compra de serviço Série:SN / NFS-e:209</v>
      </c>
      <c r="F2616" t="s">
        <v>1272</v>
      </c>
      <c r="G2616" t="s">
        <v>621</v>
      </c>
      <c r="H2616" s="484">
        <v>-5000</v>
      </c>
      <c r="I2616" t="str">
        <f t="shared" si="141"/>
        <v>março 2026</v>
      </c>
      <c r="J2616">
        <f t="shared" si="142"/>
        <v>2026</v>
      </c>
      <c r="K2616" t="str">
        <f>VLOOKUP(G2616,METRICS!C:D,2,0)</f>
        <v>Influencer</v>
      </c>
      <c r="L2616" t="str">
        <f>VLOOKUP(K2616,METRICS!D:E,2,0)</f>
        <v>MARKETING</v>
      </c>
    </row>
    <row r="2617" spans="1:12" ht="15" hidden="1">
      <c r="A2617" t="s">
        <v>1794</v>
      </c>
      <c r="B2617" t="s">
        <v>612</v>
      </c>
      <c r="D2617" t="s">
        <v>1995</v>
      </c>
      <c r="E2617" t="str">
        <f t="shared" si="140"/>
        <v>Compra 1050 (NFe 765389-1)</v>
      </c>
      <c r="F2617" t="s">
        <v>1272</v>
      </c>
      <c r="G2617" t="s">
        <v>607</v>
      </c>
      <c r="H2617" s="484">
        <v>-1315.2</v>
      </c>
      <c r="I2617" t="str">
        <f t="shared" si="141"/>
        <v>março 2026</v>
      </c>
      <c r="J2617">
        <f t="shared" si="142"/>
        <v>2026</v>
      </c>
      <c r="K2617" t="str">
        <f>VLOOKUP(G2617,METRICS!C:D,2,0)</f>
        <v>Bebidas Alcoólicas</v>
      </c>
      <c r="L2617" t="str">
        <f>VLOOKUP(K2617,METRICS!D:E,2,0)</f>
        <v>CUSTOS DOS PRODUTOS VENDIDOS</v>
      </c>
    </row>
    <row r="2618" spans="1:12" ht="15" hidden="1">
      <c r="A2618" t="s">
        <v>1794</v>
      </c>
      <c r="B2618" t="s">
        <v>689</v>
      </c>
      <c r="D2618" t="s">
        <v>1996</v>
      </c>
      <c r="E2618" t="str">
        <f t="shared" si="140"/>
        <v>Referente à parcela do empréstimo consignado do GOV</v>
      </c>
      <c r="F2618" t="s">
        <v>1272</v>
      </c>
      <c r="G2618" t="s">
        <v>649</v>
      </c>
      <c r="H2618" s="484">
        <v>-1133.3599999999999</v>
      </c>
      <c r="I2618" t="str">
        <f t="shared" si="141"/>
        <v>março 2026</v>
      </c>
      <c r="J2618">
        <f t="shared" si="142"/>
        <v>2026</v>
      </c>
      <c r="K2618" t="str">
        <f>VLOOKUP(G2618,METRICS!C:D,2,0)</f>
        <v>Emprestimos Funcionários</v>
      </c>
      <c r="L2618" t="str">
        <f>VLOOKUP(K2618,METRICS!D:E,2,0)</f>
        <v>PESSOAL</v>
      </c>
    </row>
    <row r="2619" spans="1:12" ht="15" hidden="1">
      <c r="A2619" t="s">
        <v>1794</v>
      </c>
      <c r="B2619" t="s">
        <v>612</v>
      </c>
      <c r="D2619" t="s">
        <v>1997</v>
      </c>
      <c r="E2619" t="str">
        <f t="shared" si="140"/>
        <v>Compra 1044 (NFe 1137626-1)</v>
      </c>
      <c r="F2619" t="s">
        <v>1272</v>
      </c>
      <c r="G2619" t="s">
        <v>628</v>
      </c>
      <c r="H2619" s="484">
        <v>-2665.4</v>
      </c>
      <c r="I2619" t="str">
        <f t="shared" si="141"/>
        <v>março 2026</v>
      </c>
      <c r="J2619">
        <f t="shared" si="142"/>
        <v>2026</v>
      </c>
      <c r="K2619" t="str">
        <f>VLOOKUP(G2619,METRICS!C:D,2,0)</f>
        <v>Material de Escritório</v>
      </c>
      <c r="L2619" t="str">
        <f>VLOOKUP(K2619,METRICS!D:E,2,0)</f>
        <v>ADMINISTRATIVA</v>
      </c>
    </row>
    <row r="2620" spans="1:12" ht="15" hidden="1">
      <c r="A2620" t="s">
        <v>1794</v>
      </c>
      <c r="B2620" t="s">
        <v>612</v>
      </c>
      <c r="D2620" t="s">
        <v>1998</v>
      </c>
      <c r="E2620" t="str">
        <f t="shared" si="140"/>
        <v>Compra 1036 (NFe 13585-1)</v>
      </c>
      <c r="F2620" t="s">
        <v>1272</v>
      </c>
      <c r="G2620" t="s">
        <v>633</v>
      </c>
      <c r="H2620" s="484">
        <v>-2072</v>
      </c>
      <c r="I2620" t="str">
        <f t="shared" si="141"/>
        <v>março 2026</v>
      </c>
      <c r="J2620">
        <f t="shared" si="142"/>
        <v>2026</v>
      </c>
      <c r="K2620" t="str">
        <f>VLOOKUP(G2620,METRICS!C:D,2,0)</f>
        <v>Paes, Massas e Salgados</v>
      </c>
      <c r="L2620" t="str">
        <f>VLOOKUP(K2620,METRICS!D:E,2,0)</f>
        <v>CUSTOS DOS PRODUTOS VENDIDOS</v>
      </c>
    </row>
    <row r="2621" spans="1:12" ht="15" hidden="1">
      <c r="A2621" t="s">
        <v>1794</v>
      </c>
      <c r="B2621" t="s">
        <v>612</v>
      </c>
      <c r="D2621" t="s">
        <v>1999</v>
      </c>
      <c r="E2621" t="str">
        <f t="shared" si="140"/>
        <v>Compra 1041 (NFe 6457620-5)</v>
      </c>
      <c r="F2621" t="s">
        <v>1272</v>
      </c>
      <c r="G2621" t="s">
        <v>636</v>
      </c>
      <c r="H2621" s="484">
        <v>-2995</v>
      </c>
      <c r="I2621" t="str">
        <f t="shared" si="141"/>
        <v>março 2026</v>
      </c>
      <c r="J2621">
        <f t="shared" si="142"/>
        <v>2026</v>
      </c>
      <c r="K2621" t="str">
        <f>VLOOKUP(G2621,METRICS!C:D,2,0)</f>
        <v>Secos - Mercearia</v>
      </c>
      <c r="L2621" t="str">
        <f>VLOOKUP(K2621,METRICS!D:E,2,0)</f>
        <v>CUSTOS DOS PRODUTOS VENDIDOS</v>
      </c>
    </row>
    <row r="2622" spans="1:12" ht="15" hidden="1">
      <c r="A2622" t="s">
        <v>1794</v>
      </c>
      <c r="B2622" t="s">
        <v>612</v>
      </c>
      <c r="D2622" t="s">
        <v>2000</v>
      </c>
      <c r="E2622" t="str">
        <f t="shared" ref="E2622:E2684" si="143">D2622</f>
        <v>Compra 1049 (NFe 23973-1)</v>
      </c>
      <c r="F2622" t="s">
        <v>1272</v>
      </c>
      <c r="G2622" t="s">
        <v>413</v>
      </c>
      <c r="H2622" s="484">
        <v>-262.41000000000003</v>
      </c>
      <c r="I2622" t="str">
        <f t="shared" si="141"/>
        <v>março 2026</v>
      </c>
      <c r="J2622">
        <f t="shared" si="142"/>
        <v>2026</v>
      </c>
      <c r="K2622" t="str">
        <f>VLOOKUP(G2622,METRICS!C:D,2,0)</f>
        <v>Pescados</v>
      </c>
      <c r="L2622" t="str">
        <f>VLOOKUP(K2622,METRICS!D:E,2,0)</f>
        <v>CUSTOS DOS PRODUTOS VENDIDOS</v>
      </c>
    </row>
    <row r="2623" spans="1:12" ht="15" hidden="1">
      <c r="A2623" t="s">
        <v>1794</v>
      </c>
      <c r="B2623" t="s">
        <v>612</v>
      </c>
      <c r="D2623" t="s">
        <v>2001</v>
      </c>
      <c r="E2623" t="str">
        <f t="shared" si="143"/>
        <v>Compra 1045 (NFe 180207-1)</v>
      </c>
      <c r="F2623" t="s">
        <v>1272</v>
      </c>
      <c r="G2623" t="s">
        <v>611</v>
      </c>
      <c r="H2623" s="484">
        <v>-2017.48</v>
      </c>
      <c r="I2623" t="str">
        <f t="shared" si="141"/>
        <v>março 2026</v>
      </c>
      <c r="J2623">
        <f t="shared" si="142"/>
        <v>2026</v>
      </c>
      <c r="K2623" t="str">
        <f>VLOOKUP(G2623,METRICS!C:D,2,0)</f>
        <v>Bebidas Alcoólicas</v>
      </c>
      <c r="L2623" t="str">
        <f>VLOOKUP(K2623,METRICS!D:E,2,0)</f>
        <v>CUSTOS DOS PRODUTOS VENDIDOS</v>
      </c>
    </row>
    <row r="2624" spans="1:12" ht="15" hidden="1">
      <c r="A2624" t="s">
        <v>1794</v>
      </c>
      <c r="B2624" t="s">
        <v>612</v>
      </c>
      <c r="D2624" t="s">
        <v>2002</v>
      </c>
      <c r="E2624" t="s">
        <v>890</v>
      </c>
      <c r="F2624" t="s">
        <v>1272</v>
      </c>
      <c r="G2624" s="518" t="s">
        <v>1736</v>
      </c>
      <c r="H2624" s="484">
        <v>-373.43</v>
      </c>
      <c r="I2624" t="str">
        <f t="shared" si="141"/>
        <v>março 2026</v>
      </c>
      <c r="J2624">
        <f t="shared" si="142"/>
        <v>2026</v>
      </c>
      <c r="K2624" t="str">
        <f>VLOOKUP(G2624,METRICS!C:D,2,0)</f>
        <v>Sistema e Software OP</v>
      </c>
      <c r="L2624" t="str">
        <f>VLOOKUP(K2624,METRICS!D:E,2,0)</f>
        <v>OPERAÇÃO</v>
      </c>
    </row>
    <row r="2625" spans="1:12" ht="15" hidden="1">
      <c r="A2625" t="s">
        <v>1794</v>
      </c>
      <c r="B2625" t="s">
        <v>612</v>
      </c>
      <c r="D2625" t="s">
        <v>2003</v>
      </c>
      <c r="E2625" t="str">
        <f t="shared" si="143"/>
        <v>Compra 1029 (NFe 690171-3)</v>
      </c>
      <c r="F2625" t="s">
        <v>1272</v>
      </c>
      <c r="G2625" t="s">
        <v>609</v>
      </c>
      <c r="H2625" s="484">
        <v>-14751.69</v>
      </c>
      <c r="I2625" t="str">
        <f t="shared" si="141"/>
        <v>março 2026</v>
      </c>
      <c r="J2625">
        <f t="shared" si="142"/>
        <v>2026</v>
      </c>
      <c r="K2625" t="str">
        <f>VLOOKUP(G2625,METRICS!C:D,2,0)</f>
        <v>Carnes e Aves</v>
      </c>
      <c r="L2625" t="str">
        <f>VLOOKUP(K2625,METRICS!D:E,2,0)</f>
        <v>CUSTOS DOS PRODUTOS VENDIDOS</v>
      </c>
    </row>
    <row r="2626" spans="1:12" ht="15" hidden="1">
      <c r="A2626" t="s">
        <v>1794</v>
      </c>
      <c r="B2626" t="s">
        <v>612</v>
      </c>
      <c r="D2626" t="s">
        <v>2004</v>
      </c>
      <c r="E2626" t="s">
        <v>936</v>
      </c>
      <c r="F2626" t="s">
        <v>1272</v>
      </c>
      <c r="G2626" t="s">
        <v>283</v>
      </c>
      <c r="H2626" s="484">
        <v>-3113</v>
      </c>
      <c r="I2626" t="str">
        <f t="shared" si="141"/>
        <v>março 2026</v>
      </c>
      <c r="J2626">
        <f t="shared" si="142"/>
        <v>2026</v>
      </c>
      <c r="K2626" t="str">
        <f>VLOOKUP(G2626,METRICS!C:D,2,0)</f>
        <v>Hostess</v>
      </c>
      <c r="L2626" t="str">
        <f>VLOOKUP(K2626,METRICS!D:E,2,0)</f>
        <v>OPERAÇÃO</v>
      </c>
    </row>
    <row r="2627" spans="1:12" ht="15" hidden="1">
      <c r="A2627" t="s">
        <v>1794</v>
      </c>
      <c r="B2627" t="s">
        <v>612</v>
      </c>
      <c r="D2627" t="s">
        <v>2005</v>
      </c>
      <c r="E2627" t="str">
        <f t="shared" si="143"/>
        <v>Compra 1059 (NFe 108020-1)</v>
      </c>
      <c r="F2627" t="s">
        <v>1272</v>
      </c>
      <c r="G2627" t="s">
        <v>616</v>
      </c>
      <c r="H2627" s="484">
        <v>-400</v>
      </c>
      <c r="I2627" t="str">
        <f t="shared" si="141"/>
        <v>março 2026</v>
      </c>
      <c r="J2627">
        <f t="shared" si="142"/>
        <v>2026</v>
      </c>
      <c r="K2627" t="str">
        <f>VLOOKUP(G2627,METRICS!C:D,2,0)</f>
        <v>Enlatados e Conservas</v>
      </c>
      <c r="L2627" t="str">
        <f>VLOOKUP(K2627,METRICS!D:E,2,0)</f>
        <v>CUSTOS DOS PRODUTOS VENDIDOS</v>
      </c>
    </row>
    <row r="2628" spans="1:12" ht="15" hidden="1">
      <c r="A2628" t="s">
        <v>1794</v>
      </c>
      <c r="B2628" t="s">
        <v>612</v>
      </c>
      <c r="D2628" t="s">
        <v>2006</v>
      </c>
      <c r="E2628" t="str">
        <f t="shared" si="143"/>
        <v>Compra 1042 (NFe 34573-0)</v>
      </c>
      <c r="F2628" t="s">
        <v>1272</v>
      </c>
      <c r="G2628" t="s">
        <v>628</v>
      </c>
      <c r="H2628" s="484">
        <v>-510</v>
      </c>
      <c r="I2628" t="str">
        <f t="shared" ref="I2628:I2692" si="144">TEXT(A2628, "mmmm aaaa")</f>
        <v>março 2026</v>
      </c>
      <c r="J2628">
        <f t="shared" ref="J2628:J2692" si="145">YEAR(A2628)</f>
        <v>2026</v>
      </c>
      <c r="K2628" t="str">
        <f>VLOOKUP(G2628,METRICS!C:D,2,0)</f>
        <v>Material de Escritório</v>
      </c>
      <c r="L2628" t="str">
        <f>VLOOKUP(K2628,METRICS!D:E,2,0)</f>
        <v>ADMINISTRATIVA</v>
      </c>
    </row>
    <row r="2629" spans="1:12" ht="15" hidden="1">
      <c r="A2629" t="s">
        <v>1794</v>
      </c>
      <c r="B2629" t="s">
        <v>612</v>
      </c>
      <c r="D2629" t="s">
        <v>2007</v>
      </c>
      <c r="E2629" t="str">
        <f t="shared" si="143"/>
        <v>Compra 1024 (NFe 499830-2)</v>
      </c>
      <c r="F2629" t="s">
        <v>1272</v>
      </c>
      <c r="G2629" t="s">
        <v>609</v>
      </c>
      <c r="H2629" s="484">
        <v>-3706.48</v>
      </c>
      <c r="I2629" t="str">
        <f t="shared" si="144"/>
        <v>março 2026</v>
      </c>
      <c r="J2629">
        <f t="shared" si="145"/>
        <v>2026</v>
      </c>
      <c r="K2629" t="str">
        <f>VLOOKUP(G2629,METRICS!C:D,2,0)</f>
        <v>Carnes e Aves</v>
      </c>
      <c r="L2629" t="str">
        <f>VLOOKUP(K2629,METRICS!D:E,2,0)</f>
        <v>CUSTOS DOS PRODUTOS VENDIDOS</v>
      </c>
    </row>
    <row r="2630" spans="1:12" ht="15" hidden="1">
      <c r="A2630" t="s">
        <v>1794</v>
      </c>
      <c r="B2630" t="s">
        <v>612</v>
      </c>
      <c r="D2630" t="s">
        <v>2008</v>
      </c>
      <c r="E2630" t="s">
        <v>330</v>
      </c>
      <c r="F2630" t="s">
        <v>1272</v>
      </c>
      <c r="G2630" s="518" t="s">
        <v>2227</v>
      </c>
      <c r="H2630" s="484">
        <v>-2287.54</v>
      </c>
      <c r="I2630" t="str">
        <f t="shared" si="144"/>
        <v>março 2026</v>
      </c>
      <c r="J2630">
        <f t="shared" si="145"/>
        <v>2026</v>
      </c>
      <c r="K2630" t="str">
        <f>VLOOKUP(G2630,METRICS!C:D,2,0)</f>
        <v>Coleta de Lixo</v>
      </c>
      <c r="L2630" t="str">
        <f>VLOOKUP(K2630,METRICS!D:E,2,0)</f>
        <v>OPERAÇÃO</v>
      </c>
    </row>
    <row r="2631" spans="1:12" ht="15" hidden="1">
      <c r="A2631" t="s">
        <v>1794</v>
      </c>
      <c r="B2631" t="s">
        <v>612</v>
      </c>
      <c r="D2631" t="s">
        <v>2009</v>
      </c>
      <c r="E2631" t="str">
        <f t="shared" si="143"/>
        <v>Compra 1037 (NFe 15-1)</v>
      </c>
      <c r="F2631" t="s">
        <v>1272</v>
      </c>
      <c r="G2631" t="s">
        <v>609</v>
      </c>
      <c r="H2631" s="484">
        <v>-3198</v>
      </c>
      <c r="I2631" t="str">
        <f t="shared" si="144"/>
        <v>março 2026</v>
      </c>
      <c r="J2631">
        <f t="shared" si="145"/>
        <v>2026</v>
      </c>
      <c r="K2631" t="str">
        <f>VLOOKUP(G2631,METRICS!C:D,2,0)</f>
        <v>Carnes e Aves</v>
      </c>
      <c r="L2631" t="str">
        <f>VLOOKUP(K2631,METRICS!D:E,2,0)</f>
        <v>CUSTOS DOS PRODUTOS VENDIDOS</v>
      </c>
    </row>
    <row r="2632" spans="1:12" ht="15" hidden="1">
      <c r="A2632" t="s">
        <v>1794</v>
      </c>
      <c r="B2632" t="s">
        <v>612</v>
      </c>
      <c r="D2632" t="s">
        <v>2010</v>
      </c>
      <c r="E2632" t="str">
        <f t="shared" si="143"/>
        <v>Compra 1030 (NFe 4124568-1)</v>
      </c>
      <c r="F2632" t="s">
        <v>1272</v>
      </c>
      <c r="G2632" t="s">
        <v>636</v>
      </c>
      <c r="H2632" s="484">
        <v>-1769.79</v>
      </c>
      <c r="I2632" t="str">
        <f t="shared" si="144"/>
        <v>março 2026</v>
      </c>
      <c r="J2632">
        <f t="shared" si="145"/>
        <v>2026</v>
      </c>
      <c r="K2632" t="str">
        <f>VLOOKUP(G2632,METRICS!C:D,2,0)</f>
        <v>Secos - Mercearia</v>
      </c>
      <c r="L2632" t="str">
        <f>VLOOKUP(K2632,METRICS!D:E,2,0)</f>
        <v>CUSTOS DOS PRODUTOS VENDIDOS</v>
      </c>
    </row>
    <row r="2633" spans="1:12" ht="15" hidden="1">
      <c r="A2633" t="s">
        <v>1794</v>
      </c>
      <c r="B2633" t="s">
        <v>612</v>
      </c>
      <c r="D2633" t="s">
        <v>2011</v>
      </c>
      <c r="E2633" t="str">
        <f t="shared" si="143"/>
        <v>Compra 1051 (NFe 1011-1)</v>
      </c>
      <c r="F2633" t="s">
        <v>1272</v>
      </c>
      <c r="G2633" t="s">
        <v>623</v>
      </c>
      <c r="H2633" s="484">
        <v>-420</v>
      </c>
      <c r="I2633" t="str">
        <f t="shared" si="144"/>
        <v>março 2026</v>
      </c>
      <c r="J2633">
        <f t="shared" si="145"/>
        <v>2026</v>
      </c>
      <c r="K2633" t="str">
        <f>VLOOKUP(G2633,METRICS!C:D,2,0)</f>
        <v>Secos - Mercearia</v>
      </c>
      <c r="L2633" t="str">
        <f>VLOOKUP(K2633,METRICS!D:E,2,0)</f>
        <v>CUSTOS DOS PRODUTOS VENDIDOS</v>
      </c>
    </row>
    <row r="2634" spans="1:12" ht="15" hidden="1">
      <c r="A2634" t="s">
        <v>1794</v>
      </c>
      <c r="B2634" t="s">
        <v>612</v>
      </c>
      <c r="D2634" t="s">
        <v>2012</v>
      </c>
      <c r="E2634" t="str">
        <f t="shared" si="143"/>
        <v>Compra 1043 (NFe 86480-1)</v>
      </c>
      <c r="F2634" t="s">
        <v>1272</v>
      </c>
      <c r="G2634" t="s">
        <v>413</v>
      </c>
      <c r="H2634" s="484">
        <v>-4748</v>
      </c>
      <c r="I2634" t="str">
        <f t="shared" si="144"/>
        <v>março 2026</v>
      </c>
      <c r="J2634">
        <f t="shared" si="145"/>
        <v>2026</v>
      </c>
      <c r="K2634" t="str">
        <f>VLOOKUP(G2634,METRICS!C:D,2,0)</f>
        <v>Pescados</v>
      </c>
      <c r="L2634" t="str">
        <f>VLOOKUP(K2634,METRICS!D:E,2,0)</f>
        <v>CUSTOS DOS PRODUTOS VENDIDOS</v>
      </c>
    </row>
    <row r="2635" spans="1:12" ht="15" hidden="1">
      <c r="A2635" t="s">
        <v>1794</v>
      </c>
      <c r="B2635" t="s">
        <v>689</v>
      </c>
      <c r="D2635" t="s">
        <v>2013</v>
      </c>
      <c r="E2635" t="str">
        <f>D2635</f>
        <v>LOCACAO DE EXOVAL REF AO PERIODO MARÇ/2026</v>
      </c>
      <c r="F2635" t="s">
        <v>1272</v>
      </c>
      <c r="G2635" t="s">
        <v>662</v>
      </c>
      <c r="H2635" s="484">
        <v>-7177.7</v>
      </c>
      <c r="I2635" t="str">
        <f>TEXT(A2635, "mmmm aaaa")</f>
        <v>março 2026</v>
      </c>
      <c r="J2635">
        <f>YEAR(A2635)</f>
        <v>2026</v>
      </c>
      <c r="K2635" t="str">
        <f>VLOOKUP(G2635,METRICS!C:D,2,0)</f>
        <v>Lavanderia</v>
      </c>
      <c r="L2635" t="str">
        <f>VLOOKUP(K2635,METRICS!D:E,2,0)</f>
        <v>OPERAÇÃO</v>
      </c>
    </row>
    <row r="2636" spans="1:12" ht="15" hidden="1">
      <c r="A2636" t="s">
        <v>1794</v>
      </c>
      <c r="B2636" t="s">
        <v>612</v>
      </c>
      <c r="D2636" t="s">
        <v>2014</v>
      </c>
      <c r="E2636" t="str">
        <f t="shared" si="143"/>
        <v>Compra 1040 (NFe 13247-1)</v>
      </c>
      <c r="F2636" t="s">
        <v>1272</v>
      </c>
      <c r="G2636" t="s">
        <v>1718</v>
      </c>
      <c r="H2636" s="484">
        <v>-723.93</v>
      </c>
      <c r="I2636" t="str">
        <f t="shared" si="144"/>
        <v>março 2026</v>
      </c>
      <c r="J2636">
        <f t="shared" si="145"/>
        <v>2026</v>
      </c>
      <c r="K2636" t="str">
        <f>VLOOKUP(G2636,METRICS!C:D,2,0)</f>
        <v>Utensílios</v>
      </c>
      <c r="L2636" t="str">
        <f>VLOOKUP(K2636,METRICS!D:E,2,0)</f>
        <v>OPERAÇÃO</v>
      </c>
    </row>
    <row r="2637" spans="1:12" ht="15" hidden="1">
      <c r="A2637" t="s">
        <v>1794</v>
      </c>
      <c r="B2637" t="s">
        <v>612</v>
      </c>
      <c r="D2637" t="s">
        <v>2015</v>
      </c>
      <c r="E2637" s="518" t="s">
        <v>2644</v>
      </c>
      <c r="F2637" t="s">
        <v>1272</v>
      </c>
      <c r="G2637" t="s">
        <v>631</v>
      </c>
      <c r="H2637" s="484">
        <v>-599.9</v>
      </c>
      <c r="I2637" t="str">
        <f t="shared" si="144"/>
        <v>março 2026</v>
      </c>
      <c r="J2637">
        <f t="shared" si="145"/>
        <v>2026</v>
      </c>
      <c r="K2637" t="str">
        <f>VLOOKUP(G2637,METRICS!C:D,2,0)</f>
        <v>Midias Sociais</v>
      </c>
      <c r="L2637" t="str">
        <f>VLOOKUP(K2637,METRICS!D:E,2,0)</f>
        <v>MARKETING</v>
      </c>
    </row>
    <row r="2638" spans="1:12" ht="15" hidden="1">
      <c r="A2638" t="s">
        <v>1794</v>
      </c>
      <c r="B2638" t="s">
        <v>612</v>
      </c>
      <c r="D2638" t="s">
        <v>2016</v>
      </c>
      <c r="E2638" t="str">
        <f t="shared" si="143"/>
        <v>Compra 1027 (NFe 69933-1)</v>
      </c>
      <c r="F2638" t="s">
        <v>1272</v>
      </c>
      <c r="G2638" t="s">
        <v>636</v>
      </c>
      <c r="H2638" s="484">
        <v>-1274.04</v>
      </c>
      <c r="I2638" t="str">
        <f t="shared" si="144"/>
        <v>março 2026</v>
      </c>
      <c r="J2638">
        <f t="shared" si="145"/>
        <v>2026</v>
      </c>
      <c r="K2638" t="str">
        <f>VLOOKUP(G2638,METRICS!C:D,2,0)</f>
        <v>Secos - Mercearia</v>
      </c>
      <c r="L2638" t="str">
        <f>VLOOKUP(K2638,METRICS!D:E,2,0)</f>
        <v>CUSTOS DOS PRODUTOS VENDIDOS</v>
      </c>
    </row>
    <row r="2639" spans="1:12" ht="15" hidden="1">
      <c r="A2639" t="s">
        <v>1794</v>
      </c>
      <c r="B2639" t="s">
        <v>612</v>
      </c>
      <c r="D2639" t="s">
        <v>2017</v>
      </c>
      <c r="E2639" t="str">
        <f t="shared" si="143"/>
        <v>Compra 1039 (NFe 94160-1)</v>
      </c>
      <c r="F2639" t="s">
        <v>1272</v>
      </c>
      <c r="G2639" t="s">
        <v>619</v>
      </c>
      <c r="H2639" s="484">
        <v>-509.6</v>
      </c>
      <c r="I2639" t="str">
        <f t="shared" si="144"/>
        <v>março 2026</v>
      </c>
      <c r="J2639">
        <f t="shared" si="145"/>
        <v>2026</v>
      </c>
      <c r="K2639" t="str">
        <f>VLOOKUP(G2639,METRICS!C:D,2,0)</f>
        <v>Gelo</v>
      </c>
      <c r="L2639" t="str">
        <f>VLOOKUP(K2639,METRICS!D:E,2,0)</f>
        <v>CUSTOS DOS PRODUTOS VENDIDOS</v>
      </c>
    </row>
    <row r="2640" spans="1:12" ht="15" hidden="1">
      <c r="A2640" t="s">
        <v>1795</v>
      </c>
      <c r="B2640" t="s">
        <v>612</v>
      </c>
      <c r="D2640" t="s">
        <v>2018</v>
      </c>
      <c r="E2640" t="str">
        <f t="shared" si="143"/>
        <v>Compra 1056 (NFe 45136-1)</v>
      </c>
      <c r="F2640" t="s">
        <v>1272</v>
      </c>
      <c r="G2640" t="s">
        <v>620</v>
      </c>
      <c r="H2640" s="484">
        <v>-131.08000000000001</v>
      </c>
      <c r="I2640" t="str">
        <f t="shared" si="144"/>
        <v>março 2026</v>
      </c>
      <c r="J2640">
        <f t="shared" si="145"/>
        <v>2026</v>
      </c>
      <c r="K2640" t="str">
        <f>VLOOKUP(G2640,METRICS!C:D,2,0)</f>
        <v>Hortifruti</v>
      </c>
      <c r="L2640" t="str">
        <f>VLOOKUP(K2640,METRICS!D:E,2,0)</f>
        <v>CUSTOS DOS PRODUTOS VENDIDOS</v>
      </c>
    </row>
    <row r="2641" spans="1:12" ht="15" hidden="1">
      <c r="A2641" t="s">
        <v>1795</v>
      </c>
      <c r="B2641" t="s">
        <v>612</v>
      </c>
      <c r="D2641" t="s">
        <v>2019</v>
      </c>
      <c r="E2641" t="str">
        <f t="shared" si="143"/>
        <v>Compra 1052 (NFe 500068-2)</v>
      </c>
      <c r="F2641" t="s">
        <v>1272</v>
      </c>
      <c r="G2641" t="s">
        <v>609</v>
      </c>
      <c r="H2641" s="484">
        <v>-3444.55</v>
      </c>
      <c r="I2641" t="str">
        <f t="shared" si="144"/>
        <v>março 2026</v>
      </c>
      <c r="J2641">
        <f t="shared" si="145"/>
        <v>2026</v>
      </c>
      <c r="K2641" t="str">
        <f>VLOOKUP(G2641,METRICS!C:D,2,0)</f>
        <v>Carnes e Aves</v>
      </c>
      <c r="L2641" t="str">
        <f>VLOOKUP(K2641,METRICS!D:E,2,0)</f>
        <v>CUSTOS DOS PRODUTOS VENDIDOS</v>
      </c>
    </row>
    <row r="2642" spans="1:12" ht="15" hidden="1">
      <c r="A2642" t="s">
        <v>1795</v>
      </c>
      <c r="B2642" t="s">
        <v>612</v>
      </c>
      <c r="D2642" t="s">
        <v>2020</v>
      </c>
      <c r="E2642" t="str">
        <f t="shared" si="143"/>
        <v>Compra 1055 (NFe 10242-1)</v>
      </c>
      <c r="F2642" t="s">
        <v>1272</v>
      </c>
      <c r="G2642" t="s">
        <v>641</v>
      </c>
      <c r="H2642" s="484">
        <v>-7207.86</v>
      </c>
      <c r="I2642" t="str">
        <f t="shared" si="144"/>
        <v>março 2026</v>
      </c>
      <c r="J2642">
        <f t="shared" si="145"/>
        <v>2026</v>
      </c>
      <c r="K2642" t="str">
        <f>VLOOKUP(G2642,METRICS!C:D,2,0)</f>
        <v>Vinhos/Espumantes</v>
      </c>
      <c r="L2642" t="str">
        <f>VLOOKUP(K2642,METRICS!D:E,2,0)</f>
        <v>CUSTOS DOS PRODUTOS VENDIDOS</v>
      </c>
    </row>
    <row r="2643" spans="1:12" ht="15" hidden="1">
      <c r="A2643" t="s">
        <v>1795</v>
      </c>
      <c r="B2643" t="s">
        <v>612</v>
      </c>
      <c r="D2643" t="s">
        <v>2021</v>
      </c>
      <c r="E2643" t="str">
        <f t="shared" si="143"/>
        <v>Compra 1053 (NFe 779677-0)</v>
      </c>
      <c r="F2643" t="s">
        <v>1272</v>
      </c>
      <c r="G2643" t="s">
        <v>641</v>
      </c>
      <c r="H2643" s="484">
        <v>-12753.41</v>
      </c>
      <c r="I2643" t="str">
        <f t="shared" si="144"/>
        <v>março 2026</v>
      </c>
      <c r="J2643">
        <f t="shared" si="145"/>
        <v>2026</v>
      </c>
      <c r="K2643" t="str">
        <f>VLOOKUP(G2643,METRICS!C:D,2,0)</f>
        <v>Vinhos/Espumantes</v>
      </c>
      <c r="L2643" t="str">
        <f>VLOOKUP(K2643,METRICS!D:E,2,0)</f>
        <v>CUSTOS DOS PRODUTOS VENDIDOS</v>
      </c>
    </row>
    <row r="2644" spans="1:12" ht="15" hidden="1">
      <c r="A2644" t="s">
        <v>1795</v>
      </c>
      <c r="B2644" t="s">
        <v>612</v>
      </c>
      <c r="D2644" t="s">
        <v>2022</v>
      </c>
      <c r="E2644" t="str">
        <f t="shared" si="143"/>
        <v>Compra 1131 (NFe 500059-2)</v>
      </c>
      <c r="F2644" t="s">
        <v>1272</v>
      </c>
      <c r="G2644" t="s">
        <v>609</v>
      </c>
      <c r="H2644" s="484">
        <v>-20420.189999999999</v>
      </c>
      <c r="I2644" t="str">
        <f t="shared" si="144"/>
        <v>março 2026</v>
      </c>
      <c r="J2644">
        <f t="shared" si="145"/>
        <v>2026</v>
      </c>
      <c r="K2644" t="str">
        <f>VLOOKUP(G2644,METRICS!C:D,2,0)</f>
        <v>Carnes e Aves</v>
      </c>
      <c r="L2644" t="str">
        <f>VLOOKUP(K2644,METRICS!D:E,2,0)</f>
        <v>CUSTOS DOS PRODUTOS VENDIDOS</v>
      </c>
    </row>
    <row r="2645" spans="1:12" ht="15" hidden="1">
      <c r="A2645" t="s">
        <v>1795</v>
      </c>
      <c r="B2645" t="s">
        <v>689</v>
      </c>
      <c r="D2645" t="s">
        <v>2023</v>
      </c>
      <c r="E2645" t="str">
        <f t="shared" si="143"/>
        <v xml:space="preserve">4x paea </v>
      </c>
      <c r="F2645" t="s">
        <v>1272</v>
      </c>
      <c r="G2645" t="s">
        <v>2200</v>
      </c>
      <c r="H2645" s="484">
        <v>-18669.439999999999</v>
      </c>
      <c r="I2645" t="str">
        <f t="shared" si="144"/>
        <v>março 2026</v>
      </c>
      <c r="J2645">
        <f t="shared" si="145"/>
        <v>2026</v>
      </c>
      <c r="K2645" t="str">
        <f>VLOOKUP(G2645,METRICS!C:D,2,0)</f>
        <v>IMOBILIZADO</v>
      </c>
      <c r="L2645" t="str">
        <f>VLOOKUP(K2645,METRICS!D:E,2,0)</f>
        <v>IMOBILIZADO</v>
      </c>
    </row>
    <row r="2646" spans="1:12" ht="15" hidden="1">
      <c r="A2646" t="s">
        <v>1795</v>
      </c>
      <c r="B2646" t="s">
        <v>612</v>
      </c>
      <c r="D2646" t="s">
        <v>2024</v>
      </c>
      <c r="E2646" t="str">
        <f t="shared" si="143"/>
        <v>Compra 1057 (NFe 67966-1)</v>
      </c>
      <c r="F2646" t="s">
        <v>1272</v>
      </c>
      <c r="G2646" t="s">
        <v>609</v>
      </c>
      <c r="H2646" s="484">
        <v>-552.88</v>
      </c>
      <c r="I2646" t="str">
        <f t="shared" si="144"/>
        <v>março 2026</v>
      </c>
      <c r="J2646">
        <f t="shared" si="145"/>
        <v>2026</v>
      </c>
      <c r="K2646" t="str">
        <f>VLOOKUP(G2646,METRICS!C:D,2,0)</f>
        <v>Carnes e Aves</v>
      </c>
      <c r="L2646" t="str">
        <f>VLOOKUP(K2646,METRICS!D:E,2,0)</f>
        <v>CUSTOS DOS PRODUTOS VENDIDOS</v>
      </c>
    </row>
    <row r="2647" spans="1:12" ht="15" hidden="1">
      <c r="A2647" t="s">
        <v>1795</v>
      </c>
      <c r="B2647" t="s">
        <v>612</v>
      </c>
      <c r="D2647" t="s">
        <v>2025</v>
      </c>
      <c r="E2647" t="str">
        <f t="shared" si="143"/>
        <v>Compra 1046 (NFe 71516-1)</v>
      </c>
      <c r="F2647" t="s">
        <v>1272</v>
      </c>
      <c r="G2647" t="s">
        <v>611</v>
      </c>
      <c r="H2647" s="484">
        <v>-2209.6999999999998</v>
      </c>
      <c r="I2647" t="str">
        <f t="shared" si="144"/>
        <v>março 2026</v>
      </c>
      <c r="J2647">
        <f t="shared" si="145"/>
        <v>2026</v>
      </c>
      <c r="K2647" t="str">
        <f>VLOOKUP(G2647,METRICS!C:D,2,0)</f>
        <v>Bebidas Alcoólicas</v>
      </c>
      <c r="L2647" t="str">
        <f>VLOOKUP(K2647,METRICS!D:E,2,0)</f>
        <v>CUSTOS DOS PRODUTOS VENDIDOS</v>
      </c>
    </row>
    <row r="2648" spans="1:12" ht="15" hidden="1">
      <c r="A2648" t="s">
        <v>1795</v>
      </c>
      <c r="B2648" t="s">
        <v>612</v>
      </c>
      <c r="D2648" t="s">
        <v>2026</v>
      </c>
      <c r="E2648" t="str">
        <f t="shared" si="143"/>
        <v>Compra 1047 (NFe 5681181-1)</v>
      </c>
      <c r="F2648" t="s">
        <v>1272</v>
      </c>
      <c r="G2648" t="s">
        <v>623</v>
      </c>
      <c r="H2648" s="484">
        <v>-4512.6099999999997</v>
      </c>
      <c r="I2648" t="str">
        <f t="shared" si="144"/>
        <v>março 2026</v>
      </c>
      <c r="J2648">
        <f t="shared" si="145"/>
        <v>2026</v>
      </c>
      <c r="K2648" t="str">
        <f>VLOOKUP(G2648,METRICS!C:D,2,0)</f>
        <v>Secos - Mercearia</v>
      </c>
      <c r="L2648" t="str">
        <f>VLOOKUP(K2648,METRICS!D:E,2,0)</f>
        <v>CUSTOS DOS PRODUTOS VENDIDOS</v>
      </c>
    </row>
    <row r="2649" spans="1:12" ht="15" hidden="1">
      <c r="A2649" t="s">
        <v>1796</v>
      </c>
      <c r="B2649" t="s">
        <v>612</v>
      </c>
      <c r="D2649" t="s">
        <v>2027</v>
      </c>
      <c r="E2649" t="str">
        <f t="shared" si="143"/>
        <v>Compra 1067 (NFe 410270-1)</v>
      </c>
      <c r="F2649" t="s">
        <v>1272</v>
      </c>
      <c r="G2649" t="s">
        <v>620</v>
      </c>
      <c r="H2649" s="484">
        <v>-463.5</v>
      </c>
      <c r="I2649" t="str">
        <f t="shared" si="144"/>
        <v>março 2026</v>
      </c>
      <c r="J2649">
        <f t="shared" si="145"/>
        <v>2026</v>
      </c>
      <c r="K2649" t="str">
        <f>VLOOKUP(G2649,METRICS!C:D,2,0)</f>
        <v>Hortifruti</v>
      </c>
      <c r="L2649" t="str">
        <f>VLOOKUP(K2649,METRICS!D:E,2,0)</f>
        <v>CUSTOS DOS PRODUTOS VENDIDOS</v>
      </c>
    </row>
    <row r="2650" spans="1:12" ht="15" hidden="1">
      <c r="A2650" t="s">
        <v>1796</v>
      </c>
      <c r="B2650" t="s">
        <v>612</v>
      </c>
      <c r="D2650" t="s">
        <v>2028</v>
      </c>
      <c r="E2650" t="str">
        <f t="shared" si="143"/>
        <v>Compra 1065 (NFe 13634-1)</v>
      </c>
      <c r="F2650" t="s">
        <v>1272</v>
      </c>
      <c r="G2650" t="s">
        <v>633</v>
      </c>
      <c r="H2650" s="484">
        <v>-2909</v>
      </c>
      <c r="I2650" t="str">
        <f t="shared" si="144"/>
        <v>março 2026</v>
      </c>
      <c r="J2650">
        <f t="shared" si="145"/>
        <v>2026</v>
      </c>
      <c r="K2650" t="str">
        <f>VLOOKUP(G2650,METRICS!C:D,2,0)</f>
        <v>Paes, Massas e Salgados</v>
      </c>
      <c r="L2650" t="str">
        <f>VLOOKUP(K2650,METRICS!D:E,2,0)</f>
        <v>CUSTOS DOS PRODUTOS VENDIDOS</v>
      </c>
    </row>
    <row r="2651" spans="1:12" ht="15" hidden="1">
      <c r="A2651" t="s">
        <v>1796</v>
      </c>
      <c r="B2651" t="s">
        <v>612</v>
      </c>
      <c r="D2651" t="s">
        <v>2029</v>
      </c>
      <c r="E2651" t="str">
        <f t="shared" si="143"/>
        <v>Compra 1058 (NFe 23977-1)</v>
      </c>
      <c r="F2651" t="s">
        <v>1272</v>
      </c>
      <c r="G2651" t="s">
        <v>413</v>
      </c>
      <c r="H2651" s="484">
        <v>-4277.53</v>
      </c>
      <c r="I2651" t="str">
        <f t="shared" si="144"/>
        <v>março 2026</v>
      </c>
      <c r="J2651">
        <f t="shared" si="145"/>
        <v>2026</v>
      </c>
      <c r="K2651" t="str">
        <f>VLOOKUP(G2651,METRICS!C:D,2,0)</f>
        <v>Pescados</v>
      </c>
      <c r="L2651" t="str">
        <f>VLOOKUP(K2651,METRICS!D:E,2,0)</f>
        <v>CUSTOS DOS PRODUTOS VENDIDOS</v>
      </c>
    </row>
    <row r="2652" spans="1:12" ht="15" hidden="1">
      <c r="A2652" t="s">
        <v>1796</v>
      </c>
      <c r="B2652" t="s">
        <v>612</v>
      </c>
      <c r="D2652" t="s">
        <v>2030</v>
      </c>
      <c r="E2652" t="str">
        <f t="shared" si="143"/>
        <v>Compra 1061 (NFe 502463-1)</v>
      </c>
      <c r="F2652" t="s">
        <v>1272</v>
      </c>
      <c r="G2652" t="s">
        <v>607</v>
      </c>
      <c r="H2652" s="484">
        <v>-707.94</v>
      </c>
      <c r="I2652" t="str">
        <f t="shared" si="144"/>
        <v>março 2026</v>
      </c>
      <c r="J2652">
        <f t="shared" si="145"/>
        <v>2026</v>
      </c>
      <c r="K2652" t="str">
        <f>VLOOKUP(G2652,METRICS!C:D,2,0)</f>
        <v>Bebidas Alcoólicas</v>
      </c>
      <c r="L2652" t="str">
        <f>VLOOKUP(K2652,METRICS!D:E,2,0)</f>
        <v>CUSTOS DOS PRODUTOS VENDIDOS</v>
      </c>
    </row>
    <row r="2653" spans="1:12" ht="15" hidden="1">
      <c r="A2653" t="s">
        <v>1796</v>
      </c>
      <c r="B2653" t="s">
        <v>612</v>
      </c>
      <c r="D2653" t="s">
        <v>2031</v>
      </c>
      <c r="E2653" t="str">
        <f t="shared" si="143"/>
        <v>Compra 1060 (NFe 313861-1)</v>
      </c>
      <c r="F2653" t="s">
        <v>1272</v>
      </c>
      <c r="G2653" t="s">
        <v>623</v>
      </c>
      <c r="H2653" s="484">
        <v>-407</v>
      </c>
      <c r="I2653" t="str">
        <f t="shared" si="144"/>
        <v>março 2026</v>
      </c>
      <c r="J2653">
        <f t="shared" si="145"/>
        <v>2026</v>
      </c>
      <c r="K2653" t="str">
        <f>VLOOKUP(G2653,METRICS!C:D,2,0)</f>
        <v>Secos - Mercearia</v>
      </c>
      <c r="L2653" t="str">
        <f>VLOOKUP(K2653,METRICS!D:E,2,0)</f>
        <v>CUSTOS DOS PRODUTOS VENDIDOS</v>
      </c>
    </row>
    <row r="2654" spans="1:12" ht="15" hidden="1">
      <c r="A2654" t="s">
        <v>1796</v>
      </c>
      <c r="B2654" t="s">
        <v>612</v>
      </c>
      <c r="D2654" t="s">
        <v>2032</v>
      </c>
      <c r="E2654" t="str">
        <f t="shared" si="143"/>
        <v>Compra 1130 (NFe 1325-1)</v>
      </c>
      <c r="F2654" t="s">
        <v>1272</v>
      </c>
      <c r="G2654" t="s">
        <v>620</v>
      </c>
      <c r="H2654" s="484">
        <v>-6088.2</v>
      </c>
      <c r="I2654" t="str">
        <f t="shared" si="144"/>
        <v>março 2026</v>
      </c>
      <c r="J2654">
        <f t="shared" si="145"/>
        <v>2026</v>
      </c>
      <c r="K2654" t="str">
        <f>VLOOKUP(G2654,METRICS!C:D,2,0)</f>
        <v>Hortifruti</v>
      </c>
      <c r="L2654" t="str">
        <f>VLOOKUP(K2654,METRICS!D:E,2,0)</f>
        <v>CUSTOS DOS PRODUTOS VENDIDOS</v>
      </c>
    </row>
    <row r="2655" spans="1:12" ht="15" hidden="1">
      <c r="A2655" t="s">
        <v>1796</v>
      </c>
      <c r="B2655" t="s">
        <v>612</v>
      </c>
      <c r="D2655" t="s">
        <v>2033</v>
      </c>
      <c r="E2655" t="str">
        <f t="shared" si="143"/>
        <v>Compra 1071 (NFe 68008-1)</v>
      </c>
      <c r="F2655" t="s">
        <v>1272</v>
      </c>
      <c r="G2655" t="s">
        <v>609</v>
      </c>
      <c r="H2655" s="484">
        <v>-2487.4</v>
      </c>
      <c r="I2655" t="str">
        <f t="shared" si="144"/>
        <v>março 2026</v>
      </c>
      <c r="J2655">
        <f t="shared" si="145"/>
        <v>2026</v>
      </c>
      <c r="K2655" t="str">
        <f>VLOOKUP(G2655,METRICS!C:D,2,0)</f>
        <v>Carnes e Aves</v>
      </c>
      <c r="L2655" t="str">
        <f>VLOOKUP(K2655,METRICS!D:E,2,0)</f>
        <v>CUSTOS DOS PRODUTOS VENDIDOS</v>
      </c>
    </row>
    <row r="2656" spans="1:12" ht="15" hidden="1">
      <c r="A2656" t="s">
        <v>1796</v>
      </c>
      <c r="B2656" t="s">
        <v>612</v>
      </c>
      <c r="D2656" t="s">
        <v>2034</v>
      </c>
      <c r="E2656" t="str">
        <f t="shared" si="143"/>
        <v>Compra 1062 (NFe 45176-1)</v>
      </c>
      <c r="F2656" t="s">
        <v>1272</v>
      </c>
      <c r="G2656" t="s">
        <v>620</v>
      </c>
      <c r="H2656" s="484">
        <v>-117.2</v>
      </c>
      <c r="I2656" t="str">
        <f t="shared" si="144"/>
        <v>março 2026</v>
      </c>
      <c r="J2656">
        <f t="shared" si="145"/>
        <v>2026</v>
      </c>
      <c r="K2656" t="str">
        <f>VLOOKUP(G2656,METRICS!C:D,2,0)</f>
        <v>Hortifruti</v>
      </c>
      <c r="L2656" t="str">
        <f>VLOOKUP(K2656,METRICS!D:E,2,0)</f>
        <v>CUSTOS DOS PRODUTOS VENDIDOS</v>
      </c>
    </row>
    <row r="2657" spans="1:12" ht="15" hidden="1">
      <c r="A2657" t="s">
        <v>1796</v>
      </c>
      <c r="B2657" t="s">
        <v>612</v>
      </c>
      <c r="D2657" t="s">
        <v>2035</v>
      </c>
      <c r="E2657" t="str">
        <f t="shared" si="143"/>
        <v>Compra 1054 (NFe 690829-3)</v>
      </c>
      <c r="F2657" t="s">
        <v>1272</v>
      </c>
      <c r="G2657" t="s">
        <v>609</v>
      </c>
      <c r="H2657" s="484">
        <v>-11521.33</v>
      </c>
      <c r="I2657" t="str">
        <f t="shared" si="144"/>
        <v>março 2026</v>
      </c>
      <c r="J2657">
        <f t="shared" si="145"/>
        <v>2026</v>
      </c>
      <c r="K2657" t="str">
        <f>VLOOKUP(G2657,METRICS!C:D,2,0)</f>
        <v>Carnes e Aves</v>
      </c>
      <c r="L2657" t="str">
        <f>VLOOKUP(K2657,METRICS!D:E,2,0)</f>
        <v>CUSTOS DOS PRODUTOS VENDIDOS</v>
      </c>
    </row>
    <row r="2658" spans="1:12" ht="15" hidden="1">
      <c r="A2658" t="s">
        <v>1796</v>
      </c>
      <c r="B2658" t="s">
        <v>612</v>
      </c>
      <c r="D2658" t="s">
        <v>2036</v>
      </c>
      <c r="E2658" t="str">
        <f t="shared" si="143"/>
        <v>Compra 1066 (NFe 380684-1)</v>
      </c>
      <c r="F2658" t="s">
        <v>1272</v>
      </c>
      <c r="G2658" t="s">
        <v>630</v>
      </c>
      <c r="H2658" s="484">
        <v>-1468.78</v>
      </c>
      <c r="I2658" t="str">
        <f t="shared" si="144"/>
        <v>março 2026</v>
      </c>
      <c r="J2658">
        <f t="shared" si="145"/>
        <v>2026</v>
      </c>
      <c r="K2658" t="str">
        <f>VLOOKUP(G2658,METRICS!C:D,2,0)</f>
        <v>Material de Copa e Limpeza</v>
      </c>
      <c r="L2658" t="str">
        <f>VLOOKUP(K2658,METRICS!D:E,2,0)</f>
        <v>ADMINISTRATIVA</v>
      </c>
    </row>
    <row r="2659" spans="1:12" ht="15" hidden="1">
      <c r="A2659" t="s">
        <v>1796</v>
      </c>
      <c r="B2659" t="s">
        <v>612</v>
      </c>
      <c r="D2659" t="s">
        <v>2037</v>
      </c>
      <c r="E2659" t="str">
        <f t="shared" si="143"/>
        <v>Compra 1063 (NFe 766718-1)</v>
      </c>
      <c r="F2659" t="s">
        <v>1272</v>
      </c>
      <c r="G2659" t="s">
        <v>607</v>
      </c>
      <c r="H2659" s="484">
        <v>-5134.47</v>
      </c>
      <c r="I2659" t="str">
        <f t="shared" si="144"/>
        <v>março 2026</v>
      </c>
      <c r="J2659">
        <f t="shared" si="145"/>
        <v>2026</v>
      </c>
      <c r="K2659" t="str">
        <f>VLOOKUP(G2659,METRICS!C:D,2,0)</f>
        <v>Bebidas Alcoólicas</v>
      </c>
      <c r="L2659" t="str">
        <f>VLOOKUP(K2659,METRICS!D:E,2,0)</f>
        <v>CUSTOS DOS PRODUTOS VENDIDOS</v>
      </c>
    </row>
    <row r="2660" spans="1:12" ht="15" hidden="1">
      <c r="A2660" t="s">
        <v>1796</v>
      </c>
      <c r="B2660" t="s">
        <v>612</v>
      </c>
      <c r="D2660" t="s">
        <v>2038</v>
      </c>
      <c r="E2660" t="str">
        <f t="shared" si="143"/>
        <v>Compra 1068 (NFe 796918-1)</v>
      </c>
      <c r="F2660" t="s">
        <v>1272</v>
      </c>
      <c r="G2660" t="s">
        <v>608</v>
      </c>
      <c r="H2660" s="484">
        <v>-771.84</v>
      </c>
      <c r="I2660" t="str">
        <f t="shared" si="144"/>
        <v>março 2026</v>
      </c>
      <c r="J2660">
        <f t="shared" si="145"/>
        <v>2026</v>
      </c>
      <c r="K2660" t="str">
        <f>VLOOKUP(G2660,METRICS!C:D,2,0)</f>
        <v>Bebidas não Alcoolicas</v>
      </c>
      <c r="L2660" t="str">
        <f>VLOOKUP(K2660,METRICS!D:E,2,0)</f>
        <v>CUSTOS DOS PRODUTOS VENDIDOS</v>
      </c>
    </row>
    <row r="2661" spans="1:12" ht="15" hidden="1">
      <c r="A2661" t="s">
        <v>1797</v>
      </c>
      <c r="B2661" t="s">
        <v>689</v>
      </c>
      <c r="D2661" t="s">
        <v>789</v>
      </c>
      <c r="E2661" t="s">
        <v>789</v>
      </c>
      <c r="F2661" t="s">
        <v>1272</v>
      </c>
      <c r="G2661" t="s">
        <v>110</v>
      </c>
      <c r="H2661" s="595">
        <v>-45949.69</v>
      </c>
      <c r="I2661" t="str">
        <f t="shared" si="144"/>
        <v>março 2026</v>
      </c>
      <c r="J2661">
        <f t="shared" si="145"/>
        <v>2026</v>
      </c>
      <c r="K2661" t="str">
        <f>VLOOKUP(G2661,METRICS!C:D,2,0)</f>
        <v>FGTS</v>
      </c>
      <c r="L2661" t="str">
        <f>VLOOKUP(K2661,METRICS!D:E,2,0)</f>
        <v>PESSOAL</v>
      </c>
    </row>
    <row r="2662" spans="1:12" ht="15" hidden="1">
      <c r="A2662" t="s">
        <v>1797</v>
      </c>
      <c r="B2662" t="s">
        <v>612</v>
      </c>
      <c r="D2662" t="s">
        <v>2039</v>
      </c>
      <c r="E2662" t="str">
        <f t="shared" si="143"/>
        <v>Compra 1074 (NFe 3690-1)</v>
      </c>
      <c r="F2662" t="s">
        <v>1272</v>
      </c>
      <c r="G2662" t="s">
        <v>413</v>
      </c>
      <c r="H2662" s="484">
        <v>-3848.13</v>
      </c>
      <c r="I2662" t="str">
        <f t="shared" si="144"/>
        <v>março 2026</v>
      </c>
      <c r="J2662">
        <f t="shared" si="145"/>
        <v>2026</v>
      </c>
      <c r="K2662" t="str">
        <f>VLOOKUP(G2662,METRICS!C:D,2,0)</f>
        <v>Pescados</v>
      </c>
      <c r="L2662" t="str">
        <f>VLOOKUP(K2662,METRICS!D:E,2,0)</f>
        <v>CUSTOS DOS PRODUTOS VENDIDOS</v>
      </c>
    </row>
    <row r="2663" spans="1:12" ht="15" hidden="1">
      <c r="A2663" t="s">
        <v>1797</v>
      </c>
      <c r="B2663" t="s">
        <v>612</v>
      </c>
      <c r="D2663" t="s">
        <v>2040</v>
      </c>
      <c r="E2663" t="str">
        <f t="shared" si="143"/>
        <v>Compra 1073 (NFe 3450-1)</v>
      </c>
      <c r="F2663" t="s">
        <v>1272</v>
      </c>
      <c r="G2663" t="s">
        <v>413</v>
      </c>
      <c r="H2663" s="484">
        <v>-1198.5</v>
      </c>
      <c r="I2663" t="str">
        <f t="shared" si="144"/>
        <v>março 2026</v>
      </c>
      <c r="J2663">
        <f t="shared" si="145"/>
        <v>2026</v>
      </c>
      <c r="K2663" t="str">
        <f>VLOOKUP(G2663,METRICS!C:D,2,0)</f>
        <v>Pescados</v>
      </c>
      <c r="L2663" t="str">
        <f>VLOOKUP(K2663,METRICS!D:E,2,0)</f>
        <v>CUSTOS DOS PRODUTOS VENDIDOS</v>
      </c>
    </row>
    <row r="2664" spans="1:12" ht="15" hidden="1">
      <c r="A2664" s="512">
        <v>46132</v>
      </c>
      <c r="B2664" t="s">
        <v>612</v>
      </c>
      <c r="D2664" t="s">
        <v>2041</v>
      </c>
      <c r="E2664" t="str">
        <f t="shared" si="143"/>
        <v>Compra de serviço Série:148 / NFS-e:148</v>
      </c>
      <c r="F2664" t="s">
        <v>1272</v>
      </c>
      <c r="G2664" t="s">
        <v>621</v>
      </c>
      <c r="H2664" s="484">
        <v>-5200</v>
      </c>
      <c r="I2664" t="str">
        <f t="shared" si="144"/>
        <v>abril 2026</v>
      </c>
      <c r="J2664">
        <f t="shared" si="145"/>
        <v>2026</v>
      </c>
      <c r="K2664" t="str">
        <f>VLOOKUP(G2664,METRICS!C:D,2,0)</f>
        <v>Influencer</v>
      </c>
      <c r="L2664" t="str">
        <f>VLOOKUP(K2664,METRICS!D:E,2,0)</f>
        <v>MARKETING</v>
      </c>
    </row>
    <row r="2665" spans="1:12" ht="15" hidden="1">
      <c r="A2665" t="s">
        <v>1797</v>
      </c>
      <c r="B2665" t="s">
        <v>612</v>
      </c>
      <c r="D2665" t="s">
        <v>2042</v>
      </c>
      <c r="E2665" t="str">
        <f t="shared" si="143"/>
        <v>Compra 1078 (NFe 2874-1)</v>
      </c>
      <c r="F2665" t="s">
        <v>1272</v>
      </c>
      <c r="G2665" t="s">
        <v>1718</v>
      </c>
      <c r="H2665" s="484">
        <v>-1526</v>
      </c>
      <c r="I2665" t="str">
        <f t="shared" si="144"/>
        <v>março 2026</v>
      </c>
      <c r="J2665">
        <f t="shared" si="145"/>
        <v>2026</v>
      </c>
      <c r="K2665" t="str">
        <f>VLOOKUP(G2665,METRICS!C:D,2,0)</f>
        <v>Utensílios</v>
      </c>
      <c r="L2665" t="str">
        <f>VLOOKUP(K2665,METRICS!D:E,2,0)</f>
        <v>OPERAÇÃO</v>
      </c>
    </row>
    <row r="2666" spans="1:12" ht="15" hidden="1">
      <c r="A2666" t="s">
        <v>1797</v>
      </c>
      <c r="B2666" t="s">
        <v>612</v>
      </c>
      <c r="D2666" t="s">
        <v>2043</v>
      </c>
      <c r="E2666" t="str">
        <f t="shared" si="143"/>
        <v>Compra 1070 (NFe 70608-1)</v>
      </c>
      <c r="F2666" t="s">
        <v>1272</v>
      </c>
      <c r="G2666" t="s">
        <v>636</v>
      </c>
      <c r="H2666" s="484">
        <v>-2382.65</v>
      </c>
      <c r="I2666" t="str">
        <f t="shared" si="144"/>
        <v>março 2026</v>
      </c>
      <c r="J2666">
        <f t="shared" si="145"/>
        <v>2026</v>
      </c>
      <c r="K2666" t="str">
        <f>VLOOKUP(G2666,METRICS!C:D,2,0)</f>
        <v>Secos - Mercearia</v>
      </c>
      <c r="L2666" t="str">
        <f>VLOOKUP(K2666,METRICS!D:E,2,0)</f>
        <v>CUSTOS DOS PRODUTOS VENDIDOS</v>
      </c>
    </row>
    <row r="2667" spans="1:12" ht="15" hidden="1">
      <c r="A2667" t="s">
        <v>1797</v>
      </c>
      <c r="B2667" t="s">
        <v>612</v>
      </c>
      <c r="D2667" t="s">
        <v>2044</v>
      </c>
      <c r="E2667" t="str">
        <f t="shared" si="143"/>
        <v>Compra de serviço Série:SN / NFS-e:306</v>
      </c>
      <c r="F2667" t="s">
        <v>1272</v>
      </c>
      <c r="G2667" t="s">
        <v>621</v>
      </c>
      <c r="H2667" s="484">
        <v>-12000</v>
      </c>
      <c r="I2667" t="str">
        <f t="shared" si="144"/>
        <v>março 2026</v>
      </c>
      <c r="J2667">
        <f t="shared" si="145"/>
        <v>2026</v>
      </c>
      <c r="K2667" t="str">
        <f>VLOOKUP(G2667,METRICS!C:D,2,0)</f>
        <v>Influencer</v>
      </c>
      <c r="L2667" t="str">
        <f>VLOOKUP(K2667,METRICS!D:E,2,0)</f>
        <v>MARKETING</v>
      </c>
    </row>
    <row r="2668" spans="1:12" ht="15" hidden="1">
      <c r="A2668" t="s">
        <v>1797</v>
      </c>
      <c r="B2668" t="s">
        <v>612</v>
      </c>
      <c r="D2668" t="s">
        <v>2045</v>
      </c>
      <c r="E2668" t="str">
        <f t="shared" si="143"/>
        <v>Compra 1069 (NFe 16507070-16)</v>
      </c>
      <c r="F2668" t="s">
        <v>1272</v>
      </c>
      <c r="G2668" t="s">
        <v>608</v>
      </c>
      <c r="H2668" s="484">
        <v>-833.22</v>
      </c>
      <c r="I2668" t="str">
        <f t="shared" si="144"/>
        <v>março 2026</v>
      </c>
      <c r="J2668">
        <f t="shared" si="145"/>
        <v>2026</v>
      </c>
      <c r="K2668" t="str">
        <f>VLOOKUP(G2668,METRICS!C:D,2,0)</f>
        <v>Bebidas não Alcoolicas</v>
      </c>
      <c r="L2668" t="str">
        <f>VLOOKUP(K2668,METRICS!D:E,2,0)</f>
        <v>CUSTOS DOS PRODUTOS VENDIDOS</v>
      </c>
    </row>
    <row r="2669" spans="1:12" ht="15" hidden="1">
      <c r="A2669" t="s">
        <v>1797</v>
      </c>
      <c r="B2669" t="s">
        <v>612</v>
      </c>
      <c r="D2669" t="s">
        <v>2046</v>
      </c>
      <c r="E2669" t="str">
        <f t="shared" si="143"/>
        <v>Compra 1072 (NFe 68010-1)</v>
      </c>
      <c r="F2669" t="s">
        <v>1272</v>
      </c>
      <c r="G2669" t="s">
        <v>609</v>
      </c>
      <c r="H2669" s="484">
        <v>-180.61</v>
      </c>
      <c r="I2669" t="str">
        <f t="shared" si="144"/>
        <v>março 2026</v>
      </c>
      <c r="J2669">
        <f t="shared" si="145"/>
        <v>2026</v>
      </c>
      <c r="K2669" t="str">
        <f>VLOOKUP(G2669,METRICS!C:D,2,0)</f>
        <v>Carnes e Aves</v>
      </c>
      <c r="L2669" t="str">
        <f>VLOOKUP(K2669,METRICS!D:E,2,0)</f>
        <v>CUSTOS DOS PRODUTOS VENDIDOS</v>
      </c>
    </row>
    <row r="2670" spans="1:12" ht="15" hidden="1">
      <c r="A2670" t="s">
        <v>1797</v>
      </c>
      <c r="B2670" t="s">
        <v>612</v>
      </c>
      <c r="D2670" t="s">
        <v>2047</v>
      </c>
      <c r="E2670" t="str">
        <f t="shared" si="143"/>
        <v>Compra 1077 (NFe 3687-1)</v>
      </c>
      <c r="F2670" t="s">
        <v>1272</v>
      </c>
      <c r="G2670" t="s">
        <v>413</v>
      </c>
      <c r="H2670" s="484">
        <v>-3848.13</v>
      </c>
      <c r="I2670" t="str">
        <f t="shared" si="144"/>
        <v>março 2026</v>
      </c>
      <c r="J2670">
        <f t="shared" si="145"/>
        <v>2026</v>
      </c>
      <c r="K2670" t="str">
        <f>VLOOKUP(G2670,METRICS!C:D,2,0)</f>
        <v>Pescados</v>
      </c>
      <c r="L2670" t="str">
        <f>VLOOKUP(K2670,METRICS!D:E,2,0)</f>
        <v>CUSTOS DOS PRODUTOS VENDIDOS</v>
      </c>
    </row>
    <row r="2671" spans="1:12" ht="15" hidden="1">
      <c r="A2671" t="s">
        <v>1797</v>
      </c>
      <c r="B2671" t="s">
        <v>689</v>
      </c>
      <c r="C2671" t="s">
        <v>690</v>
      </c>
      <c r="D2671" t="s">
        <v>1062</v>
      </c>
      <c r="E2671" t="s">
        <v>1063</v>
      </c>
      <c r="F2671" t="s">
        <v>1272</v>
      </c>
      <c r="G2671" t="s">
        <v>648</v>
      </c>
      <c r="H2671" s="595">
        <v>-62218.11</v>
      </c>
      <c r="I2671" t="str">
        <f t="shared" si="144"/>
        <v>março 2026</v>
      </c>
      <c r="J2671">
        <f t="shared" si="145"/>
        <v>2026</v>
      </c>
      <c r="K2671" t="str">
        <f>VLOOKUP(G2671,METRICS!C:D,2,0)</f>
        <v>Salários e Ordenados</v>
      </c>
      <c r="L2671" t="str">
        <f>VLOOKUP(K2671,METRICS!D:E,2,0)</f>
        <v>PESSOAL</v>
      </c>
    </row>
    <row r="2672" spans="1:12" ht="15" hidden="1">
      <c r="A2672" t="s">
        <v>1797</v>
      </c>
      <c r="B2672" t="s">
        <v>689</v>
      </c>
      <c r="C2672" t="s">
        <v>690</v>
      </c>
      <c r="D2672" t="s">
        <v>1062</v>
      </c>
      <c r="E2672" t="s">
        <v>1063</v>
      </c>
      <c r="F2672" t="s">
        <v>1272</v>
      </c>
      <c r="G2672" t="s">
        <v>1732</v>
      </c>
      <c r="H2672" s="595">
        <v>-77153.289999999994</v>
      </c>
      <c r="I2672" t="str">
        <f t="shared" si="144"/>
        <v>março 2026</v>
      </c>
      <c r="J2672">
        <f t="shared" si="145"/>
        <v>2026</v>
      </c>
      <c r="K2672" t="str">
        <f>VLOOKUP(G2672,METRICS!C:D,2,0)</f>
        <v>Gorjetas Pagas</v>
      </c>
      <c r="L2672" t="str">
        <f>VLOOKUP(K2672,METRICS!D:E,2,0)</f>
        <v>PESSOAL</v>
      </c>
    </row>
    <row r="2673" spans="1:12" ht="15" hidden="1">
      <c r="A2673" t="s">
        <v>1798</v>
      </c>
      <c r="B2673" t="s">
        <v>612</v>
      </c>
      <c r="D2673" t="s">
        <v>2048</v>
      </c>
      <c r="E2673" t="str">
        <f t="shared" si="143"/>
        <v>Compra 1081 (NFe 45258-1)</v>
      </c>
      <c r="F2673" t="s">
        <v>1272</v>
      </c>
      <c r="G2673" t="s">
        <v>620</v>
      </c>
      <c r="H2673" s="484">
        <v>-301.51</v>
      </c>
      <c r="I2673" t="str">
        <f t="shared" si="144"/>
        <v>março 2026</v>
      </c>
      <c r="J2673">
        <f t="shared" si="145"/>
        <v>2026</v>
      </c>
      <c r="K2673" t="str">
        <f>VLOOKUP(G2673,METRICS!C:D,2,0)</f>
        <v>Hortifruti</v>
      </c>
      <c r="L2673" t="str">
        <f>VLOOKUP(K2673,METRICS!D:E,2,0)</f>
        <v>CUSTOS DOS PRODUTOS VENDIDOS</v>
      </c>
    </row>
    <row r="2674" spans="1:12" ht="15" hidden="1">
      <c r="A2674" t="s">
        <v>1798</v>
      </c>
      <c r="B2674" t="s">
        <v>612</v>
      </c>
      <c r="D2674" t="s">
        <v>2049</v>
      </c>
      <c r="E2674" t="str">
        <f t="shared" si="143"/>
        <v>Compra 1079 (NFe 4128512-1)</v>
      </c>
      <c r="F2674" t="s">
        <v>1272</v>
      </c>
      <c r="G2674" t="s">
        <v>623</v>
      </c>
      <c r="H2674" s="484">
        <v>-853.04</v>
      </c>
      <c r="I2674" t="str">
        <f t="shared" si="144"/>
        <v>março 2026</v>
      </c>
      <c r="J2674">
        <f t="shared" si="145"/>
        <v>2026</v>
      </c>
      <c r="K2674" t="str">
        <f>VLOOKUP(G2674,METRICS!C:D,2,0)</f>
        <v>Secos - Mercearia</v>
      </c>
      <c r="L2674" t="str">
        <f>VLOOKUP(K2674,METRICS!D:E,2,0)</f>
        <v>CUSTOS DOS PRODUTOS VENDIDOS</v>
      </c>
    </row>
    <row r="2675" spans="1:12" ht="15" hidden="1">
      <c r="A2675" t="s">
        <v>1798</v>
      </c>
      <c r="B2675" t="s">
        <v>612</v>
      </c>
      <c r="D2675" t="s">
        <v>2050</v>
      </c>
      <c r="E2675" t="str">
        <f t="shared" si="143"/>
        <v>Compra 1080 (NFe 4128511-1)</v>
      </c>
      <c r="F2675" t="s">
        <v>1272</v>
      </c>
      <c r="G2675" t="s">
        <v>623</v>
      </c>
      <c r="H2675" s="484">
        <v>-996.48</v>
      </c>
      <c r="I2675" t="str">
        <f t="shared" si="144"/>
        <v>março 2026</v>
      </c>
      <c r="J2675">
        <f t="shared" si="145"/>
        <v>2026</v>
      </c>
      <c r="K2675" t="str">
        <f>VLOOKUP(G2675,METRICS!C:D,2,0)</f>
        <v>Secos - Mercearia</v>
      </c>
      <c r="L2675" t="str">
        <f>VLOOKUP(K2675,METRICS!D:E,2,0)</f>
        <v>CUSTOS DOS PRODUTOS VENDIDOS</v>
      </c>
    </row>
    <row r="2676" spans="1:12" ht="15" hidden="1">
      <c r="A2676" t="s">
        <v>1799</v>
      </c>
      <c r="B2676" t="s">
        <v>612</v>
      </c>
      <c r="D2676" t="s">
        <v>2051</v>
      </c>
      <c r="E2676" t="str">
        <f t="shared" si="143"/>
        <v>Compra 1093 (NFe 86722-1)</v>
      </c>
      <c r="F2676" t="s">
        <v>1272</v>
      </c>
      <c r="G2676" t="s">
        <v>413</v>
      </c>
      <c r="H2676" s="484">
        <v>-2015</v>
      </c>
      <c r="I2676" t="str">
        <f t="shared" si="144"/>
        <v>março 2026</v>
      </c>
      <c r="J2676">
        <f t="shared" si="145"/>
        <v>2026</v>
      </c>
      <c r="K2676" t="str">
        <f>VLOOKUP(G2676,METRICS!C:D,2,0)</f>
        <v>Pescados</v>
      </c>
      <c r="L2676" t="str">
        <f>VLOOKUP(K2676,METRICS!D:E,2,0)</f>
        <v>CUSTOS DOS PRODUTOS VENDIDOS</v>
      </c>
    </row>
    <row r="2677" spans="1:12" ht="15" hidden="1">
      <c r="A2677" t="s">
        <v>1799</v>
      </c>
      <c r="B2677" t="s">
        <v>612</v>
      </c>
      <c r="D2677" t="s">
        <v>2052</v>
      </c>
      <c r="E2677" t="str">
        <f t="shared" si="143"/>
        <v>Compra 1095 (NFe 502960-1)</v>
      </c>
      <c r="F2677" t="s">
        <v>1272</v>
      </c>
      <c r="G2677" t="s">
        <v>636</v>
      </c>
      <c r="H2677" s="484">
        <v>-1709.4</v>
      </c>
      <c r="I2677" t="str">
        <f t="shared" si="144"/>
        <v>março 2026</v>
      </c>
      <c r="J2677">
        <f t="shared" si="145"/>
        <v>2026</v>
      </c>
      <c r="K2677" t="str">
        <f>VLOOKUP(G2677,METRICS!C:D,2,0)</f>
        <v>Secos - Mercearia</v>
      </c>
      <c r="L2677" t="str">
        <f>VLOOKUP(K2677,METRICS!D:E,2,0)</f>
        <v>CUSTOS DOS PRODUTOS VENDIDOS</v>
      </c>
    </row>
    <row r="2678" spans="1:12" ht="15" hidden="1">
      <c r="A2678" t="s">
        <v>1799</v>
      </c>
      <c r="B2678" t="s">
        <v>612</v>
      </c>
      <c r="D2678" t="s">
        <v>2053</v>
      </c>
      <c r="E2678" t="str">
        <f t="shared" si="143"/>
        <v>Compra 1091 (NFe 381083-1)</v>
      </c>
      <c r="F2678" t="s">
        <v>1272</v>
      </c>
      <c r="G2678" t="s">
        <v>630</v>
      </c>
      <c r="H2678" s="484">
        <v>-1874.28</v>
      </c>
      <c r="I2678" t="str">
        <f t="shared" si="144"/>
        <v>março 2026</v>
      </c>
      <c r="J2678">
        <f t="shared" si="145"/>
        <v>2026</v>
      </c>
      <c r="K2678" t="str">
        <f>VLOOKUP(G2678,METRICS!C:D,2,0)</f>
        <v>Material de Copa e Limpeza</v>
      </c>
      <c r="L2678" t="str">
        <f>VLOOKUP(K2678,METRICS!D:E,2,0)</f>
        <v>ADMINISTRATIVA</v>
      </c>
    </row>
    <row r="2679" spans="1:12" ht="15" hidden="1">
      <c r="A2679" t="s">
        <v>1799</v>
      </c>
      <c r="B2679" t="s">
        <v>612</v>
      </c>
      <c r="D2679" t="s">
        <v>2054</v>
      </c>
      <c r="E2679" t="str">
        <f t="shared" si="143"/>
        <v>Compra 1084 (NFe 24637-1)</v>
      </c>
      <c r="F2679" t="s">
        <v>1272</v>
      </c>
      <c r="G2679" t="s">
        <v>609</v>
      </c>
      <c r="H2679" s="484">
        <v>-2389.5</v>
      </c>
      <c r="I2679" t="str">
        <f t="shared" si="144"/>
        <v>março 2026</v>
      </c>
      <c r="J2679">
        <f t="shared" si="145"/>
        <v>2026</v>
      </c>
      <c r="K2679" t="str">
        <f>VLOOKUP(G2679,METRICS!C:D,2,0)</f>
        <v>Carnes e Aves</v>
      </c>
      <c r="L2679" t="str">
        <f>VLOOKUP(K2679,METRICS!D:E,2,0)</f>
        <v>CUSTOS DOS PRODUTOS VENDIDOS</v>
      </c>
    </row>
    <row r="2680" spans="1:12" ht="15" hidden="1">
      <c r="A2680" t="s">
        <v>1799</v>
      </c>
      <c r="B2680" t="s">
        <v>689</v>
      </c>
      <c r="D2680" t="s">
        <v>2055</v>
      </c>
      <c r="E2680" t="str">
        <f t="shared" si="143"/>
        <v>Telegrama - IGOR CARVALHO DA SILVA</v>
      </c>
      <c r="F2680" t="s">
        <v>1272</v>
      </c>
      <c r="G2680" t="s">
        <v>2192</v>
      </c>
      <c r="H2680" s="484">
        <v>-35.450000000000003</v>
      </c>
      <c r="I2680" t="str">
        <f t="shared" si="144"/>
        <v>março 2026</v>
      </c>
      <c r="J2680">
        <f t="shared" si="145"/>
        <v>2026</v>
      </c>
      <c r="K2680" t="str">
        <f>VLOOKUP(G2680,METRICS!C:D,2,0)</f>
        <v>Correio/Cartório/Protestos</v>
      </c>
      <c r="L2680" t="str">
        <f>VLOOKUP(K2680,METRICS!D:E,2,0)</f>
        <v>ADMINISTRATIVA</v>
      </c>
    </row>
    <row r="2681" spans="1:12" ht="15" hidden="1">
      <c r="A2681" t="s">
        <v>1799</v>
      </c>
      <c r="B2681" t="s">
        <v>612</v>
      </c>
      <c r="D2681" t="s">
        <v>2056</v>
      </c>
      <c r="E2681" t="str">
        <f t="shared" si="143"/>
        <v>Compra 1106 (NFe 68078-1)</v>
      </c>
      <c r="F2681" t="s">
        <v>1272</v>
      </c>
      <c r="G2681" t="s">
        <v>609</v>
      </c>
      <c r="H2681" s="484">
        <v>-2633.1</v>
      </c>
      <c r="I2681" t="str">
        <f t="shared" si="144"/>
        <v>março 2026</v>
      </c>
      <c r="J2681">
        <f t="shared" si="145"/>
        <v>2026</v>
      </c>
      <c r="K2681" t="str">
        <f>VLOOKUP(G2681,METRICS!C:D,2,0)</f>
        <v>Carnes e Aves</v>
      </c>
      <c r="L2681" t="str">
        <f>VLOOKUP(K2681,METRICS!D:E,2,0)</f>
        <v>CUSTOS DOS PRODUTOS VENDIDOS</v>
      </c>
    </row>
    <row r="2682" spans="1:12" ht="15" hidden="1">
      <c r="A2682" t="s">
        <v>1799</v>
      </c>
      <c r="B2682" t="s">
        <v>612</v>
      </c>
      <c r="D2682" t="s">
        <v>2057</v>
      </c>
      <c r="E2682" t="str">
        <f t="shared" si="143"/>
        <v>Compra 1092 (NFe 2635249-5)</v>
      </c>
      <c r="F2682" t="s">
        <v>1272</v>
      </c>
      <c r="G2682" t="s">
        <v>633</v>
      </c>
      <c r="H2682" s="484">
        <v>-238.3</v>
      </c>
      <c r="I2682" t="str">
        <f t="shared" si="144"/>
        <v>março 2026</v>
      </c>
      <c r="J2682">
        <f t="shared" si="145"/>
        <v>2026</v>
      </c>
      <c r="K2682" t="str">
        <f>VLOOKUP(G2682,METRICS!C:D,2,0)</f>
        <v>Paes, Massas e Salgados</v>
      </c>
      <c r="L2682" t="str">
        <f>VLOOKUP(K2682,METRICS!D:E,2,0)</f>
        <v>CUSTOS DOS PRODUTOS VENDIDOS</v>
      </c>
    </row>
    <row r="2683" spans="1:12" ht="15" hidden="1">
      <c r="A2683" t="s">
        <v>1799</v>
      </c>
      <c r="B2683" t="s">
        <v>612</v>
      </c>
      <c r="D2683" t="s">
        <v>2058</v>
      </c>
      <c r="E2683" t="str">
        <f t="shared" si="143"/>
        <v>Compra 1086 (NFe 297736-1)</v>
      </c>
      <c r="F2683" t="s">
        <v>1272</v>
      </c>
      <c r="G2683" t="s">
        <v>608</v>
      </c>
      <c r="H2683" s="484">
        <v>-3430.8</v>
      </c>
      <c r="I2683" t="str">
        <f t="shared" si="144"/>
        <v>março 2026</v>
      </c>
      <c r="J2683">
        <f t="shared" si="145"/>
        <v>2026</v>
      </c>
      <c r="K2683" t="str">
        <f>VLOOKUP(G2683,METRICS!C:D,2,0)</f>
        <v>Bebidas não Alcoolicas</v>
      </c>
      <c r="L2683" t="str">
        <f>VLOOKUP(K2683,METRICS!D:E,2,0)</f>
        <v>CUSTOS DOS PRODUTOS VENDIDOS</v>
      </c>
    </row>
    <row r="2684" spans="1:12" ht="15" hidden="1">
      <c r="A2684" t="s">
        <v>1799</v>
      </c>
      <c r="B2684" t="s">
        <v>612</v>
      </c>
      <c r="D2684" t="s">
        <v>2059</v>
      </c>
      <c r="E2684" t="str">
        <f t="shared" si="143"/>
        <v>Compra 1096 (NFe 797248-1)</v>
      </c>
      <c r="F2684" t="s">
        <v>1272</v>
      </c>
      <c r="G2684" t="s">
        <v>608</v>
      </c>
      <c r="H2684" s="484">
        <v>-964.8</v>
      </c>
      <c r="I2684" t="str">
        <f t="shared" si="144"/>
        <v>março 2026</v>
      </c>
      <c r="J2684">
        <f t="shared" si="145"/>
        <v>2026</v>
      </c>
      <c r="K2684" t="str">
        <f>VLOOKUP(G2684,METRICS!C:D,2,0)</f>
        <v>Bebidas não Alcoolicas</v>
      </c>
      <c r="L2684" t="str">
        <f>VLOOKUP(K2684,METRICS!D:E,2,0)</f>
        <v>CUSTOS DOS PRODUTOS VENDIDOS</v>
      </c>
    </row>
    <row r="2685" spans="1:12" ht="15" hidden="1">
      <c r="A2685" t="s">
        <v>1799</v>
      </c>
      <c r="B2685" t="s">
        <v>612</v>
      </c>
      <c r="D2685" t="s">
        <v>2060</v>
      </c>
      <c r="E2685" t="s">
        <v>936</v>
      </c>
      <c r="F2685" t="s">
        <v>1272</v>
      </c>
      <c r="G2685" t="s">
        <v>283</v>
      </c>
      <c r="H2685" s="484">
        <v>-3113</v>
      </c>
      <c r="I2685" t="str">
        <f t="shared" si="144"/>
        <v>março 2026</v>
      </c>
      <c r="J2685">
        <f t="shared" si="145"/>
        <v>2026</v>
      </c>
      <c r="K2685" t="str">
        <f>VLOOKUP(G2685,METRICS!C:D,2,0)</f>
        <v>Hostess</v>
      </c>
      <c r="L2685" t="str">
        <f>VLOOKUP(K2685,METRICS!D:E,2,0)</f>
        <v>OPERAÇÃO</v>
      </c>
    </row>
    <row r="2686" spans="1:12" ht="15" hidden="1">
      <c r="A2686" t="s">
        <v>1799</v>
      </c>
      <c r="B2686" t="s">
        <v>612</v>
      </c>
      <c r="D2686" t="s">
        <v>2061</v>
      </c>
      <c r="E2686" t="str">
        <f t="shared" ref="E2686:E2748" si="146">D2686</f>
        <v>Compra 1085 (NFe 94371-1)</v>
      </c>
      <c r="F2686" t="s">
        <v>1272</v>
      </c>
      <c r="G2686" t="s">
        <v>619</v>
      </c>
      <c r="H2686" s="484">
        <v>-509.6</v>
      </c>
      <c r="I2686" t="str">
        <f t="shared" si="144"/>
        <v>março 2026</v>
      </c>
      <c r="J2686">
        <f t="shared" si="145"/>
        <v>2026</v>
      </c>
      <c r="K2686" t="str">
        <f>VLOOKUP(G2686,METRICS!C:D,2,0)</f>
        <v>Gelo</v>
      </c>
      <c r="L2686" t="str">
        <f>VLOOKUP(K2686,METRICS!D:E,2,0)</f>
        <v>CUSTOS DOS PRODUTOS VENDIDOS</v>
      </c>
    </row>
    <row r="2687" spans="1:12" ht="15" hidden="1">
      <c r="A2687" t="s">
        <v>1799</v>
      </c>
      <c r="B2687" t="s">
        <v>612</v>
      </c>
      <c r="D2687" t="s">
        <v>2062</v>
      </c>
      <c r="E2687" t="str">
        <f t="shared" si="146"/>
        <v>Compra 1087 (NFe 13640-1)</v>
      </c>
      <c r="F2687" t="s">
        <v>1272</v>
      </c>
      <c r="G2687" t="s">
        <v>633</v>
      </c>
      <c r="H2687" s="484">
        <v>-1086</v>
      </c>
      <c r="I2687" t="str">
        <f t="shared" si="144"/>
        <v>março 2026</v>
      </c>
      <c r="J2687">
        <f t="shared" si="145"/>
        <v>2026</v>
      </c>
      <c r="K2687" t="str">
        <f>VLOOKUP(G2687,METRICS!C:D,2,0)</f>
        <v>Paes, Massas e Salgados</v>
      </c>
      <c r="L2687" t="str">
        <f>VLOOKUP(K2687,METRICS!D:E,2,0)</f>
        <v>CUSTOS DOS PRODUTOS VENDIDOS</v>
      </c>
    </row>
    <row r="2688" spans="1:12" ht="15" hidden="1">
      <c r="A2688" t="s">
        <v>1799</v>
      </c>
      <c r="B2688" t="s">
        <v>612</v>
      </c>
      <c r="D2688" t="s">
        <v>2063</v>
      </c>
      <c r="E2688" t="str">
        <f t="shared" si="146"/>
        <v>Compra 1107 (NFe 68084-1)</v>
      </c>
      <c r="F2688" t="s">
        <v>1272</v>
      </c>
      <c r="G2688" t="s">
        <v>605</v>
      </c>
      <c r="H2688" s="484">
        <v>-3411.42</v>
      </c>
      <c r="I2688" t="str">
        <f t="shared" si="144"/>
        <v>março 2026</v>
      </c>
      <c r="J2688">
        <f t="shared" si="145"/>
        <v>2026</v>
      </c>
      <c r="K2688" t="str">
        <f>VLOOKUP(G2688,METRICS!C:D,2,0)</f>
        <v>Beneficios</v>
      </c>
      <c r="L2688" t="str">
        <f>VLOOKUP(K2688,METRICS!D:E,2,0)</f>
        <v>PESSOAL</v>
      </c>
    </row>
    <row r="2689" spans="1:12" ht="15" hidden="1">
      <c r="A2689" t="s">
        <v>1799</v>
      </c>
      <c r="B2689" t="s">
        <v>612</v>
      </c>
      <c r="D2689" t="s">
        <v>2064</v>
      </c>
      <c r="E2689" t="str">
        <f t="shared" si="146"/>
        <v>Compra 1089 (NFe 4870-0)</v>
      </c>
      <c r="F2689" t="s">
        <v>1272</v>
      </c>
      <c r="G2689" t="s">
        <v>629</v>
      </c>
      <c r="H2689" s="484">
        <v>-3096.59</v>
      </c>
      <c r="I2689" t="str">
        <f t="shared" si="144"/>
        <v>março 2026</v>
      </c>
      <c r="J2689">
        <f t="shared" si="145"/>
        <v>2026</v>
      </c>
      <c r="K2689" t="str">
        <f>VLOOKUP(G2689,METRICS!C:D,2,0)</f>
        <v>Material de limpeza</v>
      </c>
      <c r="L2689" t="str">
        <f>VLOOKUP(K2689,METRICS!D:E,2,0)</f>
        <v>OPERAÇÃO</v>
      </c>
    </row>
    <row r="2690" spans="1:12" ht="15" hidden="1">
      <c r="A2690" t="s">
        <v>1799</v>
      </c>
      <c r="B2690" t="s">
        <v>612</v>
      </c>
      <c r="D2690" t="s">
        <v>2065</v>
      </c>
      <c r="E2690" t="str">
        <f t="shared" si="146"/>
        <v>Compra 1090 (NFe 40294-1)</v>
      </c>
      <c r="F2690" t="s">
        <v>1272</v>
      </c>
      <c r="G2690" t="s">
        <v>610</v>
      </c>
      <c r="H2690" s="484">
        <v>-3352</v>
      </c>
      <c r="I2690" t="str">
        <f t="shared" si="144"/>
        <v>março 2026</v>
      </c>
      <c r="J2690">
        <f t="shared" si="145"/>
        <v>2026</v>
      </c>
      <c r="K2690" t="str">
        <f>VLOOKUP(G2690,METRICS!C:D,2,0)</f>
        <v>Carvão</v>
      </c>
      <c r="L2690" t="str">
        <f>VLOOKUP(K2690,METRICS!D:E,2,0)</f>
        <v>CUSTOS DOS PRODUTOS VENDIDOS</v>
      </c>
    </row>
    <row r="2691" spans="1:12" ht="15" hidden="1">
      <c r="A2691" t="s">
        <v>1799</v>
      </c>
      <c r="B2691" t="s">
        <v>689</v>
      </c>
      <c r="D2691" t="s">
        <v>2066</v>
      </c>
      <c r="E2691" t="str">
        <f t="shared" si="146"/>
        <v>Telegrama - NATALIA DE OLIVEIRA SILVA</v>
      </c>
      <c r="F2691" t="s">
        <v>1272</v>
      </c>
      <c r="G2691" t="s">
        <v>2192</v>
      </c>
      <c r="H2691" s="484">
        <v>-35.450000000000003</v>
      </c>
      <c r="I2691" t="str">
        <f t="shared" si="144"/>
        <v>março 2026</v>
      </c>
      <c r="J2691">
        <f t="shared" si="145"/>
        <v>2026</v>
      </c>
      <c r="K2691" t="str">
        <f>VLOOKUP(G2691,METRICS!C:D,2,0)</f>
        <v>Correio/Cartório/Protestos</v>
      </c>
      <c r="L2691" t="str">
        <f>VLOOKUP(K2691,METRICS!D:E,2,0)</f>
        <v>ADMINISTRATIVA</v>
      </c>
    </row>
    <row r="2692" spans="1:12" ht="15" hidden="1">
      <c r="A2692" t="s">
        <v>1799</v>
      </c>
      <c r="B2692" t="s">
        <v>612</v>
      </c>
      <c r="D2692" t="s">
        <v>2067</v>
      </c>
      <c r="E2692" t="str">
        <f t="shared" si="146"/>
        <v>Compra 1094 (NFe 410714-1)</v>
      </c>
      <c r="F2692" t="s">
        <v>1272</v>
      </c>
      <c r="G2692" t="s">
        <v>620</v>
      </c>
      <c r="H2692" s="484">
        <v>-656.3</v>
      </c>
      <c r="I2692" t="str">
        <f t="shared" si="144"/>
        <v>março 2026</v>
      </c>
      <c r="J2692">
        <f t="shared" si="145"/>
        <v>2026</v>
      </c>
      <c r="K2692" t="str">
        <f>VLOOKUP(G2692,METRICS!C:D,2,0)</f>
        <v>Hortifruti</v>
      </c>
      <c r="L2692" t="str">
        <f>VLOOKUP(K2692,METRICS!D:E,2,0)</f>
        <v>CUSTOS DOS PRODUTOS VENDIDOS</v>
      </c>
    </row>
    <row r="2693" spans="1:12" ht="15" hidden="1">
      <c r="A2693" t="s">
        <v>1799</v>
      </c>
      <c r="B2693" t="s">
        <v>612</v>
      </c>
      <c r="D2693" t="s">
        <v>2068</v>
      </c>
      <c r="E2693" t="str">
        <f t="shared" si="146"/>
        <v>Compra 1088 (NFe 33360-1)</v>
      </c>
      <c r="F2693" t="s">
        <v>1272</v>
      </c>
      <c r="G2693" t="s">
        <v>608</v>
      </c>
      <c r="H2693" s="484">
        <v>-356.4</v>
      </c>
      <c r="I2693" t="str">
        <f t="shared" ref="I2693:I2755" si="147">TEXT(A2693, "mmmm aaaa")</f>
        <v>março 2026</v>
      </c>
      <c r="J2693">
        <f t="shared" ref="J2693:J2755" si="148">YEAR(A2693)</f>
        <v>2026</v>
      </c>
      <c r="K2693" t="str">
        <f>VLOOKUP(G2693,METRICS!C:D,2,0)</f>
        <v>Bebidas não Alcoolicas</v>
      </c>
      <c r="L2693" t="str">
        <f>VLOOKUP(K2693,METRICS!D:E,2,0)</f>
        <v>CUSTOS DOS PRODUTOS VENDIDOS</v>
      </c>
    </row>
    <row r="2694" spans="1:12" ht="15">
      <c r="A2694" s="593" t="s">
        <v>1800</v>
      </c>
      <c r="B2694" s="593" t="s">
        <v>689</v>
      </c>
      <c r="C2694" s="593"/>
      <c r="D2694" s="593" t="s">
        <v>2069</v>
      </c>
      <c r="E2694" s="593" t="str">
        <f t="shared" si="146"/>
        <v>Reembolso Henrique - Pesquisa de mercado restaurante</v>
      </c>
      <c r="F2694" s="593" t="s">
        <v>1272</v>
      </c>
      <c r="G2694" s="593" t="s">
        <v>606</v>
      </c>
      <c r="H2694" s="594">
        <v>-1207.97</v>
      </c>
      <c r="I2694" s="593" t="str">
        <f t="shared" si="147"/>
        <v>março 2026</v>
      </c>
      <c r="J2694" s="593">
        <f t="shared" si="148"/>
        <v>2026</v>
      </c>
      <c r="K2694" s="593" t="str">
        <f>VLOOKUP(G2694,METRICS!C:D,2,0)</f>
        <v>Propaganda, Publicidade e Patrocínio</v>
      </c>
      <c r="L2694" s="593" t="str">
        <f>VLOOKUP(K2694,METRICS!D:E,2,0)</f>
        <v>MARKETING</v>
      </c>
    </row>
    <row r="2695" spans="1:12" ht="15" hidden="1">
      <c r="A2695" t="s">
        <v>1800</v>
      </c>
      <c r="B2695" t="s">
        <v>612</v>
      </c>
      <c r="D2695" t="s">
        <v>2070</v>
      </c>
      <c r="E2695" t="str">
        <f t="shared" si="146"/>
        <v>Compra 1100 (NFe 5691044-1)</v>
      </c>
      <c r="F2695" t="s">
        <v>1272</v>
      </c>
      <c r="G2695" t="s">
        <v>623</v>
      </c>
      <c r="H2695" s="484">
        <v>-4414.92</v>
      </c>
      <c r="I2695" t="str">
        <f t="shared" si="147"/>
        <v>março 2026</v>
      </c>
      <c r="J2695">
        <f t="shared" si="148"/>
        <v>2026</v>
      </c>
      <c r="K2695" t="str">
        <f>VLOOKUP(G2695,METRICS!C:D,2,0)</f>
        <v>Secos - Mercearia</v>
      </c>
      <c r="L2695" t="str">
        <f>VLOOKUP(K2695,METRICS!D:E,2,0)</f>
        <v>CUSTOS DOS PRODUTOS VENDIDOS</v>
      </c>
    </row>
    <row r="2696" spans="1:12" ht="15" hidden="1">
      <c r="A2696" t="s">
        <v>1800</v>
      </c>
      <c r="B2696" t="s">
        <v>612</v>
      </c>
      <c r="D2696" t="s">
        <v>2071</v>
      </c>
      <c r="E2696" t="str">
        <f t="shared" si="146"/>
        <v>Compra 1110 (NFe 2156-1)</v>
      </c>
      <c r="F2696" t="s">
        <v>1272</v>
      </c>
      <c r="G2696" t="s">
        <v>607</v>
      </c>
      <c r="H2696" s="484">
        <v>-504</v>
      </c>
      <c r="I2696" t="str">
        <f t="shared" si="147"/>
        <v>março 2026</v>
      </c>
      <c r="J2696">
        <f t="shared" si="148"/>
        <v>2026</v>
      </c>
      <c r="K2696" t="str">
        <f>VLOOKUP(G2696,METRICS!C:D,2,0)</f>
        <v>Bebidas Alcoólicas</v>
      </c>
      <c r="L2696" t="str">
        <f>VLOOKUP(K2696,METRICS!D:E,2,0)</f>
        <v>CUSTOS DOS PRODUTOS VENDIDOS</v>
      </c>
    </row>
    <row r="2697" spans="1:12" ht="15" hidden="1">
      <c r="A2697" t="s">
        <v>1800</v>
      </c>
      <c r="B2697" t="s">
        <v>612</v>
      </c>
      <c r="D2697" t="s">
        <v>2072</v>
      </c>
      <c r="E2697" t="str">
        <f t="shared" si="146"/>
        <v>Compra 1105 (NFe 94502-1)</v>
      </c>
      <c r="F2697" t="s">
        <v>1272</v>
      </c>
      <c r="G2697" t="s">
        <v>619</v>
      </c>
      <c r="H2697" s="484">
        <v>-509.6</v>
      </c>
      <c r="I2697" t="str">
        <f t="shared" si="147"/>
        <v>março 2026</v>
      </c>
      <c r="J2697">
        <f t="shared" si="148"/>
        <v>2026</v>
      </c>
      <c r="K2697" t="str">
        <f>VLOOKUP(G2697,METRICS!C:D,2,0)</f>
        <v>Gelo</v>
      </c>
      <c r="L2697" t="str">
        <f>VLOOKUP(K2697,METRICS!D:E,2,0)</f>
        <v>CUSTOS DOS PRODUTOS VENDIDOS</v>
      </c>
    </row>
    <row r="2698" spans="1:12" ht="15" hidden="1">
      <c r="A2698" t="s">
        <v>1800</v>
      </c>
      <c r="B2698" t="s">
        <v>612</v>
      </c>
      <c r="D2698" t="s">
        <v>2073</v>
      </c>
      <c r="E2698" t="str">
        <f t="shared" si="146"/>
        <v>Compra 1109 (NFe 501018-2)</v>
      </c>
      <c r="F2698" t="s">
        <v>1272</v>
      </c>
      <c r="G2698" t="s">
        <v>609</v>
      </c>
      <c r="H2698" s="484">
        <v>-5520.45</v>
      </c>
      <c r="I2698" t="str">
        <f t="shared" si="147"/>
        <v>março 2026</v>
      </c>
      <c r="J2698">
        <f t="shared" si="148"/>
        <v>2026</v>
      </c>
      <c r="K2698" t="str">
        <f>VLOOKUP(G2698,METRICS!C:D,2,0)</f>
        <v>Carnes e Aves</v>
      </c>
      <c r="L2698" t="str">
        <f>VLOOKUP(K2698,METRICS!D:E,2,0)</f>
        <v>CUSTOS DOS PRODUTOS VENDIDOS</v>
      </c>
    </row>
    <row r="2699" spans="1:12" ht="15" hidden="1">
      <c r="A2699" t="s">
        <v>1800</v>
      </c>
      <c r="B2699" t="s">
        <v>612</v>
      </c>
      <c r="D2699" t="s">
        <v>2074</v>
      </c>
      <c r="E2699" t="str">
        <f t="shared" si="146"/>
        <v>Compra 1104 (NFe 51170-1)</v>
      </c>
      <c r="F2699" t="s">
        <v>1272</v>
      </c>
      <c r="G2699" t="s">
        <v>611</v>
      </c>
      <c r="H2699" s="484">
        <v>-2930.76</v>
      </c>
      <c r="I2699" t="str">
        <f t="shared" si="147"/>
        <v>março 2026</v>
      </c>
      <c r="J2699">
        <f t="shared" si="148"/>
        <v>2026</v>
      </c>
      <c r="K2699" t="str">
        <f>VLOOKUP(G2699,METRICS!C:D,2,0)</f>
        <v>Bebidas Alcoólicas</v>
      </c>
      <c r="L2699" t="str">
        <f>VLOOKUP(K2699,METRICS!D:E,2,0)</f>
        <v>CUSTOS DOS PRODUTOS VENDIDOS</v>
      </c>
    </row>
    <row r="2700" spans="1:12" ht="15" hidden="1">
      <c r="A2700" t="s">
        <v>1800</v>
      </c>
      <c r="B2700" t="s">
        <v>612</v>
      </c>
      <c r="D2700" t="s">
        <v>2075</v>
      </c>
      <c r="E2700" t="s">
        <v>888</v>
      </c>
      <c r="F2700" t="s">
        <v>1272</v>
      </c>
      <c r="G2700" s="518" t="s">
        <v>1736</v>
      </c>
      <c r="H2700" s="484">
        <v>-326.72000000000003</v>
      </c>
      <c r="I2700" t="str">
        <f t="shared" si="147"/>
        <v>março 2026</v>
      </c>
      <c r="J2700">
        <f t="shared" si="148"/>
        <v>2026</v>
      </c>
      <c r="K2700" t="str">
        <f>VLOOKUP(G2700,METRICS!C:D,2,0)</f>
        <v>Sistema e Software OP</v>
      </c>
      <c r="L2700" t="str">
        <f>VLOOKUP(K2700,METRICS!D:E,2,0)</f>
        <v>OPERAÇÃO</v>
      </c>
    </row>
    <row r="2701" spans="1:12" ht="15" hidden="1">
      <c r="A2701" t="s">
        <v>1800</v>
      </c>
      <c r="B2701" t="s">
        <v>612</v>
      </c>
      <c r="D2701" t="s">
        <v>2076</v>
      </c>
      <c r="E2701" t="str">
        <f t="shared" si="146"/>
        <v>Compra 1097 (NFe 70938-1)</v>
      </c>
      <c r="F2701" t="s">
        <v>1272</v>
      </c>
      <c r="G2701" t="s">
        <v>636</v>
      </c>
      <c r="H2701" s="484">
        <v>-1258.3800000000001</v>
      </c>
      <c r="I2701" t="str">
        <f t="shared" si="147"/>
        <v>março 2026</v>
      </c>
      <c r="J2701">
        <f t="shared" si="148"/>
        <v>2026</v>
      </c>
      <c r="K2701" t="str">
        <f>VLOOKUP(G2701,METRICS!C:D,2,0)</f>
        <v>Secos - Mercearia</v>
      </c>
      <c r="L2701" t="str">
        <f>VLOOKUP(K2701,METRICS!D:E,2,0)</f>
        <v>CUSTOS DOS PRODUTOS VENDIDOS</v>
      </c>
    </row>
    <row r="2702" spans="1:12" ht="15" hidden="1">
      <c r="A2702" t="s">
        <v>1800</v>
      </c>
      <c r="B2702" t="s">
        <v>612</v>
      </c>
      <c r="D2702" t="s">
        <v>2077</v>
      </c>
      <c r="E2702" t="str">
        <f t="shared" si="146"/>
        <v>Compra 1101 (NFe 1755-1)</v>
      </c>
      <c r="F2702" t="s">
        <v>1272</v>
      </c>
      <c r="G2702" t="s">
        <v>413</v>
      </c>
      <c r="H2702" s="484">
        <v>-8141.81</v>
      </c>
      <c r="I2702" t="str">
        <f t="shared" si="147"/>
        <v>março 2026</v>
      </c>
      <c r="J2702">
        <f t="shared" si="148"/>
        <v>2026</v>
      </c>
      <c r="K2702" t="str">
        <f>VLOOKUP(G2702,METRICS!C:D,2,0)</f>
        <v>Pescados</v>
      </c>
      <c r="L2702" t="str">
        <f>VLOOKUP(K2702,METRICS!D:E,2,0)</f>
        <v>CUSTOS DOS PRODUTOS VENDIDOS</v>
      </c>
    </row>
    <row r="2703" spans="1:12" ht="15" hidden="1">
      <c r="A2703" t="s">
        <v>1800</v>
      </c>
      <c r="B2703" t="s">
        <v>689</v>
      </c>
      <c r="D2703" t="s">
        <v>2078</v>
      </c>
      <c r="E2703" t="str">
        <f t="shared" si="146"/>
        <v xml:space="preserve">RP </v>
      </c>
      <c r="F2703" t="s">
        <v>1272</v>
      </c>
      <c r="G2703" t="s">
        <v>659</v>
      </c>
      <c r="H2703" s="484">
        <v>-5000</v>
      </c>
      <c r="I2703" t="str">
        <f t="shared" si="147"/>
        <v>março 2026</v>
      </c>
      <c r="J2703">
        <f t="shared" si="148"/>
        <v>2026</v>
      </c>
      <c r="K2703" t="str">
        <f>VLOOKUP(G2703,METRICS!C:D,2,0)</f>
        <v>Propaganda, Publicidade e Patrocínio</v>
      </c>
      <c r="L2703" t="str">
        <f>VLOOKUP(K2703,METRICS!D:E,2,0)</f>
        <v>MARKETING</v>
      </c>
    </row>
    <row r="2704" spans="1:12" ht="15" hidden="1">
      <c r="A2704" t="s">
        <v>1800</v>
      </c>
      <c r="B2704" t="s">
        <v>612</v>
      </c>
      <c r="D2704" t="s">
        <v>2079</v>
      </c>
      <c r="E2704" t="str">
        <f t="shared" si="146"/>
        <v>Compra 1099 (NFe 146160-1)</v>
      </c>
      <c r="F2704" t="s">
        <v>1272</v>
      </c>
      <c r="G2704" t="s">
        <v>636</v>
      </c>
      <c r="H2704" s="484">
        <v>-557.1</v>
      </c>
      <c r="I2704" t="str">
        <f t="shared" si="147"/>
        <v>março 2026</v>
      </c>
      <c r="J2704">
        <f t="shared" si="148"/>
        <v>2026</v>
      </c>
      <c r="K2704" t="str">
        <f>VLOOKUP(G2704,METRICS!C:D,2,0)</f>
        <v>Secos - Mercearia</v>
      </c>
      <c r="L2704" t="str">
        <f>VLOOKUP(K2704,METRICS!D:E,2,0)</f>
        <v>CUSTOS DOS PRODUTOS VENDIDOS</v>
      </c>
    </row>
    <row r="2705" spans="1:12" ht="15" hidden="1">
      <c r="A2705" s="783">
        <v>46136</v>
      </c>
      <c r="B2705" t="s">
        <v>612</v>
      </c>
      <c r="D2705" t="s">
        <v>2080</v>
      </c>
      <c r="E2705" t="str">
        <f t="shared" si="146"/>
        <v xml:space="preserve">Compra 1082 </v>
      </c>
      <c r="F2705" t="s">
        <v>1272</v>
      </c>
      <c r="G2705" t="s">
        <v>621</v>
      </c>
      <c r="H2705" s="484">
        <v>-1800</v>
      </c>
      <c r="I2705" t="str">
        <f t="shared" si="147"/>
        <v>abril 2026</v>
      </c>
      <c r="J2705">
        <f t="shared" si="148"/>
        <v>2026</v>
      </c>
      <c r="K2705" t="str">
        <f>VLOOKUP(G2705,METRICS!C:D,2,0)</f>
        <v>Influencer</v>
      </c>
      <c r="L2705" t="str">
        <f>VLOOKUP(K2705,METRICS!D:E,2,0)</f>
        <v>MARKETING</v>
      </c>
    </row>
    <row r="2706" spans="1:12" ht="15" hidden="1">
      <c r="A2706" t="s">
        <v>1800</v>
      </c>
      <c r="B2706" t="s">
        <v>612</v>
      </c>
      <c r="D2706" t="s">
        <v>2081</v>
      </c>
      <c r="E2706" t="str">
        <f t="shared" si="146"/>
        <v>Compra 1103 (NFe 314335-1)</v>
      </c>
      <c r="F2706" t="s">
        <v>1272</v>
      </c>
      <c r="G2706" t="s">
        <v>623</v>
      </c>
      <c r="H2706" s="484">
        <v>-305.25</v>
      </c>
      <c r="I2706" t="str">
        <f t="shared" si="147"/>
        <v>março 2026</v>
      </c>
      <c r="J2706">
        <f t="shared" si="148"/>
        <v>2026</v>
      </c>
      <c r="K2706" t="str">
        <f>VLOOKUP(G2706,METRICS!C:D,2,0)</f>
        <v>Secos - Mercearia</v>
      </c>
      <c r="L2706" t="str">
        <f>VLOOKUP(K2706,METRICS!D:E,2,0)</f>
        <v>CUSTOS DOS PRODUTOS VENDIDOS</v>
      </c>
    </row>
    <row r="2707" spans="1:12" ht="15" hidden="1">
      <c r="A2707" t="s">
        <v>1800</v>
      </c>
      <c r="B2707" t="s">
        <v>689</v>
      </c>
      <c r="D2707" t="s">
        <v>2082</v>
      </c>
      <c r="E2707" t="str">
        <f t="shared" si="146"/>
        <v>Telegrama - JOÃO MARCOS VIEIRA DE SOUSA</v>
      </c>
      <c r="F2707" t="s">
        <v>1272</v>
      </c>
      <c r="G2707" t="s">
        <v>2192</v>
      </c>
      <c r="H2707" s="484">
        <v>-35.450000000000003</v>
      </c>
      <c r="I2707" t="str">
        <f t="shared" si="147"/>
        <v>março 2026</v>
      </c>
      <c r="J2707">
        <f t="shared" si="148"/>
        <v>2026</v>
      </c>
      <c r="K2707" t="str">
        <f>VLOOKUP(G2707,METRICS!C:D,2,0)</f>
        <v>Correio/Cartório/Protestos</v>
      </c>
      <c r="L2707" t="str">
        <f>VLOOKUP(K2707,METRICS!D:E,2,0)</f>
        <v>ADMINISTRATIVA</v>
      </c>
    </row>
    <row r="2708" spans="1:12" ht="15" hidden="1">
      <c r="A2708" t="s">
        <v>1800</v>
      </c>
      <c r="B2708" t="s">
        <v>612</v>
      </c>
      <c r="D2708" t="s">
        <v>2083</v>
      </c>
      <c r="E2708" t="str">
        <f t="shared" si="146"/>
        <v>Compra 1108 (NFe 45321-1)</v>
      </c>
      <c r="F2708" t="s">
        <v>1272</v>
      </c>
      <c r="G2708" t="s">
        <v>605</v>
      </c>
      <c r="H2708" s="484">
        <v>-1713.2</v>
      </c>
      <c r="I2708" t="str">
        <f t="shared" si="147"/>
        <v>março 2026</v>
      </c>
      <c r="J2708">
        <f t="shared" si="148"/>
        <v>2026</v>
      </c>
      <c r="K2708" t="str">
        <f>VLOOKUP(G2708,METRICS!C:D,2,0)</f>
        <v>Beneficios</v>
      </c>
      <c r="L2708" t="str">
        <f>VLOOKUP(K2708,METRICS!D:E,2,0)</f>
        <v>PESSOAL</v>
      </c>
    </row>
    <row r="2709" spans="1:12" ht="15" hidden="1">
      <c r="A2709" t="s">
        <v>1800</v>
      </c>
      <c r="B2709" t="s">
        <v>689</v>
      </c>
      <c r="D2709" t="s">
        <v>1200</v>
      </c>
      <c r="E2709" t="str">
        <f t="shared" si="146"/>
        <v xml:space="preserve">LOCAÇÃO 1 MR0400 </v>
      </c>
      <c r="F2709" t="s">
        <v>1272</v>
      </c>
      <c r="G2709" t="s">
        <v>657</v>
      </c>
      <c r="H2709" s="484">
        <v>-350</v>
      </c>
      <c r="I2709" t="str">
        <f t="shared" si="147"/>
        <v>março 2026</v>
      </c>
      <c r="J2709">
        <f t="shared" si="148"/>
        <v>2026</v>
      </c>
      <c r="K2709" t="str">
        <f>VLOOKUP(G2709,METRICS!C:D,2,0)</f>
        <v>Aluguel de Maquinas</v>
      </c>
      <c r="L2709" t="str">
        <f>VLOOKUP(K2709,METRICS!D:E,2,0)</f>
        <v>OPERAÇÃO</v>
      </c>
    </row>
    <row r="2710" spans="1:12" ht="15" hidden="1">
      <c r="A2710" t="s">
        <v>1800</v>
      </c>
      <c r="B2710" t="s">
        <v>612</v>
      </c>
      <c r="D2710" t="s">
        <v>2084</v>
      </c>
      <c r="E2710" t="str">
        <f t="shared" si="146"/>
        <v>Compra 1102 (NFe 3457-1)</v>
      </c>
      <c r="F2710" t="s">
        <v>1272</v>
      </c>
      <c r="G2710" t="s">
        <v>413</v>
      </c>
      <c r="H2710" s="484">
        <v>-1198.5</v>
      </c>
      <c r="I2710" t="str">
        <f t="shared" si="147"/>
        <v>março 2026</v>
      </c>
      <c r="J2710">
        <f t="shared" si="148"/>
        <v>2026</v>
      </c>
      <c r="K2710" t="str">
        <f>VLOOKUP(G2710,METRICS!C:D,2,0)</f>
        <v>Pescados</v>
      </c>
      <c r="L2710" t="str">
        <f>VLOOKUP(K2710,METRICS!D:E,2,0)</f>
        <v>CUSTOS DOS PRODUTOS VENDIDOS</v>
      </c>
    </row>
    <row r="2711" spans="1:12" ht="15" hidden="1">
      <c r="A2711" t="s">
        <v>1800</v>
      </c>
      <c r="B2711" t="s">
        <v>612</v>
      </c>
      <c r="D2711" t="s">
        <v>2085</v>
      </c>
      <c r="E2711" t="str">
        <f t="shared" si="146"/>
        <v>Compra 1098 (NFe 4129676-1)</v>
      </c>
      <c r="F2711" t="s">
        <v>1272</v>
      </c>
      <c r="G2711" t="s">
        <v>636</v>
      </c>
      <c r="H2711" s="484">
        <v>-3132.2</v>
      </c>
      <c r="I2711" t="str">
        <f t="shared" si="147"/>
        <v>março 2026</v>
      </c>
      <c r="J2711">
        <f t="shared" si="148"/>
        <v>2026</v>
      </c>
      <c r="K2711" t="str">
        <f>VLOOKUP(G2711,METRICS!C:D,2,0)</f>
        <v>Secos - Mercearia</v>
      </c>
      <c r="L2711" t="str">
        <f>VLOOKUP(K2711,METRICS!D:E,2,0)</f>
        <v>CUSTOS DOS PRODUTOS VENDIDOS</v>
      </c>
    </row>
    <row r="2712" spans="1:12" ht="15" hidden="1">
      <c r="A2712" s="783">
        <v>46122</v>
      </c>
      <c r="B2712" t="s">
        <v>612</v>
      </c>
      <c r="D2712" t="s">
        <v>2086</v>
      </c>
      <c r="E2712" t="str">
        <f t="shared" si="146"/>
        <v>NFe 09</v>
      </c>
      <c r="F2712" t="s">
        <v>1272</v>
      </c>
      <c r="G2712" t="s">
        <v>621</v>
      </c>
      <c r="H2712" s="484">
        <v>-8500</v>
      </c>
      <c r="I2712" t="str">
        <f t="shared" si="147"/>
        <v>abril 2026</v>
      </c>
      <c r="J2712">
        <f t="shared" si="148"/>
        <v>2026</v>
      </c>
      <c r="K2712" t="str">
        <f>VLOOKUP(G2712,METRICS!C:D,2,0)</f>
        <v>Influencer</v>
      </c>
      <c r="L2712" t="str">
        <f>VLOOKUP(K2712,METRICS!D:E,2,0)</f>
        <v>MARKETING</v>
      </c>
    </row>
    <row r="2713" spans="1:12" ht="15" hidden="1">
      <c r="A2713" t="s">
        <v>1801</v>
      </c>
      <c r="B2713" t="s">
        <v>612</v>
      </c>
      <c r="D2713" t="s">
        <v>2087</v>
      </c>
      <c r="E2713" t="str">
        <f t="shared" si="146"/>
        <v>Compra 1111 (NFe 16516417-16)</v>
      </c>
      <c r="F2713" t="s">
        <v>1272</v>
      </c>
      <c r="G2713" t="s">
        <v>608</v>
      </c>
      <c r="H2713" s="484">
        <v>-2150.96</v>
      </c>
      <c r="I2713" t="str">
        <f t="shared" si="147"/>
        <v>março 2026</v>
      </c>
      <c r="J2713">
        <f t="shared" si="148"/>
        <v>2026</v>
      </c>
      <c r="K2713" t="str">
        <f>VLOOKUP(G2713,METRICS!C:D,2,0)</f>
        <v>Bebidas não Alcoolicas</v>
      </c>
      <c r="L2713" t="str">
        <f>VLOOKUP(K2713,METRICS!D:E,2,0)</f>
        <v>CUSTOS DOS PRODUTOS VENDIDOS</v>
      </c>
    </row>
    <row r="2714" spans="1:12" ht="15" hidden="1">
      <c r="A2714" t="s">
        <v>1801</v>
      </c>
      <c r="B2714" t="s">
        <v>689</v>
      </c>
      <c r="D2714" t="s">
        <v>2088</v>
      </c>
      <c r="E2714" t="s">
        <v>2218</v>
      </c>
      <c r="F2714" t="s">
        <v>1272</v>
      </c>
      <c r="G2714" t="s">
        <v>668</v>
      </c>
      <c r="H2714" s="484">
        <v>-2000</v>
      </c>
      <c r="I2714" t="str">
        <f t="shared" si="147"/>
        <v>março 2026</v>
      </c>
      <c r="J2714">
        <f t="shared" si="148"/>
        <v>2026</v>
      </c>
      <c r="K2714" t="str">
        <f>VLOOKUP(G2714,METRICS!C:D,2,0)</f>
        <v>Prestação de Serviço Pessoa Jurídica OP</v>
      </c>
      <c r="L2714" t="str">
        <f>VLOOKUP(K2714,METRICS!D:E,2,0)</f>
        <v>OPERAÇÃO</v>
      </c>
    </row>
    <row r="2715" spans="1:12" ht="15" hidden="1">
      <c r="A2715" t="s">
        <v>1801</v>
      </c>
      <c r="B2715" t="s">
        <v>689</v>
      </c>
      <c r="D2715" t="s">
        <v>2089</v>
      </c>
      <c r="E2715" t="str">
        <f t="shared" si="146"/>
        <v>SERVIÇOS ADM FINANCEIROS COMP MARÇ/2025</v>
      </c>
      <c r="F2715" t="s">
        <v>1272</v>
      </c>
      <c r="G2715" t="s">
        <v>667</v>
      </c>
      <c r="H2715" s="484">
        <v>-4000</v>
      </c>
      <c r="I2715" t="str">
        <f t="shared" si="147"/>
        <v>março 2026</v>
      </c>
      <c r="J2715">
        <f t="shared" si="148"/>
        <v>2026</v>
      </c>
      <c r="K2715" t="str">
        <f>VLOOKUP(G2715,METRICS!C:D,2,0)</f>
        <v>Consultoria ADM</v>
      </c>
      <c r="L2715" t="str">
        <f>VLOOKUP(K2715,METRICS!D:E,2,0)</f>
        <v>ADMINISTRATIVA</v>
      </c>
    </row>
    <row r="2716" spans="1:12" ht="15" hidden="1">
      <c r="A2716" t="s">
        <v>1801</v>
      </c>
      <c r="B2716" t="s">
        <v>612</v>
      </c>
      <c r="D2716" t="s">
        <v>2090</v>
      </c>
      <c r="E2716" t="str">
        <f t="shared" si="146"/>
        <v>Compra 1114 (NFe 13679-1)</v>
      </c>
      <c r="F2716" t="s">
        <v>1272</v>
      </c>
      <c r="G2716" t="s">
        <v>633</v>
      </c>
      <c r="H2716" s="484">
        <v>-6050</v>
      </c>
      <c r="I2716" t="str">
        <f t="shared" si="147"/>
        <v>março 2026</v>
      </c>
      <c r="J2716">
        <f t="shared" si="148"/>
        <v>2026</v>
      </c>
      <c r="K2716" t="str">
        <f>VLOOKUP(G2716,METRICS!C:D,2,0)</f>
        <v>Paes, Massas e Salgados</v>
      </c>
      <c r="L2716" t="str">
        <f>VLOOKUP(K2716,METRICS!D:E,2,0)</f>
        <v>CUSTOS DOS PRODUTOS VENDIDOS</v>
      </c>
    </row>
    <row r="2717" spans="1:12" ht="15" hidden="1">
      <c r="A2717" t="s">
        <v>1801</v>
      </c>
      <c r="B2717" t="s">
        <v>689</v>
      </c>
      <c r="D2717" t="s">
        <v>2091</v>
      </c>
      <c r="E2717" s="518" t="s">
        <v>1713</v>
      </c>
      <c r="F2717" t="s">
        <v>1272</v>
      </c>
      <c r="G2717" t="s">
        <v>668</v>
      </c>
      <c r="H2717" s="484">
        <v>-8500</v>
      </c>
      <c r="I2717" t="str">
        <f t="shared" si="147"/>
        <v>março 2026</v>
      </c>
      <c r="J2717">
        <f t="shared" si="148"/>
        <v>2026</v>
      </c>
      <c r="K2717" t="str">
        <f>VLOOKUP(G2717,METRICS!C:D,2,0)</f>
        <v>Prestação de Serviço Pessoa Jurídica OP</v>
      </c>
      <c r="L2717" t="str">
        <f>VLOOKUP(K2717,METRICS!D:E,2,0)</f>
        <v>OPERAÇÃO</v>
      </c>
    </row>
    <row r="2718" spans="1:12" ht="15" hidden="1">
      <c r="A2718" t="s">
        <v>1801</v>
      </c>
      <c r="B2718" t="s">
        <v>689</v>
      </c>
      <c r="D2718" t="s">
        <v>2092</v>
      </c>
      <c r="E2718" s="518" t="s">
        <v>1709</v>
      </c>
      <c r="F2718" t="s">
        <v>1272</v>
      </c>
      <c r="G2718" t="s">
        <v>668</v>
      </c>
      <c r="H2718" s="484">
        <v>-4400</v>
      </c>
      <c r="I2718" t="str">
        <f t="shared" si="147"/>
        <v>março 2026</v>
      </c>
      <c r="J2718">
        <f t="shared" si="148"/>
        <v>2026</v>
      </c>
      <c r="K2718" t="str">
        <f>VLOOKUP(G2718,METRICS!C:D,2,0)</f>
        <v>Prestação de Serviço Pessoa Jurídica OP</v>
      </c>
      <c r="L2718" t="str">
        <f>VLOOKUP(K2718,METRICS!D:E,2,0)</f>
        <v>OPERAÇÃO</v>
      </c>
    </row>
    <row r="2719" spans="1:12" ht="15" hidden="1">
      <c r="A2719" t="s">
        <v>1801</v>
      </c>
      <c r="B2719" t="s">
        <v>612</v>
      </c>
      <c r="D2719" t="s">
        <v>2093</v>
      </c>
      <c r="E2719" t="str">
        <f t="shared" si="146"/>
        <v>Compra 1123 (NFe 68114-1)</v>
      </c>
      <c r="F2719" t="s">
        <v>1272</v>
      </c>
      <c r="G2719" t="s">
        <v>609</v>
      </c>
      <c r="H2719" s="484">
        <v>-538.5</v>
      </c>
      <c r="I2719" t="str">
        <f t="shared" si="147"/>
        <v>março 2026</v>
      </c>
      <c r="J2719">
        <f t="shared" si="148"/>
        <v>2026</v>
      </c>
      <c r="K2719" t="str">
        <f>VLOOKUP(G2719,METRICS!C:D,2,0)</f>
        <v>Carnes e Aves</v>
      </c>
      <c r="L2719" t="str">
        <f>VLOOKUP(K2719,METRICS!D:E,2,0)</f>
        <v>CUSTOS DOS PRODUTOS VENDIDOS</v>
      </c>
    </row>
    <row r="2720" spans="1:12" ht="15" hidden="1">
      <c r="A2720" t="s">
        <v>1801</v>
      </c>
      <c r="B2720" t="s">
        <v>689</v>
      </c>
      <c r="D2720" t="s">
        <v>2094</v>
      </c>
      <c r="E2720" t="s">
        <v>1665</v>
      </c>
      <c r="F2720" t="s">
        <v>1272</v>
      </c>
      <c r="G2720" t="s">
        <v>661</v>
      </c>
      <c r="H2720" s="484">
        <v>-15000</v>
      </c>
      <c r="I2720" t="str">
        <f t="shared" si="147"/>
        <v>março 2026</v>
      </c>
      <c r="J2720">
        <f t="shared" si="148"/>
        <v>2026</v>
      </c>
      <c r="K2720" t="str">
        <f>VLOOKUP(G2720,METRICS!C:D,2,0)</f>
        <v>Consultoria OP</v>
      </c>
      <c r="L2720" t="str">
        <f>VLOOKUP(K2720,METRICS!D:E,2,0)</f>
        <v>OPERAÇÃO</v>
      </c>
    </row>
    <row r="2721" spans="1:12" ht="15" hidden="1">
      <c r="A2721" t="s">
        <v>1801</v>
      </c>
      <c r="B2721" t="s">
        <v>689</v>
      </c>
      <c r="D2721" t="s">
        <v>2095</v>
      </c>
      <c r="E2721" s="518" t="s">
        <v>1710</v>
      </c>
      <c r="F2721" t="s">
        <v>1272</v>
      </c>
      <c r="G2721" t="s">
        <v>668</v>
      </c>
      <c r="H2721" s="484">
        <v>-7000</v>
      </c>
      <c r="I2721" t="str">
        <f t="shared" si="147"/>
        <v>março 2026</v>
      </c>
      <c r="J2721">
        <f t="shared" si="148"/>
        <v>2026</v>
      </c>
      <c r="K2721" t="str">
        <f>VLOOKUP(G2721,METRICS!C:D,2,0)</f>
        <v>Prestação de Serviço Pessoa Jurídica OP</v>
      </c>
      <c r="L2721" t="str">
        <f>VLOOKUP(K2721,METRICS!D:E,2,0)</f>
        <v>OPERAÇÃO</v>
      </c>
    </row>
    <row r="2722" spans="1:12" ht="15" hidden="1">
      <c r="A2722" t="s">
        <v>1801</v>
      </c>
      <c r="B2722" t="s">
        <v>612</v>
      </c>
      <c r="D2722" t="s">
        <v>2096</v>
      </c>
      <c r="E2722" t="str">
        <f t="shared" si="146"/>
        <v>Compra 1113 (NFe 10266-1)</v>
      </c>
      <c r="F2722" t="s">
        <v>1272</v>
      </c>
      <c r="G2722" t="s">
        <v>641</v>
      </c>
      <c r="H2722" s="484">
        <v>-4237.5</v>
      </c>
      <c r="I2722" t="str">
        <f t="shared" si="147"/>
        <v>março 2026</v>
      </c>
      <c r="J2722">
        <f t="shared" si="148"/>
        <v>2026</v>
      </c>
      <c r="K2722" t="str">
        <f>VLOOKUP(G2722,METRICS!C:D,2,0)</f>
        <v>Vinhos/Espumantes</v>
      </c>
      <c r="L2722" t="str">
        <f>VLOOKUP(K2722,METRICS!D:E,2,0)</f>
        <v>CUSTOS DOS PRODUTOS VENDIDOS</v>
      </c>
    </row>
    <row r="2723" spans="1:12" ht="15" hidden="1">
      <c r="A2723" t="s">
        <v>1801</v>
      </c>
      <c r="B2723" t="s">
        <v>612</v>
      </c>
      <c r="D2723" t="s">
        <v>2097</v>
      </c>
      <c r="E2723" t="str">
        <f t="shared" si="146"/>
        <v>Compra 1115 (NFe 782146-0)</v>
      </c>
      <c r="F2723" t="s">
        <v>1272</v>
      </c>
      <c r="G2723" t="s">
        <v>641</v>
      </c>
      <c r="H2723" s="484">
        <v>-18424.53</v>
      </c>
      <c r="I2723" t="str">
        <f t="shared" si="147"/>
        <v>março 2026</v>
      </c>
      <c r="J2723">
        <f t="shared" si="148"/>
        <v>2026</v>
      </c>
      <c r="K2723" t="str">
        <f>VLOOKUP(G2723,METRICS!C:D,2,0)</f>
        <v>Vinhos/Espumantes</v>
      </c>
      <c r="L2723" t="str">
        <f>VLOOKUP(K2723,METRICS!D:E,2,0)</f>
        <v>CUSTOS DOS PRODUTOS VENDIDOS</v>
      </c>
    </row>
    <row r="2724" spans="1:12" ht="15" hidden="1">
      <c r="A2724" t="s">
        <v>1801</v>
      </c>
      <c r="B2724" t="s">
        <v>689</v>
      </c>
      <c r="D2724" t="s">
        <v>2098</v>
      </c>
      <c r="E2724" s="518" t="s">
        <v>1704</v>
      </c>
      <c r="F2724" t="s">
        <v>1272</v>
      </c>
      <c r="G2724" t="s">
        <v>668</v>
      </c>
      <c r="H2724" s="484">
        <v>-9250</v>
      </c>
      <c r="I2724" t="str">
        <f t="shared" si="147"/>
        <v>março 2026</v>
      </c>
      <c r="J2724">
        <f t="shared" si="148"/>
        <v>2026</v>
      </c>
      <c r="K2724" t="str">
        <f>VLOOKUP(G2724,METRICS!C:D,2,0)</f>
        <v>Prestação de Serviço Pessoa Jurídica OP</v>
      </c>
      <c r="L2724" t="str">
        <f>VLOOKUP(K2724,METRICS!D:E,2,0)</f>
        <v>OPERAÇÃO</v>
      </c>
    </row>
    <row r="2725" spans="1:12" ht="15" hidden="1">
      <c r="A2725" t="s">
        <v>1801</v>
      </c>
      <c r="B2725" t="s">
        <v>689</v>
      </c>
      <c r="D2725" t="s">
        <v>2099</v>
      </c>
      <c r="E2725" s="518" t="s">
        <v>1217</v>
      </c>
      <c r="F2725" t="s">
        <v>1272</v>
      </c>
      <c r="G2725" t="s">
        <v>668</v>
      </c>
      <c r="H2725" s="484">
        <v>-10000</v>
      </c>
      <c r="I2725" t="str">
        <f t="shared" si="147"/>
        <v>março 2026</v>
      </c>
      <c r="J2725">
        <f t="shared" si="148"/>
        <v>2026</v>
      </c>
      <c r="K2725" t="str">
        <f>VLOOKUP(G2725,METRICS!C:D,2,0)</f>
        <v>Prestação de Serviço Pessoa Jurídica OP</v>
      </c>
      <c r="L2725" t="str">
        <f>VLOOKUP(K2725,METRICS!D:E,2,0)</f>
        <v>OPERAÇÃO</v>
      </c>
    </row>
    <row r="2726" spans="1:12" ht="15" hidden="1">
      <c r="A2726" t="s">
        <v>1801</v>
      </c>
      <c r="B2726" t="s">
        <v>689</v>
      </c>
      <c r="D2726" t="s">
        <v>2100</v>
      </c>
      <c r="E2726" s="518" t="s">
        <v>1702</v>
      </c>
      <c r="F2726" t="s">
        <v>1272</v>
      </c>
      <c r="G2726" t="s">
        <v>668</v>
      </c>
      <c r="H2726" s="484">
        <v>-8250</v>
      </c>
      <c r="I2726" t="str">
        <f t="shared" si="147"/>
        <v>março 2026</v>
      </c>
      <c r="J2726">
        <f t="shared" si="148"/>
        <v>2026</v>
      </c>
      <c r="K2726" t="str">
        <f>VLOOKUP(G2726,METRICS!C:D,2,0)</f>
        <v>Prestação de Serviço Pessoa Jurídica OP</v>
      </c>
      <c r="L2726" t="str">
        <f>VLOOKUP(K2726,METRICS!D:E,2,0)</f>
        <v>OPERAÇÃO</v>
      </c>
    </row>
    <row r="2727" spans="1:12" ht="15" hidden="1">
      <c r="A2727" t="s">
        <v>1801</v>
      </c>
      <c r="B2727" t="s">
        <v>612</v>
      </c>
      <c r="D2727" t="s">
        <v>2101</v>
      </c>
      <c r="E2727" t="str">
        <f t="shared" si="146"/>
        <v>Compra 1112 (NFe 44143-1)</v>
      </c>
      <c r="F2727" t="s">
        <v>1272</v>
      </c>
      <c r="G2727" t="s">
        <v>609</v>
      </c>
      <c r="H2727" s="484">
        <v>-12662.11</v>
      </c>
      <c r="I2727" t="str">
        <f t="shared" si="147"/>
        <v>março 2026</v>
      </c>
      <c r="J2727">
        <f t="shared" si="148"/>
        <v>2026</v>
      </c>
      <c r="K2727" t="str">
        <f>VLOOKUP(G2727,METRICS!C:D,2,0)</f>
        <v>Carnes e Aves</v>
      </c>
      <c r="L2727" t="str">
        <f>VLOOKUP(K2727,METRICS!D:E,2,0)</f>
        <v>CUSTOS DOS PRODUTOS VENDIDOS</v>
      </c>
    </row>
    <row r="2728" spans="1:12" ht="15" hidden="1">
      <c r="A2728" t="s">
        <v>1801</v>
      </c>
      <c r="B2728" t="s">
        <v>689</v>
      </c>
      <c r="D2728" t="s">
        <v>2102</v>
      </c>
      <c r="E2728" s="518" t="s">
        <v>1705</v>
      </c>
      <c r="F2728" t="s">
        <v>1272</v>
      </c>
      <c r="G2728" t="s">
        <v>668</v>
      </c>
      <c r="H2728" s="484">
        <v>-8250</v>
      </c>
      <c r="I2728" t="str">
        <f t="shared" si="147"/>
        <v>março 2026</v>
      </c>
      <c r="J2728">
        <f t="shared" si="148"/>
        <v>2026</v>
      </c>
      <c r="K2728" t="str">
        <f>VLOOKUP(G2728,METRICS!C:D,2,0)</f>
        <v>Prestação de Serviço Pessoa Jurídica OP</v>
      </c>
      <c r="L2728" t="str">
        <f>VLOOKUP(K2728,METRICS!D:E,2,0)</f>
        <v>OPERAÇÃO</v>
      </c>
    </row>
    <row r="2729" spans="1:12" ht="15" hidden="1">
      <c r="A2729" t="s">
        <v>1801</v>
      </c>
      <c r="B2729" t="s">
        <v>689</v>
      </c>
      <c r="D2729" t="s">
        <v>2103</v>
      </c>
      <c r="E2729" s="518" t="s">
        <v>1684</v>
      </c>
      <c r="F2729" t="s">
        <v>1272</v>
      </c>
      <c r="G2729" t="s">
        <v>668</v>
      </c>
      <c r="H2729" s="484">
        <v>-15000</v>
      </c>
      <c r="I2729" t="str">
        <f t="shared" si="147"/>
        <v>março 2026</v>
      </c>
      <c r="J2729">
        <f t="shared" si="148"/>
        <v>2026</v>
      </c>
      <c r="K2729" t="str">
        <f>VLOOKUP(G2729,METRICS!C:D,2,0)</f>
        <v>Prestação de Serviço Pessoa Jurídica OP</v>
      </c>
      <c r="L2729" t="str">
        <f>VLOOKUP(K2729,METRICS!D:E,2,0)</f>
        <v>OPERAÇÃO</v>
      </c>
    </row>
    <row r="2730" spans="1:12" ht="15" hidden="1">
      <c r="A2730" t="s">
        <v>1801</v>
      </c>
      <c r="B2730" t="s">
        <v>689</v>
      </c>
      <c r="D2730" t="s">
        <v>2104</v>
      </c>
      <c r="E2730" s="518" t="s">
        <v>1707</v>
      </c>
      <c r="F2730" t="s">
        <v>1272</v>
      </c>
      <c r="G2730" t="s">
        <v>668</v>
      </c>
      <c r="H2730" s="484">
        <v>-6250</v>
      </c>
      <c r="I2730" t="str">
        <f t="shared" si="147"/>
        <v>março 2026</v>
      </c>
      <c r="J2730">
        <f t="shared" si="148"/>
        <v>2026</v>
      </c>
      <c r="K2730" t="str">
        <f>VLOOKUP(G2730,METRICS!C:D,2,0)</f>
        <v>Prestação de Serviço Pessoa Jurídica OP</v>
      </c>
      <c r="L2730" t="str">
        <f>VLOOKUP(K2730,METRICS!D:E,2,0)</f>
        <v>OPERAÇÃO</v>
      </c>
    </row>
    <row r="2731" spans="1:12" ht="15" hidden="1">
      <c r="A2731" t="s">
        <v>1801</v>
      </c>
      <c r="B2731" t="s">
        <v>689</v>
      </c>
      <c r="D2731" t="s">
        <v>1500</v>
      </c>
      <c r="E2731" t="str">
        <f t="shared" si="146"/>
        <v>Pagamento Fornecedor</v>
      </c>
      <c r="F2731" t="s">
        <v>1272</v>
      </c>
      <c r="G2731" t="s">
        <v>625</v>
      </c>
      <c r="H2731" s="484">
        <v>-1819.25</v>
      </c>
      <c r="I2731" t="str">
        <f t="shared" si="147"/>
        <v>março 2026</v>
      </c>
      <c r="J2731">
        <f t="shared" si="148"/>
        <v>2026</v>
      </c>
      <c r="K2731" t="str">
        <f>VLOOKUP(G2731,METRICS!C:D,2,0)</f>
        <v>Manutenção e Conservação</v>
      </c>
      <c r="L2731" t="str">
        <f>VLOOKUP(K2731,METRICS!D:E,2,0)</f>
        <v>OPERAÇÃO</v>
      </c>
    </row>
    <row r="2732" spans="1:12" ht="15" hidden="1">
      <c r="A2732" t="s">
        <v>1801</v>
      </c>
      <c r="B2732" t="s">
        <v>689</v>
      </c>
      <c r="D2732" t="s">
        <v>1500</v>
      </c>
      <c r="E2732" t="str">
        <f t="shared" si="146"/>
        <v>Pagamento Fornecedor</v>
      </c>
      <c r="F2732" t="s">
        <v>1272</v>
      </c>
      <c r="G2732" t="s">
        <v>625</v>
      </c>
      <c r="H2732" s="484">
        <v>-1833.5</v>
      </c>
      <c r="I2732" t="str">
        <f t="shared" si="147"/>
        <v>março 2026</v>
      </c>
      <c r="J2732">
        <f t="shared" si="148"/>
        <v>2026</v>
      </c>
      <c r="K2732" t="str">
        <f>VLOOKUP(G2732,METRICS!C:D,2,0)</f>
        <v>Manutenção e Conservação</v>
      </c>
      <c r="L2732" t="str">
        <f>VLOOKUP(K2732,METRICS!D:E,2,0)</f>
        <v>OPERAÇÃO</v>
      </c>
    </row>
    <row r="2733" spans="1:12" ht="15" hidden="1">
      <c r="A2733" t="s">
        <v>1802</v>
      </c>
      <c r="B2733" t="s">
        <v>612</v>
      </c>
      <c r="D2733" t="s">
        <v>2105</v>
      </c>
      <c r="E2733" t="str">
        <f t="shared" si="146"/>
        <v>Compra 1121 (NFe 298709-1)</v>
      </c>
      <c r="F2733" t="s">
        <v>1272</v>
      </c>
      <c r="G2733" t="s">
        <v>608</v>
      </c>
      <c r="H2733" s="484">
        <v>-2668.4</v>
      </c>
      <c r="I2733" t="str">
        <f t="shared" si="147"/>
        <v>março 2026</v>
      </c>
      <c r="J2733">
        <f t="shared" si="148"/>
        <v>2026</v>
      </c>
      <c r="K2733" t="str">
        <f>VLOOKUP(G2733,METRICS!C:D,2,0)</f>
        <v>Bebidas não Alcoolicas</v>
      </c>
      <c r="L2733" t="str">
        <f>VLOOKUP(K2733,METRICS!D:E,2,0)</f>
        <v>CUSTOS DOS PRODUTOS VENDIDOS</v>
      </c>
    </row>
    <row r="2734" spans="1:12" ht="15" hidden="1">
      <c r="A2734" t="s">
        <v>1802</v>
      </c>
      <c r="B2734" t="s">
        <v>612</v>
      </c>
      <c r="D2734" t="s">
        <v>2106</v>
      </c>
      <c r="E2734" t="str">
        <f t="shared" si="146"/>
        <v>Compra 1124 (NFe 8243-1)</v>
      </c>
      <c r="F2734" t="s">
        <v>1272</v>
      </c>
      <c r="G2734" t="s">
        <v>636</v>
      </c>
      <c r="H2734" s="484">
        <v>-312</v>
      </c>
      <c r="I2734" t="str">
        <f t="shared" si="147"/>
        <v>março 2026</v>
      </c>
      <c r="J2734">
        <f t="shared" si="148"/>
        <v>2026</v>
      </c>
      <c r="K2734" t="str">
        <f>VLOOKUP(G2734,METRICS!C:D,2,0)</f>
        <v>Secos - Mercearia</v>
      </c>
      <c r="L2734" t="str">
        <f>VLOOKUP(K2734,METRICS!D:E,2,0)</f>
        <v>CUSTOS DOS PRODUTOS VENDIDOS</v>
      </c>
    </row>
    <row r="2735" spans="1:12" ht="15" hidden="1">
      <c r="A2735" t="s">
        <v>1802</v>
      </c>
      <c r="B2735" t="s">
        <v>612</v>
      </c>
      <c r="D2735" t="s">
        <v>2107</v>
      </c>
      <c r="E2735" t="str">
        <f t="shared" si="146"/>
        <v>Compra 1122 (NFe 203090-1)</v>
      </c>
      <c r="F2735" t="s">
        <v>1272</v>
      </c>
      <c r="G2735" t="s">
        <v>636</v>
      </c>
      <c r="H2735" s="484">
        <v>-778.8</v>
      </c>
      <c r="I2735" t="str">
        <f t="shared" si="147"/>
        <v>março 2026</v>
      </c>
      <c r="J2735">
        <f t="shared" si="148"/>
        <v>2026</v>
      </c>
      <c r="K2735" t="str">
        <f>VLOOKUP(G2735,METRICS!C:D,2,0)</f>
        <v>Secos - Mercearia</v>
      </c>
      <c r="L2735" t="str">
        <f>VLOOKUP(K2735,METRICS!D:E,2,0)</f>
        <v>CUSTOS DOS PRODUTOS VENDIDOS</v>
      </c>
    </row>
    <row r="2736" spans="1:12" ht="15" hidden="1">
      <c r="A2736" t="s">
        <v>1802</v>
      </c>
      <c r="B2736" t="s">
        <v>612</v>
      </c>
      <c r="D2736" t="s">
        <v>2108</v>
      </c>
      <c r="E2736" t="str">
        <f t="shared" si="146"/>
        <v>Compra 1119 (NFe 692166-3)</v>
      </c>
      <c r="F2736" t="s">
        <v>1272</v>
      </c>
      <c r="G2736" t="s">
        <v>609</v>
      </c>
      <c r="H2736" s="484">
        <v>-6279.92</v>
      </c>
      <c r="I2736" t="str">
        <f t="shared" si="147"/>
        <v>março 2026</v>
      </c>
      <c r="J2736">
        <f t="shared" si="148"/>
        <v>2026</v>
      </c>
      <c r="K2736" t="str">
        <f>VLOOKUP(G2736,METRICS!C:D,2,0)</f>
        <v>Carnes e Aves</v>
      </c>
      <c r="L2736" t="str">
        <f>VLOOKUP(K2736,METRICS!D:E,2,0)</f>
        <v>CUSTOS DOS PRODUTOS VENDIDOS</v>
      </c>
    </row>
    <row r="2737" spans="1:12" ht="15" hidden="1">
      <c r="A2737" t="s">
        <v>1802</v>
      </c>
      <c r="B2737" t="s">
        <v>689</v>
      </c>
      <c r="D2737" t="s">
        <v>2109</v>
      </c>
      <c r="E2737" t="str">
        <f t="shared" si="146"/>
        <v>Fechamento de vidro nos vãos de vidros fixos com estruturas em alumínio.</v>
      </c>
      <c r="F2737" t="s">
        <v>1272</v>
      </c>
      <c r="G2737" t="s">
        <v>626</v>
      </c>
      <c r="H2737" s="484">
        <v>-959</v>
      </c>
      <c r="I2737" t="str">
        <f t="shared" si="147"/>
        <v>março 2026</v>
      </c>
      <c r="J2737">
        <f t="shared" si="148"/>
        <v>2026</v>
      </c>
      <c r="K2737" t="str">
        <f>VLOOKUP(G2737,METRICS!C:D,2,0)</f>
        <v>Manutenção e Conservação</v>
      </c>
      <c r="L2737" t="str">
        <f>VLOOKUP(K2737,METRICS!D:E,2,0)</f>
        <v>OPERAÇÃO</v>
      </c>
    </row>
    <row r="2738" spans="1:12" ht="15" hidden="1">
      <c r="A2738" t="s">
        <v>1802</v>
      </c>
      <c r="B2738" t="s">
        <v>612</v>
      </c>
      <c r="D2738" t="s">
        <v>2110</v>
      </c>
      <c r="E2738" t="str">
        <f t="shared" si="146"/>
        <v>Compra 1139 (NFe 68160-1)</v>
      </c>
      <c r="F2738" t="s">
        <v>1272</v>
      </c>
      <c r="G2738" t="s">
        <v>609</v>
      </c>
      <c r="H2738" s="484">
        <v>-1835.19</v>
      </c>
      <c r="I2738" t="str">
        <f t="shared" si="147"/>
        <v>março 2026</v>
      </c>
      <c r="J2738">
        <f t="shared" si="148"/>
        <v>2026</v>
      </c>
      <c r="K2738" t="str">
        <f>VLOOKUP(G2738,METRICS!C:D,2,0)</f>
        <v>Carnes e Aves</v>
      </c>
      <c r="L2738" t="str">
        <f>VLOOKUP(K2738,METRICS!D:E,2,0)</f>
        <v>CUSTOS DOS PRODUTOS VENDIDOS</v>
      </c>
    </row>
    <row r="2739" spans="1:12" ht="15" hidden="1">
      <c r="A2739" t="s">
        <v>1802</v>
      </c>
      <c r="B2739" t="s">
        <v>612</v>
      </c>
      <c r="D2739" t="s">
        <v>2111</v>
      </c>
      <c r="E2739" t="str">
        <f t="shared" si="146"/>
        <v>Compra 1127 (NFe 411195-1)</v>
      </c>
      <c r="F2739" t="s">
        <v>1272</v>
      </c>
      <c r="G2739" t="s">
        <v>620</v>
      </c>
      <c r="H2739" s="484">
        <v>-349.05</v>
      </c>
      <c r="I2739" t="str">
        <f t="shared" si="147"/>
        <v>março 2026</v>
      </c>
      <c r="J2739">
        <f t="shared" si="148"/>
        <v>2026</v>
      </c>
      <c r="K2739" t="str">
        <f>VLOOKUP(G2739,METRICS!C:D,2,0)</f>
        <v>Hortifruti</v>
      </c>
      <c r="L2739" t="str">
        <f>VLOOKUP(K2739,METRICS!D:E,2,0)</f>
        <v>CUSTOS DOS PRODUTOS VENDIDOS</v>
      </c>
    </row>
    <row r="2740" spans="1:12" ht="15" hidden="1">
      <c r="A2740" t="s">
        <v>1802</v>
      </c>
      <c r="B2740" t="s">
        <v>689</v>
      </c>
      <c r="D2740" t="s">
        <v>2112</v>
      </c>
      <c r="E2740" t="s">
        <v>2112</v>
      </c>
      <c r="F2740" t="s">
        <v>1272</v>
      </c>
      <c r="G2740" t="s">
        <v>1318</v>
      </c>
      <c r="H2740" s="484">
        <v>-5750</v>
      </c>
      <c r="I2740" t="str">
        <f t="shared" si="147"/>
        <v>março 2026</v>
      </c>
      <c r="J2740">
        <f t="shared" si="148"/>
        <v>2026</v>
      </c>
      <c r="K2740" t="str">
        <f>VLOOKUP(G2740,METRICS!C:D,2,0)</f>
        <v>Despesas com Segurança</v>
      </c>
      <c r="L2740" t="str">
        <f>VLOOKUP(K2740,METRICS!D:E,2,0)</f>
        <v>OPERAÇÃO</v>
      </c>
    </row>
    <row r="2741" spans="1:12" ht="15" hidden="1">
      <c r="A2741" t="s">
        <v>1802</v>
      </c>
      <c r="B2741" t="s">
        <v>612</v>
      </c>
      <c r="D2741" t="s">
        <v>2113</v>
      </c>
      <c r="E2741" t="str">
        <f t="shared" si="146"/>
        <v>Compra 1129 (NFe 45395-1)</v>
      </c>
      <c r="F2741" t="s">
        <v>1272</v>
      </c>
      <c r="G2741" t="s">
        <v>620</v>
      </c>
      <c r="H2741" s="484">
        <v>-164.1</v>
      </c>
      <c r="I2741" t="str">
        <f t="shared" si="147"/>
        <v>março 2026</v>
      </c>
      <c r="J2741">
        <f t="shared" si="148"/>
        <v>2026</v>
      </c>
      <c r="K2741" t="str">
        <f>VLOOKUP(G2741,METRICS!C:D,2,0)</f>
        <v>Hortifruti</v>
      </c>
      <c r="L2741" t="str">
        <f>VLOOKUP(K2741,METRICS!D:E,2,0)</f>
        <v>CUSTOS DOS PRODUTOS VENDIDOS</v>
      </c>
    </row>
    <row r="2742" spans="1:12" ht="15" hidden="1">
      <c r="A2742" t="s">
        <v>1802</v>
      </c>
      <c r="B2742" t="s">
        <v>612</v>
      </c>
      <c r="D2742" t="s">
        <v>2114</v>
      </c>
      <c r="E2742" t="str">
        <f t="shared" si="146"/>
        <v>Compra 1133 (NFe 503843-1)</v>
      </c>
      <c r="F2742" t="s">
        <v>1272</v>
      </c>
      <c r="G2742" t="s">
        <v>636</v>
      </c>
      <c r="H2742" s="484">
        <v>-1203.24</v>
      </c>
      <c r="I2742" t="str">
        <f t="shared" si="147"/>
        <v>março 2026</v>
      </c>
      <c r="J2742">
        <f t="shared" si="148"/>
        <v>2026</v>
      </c>
      <c r="K2742" t="str">
        <f>VLOOKUP(G2742,METRICS!C:D,2,0)</f>
        <v>Secos - Mercearia</v>
      </c>
      <c r="L2742" t="str">
        <f>VLOOKUP(K2742,METRICS!D:E,2,0)</f>
        <v>CUSTOS DOS PRODUTOS VENDIDOS</v>
      </c>
    </row>
    <row r="2743" spans="1:12" ht="15" hidden="1">
      <c r="A2743" t="s">
        <v>1802</v>
      </c>
      <c r="B2743" t="s">
        <v>612</v>
      </c>
      <c r="D2743" t="s">
        <v>2115</v>
      </c>
      <c r="E2743" t="str">
        <f t="shared" si="146"/>
        <v>Compra 1117 (NFe 769792-1)</v>
      </c>
      <c r="F2743" t="s">
        <v>1272</v>
      </c>
      <c r="G2743" t="s">
        <v>608</v>
      </c>
      <c r="H2743" s="484">
        <v>-117.84</v>
      </c>
      <c r="I2743" t="str">
        <f t="shared" si="147"/>
        <v>março 2026</v>
      </c>
      <c r="J2743">
        <f t="shared" si="148"/>
        <v>2026</v>
      </c>
      <c r="K2743" t="str">
        <f>VLOOKUP(G2743,METRICS!C:D,2,0)</f>
        <v>Bebidas não Alcoolicas</v>
      </c>
      <c r="L2743" t="str">
        <f>VLOOKUP(K2743,METRICS!D:E,2,0)</f>
        <v>CUSTOS DOS PRODUTOS VENDIDOS</v>
      </c>
    </row>
    <row r="2744" spans="1:12" ht="15" hidden="1">
      <c r="A2744" t="s">
        <v>1802</v>
      </c>
      <c r="B2744" t="s">
        <v>689</v>
      </c>
      <c r="D2744" t="s">
        <v>1056</v>
      </c>
      <c r="E2744" t="str">
        <f t="shared" si="146"/>
        <v>FORNECIMENTO DE GAS NATURAL - RUA CEL. JOAQUIM FERREIRA LOBO, 357</v>
      </c>
      <c r="F2744" t="s">
        <v>1272</v>
      </c>
      <c r="G2744" t="s">
        <v>618</v>
      </c>
      <c r="H2744" s="484">
        <v>-1721.14</v>
      </c>
      <c r="I2744" t="str">
        <f t="shared" si="147"/>
        <v>março 2026</v>
      </c>
      <c r="J2744">
        <f t="shared" si="148"/>
        <v>2026</v>
      </c>
      <c r="K2744" t="str">
        <f>VLOOKUP(G2744,METRICS!C:D,2,0)</f>
        <v>Gás Encanado</v>
      </c>
      <c r="L2744" t="str">
        <f>VLOOKUP(K2744,METRICS!D:E,2,0)</f>
        <v>OPERAÇÃO</v>
      </c>
    </row>
    <row r="2745" spans="1:12" ht="15" hidden="1">
      <c r="A2745" t="s">
        <v>1802</v>
      </c>
      <c r="B2745" t="s">
        <v>612</v>
      </c>
      <c r="D2745" t="s">
        <v>2116</v>
      </c>
      <c r="E2745" t="str">
        <f t="shared" si="146"/>
        <v>Compra 1140 (NFe 770113-1)</v>
      </c>
      <c r="F2745" t="s">
        <v>1272</v>
      </c>
      <c r="G2745" t="s">
        <v>607</v>
      </c>
      <c r="H2745" s="484">
        <v>-4574.21</v>
      </c>
      <c r="I2745" t="str">
        <f t="shared" si="147"/>
        <v>março 2026</v>
      </c>
      <c r="J2745">
        <f t="shared" si="148"/>
        <v>2026</v>
      </c>
      <c r="K2745" t="str">
        <f>VLOOKUP(G2745,METRICS!C:D,2,0)</f>
        <v>Bebidas Alcoólicas</v>
      </c>
      <c r="L2745" t="str">
        <f>VLOOKUP(K2745,METRICS!D:E,2,0)</f>
        <v>CUSTOS DOS PRODUTOS VENDIDOS</v>
      </c>
    </row>
    <row r="2746" spans="1:12" ht="15" hidden="1">
      <c r="A2746" t="s">
        <v>1802</v>
      </c>
      <c r="B2746" t="s">
        <v>612</v>
      </c>
      <c r="D2746" t="s">
        <v>2117</v>
      </c>
      <c r="E2746" t="str">
        <f t="shared" si="146"/>
        <v>Compra 1126 (NFe 52262-1)</v>
      </c>
      <c r="F2746" t="s">
        <v>1272</v>
      </c>
      <c r="G2746" t="s">
        <v>609</v>
      </c>
      <c r="H2746" s="484">
        <v>-1437.18</v>
      </c>
      <c r="I2746" t="str">
        <f t="shared" si="147"/>
        <v>março 2026</v>
      </c>
      <c r="J2746">
        <f t="shared" si="148"/>
        <v>2026</v>
      </c>
      <c r="K2746" t="str">
        <f>VLOOKUP(G2746,METRICS!C:D,2,0)</f>
        <v>Carnes e Aves</v>
      </c>
      <c r="L2746" t="str">
        <f>VLOOKUP(K2746,METRICS!D:E,2,0)</f>
        <v>CUSTOS DOS PRODUTOS VENDIDOS</v>
      </c>
    </row>
    <row r="2747" spans="1:12" ht="15" hidden="1">
      <c r="A2747" t="s">
        <v>1802</v>
      </c>
      <c r="B2747" t="s">
        <v>612</v>
      </c>
      <c r="D2747" t="s">
        <v>2118</v>
      </c>
      <c r="E2747" t="str">
        <f t="shared" si="146"/>
        <v>Compra 1134 (NFe 501495-2)</v>
      </c>
      <c r="F2747" t="s">
        <v>1272</v>
      </c>
      <c r="G2747" t="s">
        <v>609</v>
      </c>
      <c r="H2747" s="484">
        <v>-10573.08</v>
      </c>
      <c r="I2747" t="str">
        <f t="shared" si="147"/>
        <v>março 2026</v>
      </c>
      <c r="J2747">
        <f t="shared" si="148"/>
        <v>2026</v>
      </c>
      <c r="K2747" t="str">
        <f>VLOOKUP(G2747,METRICS!C:D,2,0)</f>
        <v>Carnes e Aves</v>
      </c>
      <c r="L2747" t="str">
        <f>VLOOKUP(K2747,METRICS!D:E,2,0)</f>
        <v>CUSTOS DOS PRODUTOS VENDIDOS</v>
      </c>
    </row>
    <row r="2748" spans="1:12" ht="15" hidden="1">
      <c r="A2748" t="s">
        <v>1802</v>
      </c>
      <c r="B2748" t="s">
        <v>612</v>
      </c>
      <c r="D2748" t="s">
        <v>2119</v>
      </c>
      <c r="E2748" t="str">
        <f t="shared" si="146"/>
        <v>Compra 1120 (NFe 12294-1)</v>
      </c>
      <c r="F2748" t="s">
        <v>1272</v>
      </c>
      <c r="G2748" t="s">
        <v>636</v>
      </c>
      <c r="H2748" s="484">
        <v>-728.8</v>
      </c>
      <c r="I2748" t="str">
        <f t="shared" si="147"/>
        <v>março 2026</v>
      </c>
      <c r="J2748">
        <f t="shared" si="148"/>
        <v>2026</v>
      </c>
      <c r="K2748" t="str">
        <f>VLOOKUP(G2748,METRICS!C:D,2,0)</f>
        <v>Secos - Mercearia</v>
      </c>
      <c r="L2748" t="str">
        <f>VLOOKUP(K2748,METRICS!D:E,2,0)</f>
        <v>CUSTOS DOS PRODUTOS VENDIDOS</v>
      </c>
    </row>
    <row r="2749" spans="1:12" ht="15" hidden="1">
      <c r="A2749" t="s">
        <v>1802</v>
      </c>
      <c r="B2749" t="s">
        <v>612</v>
      </c>
      <c r="D2749" t="s">
        <v>2120</v>
      </c>
      <c r="E2749" t="str">
        <f t="shared" ref="E2749:E2811" si="149">D2749</f>
        <v>Compra 1125 (NFe 382044-1)</v>
      </c>
      <c r="F2749" t="s">
        <v>1272</v>
      </c>
      <c r="G2749" t="s">
        <v>630</v>
      </c>
      <c r="H2749" s="484">
        <v>-1375.96</v>
      </c>
      <c r="I2749" t="str">
        <f t="shared" si="147"/>
        <v>março 2026</v>
      </c>
      <c r="J2749">
        <f t="shared" si="148"/>
        <v>2026</v>
      </c>
      <c r="K2749" t="str">
        <f>VLOOKUP(G2749,METRICS!C:D,2,0)</f>
        <v>Material de Copa e Limpeza</v>
      </c>
      <c r="L2749" t="str">
        <f>VLOOKUP(K2749,METRICS!D:E,2,0)</f>
        <v>ADMINISTRATIVA</v>
      </c>
    </row>
    <row r="2750" spans="1:12" ht="15" hidden="1">
      <c r="A2750" t="s">
        <v>1802</v>
      </c>
      <c r="B2750" t="s">
        <v>612</v>
      </c>
      <c r="D2750" t="s">
        <v>2121</v>
      </c>
      <c r="E2750" t="str">
        <f t="shared" si="149"/>
        <v>Compra 1128 (NFe 45390-1)</v>
      </c>
      <c r="F2750" t="s">
        <v>1272</v>
      </c>
      <c r="G2750" t="s">
        <v>620</v>
      </c>
      <c r="H2750" s="484">
        <v>-553.65</v>
      </c>
      <c r="I2750" t="str">
        <f t="shared" si="147"/>
        <v>março 2026</v>
      </c>
      <c r="J2750">
        <f t="shared" si="148"/>
        <v>2026</v>
      </c>
      <c r="K2750" t="str">
        <f>VLOOKUP(G2750,METRICS!C:D,2,0)</f>
        <v>Hortifruti</v>
      </c>
      <c r="L2750" t="str">
        <f>VLOOKUP(K2750,METRICS!D:E,2,0)</f>
        <v>CUSTOS DOS PRODUTOS VENDIDOS</v>
      </c>
    </row>
    <row r="2751" spans="1:12" ht="15" hidden="1">
      <c r="A2751" t="s">
        <v>1802</v>
      </c>
      <c r="B2751" t="s">
        <v>689</v>
      </c>
      <c r="D2751" s="518" t="s">
        <v>2203</v>
      </c>
      <c r="E2751" t="str">
        <f t="shared" si="149"/>
        <v>REEMBOLSO CESAR</v>
      </c>
      <c r="F2751" t="s">
        <v>1272</v>
      </c>
      <c r="G2751" t="s">
        <v>627</v>
      </c>
      <c r="H2751" s="484">
        <v>-87</v>
      </c>
      <c r="I2751" t="str">
        <f t="shared" si="147"/>
        <v>março 2026</v>
      </c>
      <c r="J2751">
        <f t="shared" si="148"/>
        <v>2026</v>
      </c>
      <c r="K2751" t="str">
        <f>VLOOKUP(G2751,METRICS!C:D,2,0)</f>
        <v>Manutenção e Conservação</v>
      </c>
      <c r="L2751" t="str">
        <f>VLOOKUP(K2751,METRICS!D:E,2,0)</f>
        <v>OPERAÇÃO</v>
      </c>
    </row>
    <row r="2752" spans="1:12" ht="15" hidden="1">
      <c r="A2752" t="s">
        <v>1802</v>
      </c>
      <c r="B2752" t="s">
        <v>612</v>
      </c>
      <c r="D2752" t="s">
        <v>2122</v>
      </c>
      <c r="E2752" t="str">
        <f t="shared" si="149"/>
        <v>Compra 1116 (NFe 54553-1)</v>
      </c>
      <c r="F2752" t="s">
        <v>1272</v>
      </c>
      <c r="G2752" t="s">
        <v>633</v>
      </c>
      <c r="H2752" s="484">
        <v>-288</v>
      </c>
      <c r="I2752" t="str">
        <f t="shared" si="147"/>
        <v>março 2026</v>
      </c>
      <c r="J2752">
        <f t="shared" si="148"/>
        <v>2026</v>
      </c>
      <c r="K2752" t="str">
        <f>VLOOKUP(G2752,METRICS!C:D,2,0)</f>
        <v>Paes, Massas e Salgados</v>
      </c>
      <c r="L2752" t="str">
        <f>VLOOKUP(K2752,METRICS!D:E,2,0)</f>
        <v>CUSTOS DOS PRODUTOS VENDIDOS</v>
      </c>
    </row>
    <row r="2753" spans="1:12" ht="15" hidden="1">
      <c r="A2753" t="s">
        <v>1802</v>
      </c>
      <c r="B2753" t="s">
        <v>612</v>
      </c>
      <c r="D2753" t="s">
        <v>2123</v>
      </c>
      <c r="E2753" t="str">
        <f t="shared" si="149"/>
        <v>Compra 1118 (NFe 10270-1)</v>
      </c>
      <c r="F2753" t="s">
        <v>1272</v>
      </c>
      <c r="G2753" t="s">
        <v>641</v>
      </c>
      <c r="H2753" s="484">
        <v>-870</v>
      </c>
      <c r="I2753" t="str">
        <f t="shared" si="147"/>
        <v>março 2026</v>
      </c>
      <c r="J2753">
        <f t="shared" si="148"/>
        <v>2026</v>
      </c>
      <c r="K2753" t="str">
        <f>VLOOKUP(G2753,METRICS!C:D,2,0)</f>
        <v>Vinhos/Espumantes</v>
      </c>
      <c r="L2753" t="str">
        <f>VLOOKUP(K2753,METRICS!D:E,2,0)</f>
        <v>CUSTOS DOS PRODUTOS VENDIDOS</v>
      </c>
    </row>
    <row r="2754" spans="1:12" ht="15" hidden="1">
      <c r="A2754" t="s">
        <v>1802</v>
      </c>
      <c r="B2754" t="s">
        <v>612</v>
      </c>
      <c r="D2754" t="s">
        <v>2124</v>
      </c>
      <c r="E2754" t="str">
        <f t="shared" si="149"/>
        <v>Compra 1132 (NFe 314878-1)</v>
      </c>
      <c r="F2754" t="s">
        <v>1272</v>
      </c>
      <c r="G2754" t="s">
        <v>623</v>
      </c>
      <c r="H2754" s="484">
        <v>-407</v>
      </c>
      <c r="I2754" t="str">
        <f t="shared" si="147"/>
        <v>março 2026</v>
      </c>
      <c r="J2754">
        <f t="shared" si="148"/>
        <v>2026</v>
      </c>
      <c r="K2754" t="str">
        <f>VLOOKUP(G2754,METRICS!C:D,2,0)</f>
        <v>Secos - Mercearia</v>
      </c>
      <c r="L2754" t="str">
        <f>VLOOKUP(K2754,METRICS!D:E,2,0)</f>
        <v>CUSTOS DOS PRODUTOS VENDIDOS</v>
      </c>
    </row>
    <row r="2755" spans="1:12" s="593" customFormat="1" ht="15" hidden="1">
      <c r="A2755" s="593" t="s">
        <v>1802</v>
      </c>
      <c r="B2755" s="593" t="s">
        <v>689</v>
      </c>
      <c r="D2755" s="593" t="s">
        <v>2125</v>
      </c>
      <c r="E2755" s="593" t="str">
        <f t="shared" si="149"/>
        <v>ENERGIA ELETRICA - RUA RAMOS BATISTA 443 - VILA OLIMPIA</v>
      </c>
      <c r="F2755" s="593" t="s">
        <v>1272</v>
      </c>
      <c r="G2755" s="593" t="s">
        <v>674</v>
      </c>
      <c r="H2755" s="484">
        <v>-28020.26</v>
      </c>
      <c r="I2755" s="593" t="str">
        <f t="shared" si="147"/>
        <v>março 2026</v>
      </c>
      <c r="J2755" s="593">
        <f t="shared" si="148"/>
        <v>2026</v>
      </c>
      <c r="K2755" s="593" t="str">
        <f>VLOOKUP(G2755,METRICS!C:D,2,0)</f>
        <v>Energia Elétrica</v>
      </c>
      <c r="L2755" s="593" t="str">
        <f>VLOOKUP(K2755,METRICS!D:E,2,0)</f>
        <v>OPERAÇÃO</v>
      </c>
    </row>
    <row r="2756" spans="1:12" s="593" customFormat="1" ht="15" hidden="1">
      <c r="A2756" s="593" t="s">
        <v>1802</v>
      </c>
      <c r="B2756" s="593" t="s">
        <v>689</v>
      </c>
      <c r="D2756" s="593" t="s">
        <v>2125</v>
      </c>
      <c r="E2756" s="593" t="str">
        <f t="shared" si="149"/>
        <v>ENERGIA ELETRICA - RUA RAMOS BATISTA 443 - VILA OLIMPIA</v>
      </c>
      <c r="F2756" s="593" t="s">
        <v>1272</v>
      </c>
      <c r="G2756" s="593" t="s">
        <v>674</v>
      </c>
      <c r="H2756" s="484">
        <v>-6124.09</v>
      </c>
      <c r="I2756" s="593" t="str">
        <f t="shared" ref="I2756" si="150">TEXT(A2756, "mmmm aaaa")</f>
        <v>março 2026</v>
      </c>
      <c r="J2756" s="593">
        <f t="shared" ref="J2756" si="151">YEAR(A2756)</f>
        <v>2026</v>
      </c>
      <c r="K2756" s="593" t="str">
        <f>VLOOKUP(G2756,METRICS!C:D,2,0)</f>
        <v>Energia Elétrica</v>
      </c>
      <c r="L2756" s="593" t="str">
        <f>VLOOKUP(K2756,METRICS!D:E,2,0)</f>
        <v>OPERAÇÃO</v>
      </c>
    </row>
    <row r="2757" spans="1:12" ht="15" hidden="1">
      <c r="A2757" t="s">
        <v>1803</v>
      </c>
      <c r="B2757" t="s">
        <v>612</v>
      </c>
      <c r="D2757" t="s">
        <v>2126</v>
      </c>
      <c r="E2757" t="str">
        <f t="shared" si="149"/>
        <v>Compra 1138 (NFe 3465-1)</v>
      </c>
      <c r="F2757" t="s">
        <v>1272</v>
      </c>
      <c r="G2757" t="s">
        <v>413</v>
      </c>
      <c r="H2757" s="484">
        <v>-1198.5</v>
      </c>
      <c r="I2757" t="str">
        <f t="shared" ref="I2757:I2818" si="152">TEXT(A2757, "mmmm aaaa")</f>
        <v>março 2026</v>
      </c>
      <c r="J2757">
        <f t="shared" ref="J2757:J2818" si="153">YEAR(A2757)</f>
        <v>2026</v>
      </c>
      <c r="K2757" t="str">
        <f>VLOOKUP(G2757,METRICS!C:D,2,0)</f>
        <v>Pescados</v>
      </c>
      <c r="L2757" t="str">
        <f>VLOOKUP(K2757,METRICS!D:E,2,0)</f>
        <v>CUSTOS DOS PRODUTOS VENDIDOS</v>
      </c>
    </row>
    <row r="2758" spans="1:12" ht="15" hidden="1">
      <c r="A2758" t="s">
        <v>1803</v>
      </c>
      <c r="B2758" t="s">
        <v>689</v>
      </c>
      <c r="D2758" t="s">
        <v>2127</v>
      </c>
      <c r="E2758" t="str">
        <f t="shared" si="149"/>
        <v>REF MARÇO</v>
      </c>
      <c r="F2758" t="s">
        <v>1272</v>
      </c>
      <c r="G2758" t="s">
        <v>625</v>
      </c>
      <c r="H2758" s="484">
        <v>-1640</v>
      </c>
      <c r="I2758" t="str">
        <f t="shared" si="152"/>
        <v>março 2026</v>
      </c>
      <c r="J2758">
        <f t="shared" si="153"/>
        <v>2026</v>
      </c>
      <c r="K2758" t="str">
        <f>VLOOKUP(G2758,METRICS!C:D,2,0)</f>
        <v>Manutenção e Conservação</v>
      </c>
      <c r="L2758" t="str">
        <f>VLOOKUP(K2758,METRICS!D:E,2,0)</f>
        <v>OPERAÇÃO</v>
      </c>
    </row>
    <row r="2759" spans="1:12" ht="15" hidden="1">
      <c r="A2759" t="s">
        <v>1803</v>
      </c>
      <c r="B2759" t="s">
        <v>612</v>
      </c>
      <c r="D2759" t="s">
        <v>2128</v>
      </c>
      <c r="E2759" t="str">
        <f t="shared" si="149"/>
        <v>Compra 1143 (NFe 2609393-1)</v>
      </c>
      <c r="F2759" t="s">
        <v>1272</v>
      </c>
      <c r="G2759" t="s">
        <v>623</v>
      </c>
      <c r="H2759" s="484">
        <v>-384</v>
      </c>
      <c r="I2759" t="str">
        <f t="shared" si="152"/>
        <v>março 2026</v>
      </c>
      <c r="J2759">
        <f t="shared" si="153"/>
        <v>2026</v>
      </c>
      <c r="K2759" t="str">
        <f>VLOOKUP(G2759,METRICS!C:D,2,0)</f>
        <v>Secos - Mercearia</v>
      </c>
      <c r="L2759" t="str">
        <f>VLOOKUP(K2759,METRICS!D:E,2,0)</f>
        <v>CUSTOS DOS PRODUTOS VENDIDOS</v>
      </c>
    </row>
    <row r="2760" spans="1:12" ht="15" hidden="1">
      <c r="A2760" t="s">
        <v>1803</v>
      </c>
      <c r="B2760" t="s">
        <v>612</v>
      </c>
      <c r="D2760" t="s">
        <v>2129</v>
      </c>
      <c r="E2760" t="str">
        <f t="shared" si="149"/>
        <v>Compra 1137 (NFe 4133460-1)</v>
      </c>
      <c r="F2760" t="s">
        <v>1272</v>
      </c>
      <c r="G2760" t="s">
        <v>636</v>
      </c>
      <c r="H2760" s="484">
        <v>-3294.55</v>
      </c>
      <c r="I2760" t="str">
        <f t="shared" si="152"/>
        <v>março 2026</v>
      </c>
      <c r="J2760">
        <f t="shared" si="153"/>
        <v>2026</v>
      </c>
      <c r="K2760" t="str">
        <f>VLOOKUP(G2760,METRICS!C:D,2,0)</f>
        <v>Secos - Mercearia</v>
      </c>
      <c r="L2760" t="str">
        <f>VLOOKUP(K2760,METRICS!D:E,2,0)</f>
        <v>CUSTOS DOS PRODUTOS VENDIDOS</v>
      </c>
    </row>
    <row r="2761" spans="1:12" ht="15" hidden="1">
      <c r="A2761" t="s">
        <v>1803</v>
      </c>
      <c r="B2761" t="s">
        <v>612</v>
      </c>
      <c r="D2761" t="s">
        <v>2130</v>
      </c>
      <c r="E2761" t="str">
        <f t="shared" si="149"/>
        <v>Compra 1135 (NFe 71721-1)</v>
      </c>
      <c r="F2761" t="s">
        <v>1272</v>
      </c>
      <c r="G2761" t="s">
        <v>636</v>
      </c>
      <c r="H2761" s="484">
        <v>-2899.89</v>
      </c>
      <c r="I2761" t="str">
        <f t="shared" si="152"/>
        <v>março 2026</v>
      </c>
      <c r="J2761">
        <f t="shared" si="153"/>
        <v>2026</v>
      </c>
      <c r="K2761" t="str">
        <f>VLOOKUP(G2761,METRICS!C:D,2,0)</f>
        <v>Secos - Mercearia</v>
      </c>
      <c r="L2761" t="str">
        <f>VLOOKUP(K2761,METRICS!D:E,2,0)</f>
        <v>CUSTOS DOS PRODUTOS VENDIDOS</v>
      </c>
    </row>
    <row r="2762" spans="1:12" ht="15" hidden="1">
      <c r="A2762" t="s">
        <v>1803</v>
      </c>
      <c r="B2762" t="s">
        <v>612</v>
      </c>
      <c r="D2762" t="s">
        <v>2131</v>
      </c>
      <c r="E2762" t="str">
        <f t="shared" si="149"/>
        <v>Compra 1175 (NFe 1331-1)</v>
      </c>
      <c r="F2762" t="s">
        <v>1272</v>
      </c>
      <c r="G2762" t="s">
        <v>620</v>
      </c>
      <c r="H2762" s="484">
        <v>-6167.3</v>
      </c>
      <c r="I2762" t="str">
        <f t="shared" si="152"/>
        <v>março 2026</v>
      </c>
      <c r="J2762">
        <f t="shared" si="153"/>
        <v>2026</v>
      </c>
      <c r="K2762" t="str">
        <f>VLOOKUP(G2762,METRICS!C:D,2,0)</f>
        <v>Hortifruti</v>
      </c>
      <c r="L2762" t="str">
        <f>VLOOKUP(K2762,METRICS!D:E,2,0)</f>
        <v>CUSTOS DOS PRODUTOS VENDIDOS</v>
      </c>
    </row>
    <row r="2763" spans="1:12" ht="15" hidden="1">
      <c r="A2763" t="s">
        <v>1803</v>
      </c>
      <c r="B2763" t="s">
        <v>612</v>
      </c>
      <c r="D2763" t="s">
        <v>2132</v>
      </c>
      <c r="E2763" t="str">
        <f t="shared" si="149"/>
        <v>Compra 1142 (NFe 2609366-1)</v>
      </c>
      <c r="F2763" t="s">
        <v>1272</v>
      </c>
      <c r="G2763" t="s">
        <v>623</v>
      </c>
      <c r="H2763" s="484">
        <v>-489.6</v>
      </c>
      <c r="I2763" t="str">
        <f t="shared" si="152"/>
        <v>março 2026</v>
      </c>
      <c r="J2763">
        <f t="shared" si="153"/>
        <v>2026</v>
      </c>
      <c r="K2763" t="str">
        <f>VLOOKUP(G2763,METRICS!C:D,2,0)</f>
        <v>Secos - Mercearia</v>
      </c>
      <c r="L2763" t="str">
        <f>VLOOKUP(K2763,METRICS!D:E,2,0)</f>
        <v>CUSTOS DOS PRODUTOS VENDIDOS</v>
      </c>
    </row>
    <row r="2764" spans="1:12" ht="15" hidden="1">
      <c r="A2764" t="s">
        <v>1803</v>
      </c>
      <c r="B2764" t="s">
        <v>612</v>
      </c>
      <c r="D2764" t="s">
        <v>2133</v>
      </c>
      <c r="E2764" t="str">
        <f t="shared" si="149"/>
        <v>Compra 1136 (NFe 5699968-1)</v>
      </c>
      <c r="F2764" t="s">
        <v>1272</v>
      </c>
      <c r="G2764" t="s">
        <v>623</v>
      </c>
      <c r="H2764" s="484">
        <v>-1232.83</v>
      </c>
      <c r="I2764" t="str">
        <f t="shared" si="152"/>
        <v>março 2026</v>
      </c>
      <c r="J2764">
        <f t="shared" si="153"/>
        <v>2026</v>
      </c>
      <c r="K2764" t="str">
        <f>VLOOKUP(G2764,METRICS!C:D,2,0)</f>
        <v>Secos - Mercearia</v>
      </c>
      <c r="L2764" t="str">
        <f>VLOOKUP(K2764,METRICS!D:E,2,0)</f>
        <v>CUSTOS DOS PRODUTOS VENDIDOS</v>
      </c>
    </row>
    <row r="2765" spans="1:12" ht="15" hidden="1">
      <c r="A2765" t="s">
        <v>1803</v>
      </c>
      <c r="B2765" t="s">
        <v>612</v>
      </c>
      <c r="D2765" t="s">
        <v>2134</v>
      </c>
      <c r="E2765" t="str">
        <f t="shared" si="149"/>
        <v>Compra de serviço Série:SN / NFS-e:2142</v>
      </c>
      <c r="F2765" t="s">
        <v>1272</v>
      </c>
      <c r="G2765" t="s">
        <v>626</v>
      </c>
      <c r="H2765" s="484">
        <v>-1675</v>
      </c>
      <c r="I2765" t="str">
        <f t="shared" si="152"/>
        <v>março 2026</v>
      </c>
      <c r="J2765">
        <f t="shared" si="153"/>
        <v>2026</v>
      </c>
      <c r="K2765" t="str">
        <f>VLOOKUP(G2765,METRICS!C:D,2,0)</f>
        <v>Manutenção e Conservação</v>
      </c>
      <c r="L2765" t="str">
        <f>VLOOKUP(K2765,METRICS!D:E,2,0)</f>
        <v>OPERAÇÃO</v>
      </c>
    </row>
    <row r="2766" spans="1:12" ht="15" hidden="1">
      <c r="A2766" t="s">
        <v>1803</v>
      </c>
      <c r="B2766" t="s">
        <v>612</v>
      </c>
      <c r="D2766" t="s">
        <v>2135</v>
      </c>
      <c r="E2766" t="str">
        <f t="shared" si="149"/>
        <v>Compra 1141 (NFe 24009-1)</v>
      </c>
      <c r="F2766" t="s">
        <v>1272</v>
      </c>
      <c r="G2766" t="s">
        <v>413</v>
      </c>
      <c r="H2766" s="484">
        <v>-2193.4</v>
      </c>
      <c r="I2766" t="str">
        <f t="shared" si="152"/>
        <v>março 2026</v>
      </c>
      <c r="J2766">
        <f t="shared" si="153"/>
        <v>2026</v>
      </c>
      <c r="K2766" t="str">
        <f>VLOOKUP(G2766,METRICS!C:D,2,0)</f>
        <v>Pescados</v>
      </c>
      <c r="L2766" t="str">
        <f>VLOOKUP(K2766,METRICS!D:E,2,0)</f>
        <v>CUSTOS DOS PRODUTOS VENDIDOS</v>
      </c>
    </row>
    <row r="2767" spans="1:12" ht="15" hidden="1">
      <c r="A2767" s="593" t="s">
        <v>1804</v>
      </c>
      <c r="B2767" s="593" t="s">
        <v>612</v>
      </c>
      <c r="C2767" s="593"/>
      <c r="D2767" s="596" t="s">
        <v>2136</v>
      </c>
      <c r="E2767" t="str">
        <f t="shared" si="149"/>
        <v>Compra 1145 (NFe 13497-1)</v>
      </c>
      <c r="F2767" t="s">
        <v>1272</v>
      </c>
      <c r="G2767" s="518" t="s">
        <v>2193</v>
      </c>
      <c r="H2767" s="484">
        <v>-10850</v>
      </c>
      <c r="I2767" t="str">
        <f t="shared" si="152"/>
        <v>março 2026</v>
      </c>
      <c r="J2767">
        <f t="shared" si="153"/>
        <v>2026</v>
      </c>
      <c r="K2767" t="str">
        <f>VLOOKUP(G2767,METRICS!C:D,2,0)</f>
        <v>IMOBILIZADO</v>
      </c>
      <c r="L2767" t="str">
        <f>VLOOKUP(K2767,METRICS!D:E,2,0)</f>
        <v>IMOBILIZADO</v>
      </c>
    </row>
    <row r="2768" spans="1:12" ht="15" hidden="1">
      <c r="A2768" t="s">
        <v>1804</v>
      </c>
      <c r="B2768" t="s">
        <v>612</v>
      </c>
      <c r="D2768" t="s">
        <v>2137</v>
      </c>
      <c r="E2768" t="str">
        <f t="shared" si="149"/>
        <v>Compra 1144 (NFe 692525-3)</v>
      </c>
      <c r="F2768" t="s">
        <v>1272</v>
      </c>
      <c r="G2768" t="s">
        <v>609</v>
      </c>
      <c r="H2768" s="484">
        <v>-9442.51</v>
      </c>
      <c r="I2768" t="str">
        <f t="shared" si="152"/>
        <v>março 2026</v>
      </c>
      <c r="J2768">
        <f t="shared" si="153"/>
        <v>2026</v>
      </c>
      <c r="K2768" t="str">
        <f>VLOOKUP(G2768,METRICS!C:D,2,0)</f>
        <v>Carnes e Aves</v>
      </c>
      <c r="L2768" t="str">
        <f>VLOOKUP(K2768,METRICS!D:E,2,0)</f>
        <v>CUSTOS DOS PRODUTOS VENDIDOS</v>
      </c>
    </row>
    <row r="2769" spans="1:12" ht="15" hidden="1">
      <c r="A2769" t="s">
        <v>1805</v>
      </c>
      <c r="B2769" t="s">
        <v>612</v>
      </c>
      <c r="D2769" t="s">
        <v>2138</v>
      </c>
      <c r="E2769" t="str">
        <f t="shared" si="149"/>
        <v>Compra 1164 (NFe 504217-1)</v>
      </c>
      <c r="F2769" t="s">
        <v>1272</v>
      </c>
      <c r="G2769" t="s">
        <v>636</v>
      </c>
      <c r="H2769" s="484">
        <v>-2056.7399999999998</v>
      </c>
      <c r="I2769" t="str">
        <f t="shared" si="152"/>
        <v>março 2026</v>
      </c>
      <c r="J2769">
        <f t="shared" si="153"/>
        <v>2026</v>
      </c>
      <c r="K2769" t="str">
        <f>VLOOKUP(G2769,METRICS!C:D,2,0)</f>
        <v>Secos - Mercearia</v>
      </c>
      <c r="L2769" t="str">
        <f>VLOOKUP(K2769,METRICS!D:E,2,0)</f>
        <v>CUSTOS DOS PRODUTOS VENDIDOS</v>
      </c>
    </row>
    <row r="2770" spans="1:12" ht="15" hidden="1">
      <c r="A2770" t="s">
        <v>1805</v>
      </c>
      <c r="B2770" t="s">
        <v>612</v>
      </c>
      <c r="D2770" t="s">
        <v>2139</v>
      </c>
      <c r="E2770" t="str">
        <f t="shared" si="149"/>
        <v>Compra 1152 (NFe 45500-1)</v>
      </c>
      <c r="F2770" t="s">
        <v>1272</v>
      </c>
      <c r="G2770" t="s">
        <v>620</v>
      </c>
      <c r="H2770" s="484">
        <v>-193.04</v>
      </c>
      <c r="I2770" t="str">
        <f t="shared" si="152"/>
        <v>março 2026</v>
      </c>
      <c r="J2770">
        <f t="shared" si="153"/>
        <v>2026</v>
      </c>
      <c r="K2770" t="str">
        <f>VLOOKUP(G2770,METRICS!C:D,2,0)</f>
        <v>Hortifruti</v>
      </c>
      <c r="L2770" t="str">
        <f>VLOOKUP(K2770,METRICS!D:E,2,0)</f>
        <v>CUSTOS DOS PRODUTOS VENDIDOS</v>
      </c>
    </row>
    <row r="2771" spans="1:12" ht="15" hidden="1">
      <c r="A2771" t="s">
        <v>1805</v>
      </c>
      <c r="B2771" t="s">
        <v>612</v>
      </c>
      <c r="D2771" t="s">
        <v>2140</v>
      </c>
      <c r="E2771" t="str">
        <f t="shared" si="149"/>
        <v>Compra 1147 (NFe 94712-1)</v>
      </c>
      <c r="F2771" t="s">
        <v>1272</v>
      </c>
      <c r="G2771" t="s">
        <v>619</v>
      </c>
      <c r="H2771" s="484">
        <v>-509.6</v>
      </c>
      <c r="I2771" t="str">
        <f t="shared" si="152"/>
        <v>março 2026</v>
      </c>
      <c r="J2771">
        <f t="shared" si="153"/>
        <v>2026</v>
      </c>
      <c r="K2771" t="str">
        <f>VLOOKUP(G2771,METRICS!C:D,2,0)</f>
        <v>Gelo</v>
      </c>
      <c r="L2771" t="str">
        <f>VLOOKUP(K2771,METRICS!D:E,2,0)</f>
        <v>CUSTOS DOS PRODUTOS VENDIDOS</v>
      </c>
    </row>
    <row r="2772" spans="1:12" ht="15" hidden="1">
      <c r="A2772" t="s">
        <v>1805</v>
      </c>
      <c r="B2772" t="s">
        <v>612</v>
      </c>
      <c r="D2772" t="s">
        <v>2141</v>
      </c>
      <c r="E2772" t="s">
        <v>936</v>
      </c>
      <c r="F2772" t="s">
        <v>1272</v>
      </c>
      <c r="G2772" t="s">
        <v>283</v>
      </c>
      <c r="H2772" s="484">
        <v>-3267</v>
      </c>
      <c r="I2772" t="str">
        <f t="shared" si="152"/>
        <v>março 2026</v>
      </c>
      <c r="J2772">
        <f t="shared" si="153"/>
        <v>2026</v>
      </c>
      <c r="K2772" t="str">
        <f>VLOOKUP(G2772,METRICS!C:D,2,0)</f>
        <v>Hostess</v>
      </c>
      <c r="L2772" t="str">
        <f>VLOOKUP(K2772,METRICS!D:E,2,0)</f>
        <v>OPERAÇÃO</v>
      </c>
    </row>
    <row r="2773" spans="1:12" ht="15" hidden="1">
      <c r="A2773" t="s">
        <v>1805</v>
      </c>
      <c r="B2773" t="s">
        <v>612</v>
      </c>
      <c r="D2773" t="s">
        <v>2142</v>
      </c>
      <c r="E2773" t="str">
        <f t="shared" si="149"/>
        <v>Compra 1162 (NFe 2610191-1)</v>
      </c>
      <c r="F2773" t="s">
        <v>1272</v>
      </c>
      <c r="G2773" t="s">
        <v>623</v>
      </c>
      <c r="H2773" s="484">
        <v>-356.21</v>
      </c>
      <c r="I2773" t="str">
        <f t="shared" si="152"/>
        <v>março 2026</v>
      </c>
      <c r="J2773">
        <f t="shared" si="153"/>
        <v>2026</v>
      </c>
      <c r="K2773" t="str">
        <f>VLOOKUP(G2773,METRICS!C:D,2,0)</f>
        <v>Secos - Mercearia</v>
      </c>
      <c r="L2773" t="str">
        <f>VLOOKUP(K2773,METRICS!D:E,2,0)</f>
        <v>CUSTOS DOS PRODUTOS VENDIDOS</v>
      </c>
    </row>
    <row r="2774" spans="1:12" ht="15" hidden="1">
      <c r="A2774" t="s">
        <v>1805</v>
      </c>
      <c r="B2774" t="s">
        <v>689</v>
      </c>
      <c r="D2774" t="s">
        <v>2143</v>
      </c>
      <c r="E2774" t="str">
        <f t="shared" si="149"/>
        <v>Rose Limpeza (Extra)</v>
      </c>
      <c r="F2774" t="s">
        <v>1272</v>
      </c>
      <c r="G2774" t="s">
        <v>664</v>
      </c>
      <c r="H2774" s="484">
        <v>-1000</v>
      </c>
      <c r="I2774" t="str">
        <f t="shared" si="152"/>
        <v>março 2026</v>
      </c>
      <c r="J2774">
        <f t="shared" si="153"/>
        <v>2026</v>
      </c>
      <c r="K2774" t="str">
        <f>VLOOKUP(G2774,METRICS!C:D,2,0)</f>
        <v>Colaborador Extra</v>
      </c>
      <c r="L2774" t="str">
        <f>VLOOKUP(K2774,METRICS!D:E,2,0)</f>
        <v>PESSOAL</v>
      </c>
    </row>
    <row r="2775" spans="1:12" ht="15" hidden="1">
      <c r="A2775" t="s">
        <v>1805</v>
      </c>
      <c r="B2775" t="s">
        <v>612</v>
      </c>
      <c r="D2775" t="s">
        <v>2144</v>
      </c>
      <c r="E2775" t="str">
        <f t="shared" si="149"/>
        <v>Compra 1165 (NFe 68226-1)</v>
      </c>
      <c r="F2775" t="s">
        <v>1272</v>
      </c>
      <c r="G2775" t="s">
        <v>609</v>
      </c>
      <c r="H2775" s="484">
        <v>-2598.1999999999998</v>
      </c>
      <c r="I2775" t="str">
        <f t="shared" si="152"/>
        <v>março 2026</v>
      </c>
      <c r="J2775">
        <f t="shared" si="153"/>
        <v>2026</v>
      </c>
      <c r="K2775" t="str">
        <f>VLOOKUP(G2775,METRICS!C:D,2,0)</f>
        <v>Carnes e Aves</v>
      </c>
      <c r="L2775" t="str">
        <f>VLOOKUP(K2775,METRICS!D:E,2,0)</f>
        <v>CUSTOS DOS PRODUTOS VENDIDOS</v>
      </c>
    </row>
    <row r="2776" spans="1:12" ht="15" hidden="1">
      <c r="A2776" t="s">
        <v>1805</v>
      </c>
      <c r="B2776" t="s">
        <v>612</v>
      </c>
      <c r="D2776" t="s">
        <v>2145</v>
      </c>
      <c r="E2776" t="str">
        <f t="shared" si="149"/>
        <v>Compra 1154 (NFe 40364-1)</v>
      </c>
      <c r="F2776" t="s">
        <v>1272</v>
      </c>
      <c r="G2776" t="s">
        <v>610</v>
      </c>
      <c r="H2776" s="484">
        <v>-3352</v>
      </c>
      <c r="I2776" t="str">
        <f t="shared" si="152"/>
        <v>março 2026</v>
      </c>
      <c r="J2776">
        <f t="shared" si="153"/>
        <v>2026</v>
      </c>
      <c r="K2776" t="str">
        <f>VLOOKUP(G2776,METRICS!C:D,2,0)</f>
        <v>Carvão</v>
      </c>
      <c r="L2776" t="str">
        <f>VLOOKUP(K2776,METRICS!D:E,2,0)</f>
        <v>CUSTOS DOS PRODUTOS VENDIDOS</v>
      </c>
    </row>
    <row r="2777" spans="1:12" ht="15" hidden="1">
      <c r="A2777" t="s">
        <v>1805</v>
      </c>
      <c r="B2777" t="s">
        <v>612</v>
      </c>
      <c r="D2777" t="s">
        <v>2146</v>
      </c>
      <c r="E2777" t="str">
        <f t="shared" si="149"/>
        <v>Compra 1157 (NFe 4910-0)</v>
      </c>
      <c r="F2777" t="s">
        <v>1272</v>
      </c>
      <c r="G2777" t="s">
        <v>629</v>
      </c>
      <c r="H2777" s="484">
        <v>-2016.48</v>
      </c>
      <c r="I2777" t="str">
        <f t="shared" si="152"/>
        <v>março 2026</v>
      </c>
      <c r="J2777">
        <f t="shared" si="153"/>
        <v>2026</v>
      </c>
      <c r="K2777" t="str">
        <f>VLOOKUP(G2777,METRICS!C:D,2,0)</f>
        <v>Material de limpeza</v>
      </c>
      <c r="L2777" t="str">
        <f>VLOOKUP(K2777,METRICS!D:E,2,0)</f>
        <v>OPERAÇÃO</v>
      </c>
    </row>
    <row r="2778" spans="1:12" ht="15" hidden="1">
      <c r="A2778" t="s">
        <v>1805</v>
      </c>
      <c r="B2778" t="s">
        <v>612</v>
      </c>
      <c r="D2778" t="s">
        <v>2147</v>
      </c>
      <c r="E2778" t="str">
        <f t="shared" si="149"/>
        <v>Compra 1149 (NFe 270-1)</v>
      </c>
      <c r="F2778" t="s">
        <v>1272</v>
      </c>
      <c r="G2778" t="s">
        <v>636</v>
      </c>
      <c r="H2778" s="484">
        <v>-1566.65</v>
      </c>
      <c r="I2778" t="str">
        <f t="shared" si="152"/>
        <v>março 2026</v>
      </c>
      <c r="J2778">
        <f t="shared" si="153"/>
        <v>2026</v>
      </c>
      <c r="K2778" t="str">
        <f>VLOOKUP(G2778,METRICS!C:D,2,0)</f>
        <v>Secos - Mercearia</v>
      </c>
      <c r="L2778" t="str">
        <f>VLOOKUP(K2778,METRICS!D:E,2,0)</f>
        <v>CUSTOS DOS PRODUTOS VENDIDOS</v>
      </c>
    </row>
    <row r="2779" spans="1:12" ht="15" hidden="1">
      <c r="A2779" t="s">
        <v>1805</v>
      </c>
      <c r="B2779" t="s">
        <v>689</v>
      </c>
      <c r="D2779" t="s">
        <v>2148</v>
      </c>
      <c r="E2779" t="str">
        <f t="shared" si="149"/>
        <v>Extra Tati (sábado e domingo 27 e 29 manhã) - Autorizado Henrique</v>
      </c>
      <c r="F2779" t="s">
        <v>1272</v>
      </c>
      <c r="G2779" t="s">
        <v>664</v>
      </c>
      <c r="H2779" s="484">
        <v>-300</v>
      </c>
      <c r="I2779" t="str">
        <f t="shared" si="152"/>
        <v>março 2026</v>
      </c>
      <c r="J2779">
        <f t="shared" si="153"/>
        <v>2026</v>
      </c>
      <c r="K2779" t="str">
        <f>VLOOKUP(G2779,METRICS!C:D,2,0)</f>
        <v>Colaborador Extra</v>
      </c>
      <c r="L2779" t="str">
        <f>VLOOKUP(K2779,METRICS!D:E,2,0)</f>
        <v>PESSOAL</v>
      </c>
    </row>
    <row r="2780" spans="1:12" ht="15" hidden="1">
      <c r="A2780" t="s">
        <v>1805</v>
      </c>
      <c r="B2780" t="s">
        <v>689</v>
      </c>
      <c r="D2780" t="s">
        <v>1259</v>
      </c>
      <c r="E2780" t="str">
        <f t="shared" si="149"/>
        <v>LOCACAO DE IMOVEL - RUA RAMOS BATISTA, 433 - VILA OLIMPIA, SAO PAULO/SP -A partir de janeiro/2026</v>
      </c>
      <c r="F2780" t="s">
        <v>1272</v>
      </c>
      <c r="G2780" t="s">
        <v>663</v>
      </c>
      <c r="H2780" s="484">
        <v>-45000</v>
      </c>
      <c r="I2780" t="str">
        <f t="shared" si="152"/>
        <v>março 2026</v>
      </c>
      <c r="J2780">
        <f t="shared" si="153"/>
        <v>2026</v>
      </c>
      <c r="K2780" t="str">
        <f>VLOOKUP(G2780,METRICS!C:D,2,0)</f>
        <v>Aluguéis</v>
      </c>
      <c r="L2780" t="str">
        <f>VLOOKUP(K2780,METRICS!D:E,2,0)</f>
        <v>OCUPAÇÃO</v>
      </c>
    </row>
    <row r="2781" spans="1:12" ht="15" hidden="1">
      <c r="A2781" t="s">
        <v>1805</v>
      </c>
      <c r="B2781" t="s">
        <v>612</v>
      </c>
      <c r="D2781" t="s">
        <v>2149</v>
      </c>
      <c r="E2781" t="str">
        <f t="shared" si="149"/>
        <v>Compra 1156 (NFe 695575-1)</v>
      </c>
      <c r="F2781" t="s">
        <v>1272</v>
      </c>
      <c r="G2781" t="s">
        <v>636</v>
      </c>
      <c r="H2781" s="484">
        <v>-1382.15</v>
      </c>
      <c r="I2781" t="str">
        <f t="shared" si="152"/>
        <v>março 2026</v>
      </c>
      <c r="J2781">
        <f t="shared" si="153"/>
        <v>2026</v>
      </c>
      <c r="K2781" t="str">
        <f>VLOOKUP(G2781,METRICS!C:D,2,0)</f>
        <v>Secos - Mercearia</v>
      </c>
      <c r="L2781" t="str">
        <f>VLOOKUP(K2781,METRICS!D:E,2,0)</f>
        <v>CUSTOS DOS PRODUTOS VENDIDOS</v>
      </c>
    </row>
    <row r="2782" spans="1:12" ht="15" hidden="1">
      <c r="A2782" t="s">
        <v>1805</v>
      </c>
      <c r="B2782" t="s">
        <v>689</v>
      </c>
      <c r="D2782" t="s">
        <v>2150</v>
      </c>
      <c r="E2782" t="str">
        <f t="shared" si="149"/>
        <v>Uber Audiência/ Chave Escr</v>
      </c>
      <c r="F2782" t="s">
        <v>1272</v>
      </c>
      <c r="G2782" t="s">
        <v>120</v>
      </c>
      <c r="H2782" s="484">
        <v>-66</v>
      </c>
      <c r="I2782" t="str">
        <f t="shared" si="152"/>
        <v>março 2026</v>
      </c>
      <c r="J2782">
        <f t="shared" si="153"/>
        <v>2026</v>
      </c>
      <c r="K2782" t="str">
        <f>VLOOKUP(G2782,METRICS!C:D,2,0)</f>
        <v>Vale Transporte</v>
      </c>
      <c r="L2782" t="str">
        <f>VLOOKUP(K2782,METRICS!D:E,2,0)</f>
        <v>PESSOAL</v>
      </c>
    </row>
    <row r="2783" spans="1:12" ht="15" hidden="1">
      <c r="A2783" t="s">
        <v>1805</v>
      </c>
      <c r="B2783" t="s">
        <v>689</v>
      </c>
      <c r="D2783" t="s">
        <v>756</v>
      </c>
      <c r="E2783" t="str">
        <f t="shared" si="149"/>
        <v>Tarifa Avulsa Envio Pix</v>
      </c>
      <c r="F2783" t="s">
        <v>1272</v>
      </c>
      <c r="G2783" t="s">
        <v>666</v>
      </c>
      <c r="H2783" s="484">
        <v>-39.6</v>
      </c>
      <c r="I2783" t="str">
        <f t="shared" si="152"/>
        <v>março 2026</v>
      </c>
      <c r="J2783">
        <f t="shared" si="153"/>
        <v>2026</v>
      </c>
      <c r="K2783" t="str">
        <f>VLOOKUP(G2783,METRICS!C:D,2,0)</f>
        <v>Encargos Bancarios</v>
      </c>
      <c r="L2783" t="str">
        <f>VLOOKUP(K2783,METRICS!D:E,2,0)</f>
        <v>DESPESAS FINANCEIRAS</v>
      </c>
    </row>
    <row r="2784" spans="1:12" ht="15" hidden="1">
      <c r="A2784" t="s">
        <v>1805</v>
      </c>
      <c r="B2784" t="s">
        <v>612</v>
      </c>
      <c r="D2784" t="s">
        <v>2151</v>
      </c>
      <c r="E2784" t="str">
        <f t="shared" si="149"/>
        <v>Compra 1159 (NFe 51343-1)</v>
      </c>
      <c r="F2784" t="s">
        <v>1272</v>
      </c>
      <c r="G2784" t="s">
        <v>611</v>
      </c>
      <c r="H2784" s="484">
        <v>-1919.26</v>
      </c>
      <c r="I2784" t="str">
        <f t="shared" si="152"/>
        <v>março 2026</v>
      </c>
      <c r="J2784">
        <f t="shared" si="153"/>
        <v>2026</v>
      </c>
      <c r="K2784" t="str">
        <f>VLOOKUP(G2784,METRICS!C:D,2,0)</f>
        <v>Bebidas Alcoólicas</v>
      </c>
      <c r="L2784" t="str">
        <f>VLOOKUP(K2784,METRICS!D:E,2,0)</f>
        <v>CUSTOS DOS PRODUTOS VENDIDOS</v>
      </c>
    </row>
    <row r="2785" spans="1:12" ht="15" hidden="1">
      <c r="A2785" t="s">
        <v>1805</v>
      </c>
      <c r="B2785" t="s">
        <v>612</v>
      </c>
      <c r="D2785" t="s">
        <v>2152</v>
      </c>
      <c r="E2785" t="str">
        <f t="shared" si="149"/>
        <v>Compra 1158 (NFe 2643822-5)</v>
      </c>
      <c r="F2785" t="s">
        <v>1272</v>
      </c>
      <c r="G2785" t="s">
        <v>633</v>
      </c>
      <c r="H2785" s="484">
        <v>-238.3</v>
      </c>
      <c r="I2785" t="str">
        <f t="shared" si="152"/>
        <v>março 2026</v>
      </c>
      <c r="J2785">
        <f t="shared" si="153"/>
        <v>2026</v>
      </c>
      <c r="K2785" t="str">
        <f>VLOOKUP(G2785,METRICS!C:D,2,0)</f>
        <v>Paes, Massas e Salgados</v>
      </c>
      <c r="L2785" t="str">
        <f>VLOOKUP(K2785,METRICS!D:E,2,0)</f>
        <v>CUSTOS DOS PRODUTOS VENDIDOS</v>
      </c>
    </row>
    <row r="2786" spans="1:12" ht="15" hidden="1">
      <c r="A2786" t="s">
        <v>1805</v>
      </c>
      <c r="B2786" t="s">
        <v>612</v>
      </c>
      <c r="D2786" t="s">
        <v>2153</v>
      </c>
      <c r="E2786" t="str">
        <f t="shared" si="149"/>
        <v>Compra 1155 (NFe 6494006-5)</v>
      </c>
      <c r="F2786" t="s">
        <v>1272</v>
      </c>
      <c r="G2786" t="s">
        <v>636</v>
      </c>
      <c r="H2786" s="484">
        <v>-1790</v>
      </c>
      <c r="I2786" t="str">
        <f t="shared" si="152"/>
        <v>março 2026</v>
      </c>
      <c r="J2786">
        <f t="shared" si="153"/>
        <v>2026</v>
      </c>
      <c r="K2786" t="str">
        <f>VLOOKUP(G2786,METRICS!C:D,2,0)</f>
        <v>Secos - Mercearia</v>
      </c>
      <c r="L2786" t="str">
        <f>VLOOKUP(K2786,METRICS!D:E,2,0)</f>
        <v>CUSTOS DOS PRODUTOS VENDIDOS</v>
      </c>
    </row>
    <row r="2787" spans="1:12" ht="15" hidden="1">
      <c r="A2787" t="s">
        <v>1805</v>
      </c>
      <c r="B2787" t="s">
        <v>689</v>
      </c>
      <c r="D2787" s="518" t="s">
        <v>2197</v>
      </c>
      <c r="E2787" t="str">
        <f t="shared" si="149"/>
        <v>Reinaldo Reembolso Loja de Doce</v>
      </c>
      <c r="F2787" t="s">
        <v>1272</v>
      </c>
      <c r="G2787" t="s">
        <v>436</v>
      </c>
      <c r="H2787" s="484">
        <v>-505</v>
      </c>
      <c r="I2787" t="str">
        <f t="shared" si="152"/>
        <v>março 2026</v>
      </c>
      <c r="J2787">
        <f t="shared" si="153"/>
        <v>2026</v>
      </c>
      <c r="K2787" t="str">
        <f>VLOOKUP(G2787,METRICS!C:D,2,0)</f>
        <v>Paes, Massas e Salgados</v>
      </c>
      <c r="L2787" t="str">
        <f>VLOOKUP(K2787,METRICS!D:E,2,0)</f>
        <v>CUSTOS DOS PRODUTOS VENDIDOS</v>
      </c>
    </row>
    <row r="2788" spans="1:12" ht="15" hidden="1">
      <c r="A2788" t="s">
        <v>1805</v>
      </c>
      <c r="B2788" t="s">
        <v>612</v>
      </c>
      <c r="D2788" t="s">
        <v>2154</v>
      </c>
      <c r="E2788" t="str">
        <f t="shared" si="149"/>
        <v>Compra 1150 (NFe 76883-1)</v>
      </c>
      <c r="F2788" t="s">
        <v>1272</v>
      </c>
      <c r="G2788" t="s">
        <v>623</v>
      </c>
      <c r="H2788" s="484">
        <v>-319.95</v>
      </c>
      <c r="I2788" t="str">
        <f t="shared" si="152"/>
        <v>março 2026</v>
      </c>
      <c r="J2788">
        <f t="shared" si="153"/>
        <v>2026</v>
      </c>
      <c r="K2788" t="str">
        <f>VLOOKUP(G2788,METRICS!C:D,2,0)</f>
        <v>Secos - Mercearia</v>
      </c>
      <c r="L2788" t="str">
        <f>VLOOKUP(K2788,METRICS!D:E,2,0)</f>
        <v>CUSTOS DOS PRODUTOS VENDIDOS</v>
      </c>
    </row>
    <row r="2789" spans="1:12" ht="15" hidden="1">
      <c r="A2789" t="s">
        <v>1805</v>
      </c>
      <c r="B2789" t="s">
        <v>612</v>
      </c>
      <c r="D2789" t="s">
        <v>2155</v>
      </c>
      <c r="E2789" t="str">
        <f t="shared" si="149"/>
        <v>Compra 1161 (NFe 2610136-1)</v>
      </c>
      <c r="F2789" t="s">
        <v>1272</v>
      </c>
      <c r="G2789" t="s">
        <v>623</v>
      </c>
      <c r="H2789" s="484">
        <v>-768</v>
      </c>
      <c r="I2789" t="str">
        <f t="shared" si="152"/>
        <v>março 2026</v>
      </c>
      <c r="J2789">
        <f t="shared" si="153"/>
        <v>2026</v>
      </c>
      <c r="K2789" t="str">
        <f>VLOOKUP(G2789,METRICS!C:D,2,0)</f>
        <v>Secos - Mercearia</v>
      </c>
      <c r="L2789" t="str">
        <f>VLOOKUP(K2789,METRICS!D:E,2,0)</f>
        <v>CUSTOS DOS PRODUTOS VENDIDOS</v>
      </c>
    </row>
    <row r="2790" spans="1:12" ht="15" hidden="1">
      <c r="A2790" t="s">
        <v>1805</v>
      </c>
      <c r="B2790" t="s">
        <v>612</v>
      </c>
      <c r="D2790" t="s">
        <v>2156</v>
      </c>
      <c r="E2790" t="str">
        <f t="shared" si="149"/>
        <v>Compra 1163 (NFe 382576-1)</v>
      </c>
      <c r="F2790" t="s">
        <v>1272</v>
      </c>
      <c r="G2790" t="s">
        <v>630</v>
      </c>
      <c r="H2790" s="484">
        <v>-2133.94</v>
      </c>
      <c r="I2790" t="str">
        <f t="shared" si="152"/>
        <v>março 2026</v>
      </c>
      <c r="J2790">
        <f t="shared" si="153"/>
        <v>2026</v>
      </c>
      <c r="K2790" t="str">
        <f>VLOOKUP(G2790,METRICS!C:D,2,0)</f>
        <v>Material de Copa e Limpeza</v>
      </c>
      <c r="L2790" t="str">
        <f>VLOOKUP(K2790,METRICS!D:E,2,0)</f>
        <v>ADMINISTRATIVA</v>
      </c>
    </row>
    <row r="2791" spans="1:12" ht="15" hidden="1">
      <c r="A2791" t="s">
        <v>1805</v>
      </c>
      <c r="B2791" t="s">
        <v>612</v>
      </c>
      <c r="D2791" t="s">
        <v>2157</v>
      </c>
      <c r="E2791" t="str">
        <f t="shared" si="149"/>
        <v>Compra 1174 (NFe 1336-1)</v>
      </c>
      <c r="F2791" t="s">
        <v>1272</v>
      </c>
      <c r="G2791" t="s">
        <v>620</v>
      </c>
      <c r="H2791" s="484">
        <v>-6068.72</v>
      </c>
      <c r="I2791" t="str">
        <f t="shared" si="152"/>
        <v>março 2026</v>
      </c>
      <c r="J2791">
        <f t="shared" si="153"/>
        <v>2026</v>
      </c>
      <c r="K2791" t="str">
        <f>VLOOKUP(G2791,METRICS!C:D,2,0)</f>
        <v>Hortifruti</v>
      </c>
      <c r="L2791" t="str">
        <f>VLOOKUP(K2791,METRICS!D:E,2,0)</f>
        <v>CUSTOS DOS PRODUTOS VENDIDOS</v>
      </c>
    </row>
    <row r="2792" spans="1:12" ht="15" hidden="1">
      <c r="A2792" t="s">
        <v>1805</v>
      </c>
      <c r="B2792" t="s">
        <v>612</v>
      </c>
      <c r="D2792" t="s">
        <v>2158</v>
      </c>
      <c r="E2792" t="str">
        <f t="shared" si="149"/>
        <v>Compra 1209 (NFe 128979-1)</v>
      </c>
      <c r="F2792" t="s">
        <v>1272</v>
      </c>
      <c r="G2792" t="s">
        <v>627</v>
      </c>
      <c r="H2792" s="484">
        <v>-98.68</v>
      </c>
      <c r="I2792" t="str">
        <f t="shared" si="152"/>
        <v>março 2026</v>
      </c>
      <c r="J2792">
        <f t="shared" si="153"/>
        <v>2026</v>
      </c>
      <c r="K2792" t="str">
        <f>VLOOKUP(G2792,METRICS!C:D,2,0)</f>
        <v>Manutenção e Conservação</v>
      </c>
      <c r="L2792" t="str">
        <f>VLOOKUP(K2792,METRICS!D:E,2,0)</f>
        <v>OPERAÇÃO</v>
      </c>
    </row>
    <row r="2793" spans="1:12" ht="15" hidden="1">
      <c r="A2793" t="s">
        <v>1805</v>
      </c>
      <c r="B2793" t="s">
        <v>612</v>
      </c>
      <c r="D2793" t="s">
        <v>2159</v>
      </c>
      <c r="E2793" t="str">
        <f t="shared" si="149"/>
        <v>Compra 1148 (NFe 33486-1)</v>
      </c>
      <c r="F2793" t="s">
        <v>1272</v>
      </c>
      <c r="G2793" t="s">
        <v>607</v>
      </c>
      <c r="H2793" s="484">
        <v>-118.8</v>
      </c>
      <c r="I2793" t="str">
        <f t="shared" si="152"/>
        <v>março 2026</v>
      </c>
      <c r="J2793">
        <f t="shared" si="153"/>
        <v>2026</v>
      </c>
      <c r="K2793" t="str">
        <f>VLOOKUP(G2793,METRICS!C:D,2,0)</f>
        <v>Bebidas Alcoólicas</v>
      </c>
      <c r="L2793" t="str">
        <f>VLOOKUP(K2793,METRICS!D:E,2,0)</f>
        <v>CUSTOS DOS PRODUTOS VENDIDOS</v>
      </c>
    </row>
    <row r="2794" spans="1:12" ht="15" hidden="1">
      <c r="A2794" t="s">
        <v>1805</v>
      </c>
      <c r="B2794" t="s">
        <v>612</v>
      </c>
      <c r="D2794" t="s">
        <v>2160</v>
      </c>
      <c r="E2794" t="str">
        <f t="shared" si="149"/>
        <v>Compra 1151 (NFe 313678-1)</v>
      </c>
      <c r="F2794" t="s">
        <v>1272</v>
      </c>
      <c r="G2794" t="s">
        <v>609</v>
      </c>
      <c r="H2794" s="484">
        <v>-1302.4000000000001</v>
      </c>
      <c r="I2794" t="str">
        <f t="shared" si="152"/>
        <v>março 2026</v>
      </c>
      <c r="J2794">
        <f t="shared" si="153"/>
        <v>2026</v>
      </c>
      <c r="K2794" t="str">
        <f>VLOOKUP(G2794,METRICS!C:D,2,0)</f>
        <v>Carnes e Aves</v>
      </c>
      <c r="L2794" t="str">
        <f>VLOOKUP(K2794,METRICS!D:E,2,0)</f>
        <v>CUSTOS DOS PRODUTOS VENDIDOS</v>
      </c>
    </row>
    <row r="2795" spans="1:12" ht="15" hidden="1">
      <c r="A2795" t="s">
        <v>1805</v>
      </c>
      <c r="B2795" t="s">
        <v>689</v>
      </c>
      <c r="D2795" t="s">
        <v>2161</v>
      </c>
      <c r="E2795" t="str">
        <f t="shared" si="149"/>
        <v>Mellany Azevedo (ajuda de custo VT)</v>
      </c>
      <c r="F2795" t="s">
        <v>1272</v>
      </c>
      <c r="G2795" t="s">
        <v>542</v>
      </c>
      <c r="H2795" s="484">
        <v>-300</v>
      </c>
      <c r="I2795" t="str">
        <f t="shared" si="152"/>
        <v>março 2026</v>
      </c>
      <c r="J2795">
        <f t="shared" si="153"/>
        <v>2026</v>
      </c>
      <c r="K2795" t="str">
        <f>VLOOKUP(G2795,METRICS!C:D,2,0)</f>
        <v>Vale Transporte</v>
      </c>
      <c r="L2795" t="str">
        <f>VLOOKUP(K2795,METRICS!D:E,2,0)</f>
        <v>PESSOAL</v>
      </c>
    </row>
    <row r="2796" spans="1:12" ht="15" hidden="1">
      <c r="A2796" t="s">
        <v>1805</v>
      </c>
      <c r="B2796" t="s">
        <v>689</v>
      </c>
      <c r="D2796" t="s">
        <v>2162</v>
      </c>
      <c r="E2796" t="str">
        <f t="shared" si="149"/>
        <v>EXTRA EXTRA</v>
      </c>
      <c r="F2796" t="s">
        <v>1272</v>
      </c>
      <c r="G2796" t="s">
        <v>664</v>
      </c>
      <c r="H2796" s="484">
        <v>-300</v>
      </c>
      <c r="I2796" t="str">
        <f t="shared" si="152"/>
        <v>março 2026</v>
      </c>
      <c r="J2796">
        <f t="shared" si="153"/>
        <v>2026</v>
      </c>
      <c r="K2796" t="str">
        <f>VLOOKUP(G2796,METRICS!C:D,2,0)</f>
        <v>Colaborador Extra</v>
      </c>
      <c r="L2796" t="str">
        <f>VLOOKUP(K2796,METRICS!D:E,2,0)</f>
        <v>PESSOAL</v>
      </c>
    </row>
    <row r="2797" spans="1:12" ht="15" hidden="1">
      <c r="A2797" t="s">
        <v>1805</v>
      </c>
      <c r="B2797" t="s">
        <v>612</v>
      </c>
      <c r="D2797" t="s">
        <v>2163</v>
      </c>
      <c r="E2797" t="str">
        <f t="shared" si="149"/>
        <v>Compra 1160 (NFe 51342-1)</v>
      </c>
      <c r="F2797" t="s">
        <v>1272</v>
      </c>
      <c r="G2797" t="s">
        <v>611</v>
      </c>
      <c r="H2797" s="484">
        <v>-2924.95</v>
      </c>
      <c r="I2797" t="str">
        <f t="shared" si="152"/>
        <v>março 2026</v>
      </c>
      <c r="J2797">
        <f t="shared" si="153"/>
        <v>2026</v>
      </c>
      <c r="K2797" t="str">
        <f>VLOOKUP(G2797,METRICS!C:D,2,0)</f>
        <v>Bebidas Alcoólicas</v>
      </c>
      <c r="L2797" t="str">
        <f>VLOOKUP(K2797,METRICS!D:E,2,0)</f>
        <v>CUSTOS DOS PRODUTOS VENDIDOS</v>
      </c>
    </row>
    <row r="2798" spans="1:12" ht="15" hidden="1">
      <c r="A2798" t="s">
        <v>1805</v>
      </c>
      <c r="B2798" t="s">
        <v>612</v>
      </c>
      <c r="D2798" t="s">
        <v>2164</v>
      </c>
      <c r="E2798" t="str">
        <f t="shared" si="149"/>
        <v>Compra 1153 (NFe 771395-1)</v>
      </c>
      <c r="F2798" t="s">
        <v>1272</v>
      </c>
      <c r="G2798" t="s">
        <v>608</v>
      </c>
      <c r="H2798" s="484">
        <v>-678.52</v>
      </c>
      <c r="I2798" t="str">
        <f t="shared" si="152"/>
        <v>março 2026</v>
      </c>
      <c r="J2798">
        <f t="shared" si="153"/>
        <v>2026</v>
      </c>
      <c r="K2798" t="str">
        <f>VLOOKUP(G2798,METRICS!C:D,2,0)</f>
        <v>Bebidas não Alcoolicas</v>
      </c>
      <c r="L2798" t="str">
        <f>VLOOKUP(K2798,METRICS!D:E,2,0)</f>
        <v>CUSTOS DOS PRODUTOS VENDIDOS</v>
      </c>
    </row>
    <row r="2799" spans="1:12" ht="15" hidden="1">
      <c r="A2799" t="s">
        <v>1805</v>
      </c>
      <c r="B2799" t="s">
        <v>689</v>
      </c>
      <c r="D2799" t="s">
        <v>883</v>
      </c>
      <c r="E2799" t="str">
        <f t="shared" si="149"/>
        <v>Tarifa Pix Recebido Qr Checkout</v>
      </c>
      <c r="F2799" t="s">
        <v>1272</v>
      </c>
      <c r="G2799" s="518" t="s">
        <v>669</v>
      </c>
      <c r="H2799" s="484">
        <v>-19.12</v>
      </c>
      <c r="I2799" t="str">
        <f t="shared" si="152"/>
        <v>março 2026</v>
      </c>
      <c r="J2799">
        <f t="shared" si="153"/>
        <v>2026</v>
      </c>
      <c r="K2799" t="str">
        <f>VLOOKUP(G2799,METRICS!C:D,2,0)</f>
        <v>Taxas Financeiras Diversas</v>
      </c>
      <c r="L2799" t="str">
        <f>VLOOKUP(K2799,METRICS!D:E,2,0)</f>
        <v>TAXAS CARTÃO DE CRÉDITO</v>
      </c>
    </row>
    <row r="2800" spans="1:12" ht="15" hidden="1">
      <c r="A2800" t="s">
        <v>1806</v>
      </c>
      <c r="B2800" t="s">
        <v>689</v>
      </c>
      <c r="D2800" s="518" t="s">
        <v>2220</v>
      </c>
      <c r="E2800" t="str">
        <f>D2800</f>
        <v>RESCISÃO TRABALHISTA Natalia</v>
      </c>
      <c r="F2800" t="s">
        <v>1272</v>
      </c>
      <c r="G2800" s="518" t="s">
        <v>643</v>
      </c>
      <c r="H2800" s="484">
        <v>-1458.27</v>
      </c>
      <c r="I2800" t="str">
        <f t="shared" si="152"/>
        <v>março 2026</v>
      </c>
      <c r="J2800">
        <f t="shared" si="153"/>
        <v>2026</v>
      </c>
      <c r="K2800" t="str">
        <f>VLOOKUP(G2800,METRICS!C:D,2,0)</f>
        <v>Rescisões Trabalhistas</v>
      </c>
      <c r="L2800" t="str">
        <f>VLOOKUP(K2800,METRICS!D:E,2,0)</f>
        <v>PESSOAL</v>
      </c>
    </row>
    <row r="2801" spans="1:12" ht="15" hidden="1">
      <c r="A2801" t="s">
        <v>1806</v>
      </c>
      <c r="B2801" t="s">
        <v>612</v>
      </c>
      <c r="D2801" t="s">
        <v>2165</v>
      </c>
      <c r="E2801" t="str">
        <f t="shared" si="149"/>
        <v>Compra 1181 (NFe 10300-1)</v>
      </c>
      <c r="F2801" t="s">
        <v>1272</v>
      </c>
      <c r="G2801" t="s">
        <v>641</v>
      </c>
      <c r="H2801" s="484">
        <v>-3688.08</v>
      </c>
      <c r="I2801" t="str">
        <f t="shared" si="152"/>
        <v>março 2026</v>
      </c>
      <c r="J2801">
        <f t="shared" si="153"/>
        <v>2026</v>
      </c>
      <c r="K2801" t="str">
        <f>VLOOKUP(G2801,METRICS!C:D,2,0)</f>
        <v>Vinhos/Espumantes</v>
      </c>
      <c r="L2801" t="str">
        <f>VLOOKUP(K2801,METRICS!D:E,2,0)</f>
        <v>CUSTOS DOS PRODUTOS VENDIDOS</v>
      </c>
    </row>
    <row r="2802" spans="1:12" ht="15" hidden="1">
      <c r="A2802" t="s">
        <v>1806</v>
      </c>
      <c r="B2802" t="s">
        <v>612</v>
      </c>
      <c r="D2802" t="s">
        <v>2166</v>
      </c>
      <c r="E2802" t="str">
        <f t="shared" si="149"/>
        <v>Compra 1179 (NFe 45511-1)</v>
      </c>
      <c r="F2802" t="s">
        <v>1272</v>
      </c>
      <c r="G2802" t="s">
        <v>605</v>
      </c>
      <c r="H2802" s="484">
        <v>-1538.48</v>
      </c>
      <c r="I2802" t="str">
        <f t="shared" si="152"/>
        <v>março 2026</v>
      </c>
      <c r="J2802">
        <f t="shared" si="153"/>
        <v>2026</v>
      </c>
      <c r="K2802" t="str">
        <f>VLOOKUP(G2802,METRICS!C:D,2,0)</f>
        <v>Beneficios</v>
      </c>
      <c r="L2802" t="str">
        <f>VLOOKUP(K2802,METRICS!D:E,2,0)</f>
        <v>PESSOAL</v>
      </c>
    </row>
    <row r="2803" spans="1:12" ht="15" hidden="1">
      <c r="A2803" t="s">
        <v>1806</v>
      </c>
      <c r="B2803" t="s">
        <v>612</v>
      </c>
      <c r="D2803" t="s">
        <v>2167</v>
      </c>
      <c r="E2803" t="str">
        <f t="shared" si="149"/>
        <v>Compra 1173 (NFe 94838-1)</v>
      </c>
      <c r="F2803" t="s">
        <v>1272</v>
      </c>
      <c r="G2803" t="s">
        <v>619</v>
      </c>
      <c r="H2803" s="484">
        <v>-509.6</v>
      </c>
      <c r="I2803" t="str">
        <f t="shared" si="152"/>
        <v>março 2026</v>
      </c>
      <c r="J2803">
        <f t="shared" si="153"/>
        <v>2026</v>
      </c>
      <c r="K2803" t="str">
        <f>VLOOKUP(G2803,METRICS!C:D,2,0)</f>
        <v>Gelo</v>
      </c>
      <c r="L2803" t="str">
        <f>VLOOKUP(K2803,METRICS!D:E,2,0)</f>
        <v>CUSTOS DOS PRODUTOS VENDIDOS</v>
      </c>
    </row>
    <row r="2804" spans="1:12" ht="15" hidden="1">
      <c r="A2804" t="s">
        <v>1806</v>
      </c>
      <c r="B2804" t="s">
        <v>612</v>
      </c>
      <c r="D2804" t="s">
        <v>2168</v>
      </c>
      <c r="E2804" t="str">
        <f t="shared" si="149"/>
        <v>Compra 1171 (NFe 68229-1)</v>
      </c>
      <c r="F2804" t="s">
        <v>1272</v>
      </c>
      <c r="G2804" t="s">
        <v>609</v>
      </c>
      <c r="H2804" s="484">
        <v>-1891.62</v>
      </c>
      <c r="I2804" t="str">
        <f t="shared" si="152"/>
        <v>março 2026</v>
      </c>
      <c r="J2804">
        <f t="shared" si="153"/>
        <v>2026</v>
      </c>
      <c r="K2804" t="str">
        <f>VLOOKUP(G2804,METRICS!C:D,2,0)</f>
        <v>Carnes e Aves</v>
      </c>
      <c r="L2804" t="str">
        <f>VLOOKUP(K2804,METRICS!D:E,2,0)</f>
        <v>CUSTOS DOS PRODUTOS VENDIDOS</v>
      </c>
    </row>
    <row r="2805" spans="1:12" ht="15" hidden="1">
      <c r="A2805" t="s">
        <v>1806</v>
      </c>
      <c r="B2805" t="s">
        <v>612</v>
      </c>
      <c r="D2805" t="s">
        <v>2169</v>
      </c>
      <c r="E2805" t="str">
        <f t="shared" si="149"/>
        <v>Compra 1177 (NFe 7071-1)</v>
      </c>
      <c r="F2805" t="s">
        <v>1272</v>
      </c>
      <c r="G2805" t="s">
        <v>615</v>
      </c>
      <c r="H2805" s="484">
        <v>-398.6</v>
      </c>
      <c r="I2805" t="str">
        <f t="shared" si="152"/>
        <v>março 2026</v>
      </c>
      <c r="J2805">
        <f t="shared" si="153"/>
        <v>2026</v>
      </c>
      <c r="K2805" t="str">
        <f>VLOOKUP(G2805,METRICS!C:D,2,0)</f>
        <v>Embalagens</v>
      </c>
      <c r="L2805" t="str">
        <f>VLOOKUP(K2805,METRICS!D:E,2,0)</f>
        <v>OPERAÇÃO</v>
      </c>
    </row>
    <row r="2806" spans="1:12" ht="15" hidden="1">
      <c r="A2806" t="s">
        <v>1806</v>
      </c>
      <c r="B2806" t="s">
        <v>689</v>
      </c>
      <c r="D2806" t="s">
        <v>2170</v>
      </c>
      <c r="E2806" t="str">
        <f t="shared" si="149"/>
        <v>ACORDO TRABALHISTA - SAMUEL PIRES DE JESUS PEREIRA</v>
      </c>
      <c r="F2806" t="s">
        <v>1272</v>
      </c>
      <c r="G2806" t="s">
        <v>643</v>
      </c>
      <c r="H2806" s="484">
        <v>-4500</v>
      </c>
      <c r="I2806" t="str">
        <f t="shared" si="152"/>
        <v>março 2026</v>
      </c>
      <c r="J2806">
        <f t="shared" si="153"/>
        <v>2026</v>
      </c>
      <c r="K2806" t="str">
        <f>VLOOKUP(G2806,METRICS!C:D,2,0)</f>
        <v>Rescisões Trabalhistas</v>
      </c>
      <c r="L2806" t="str">
        <f>VLOOKUP(K2806,METRICS!D:E,2,0)</f>
        <v>PESSOAL</v>
      </c>
    </row>
    <row r="2807" spans="1:12" ht="15" hidden="1">
      <c r="A2807" t="s">
        <v>1806</v>
      </c>
      <c r="B2807" t="s">
        <v>689</v>
      </c>
      <c r="D2807" t="s">
        <v>756</v>
      </c>
      <c r="E2807" t="str">
        <f t="shared" si="149"/>
        <v>Tarifa Avulsa Envio Pix</v>
      </c>
      <c r="F2807" t="s">
        <v>1272</v>
      </c>
      <c r="G2807" t="s">
        <v>666</v>
      </c>
      <c r="H2807" s="484">
        <v>-101.8</v>
      </c>
      <c r="I2807" t="str">
        <f t="shared" si="152"/>
        <v>março 2026</v>
      </c>
      <c r="J2807">
        <f t="shared" si="153"/>
        <v>2026</v>
      </c>
      <c r="K2807" t="str">
        <f>VLOOKUP(G2807,METRICS!C:D,2,0)</f>
        <v>Encargos Bancarios</v>
      </c>
      <c r="L2807" t="str">
        <f>VLOOKUP(K2807,METRICS!D:E,2,0)</f>
        <v>DESPESAS FINANCEIRAS</v>
      </c>
    </row>
    <row r="2808" spans="1:12" ht="15" hidden="1">
      <c r="A2808" t="s">
        <v>1806</v>
      </c>
      <c r="B2808" t="s">
        <v>612</v>
      </c>
      <c r="D2808" t="s">
        <v>2171</v>
      </c>
      <c r="E2808" t="str">
        <f t="shared" si="149"/>
        <v>Compra 1182 (NFe 108051-1)</v>
      </c>
      <c r="F2808" t="s">
        <v>1272</v>
      </c>
      <c r="G2808" t="s">
        <v>616</v>
      </c>
      <c r="H2808" s="484">
        <v>-400</v>
      </c>
      <c r="I2808" t="str">
        <f t="shared" si="152"/>
        <v>março 2026</v>
      </c>
      <c r="J2808">
        <f t="shared" si="153"/>
        <v>2026</v>
      </c>
      <c r="K2808" t="str">
        <f>VLOOKUP(G2808,METRICS!C:D,2,0)</f>
        <v>Enlatados e Conservas</v>
      </c>
      <c r="L2808" t="str">
        <f>VLOOKUP(K2808,METRICS!D:E,2,0)</f>
        <v>CUSTOS DOS PRODUTOS VENDIDOS</v>
      </c>
    </row>
    <row r="2809" spans="1:12" ht="15" hidden="1">
      <c r="A2809" t="s">
        <v>1806</v>
      </c>
      <c r="B2809" t="s">
        <v>612</v>
      </c>
      <c r="D2809" t="s">
        <v>2172</v>
      </c>
      <c r="E2809" t="str">
        <f t="shared" si="149"/>
        <v>Compra 1170 (NFe 3472-1)</v>
      </c>
      <c r="F2809" t="s">
        <v>1272</v>
      </c>
      <c r="G2809" t="s">
        <v>413</v>
      </c>
      <c r="H2809" s="484">
        <v>-2397</v>
      </c>
      <c r="I2809" t="str">
        <f t="shared" si="152"/>
        <v>março 2026</v>
      </c>
      <c r="J2809">
        <f t="shared" si="153"/>
        <v>2026</v>
      </c>
      <c r="K2809" t="str">
        <f>VLOOKUP(G2809,METRICS!C:D,2,0)</f>
        <v>Pescados</v>
      </c>
      <c r="L2809" t="str">
        <f>VLOOKUP(K2809,METRICS!D:E,2,0)</f>
        <v>CUSTOS DOS PRODUTOS VENDIDOS</v>
      </c>
    </row>
    <row r="2810" spans="1:12" ht="15" hidden="1">
      <c r="A2810" t="s">
        <v>1806</v>
      </c>
      <c r="B2810" t="s">
        <v>612</v>
      </c>
      <c r="D2810" t="s">
        <v>2173</v>
      </c>
      <c r="E2810" t="str">
        <f t="shared" si="149"/>
        <v>Compra 1167 (NFe 5703264-1)</v>
      </c>
      <c r="F2810" t="s">
        <v>1272</v>
      </c>
      <c r="G2810" t="s">
        <v>623</v>
      </c>
      <c r="H2810" s="484">
        <v>-3990.69</v>
      </c>
      <c r="I2810" t="str">
        <f t="shared" si="152"/>
        <v>março 2026</v>
      </c>
      <c r="J2810">
        <f t="shared" si="153"/>
        <v>2026</v>
      </c>
      <c r="K2810" t="str">
        <f>VLOOKUP(G2810,METRICS!C:D,2,0)</f>
        <v>Secos - Mercearia</v>
      </c>
      <c r="L2810" t="str">
        <f>VLOOKUP(K2810,METRICS!D:E,2,0)</f>
        <v>CUSTOS DOS PRODUTOS VENDIDOS</v>
      </c>
    </row>
    <row r="2811" spans="1:12" ht="15" hidden="1">
      <c r="A2811" t="s">
        <v>1806</v>
      </c>
      <c r="B2811" t="s">
        <v>612</v>
      </c>
      <c r="D2811" t="s">
        <v>2174</v>
      </c>
      <c r="E2811" t="str">
        <f t="shared" si="149"/>
        <v>Compra 1168 (NFe 72128-1)</v>
      </c>
      <c r="F2811" t="s">
        <v>1272</v>
      </c>
      <c r="G2811" t="s">
        <v>636</v>
      </c>
      <c r="H2811" s="484">
        <v>-2049.81</v>
      </c>
      <c r="I2811" t="str">
        <f t="shared" si="152"/>
        <v>março 2026</v>
      </c>
      <c r="J2811">
        <f t="shared" si="153"/>
        <v>2026</v>
      </c>
      <c r="K2811" t="str">
        <f>VLOOKUP(G2811,METRICS!C:D,2,0)</f>
        <v>Secos - Mercearia</v>
      </c>
      <c r="L2811" t="str">
        <f>VLOOKUP(K2811,METRICS!D:E,2,0)</f>
        <v>CUSTOS DOS PRODUTOS VENDIDOS</v>
      </c>
    </row>
    <row r="2812" spans="1:12" ht="15" hidden="1">
      <c r="A2812" t="s">
        <v>1806</v>
      </c>
      <c r="B2812" t="s">
        <v>612</v>
      </c>
      <c r="D2812" t="s">
        <v>2175</v>
      </c>
      <c r="E2812" t="str">
        <f t="shared" ref="E2812:E2818" si="154">D2812</f>
        <v>Compra 1172 (NFe 315227-1)</v>
      </c>
      <c r="F2812" t="s">
        <v>1272</v>
      </c>
      <c r="G2812" t="s">
        <v>623</v>
      </c>
      <c r="H2812" s="484">
        <v>-407</v>
      </c>
      <c r="I2812" t="str">
        <f t="shared" si="152"/>
        <v>março 2026</v>
      </c>
      <c r="J2812">
        <f t="shared" si="153"/>
        <v>2026</v>
      </c>
      <c r="K2812" t="str">
        <f>VLOOKUP(G2812,METRICS!C:D,2,0)</f>
        <v>Secos - Mercearia</v>
      </c>
      <c r="L2812" t="str">
        <f>VLOOKUP(K2812,METRICS!D:E,2,0)</f>
        <v>CUSTOS DOS PRODUTOS VENDIDOS</v>
      </c>
    </row>
    <row r="2813" spans="1:12" ht="15" hidden="1">
      <c r="A2813" t="s">
        <v>1806</v>
      </c>
      <c r="B2813" t="s">
        <v>612</v>
      </c>
      <c r="D2813" t="s">
        <v>2176</v>
      </c>
      <c r="E2813" t="str">
        <f t="shared" si="154"/>
        <v>Compra 1169 (NFe 4135845-1)</v>
      </c>
      <c r="F2813" t="s">
        <v>1272</v>
      </c>
      <c r="G2813" t="s">
        <v>636</v>
      </c>
      <c r="H2813" s="484">
        <v>-2602.1999999999998</v>
      </c>
      <c r="I2813" t="str">
        <f t="shared" si="152"/>
        <v>março 2026</v>
      </c>
      <c r="J2813">
        <f t="shared" si="153"/>
        <v>2026</v>
      </c>
      <c r="K2813" t="str">
        <f>VLOOKUP(G2813,METRICS!C:D,2,0)</f>
        <v>Secos - Mercearia</v>
      </c>
      <c r="L2813" t="str">
        <f>VLOOKUP(K2813,METRICS!D:E,2,0)</f>
        <v>CUSTOS DOS PRODUTOS VENDIDOS</v>
      </c>
    </row>
    <row r="2814" spans="1:12" ht="15" hidden="1">
      <c r="A2814" t="s">
        <v>1806</v>
      </c>
      <c r="B2814" t="s">
        <v>689</v>
      </c>
      <c r="D2814" t="s">
        <v>1419</v>
      </c>
      <c r="E2814" t="str">
        <f t="shared" si="154"/>
        <v>INTERNET REF AO PERIODO</v>
      </c>
      <c r="F2814" t="s">
        <v>1272</v>
      </c>
      <c r="G2814" t="s">
        <v>660</v>
      </c>
      <c r="H2814" s="484">
        <v>-109.9</v>
      </c>
      <c r="I2814" t="str">
        <f t="shared" si="152"/>
        <v>março 2026</v>
      </c>
      <c r="J2814">
        <f t="shared" si="153"/>
        <v>2026</v>
      </c>
      <c r="K2814" t="str">
        <f>VLOOKUP(G2814,METRICS!C:D,2,0)</f>
        <v>Telefone e Internet</v>
      </c>
      <c r="L2814" t="str">
        <f>VLOOKUP(K2814,METRICS!D:E,2,0)</f>
        <v>ADMINISTRATIVA</v>
      </c>
    </row>
    <row r="2815" spans="1:12" ht="15" hidden="1">
      <c r="A2815" t="s">
        <v>1806</v>
      </c>
      <c r="B2815" t="s">
        <v>612</v>
      </c>
      <c r="D2815" t="s">
        <v>2177</v>
      </c>
      <c r="E2815" t="str">
        <f t="shared" si="154"/>
        <v>Compra 1166 (NFe 16530042-16)</v>
      </c>
      <c r="F2815" t="s">
        <v>1272</v>
      </c>
      <c r="G2815" t="s">
        <v>608</v>
      </c>
      <c r="H2815" s="484">
        <v>-2206.21</v>
      </c>
      <c r="I2815" t="str">
        <f t="shared" si="152"/>
        <v>março 2026</v>
      </c>
      <c r="J2815">
        <f t="shared" si="153"/>
        <v>2026</v>
      </c>
      <c r="K2815" t="str">
        <f>VLOOKUP(G2815,METRICS!C:D,2,0)</f>
        <v>Bebidas não Alcoolicas</v>
      </c>
      <c r="L2815" t="str">
        <f>VLOOKUP(K2815,METRICS!D:E,2,0)</f>
        <v>CUSTOS DOS PRODUTOS VENDIDOS</v>
      </c>
    </row>
    <row r="2816" spans="1:12" ht="15" hidden="1">
      <c r="A2816" t="s">
        <v>1806</v>
      </c>
      <c r="B2816" t="s">
        <v>689</v>
      </c>
      <c r="D2816" t="s">
        <v>883</v>
      </c>
      <c r="E2816" t="str">
        <f t="shared" si="154"/>
        <v>Tarifa Pix Recebido Qr Checkout</v>
      </c>
      <c r="F2816" t="s">
        <v>1272</v>
      </c>
      <c r="G2816" t="s">
        <v>669</v>
      </c>
      <c r="H2816" s="484">
        <v>-352.79</v>
      </c>
      <c r="I2816" t="str">
        <f t="shared" si="152"/>
        <v>março 2026</v>
      </c>
      <c r="J2816">
        <f t="shared" si="153"/>
        <v>2026</v>
      </c>
      <c r="K2816" t="str">
        <f>VLOOKUP(G2816,METRICS!C:D,2,0)</f>
        <v>Taxas Financeiras Diversas</v>
      </c>
      <c r="L2816" t="str">
        <f>VLOOKUP(K2816,METRICS!D:E,2,0)</f>
        <v>TAXAS CARTÃO DE CRÉDITO</v>
      </c>
    </row>
    <row r="2817" spans="1:1019 1030:2042 2053:3065 3076:4088 4099:5111 5122:6134 6145:7168 7179:8191 8202:9214 9225:10237 10248:11260 11271:12283 12294:13306 13317:14329 14340:15352 15363:16375" ht="15" hidden="1">
      <c r="A2817" t="s">
        <v>1806</v>
      </c>
      <c r="B2817" t="s">
        <v>612</v>
      </c>
      <c r="D2817" t="s">
        <v>2178</v>
      </c>
      <c r="E2817" t="str">
        <f t="shared" si="154"/>
        <v>Compra 1176 (NFe 21-1)</v>
      </c>
      <c r="F2817" t="s">
        <v>1272</v>
      </c>
      <c r="G2817" t="s">
        <v>609</v>
      </c>
      <c r="H2817" s="484">
        <v>-1646.39</v>
      </c>
      <c r="I2817" t="str">
        <f t="shared" si="152"/>
        <v>março 2026</v>
      </c>
      <c r="J2817">
        <f t="shared" si="153"/>
        <v>2026</v>
      </c>
      <c r="K2817" t="str">
        <f>VLOOKUP(G2817,METRICS!C:D,2,0)</f>
        <v>Carnes e Aves</v>
      </c>
      <c r="L2817" t="str">
        <f>VLOOKUP(K2817,METRICS!D:E,2,0)</f>
        <v>CUSTOS DOS PRODUTOS VENDIDOS</v>
      </c>
    </row>
    <row r="2818" spans="1:1019 1030:2042 2053:3065 3076:4088 4099:5111 5122:6134 6145:7168 7179:8191 8202:9214 9225:10237 10248:11260 11271:12283 12294:13306 13317:14329 14340:15352 15363:16375" ht="15" hidden="1">
      <c r="A2818" t="s">
        <v>1806</v>
      </c>
      <c r="B2818" t="s">
        <v>689</v>
      </c>
      <c r="D2818" s="518" t="s">
        <v>2219</v>
      </c>
      <c r="E2818" t="str">
        <f t="shared" si="154"/>
        <v>ACORDO TRABALHISTA- LEONARDO</v>
      </c>
      <c r="F2818" t="s">
        <v>1272</v>
      </c>
      <c r="G2818" t="s">
        <v>643</v>
      </c>
      <c r="H2818" s="484">
        <v>-9000</v>
      </c>
      <c r="I2818" t="str">
        <f t="shared" si="152"/>
        <v>março 2026</v>
      </c>
      <c r="J2818">
        <f t="shared" si="153"/>
        <v>2026</v>
      </c>
      <c r="K2818" t="str">
        <f>VLOOKUP(G2818,METRICS!C:D,2,0)</f>
        <v>Rescisões Trabalhistas</v>
      </c>
      <c r="L2818" t="str">
        <f>VLOOKUP(K2818,METRICS!D:E,2,0)</f>
        <v>PESSOAL</v>
      </c>
    </row>
    <row r="2819" spans="1:1019 1030:2042 2053:3065 3076:4088 4099:5111 5122:6134 6145:7168 7179:8191 8202:9214 9225:10237 10248:11260 11271:12283 12294:13306 13317:14329 14340:15352 15363:16375" ht="15" hidden="1">
      <c r="A2819" t="s">
        <v>1806</v>
      </c>
      <c r="B2819" t="s">
        <v>612</v>
      </c>
      <c r="C2819" t="s">
        <v>690</v>
      </c>
      <c r="D2819" s="518" t="s">
        <v>612</v>
      </c>
      <c r="E2819" t="s">
        <v>902</v>
      </c>
      <c r="F2819" t="s">
        <v>1272</v>
      </c>
      <c r="G2819" t="s">
        <v>1737</v>
      </c>
      <c r="H2819" s="484">
        <v>-1657.81</v>
      </c>
      <c r="I2819" t="str">
        <f t="shared" ref="I2819" si="155">TEXT(A2819, "mmmm aaaa")</f>
        <v>março 2026</v>
      </c>
      <c r="J2819">
        <f t="shared" ref="J2819" si="156">YEAR(A2819)</f>
        <v>2026</v>
      </c>
      <c r="K2819" t="str">
        <f>VLOOKUP(G2819,METRICS!C:D,2,0)</f>
        <v>Sistema e Software ADM</v>
      </c>
      <c r="L2819" t="str">
        <f>VLOOKUP(K2819,METRICS!D:E,2,0)</f>
        <v>ADMINISTRATIVA</v>
      </c>
    </row>
    <row r="2820" spans="1:1019 1030:2042 2053:3065 3076:4088 4099:5111 5122:6134 6145:7168 7179:8191 8202:9214 9225:10237 10248:11260 11271:12283 12294:13306 13317:14329 14340:15352 15363:16375" ht="15" hidden="1">
      <c r="A2820" t="s">
        <v>1806</v>
      </c>
      <c r="B2820" t="s">
        <v>689</v>
      </c>
      <c r="C2820" t="s">
        <v>690</v>
      </c>
      <c r="D2820" t="s">
        <v>1316</v>
      </c>
      <c r="E2820" t="s">
        <v>1317</v>
      </c>
      <c r="F2820" t="s">
        <v>1272</v>
      </c>
      <c r="G2820" s="484" t="s">
        <v>1318</v>
      </c>
      <c r="H2820" s="484">
        <v>-20565</v>
      </c>
      <c r="I2820" t="str">
        <f t="shared" ref="I2820:I2828" si="157">TEXT(A2820, "mmmm aaaa")</f>
        <v>março 2026</v>
      </c>
      <c r="J2820">
        <f t="shared" ref="J2820:J2828" si="158">YEAR(A2820)</f>
        <v>2026</v>
      </c>
      <c r="K2820" t="str">
        <f>VLOOKUP(G2820,METRICS!C:D,2,0)</f>
        <v>Despesas com Segurança</v>
      </c>
      <c r="L2820" t="str">
        <f>VLOOKUP(K2820,METRICS!D:E,2,0)</f>
        <v>OPERAÇÃO</v>
      </c>
      <c r="R2820" s="484"/>
      <c r="AC2820" s="484"/>
      <c r="AN2820" s="484"/>
      <c r="AY2820" s="484"/>
      <c r="BJ2820" s="484"/>
      <c r="BU2820" s="484"/>
      <c r="CF2820" s="484"/>
      <c r="CQ2820" s="484"/>
      <c r="DB2820" s="484"/>
      <c r="DM2820" s="484"/>
      <c r="DX2820" s="484"/>
      <c r="EI2820" s="484"/>
      <c r="ET2820" s="484"/>
      <c r="FE2820" s="484"/>
      <c r="FP2820" s="484"/>
      <c r="GA2820" s="484"/>
      <c r="GL2820" s="484"/>
      <c r="GW2820" s="484"/>
      <c r="HH2820" s="484"/>
      <c r="HS2820" s="484"/>
      <c r="ID2820" s="484"/>
      <c r="IO2820" s="484"/>
      <c r="IZ2820" s="484"/>
      <c r="JK2820" s="484"/>
      <c r="JV2820" s="484"/>
      <c r="KG2820" s="484"/>
      <c r="KR2820" s="484"/>
      <c r="LC2820" s="484"/>
      <c r="LN2820" s="484"/>
      <c r="LY2820" s="484"/>
      <c r="MJ2820" s="484"/>
      <c r="MU2820" s="484"/>
      <c r="NF2820" s="484"/>
      <c r="NQ2820" s="484"/>
      <c r="OB2820" s="484"/>
      <c r="OM2820" s="484"/>
      <c r="OX2820" s="484"/>
      <c r="PI2820" s="484"/>
      <c r="PT2820" s="484"/>
      <c r="QE2820" s="484"/>
      <c r="QP2820" s="484"/>
      <c r="RA2820" s="484"/>
      <c r="RL2820" s="484"/>
      <c r="RW2820" s="484"/>
      <c r="SH2820" s="484"/>
      <c r="SS2820" s="484"/>
      <c r="TD2820" s="484"/>
      <c r="TO2820" s="484"/>
      <c r="TZ2820" s="484"/>
      <c r="UK2820" s="484"/>
      <c r="UV2820" s="484"/>
      <c r="VG2820" s="484"/>
      <c r="VR2820" s="484"/>
      <c r="WC2820" s="484"/>
      <c r="WN2820" s="484"/>
      <c r="WY2820" s="484"/>
      <c r="XJ2820" s="484"/>
      <c r="XU2820" s="484"/>
      <c r="YF2820" s="484"/>
      <c r="YQ2820" s="484"/>
      <c r="ZB2820" s="484"/>
      <c r="ZM2820" s="484"/>
      <c r="ZX2820" s="484"/>
      <c r="AAI2820" s="484"/>
      <c r="AAT2820" s="484"/>
      <c r="ABE2820" s="484"/>
      <c r="ABP2820" s="484"/>
      <c r="ACA2820" s="484"/>
      <c r="ACL2820" s="484"/>
      <c r="ACW2820" s="484"/>
      <c r="ADH2820" s="484"/>
      <c r="ADS2820" s="484"/>
      <c r="AED2820" s="484"/>
      <c r="AEO2820" s="484"/>
      <c r="AEZ2820" s="484"/>
      <c r="AFK2820" s="484"/>
      <c r="AFV2820" s="484"/>
      <c r="AGG2820" s="484"/>
      <c r="AGR2820" s="484"/>
      <c r="AHC2820" s="484"/>
      <c r="AHN2820" s="484"/>
      <c r="AHY2820" s="484"/>
      <c r="AIJ2820" s="484"/>
      <c r="AIU2820" s="484"/>
      <c r="AJF2820" s="484"/>
      <c r="AJQ2820" s="484"/>
      <c r="AKB2820" s="484"/>
      <c r="AKM2820" s="484"/>
      <c r="AKX2820" s="484"/>
      <c r="ALI2820" s="484"/>
      <c r="ALT2820" s="484"/>
      <c r="AME2820" s="484"/>
      <c r="AMP2820" s="484"/>
      <c r="ANA2820" s="484"/>
      <c r="ANL2820" s="484"/>
      <c r="ANW2820" s="484"/>
      <c r="AOH2820" s="484"/>
      <c r="AOS2820" s="484"/>
      <c r="APD2820" s="484"/>
      <c r="APO2820" s="484"/>
      <c r="APZ2820" s="484"/>
      <c r="AQK2820" s="484"/>
      <c r="AQV2820" s="484"/>
      <c r="ARG2820" s="484"/>
      <c r="ARR2820" s="484"/>
      <c r="ASC2820" s="484"/>
      <c r="ASN2820" s="484"/>
      <c r="ASY2820" s="484"/>
      <c r="ATJ2820" s="484"/>
      <c r="ATU2820" s="484"/>
      <c r="AUF2820" s="484"/>
      <c r="AUQ2820" s="484"/>
      <c r="AVB2820" s="484"/>
      <c r="AVM2820" s="484"/>
      <c r="AVX2820" s="484"/>
      <c r="AWI2820" s="484"/>
      <c r="AWT2820" s="484"/>
      <c r="AXE2820" s="484"/>
      <c r="AXP2820" s="484"/>
      <c r="AYA2820" s="484"/>
      <c r="AYL2820" s="484"/>
      <c r="AYW2820" s="484"/>
      <c r="AZH2820" s="484"/>
      <c r="AZS2820" s="484"/>
      <c r="BAD2820" s="484"/>
      <c r="BAO2820" s="484"/>
      <c r="BAZ2820" s="484"/>
      <c r="BBK2820" s="484"/>
      <c r="BBV2820" s="484"/>
      <c r="BCG2820" s="484"/>
      <c r="BCR2820" s="484"/>
      <c r="BDC2820" s="484"/>
      <c r="BDN2820" s="484"/>
      <c r="BDY2820" s="484"/>
      <c r="BEJ2820" s="484"/>
      <c r="BEU2820" s="484"/>
      <c r="BFF2820" s="484"/>
      <c r="BFQ2820" s="484"/>
      <c r="BGB2820" s="484"/>
      <c r="BGM2820" s="484"/>
      <c r="BGX2820" s="484"/>
      <c r="BHI2820" s="484"/>
      <c r="BHT2820" s="484"/>
      <c r="BIE2820" s="484"/>
      <c r="BIP2820" s="484"/>
      <c r="BJA2820" s="484"/>
      <c r="BJL2820" s="484"/>
      <c r="BJW2820" s="484"/>
      <c r="BKH2820" s="484"/>
      <c r="BKS2820" s="484"/>
      <c r="BLD2820" s="484"/>
      <c r="BLO2820" s="484"/>
      <c r="BLZ2820" s="484"/>
      <c r="BMK2820" s="484"/>
      <c r="BMV2820" s="484"/>
      <c r="BNG2820" s="484"/>
      <c r="BNR2820" s="484"/>
      <c r="BOC2820" s="484"/>
      <c r="BON2820" s="484"/>
      <c r="BOY2820" s="484"/>
      <c r="BPJ2820" s="484"/>
      <c r="BPU2820" s="484"/>
      <c r="BQF2820" s="484"/>
      <c r="BQQ2820" s="484"/>
      <c r="BRB2820" s="484"/>
      <c r="BRM2820" s="484"/>
      <c r="BRX2820" s="484"/>
      <c r="BSI2820" s="484"/>
      <c r="BST2820" s="484"/>
      <c r="BTE2820" s="484"/>
      <c r="BTP2820" s="484"/>
      <c r="BUA2820" s="484"/>
      <c r="BUL2820" s="484"/>
      <c r="BUW2820" s="484"/>
      <c r="BVH2820" s="484"/>
      <c r="BVS2820" s="484"/>
      <c r="BWD2820" s="484"/>
      <c r="BWO2820" s="484"/>
      <c r="BWZ2820" s="484"/>
      <c r="BXK2820" s="484"/>
      <c r="BXV2820" s="484"/>
      <c r="BYG2820" s="484"/>
      <c r="BYR2820" s="484"/>
      <c r="BZC2820" s="484"/>
      <c r="BZN2820" s="484"/>
      <c r="BZY2820" s="484"/>
      <c r="CAJ2820" s="484"/>
      <c r="CAU2820" s="484"/>
      <c r="CBF2820" s="484"/>
      <c r="CBQ2820" s="484"/>
      <c r="CCB2820" s="484"/>
      <c r="CCM2820" s="484"/>
      <c r="CCX2820" s="484"/>
      <c r="CDI2820" s="484"/>
      <c r="CDT2820" s="484"/>
      <c r="CEE2820" s="484"/>
      <c r="CEP2820" s="484"/>
      <c r="CFA2820" s="484"/>
      <c r="CFL2820" s="484"/>
      <c r="CFW2820" s="484"/>
      <c r="CGH2820" s="484"/>
      <c r="CGS2820" s="484"/>
      <c r="CHD2820" s="484"/>
      <c r="CHO2820" s="484"/>
      <c r="CHZ2820" s="484"/>
      <c r="CIK2820" s="484"/>
      <c r="CIV2820" s="484"/>
      <c r="CJG2820" s="484"/>
      <c r="CJR2820" s="484"/>
      <c r="CKC2820" s="484"/>
      <c r="CKN2820" s="484"/>
      <c r="CKY2820" s="484"/>
      <c r="CLJ2820" s="484"/>
      <c r="CLU2820" s="484"/>
      <c r="CMF2820" s="484"/>
      <c r="CMQ2820" s="484"/>
      <c r="CNB2820" s="484"/>
      <c r="CNM2820" s="484"/>
      <c r="CNX2820" s="484"/>
      <c r="COI2820" s="484"/>
      <c r="COT2820" s="484"/>
      <c r="CPE2820" s="484"/>
      <c r="CPP2820" s="484"/>
      <c r="CQA2820" s="484"/>
      <c r="CQL2820" s="484"/>
      <c r="CQW2820" s="484"/>
      <c r="CRH2820" s="484"/>
      <c r="CRS2820" s="484"/>
      <c r="CSD2820" s="484"/>
      <c r="CSO2820" s="484"/>
      <c r="CSZ2820" s="484"/>
      <c r="CTK2820" s="484"/>
      <c r="CTV2820" s="484"/>
      <c r="CUG2820" s="484"/>
      <c r="CUR2820" s="484"/>
      <c r="CVC2820" s="484"/>
      <c r="CVN2820" s="484"/>
      <c r="CVY2820" s="484"/>
      <c r="CWJ2820" s="484"/>
      <c r="CWU2820" s="484"/>
      <c r="CXF2820" s="484"/>
      <c r="CXQ2820" s="484"/>
      <c r="CYB2820" s="484"/>
      <c r="CYM2820" s="484"/>
      <c r="CYX2820" s="484"/>
      <c r="CZI2820" s="484"/>
      <c r="CZT2820" s="484"/>
      <c r="DAE2820" s="484"/>
      <c r="DAP2820" s="484"/>
      <c r="DBA2820" s="484"/>
      <c r="DBL2820" s="484"/>
      <c r="DBW2820" s="484"/>
      <c r="DCH2820" s="484"/>
      <c r="DCS2820" s="484"/>
      <c r="DDD2820" s="484"/>
      <c r="DDO2820" s="484"/>
      <c r="DDZ2820" s="484"/>
      <c r="DEK2820" s="484"/>
      <c r="DEV2820" s="484"/>
      <c r="DFG2820" s="484"/>
      <c r="DFR2820" s="484"/>
      <c r="DGC2820" s="484"/>
      <c r="DGN2820" s="484"/>
      <c r="DGY2820" s="484"/>
      <c r="DHJ2820" s="484"/>
      <c r="DHU2820" s="484"/>
      <c r="DIF2820" s="484"/>
      <c r="DIQ2820" s="484"/>
      <c r="DJB2820" s="484"/>
      <c r="DJM2820" s="484"/>
      <c r="DJX2820" s="484"/>
      <c r="DKI2820" s="484"/>
      <c r="DKT2820" s="484"/>
      <c r="DLE2820" s="484"/>
      <c r="DLP2820" s="484"/>
      <c r="DMA2820" s="484"/>
      <c r="DML2820" s="484"/>
      <c r="DMW2820" s="484"/>
      <c r="DNH2820" s="484"/>
      <c r="DNS2820" s="484"/>
      <c r="DOD2820" s="484"/>
      <c r="DOO2820" s="484"/>
      <c r="DOZ2820" s="484"/>
      <c r="DPK2820" s="484"/>
      <c r="DPV2820" s="484"/>
      <c r="DQG2820" s="484"/>
      <c r="DQR2820" s="484"/>
      <c r="DRC2820" s="484"/>
      <c r="DRN2820" s="484"/>
      <c r="DRY2820" s="484"/>
      <c r="DSJ2820" s="484"/>
      <c r="DSU2820" s="484"/>
      <c r="DTF2820" s="484"/>
      <c r="DTQ2820" s="484"/>
      <c r="DUB2820" s="484"/>
      <c r="DUM2820" s="484"/>
      <c r="DUX2820" s="484"/>
      <c r="DVI2820" s="484"/>
      <c r="DVT2820" s="484"/>
      <c r="DWE2820" s="484"/>
      <c r="DWP2820" s="484"/>
      <c r="DXA2820" s="484"/>
      <c r="DXL2820" s="484"/>
      <c r="DXW2820" s="484"/>
      <c r="DYH2820" s="484"/>
      <c r="DYS2820" s="484"/>
      <c r="DZD2820" s="484"/>
      <c r="DZO2820" s="484"/>
      <c r="DZZ2820" s="484"/>
      <c r="EAK2820" s="484"/>
      <c r="EAV2820" s="484"/>
      <c r="EBG2820" s="484"/>
      <c r="EBR2820" s="484"/>
      <c r="ECC2820" s="484"/>
      <c r="ECN2820" s="484"/>
      <c r="ECY2820" s="484"/>
      <c r="EDJ2820" s="484"/>
      <c r="EDU2820" s="484"/>
      <c r="EEF2820" s="484"/>
      <c r="EEQ2820" s="484"/>
      <c r="EFB2820" s="484"/>
      <c r="EFM2820" s="484"/>
      <c r="EFX2820" s="484"/>
      <c r="EGI2820" s="484"/>
      <c r="EGT2820" s="484"/>
      <c r="EHE2820" s="484"/>
      <c r="EHP2820" s="484"/>
      <c r="EIA2820" s="484"/>
      <c r="EIL2820" s="484"/>
      <c r="EIW2820" s="484"/>
      <c r="EJH2820" s="484"/>
      <c r="EJS2820" s="484"/>
      <c r="EKD2820" s="484"/>
      <c r="EKO2820" s="484"/>
      <c r="EKZ2820" s="484"/>
      <c r="ELK2820" s="484"/>
      <c r="ELV2820" s="484"/>
      <c r="EMG2820" s="484"/>
      <c r="EMR2820" s="484"/>
      <c r="ENC2820" s="484"/>
      <c r="ENN2820" s="484"/>
      <c r="ENY2820" s="484"/>
      <c r="EOJ2820" s="484"/>
      <c r="EOU2820" s="484"/>
      <c r="EPF2820" s="484"/>
      <c r="EPQ2820" s="484"/>
      <c r="EQB2820" s="484"/>
      <c r="EQM2820" s="484"/>
      <c r="EQX2820" s="484"/>
      <c r="ERI2820" s="484"/>
      <c r="ERT2820" s="484"/>
      <c r="ESE2820" s="484"/>
      <c r="ESP2820" s="484"/>
      <c r="ETA2820" s="484"/>
      <c r="ETL2820" s="484"/>
      <c r="ETW2820" s="484"/>
      <c r="EUH2820" s="484"/>
      <c r="EUS2820" s="484"/>
      <c r="EVD2820" s="484"/>
      <c r="EVO2820" s="484"/>
      <c r="EVZ2820" s="484"/>
      <c r="EWK2820" s="484"/>
      <c r="EWV2820" s="484"/>
      <c r="EXG2820" s="484"/>
      <c r="EXR2820" s="484"/>
      <c r="EYC2820" s="484"/>
      <c r="EYN2820" s="484"/>
      <c r="EYY2820" s="484"/>
      <c r="EZJ2820" s="484"/>
      <c r="EZU2820" s="484"/>
      <c r="FAF2820" s="484"/>
      <c r="FAQ2820" s="484"/>
      <c r="FBB2820" s="484"/>
      <c r="FBM2820" s="484"/>
      <c r="FBX2820" s="484"/>
      <c r="FCI2820" s="484"/>
      <c r="FCT2820" s="484"/>
      <c r="FDE2820" s="484"/>
      <c r="FDP2820" s="484"/>
      <c r="FEA2820" s="484"/>
      <c r="FEL2820" s="484"/>
      <c r="FEW2820" s="484"/>
      <c r="FFH2820" s="484"/>
      <c r="FFS2820" s="484"/>
      <c r="FGD2820" s="484"/>
      <c r="FGO2820" s="484"/>
      <c r="FGZ2820" s="484"/>
      <c r="FHK2820" s="484"/>
      <c r="FHV2820" s="484"/>
      <c r="FIG2820" s="484"/>
      <c r="FIR2820" s="484"/>
      <c r="FJC2820" s="484"/>
      <c r="FJN2820" s="484"/>
      <c r="FJY2820" s="484"/>
      <c r="FKJ2820" s="484"/>
      <c r="FKU2820" s="484"/>
      <c r="FLF2820" s="484"/>
      <c r="FLQ2820" s="484"/>
      <c r="FMB2820" s="484"/>
      <c r="FMM2820" s="484"/>
      <c r="FMX2820" s="484"/>
      <c r="FNI2820" s="484"/>
      <c r="FNT2820" s="484"/>
      <c r="FOE2820" s="484"/>
      <c r="FOP2820" s="484"/>
      <c r="FPA2820" s="484"/>
      <c r="FPL2820" s="484"/>
      <c r="FPW2820" s="484"/>
      <c r="FQH2820" s="484"/>
      <c r="FQS2820" s="484"/>
      <c r="FRD2820" s="484"/>
      <c r="FRO2820" s="484"/>
      <c r="FRZ2820" s="484"/>
      <c r="FSK2820" s="484"/>
      <c r="FSV2820" s="484"/>
      <c r="FTG2820" s="484"/>
      <c r="FTR2820" s="484"/>
      <c r="FUC2820" s="484"/>
      <c r="FUN2820" s="484"/>
      <c r="FUY2820" s="484"/>
      <c r="FVJ2820" s="484"/>
      <c r="FVU2820" s="484"/>
      <c r="FWF2820" s="484"/>
      <c r="FWQ2820" s="484"/>
      <c r="FXB2820" s="484"/>
      <c r="FXM2820" s="484"/>
      <c r="FXX2820" s="484"/>
      <c r="FYI2820" s="484"/>
      <c r="FYT2820" s="484"/>
      <c r="FZE2820" s="484"/>
      <c r="FZP2820" s="484"/>
      <c r="GAA2820" s="484"/>
      <c r="GAL2820" s="484"/>
      <c r="GAW2820" s="484"/>
      <c r="GBH2820" s="484"/>
      <c r="GBS2820" s="484"/>
      <c r="GCD2820" s="484"/>
      <c r="GCO2820" s="484"/>
      <c r="GCZ2820" s="484"/>
      <c r="GDK2820" s="484"/>
      <c r="GDV2820" s="484"/>
      <c r="GEG2820" s="484"/>
      <c r="GER2820" s="484"/>
      <c r="GFC2820" s="484"/>
      <c r="GFN2820" s="484"/>
      <c r="GFY2820" s="484"/>
      <c r="GGJ2820" s="484"/>
      <c r="GGU2820" s="484"/>
      <c r="GHF2820" s="484"/>
      <c r="GHQ2820" s="484"/>
      <c r="GIB2820" s="484"/>
      <c r="GIM2820" s="484"/>
      <c r="GIX2820" s="484"/>
      <c r="GJI2820" s="484"/>
      <c r="GJT2820" s="484"/>
      <c r="GKE2820" s="484"/>
      <c r="GKP2820" s="484"/>
      <c r="GLA2820" s="484"/>
      <c r="GLL2820" s="484"/>
      <c r="GLW2820" s="484"/>
      <c r="GMH2820" s="484"/>
      <c r="GMS2820" s="484"/>
      <c r="GND2820" s="484"/>
      <c r="GNO2820" s="484"/>
      <c r="GNZ2820" s="484"/>
      <c r="GOK2820" s="484"/>
      <c r="GOV2820" s="484"/>
      <c r="GPG2820" s="484"/>
      <c r="GPR2820" s="484"/>
      <c r="GQC2820" s="484"/>
      <c r="GQN2820" s="484"/>
      <c r="GQY2820" s="484"/>
      <c r="GRJ2820" s="484"/>
      <c r="GRU2820" s="484"/>
      <c r="GSF2820" s="484"/>
      <c r="GSQ2820" s="484"/>
      <c r="GTB2820" s="484"/>
      <c r="GTM2820" s="484"/>
      <c r="GTX2820" s="484"/>
      <c r="GUI2820" s="484"/>
      <c r="GUT2820" s="484"/>
      <c r="GVE2820" s="484"/>
      <c r="GVP2820" s="484"/>
      <c r="GWA2820" s="484"/>
      <c r="GWL2820" s="484"/>
      <c r="GWW2820" s="484"/>
      <c r="GXH2820" s="484"/>
      <c r="GXS2820" s="484"/>
      <c r="GYD2820" s="484"/>
      <c r="GYO2820" s="484"/>
      <c r="GYZ2820" s="484"/>
      <c r="GZK2820" s="484"/>
      <c r="GZV2820" s="484"/>
      <c r="HAG2820" s="484"/>
      <c r="HAR2820" s="484"/>
      <c r="HBC2820" s="484"/>
      <c r="HBN2820" s="484"/>
      <c r="HBY2820" s="484"/>
      <c r="HCJ2820" s="484"/>
      <c r="HCU2820" s="484"/>
      <c r="HDF2820" s="484"/>
      <c r="HDQ2820" s="484"/>
      <c r="HEB2820" s="484"/>
      <c r="HEM2820" s="484"/>
      <c r="HEX2820" s="484"/>
      <c r="HFI2820" s="484"/>
      <c r="HFT2820" s="484"/>
      <c r="HGE2820" s="484"/>
      <c r="HGP2820" s="484"/>
      <c r="HHA2820" s="484"/>
      <c r="HHL2820" s="484"/>
      <c r="HHW2820" s="484"/>
      <c r="HIH2820" s="484"/>
      <c r="HIS2820" s="484"/>
      <c r="HJD2820" s="484"/>
      <c r="HJO2820" s="484"/>
      <c r="HJZ2820" s="484"/>
      <c r="HKK2820" s="484"/>
      <c r="HKV2820" s="484"/>
      <c r="HLG2820" s="484"/>
      <c r="HLR2820" s="484"/>
      <c r="HMC2820" s="484"/>
      <c r="HMN2820" s="484"/>
      <c r="HMY2820" s="484"/>
      <c r="HNJ2820" s="484"/>
      <c r="HNU2820" s="484"/>
      <c r="HOF2820" s="484"/>
      <c r="HOQ2820" s="484"/>
      <c r="HPB2820" s="484"/>
      <c r="HPM2820" s="484"/>
      <c r="HPX2820" s="484"/>
      <c r="HQI2820" s="484"/>
      <c r="HQT2820" s="484"/>
      <c r="HRE2820" s="484"/>
      <c r="HRP2820" s="484"/>
      <c r="HSA2820" s="484"/>
      <c r="HSL2820" s="484"/>
      <c r="HSW2820" s="484"/>
      <c r="HTH2820" s="484"/>
      <c r="HTS2820" s="484"/>
      <c r="HUD2820" s="484"/>
      <c r="HUO2820" s="484"/>
      <c r="HUZ2820" s="484"/>
      <c r="HVK2820" s="484"/>
      <c r="HVV2820" s="484"/>
      <c r="HWG2820" s="484"/>
      <c r="HWR2820" s="484"/>
      <c r="HXC2820" s="484"/>
      <c r="HXN2820" s="484"/>
      <c r="HXY2820" s="484"/>
      <c r="HYJ2820" s="484"/>
      <c r="HYU2820" s="484"/>
      <c r="HZF2820" s="484"/>
      <c r="HZQ2820" s="484"/>
      <c r="IAB2820" s="484"/>
      <c r="IAM2820" s="484"/>
      <c r="IAX2820" s="484"/>
      <c r="IBI2820" s="484"/>
      <c r="IBT2820" s="484"/>
      <c r="ICE2820" s="484"/>
      <c r="ICP2820" s="484"/>
      <c r="IDA2820" s="484"/>
      <c r="IDL2820" s="484"/>
      <c r="IDW2820" s="484"/>
      <c r="IEH2820" s="484"/>
      <c r="IES2820" s="484"/>
      <c r="IFD2820" s="484"/>
      <c r="IFO2820" s="484"/>
      <c r="IFZ2820" s="484"/>
      <c r="IGK2820" s="484"/>
      <c r="IGV2820" s="484"/>
      <c r="IHG2820" s="484"/>
      <c r="IHR2820" s="484"/>
      <c r="IIC2820" s="484"/>
      <c r="IIN2820" s="484"/>
      <c r="IIY2820" s="484"/>
      <c r="IJJ2820" s="484"/>
      <c r="IJU2820" s="484"/>
      <c r="IKF2820" s="484"/>
      <c r="IKQ2820" s="484"/>
      <c r="ILB2820" s="484"/>
      <c r="ILM2820" s="484"/>
      <c r="ILX2820" s="484"/>
      <c r="IMI2820" s="484"/>
      <c r="IMT2820" s="484"/>
      <c r="INE2820" s="484"/>
      <c r="INP2820" s="484"/>
      <c r="IOA2820" s="484"/>
      <c r="IOL2820" s="484"/>
      <c r="IOW2820" s="484"/>
      <c r="IPH2820" s="484"/>
      <c r="IPS2820" s="484"/>
      <c r="IQD2820" s="484"/>
      <c r="IQO2820" s="484"/>
      <c r="IQZ2820" s="484"/>
      <c r="IRK2820" s="484"/>
      <c r="IRV2820" s="484"/>
      <c r="ISG2820" s="484"/>
      <c r="ISR2820" s="484"/>
      <c r="ITC2820" s="484"/>
      <c r="ITN2820" s="484"/>
      <c r="ITY2820" s="484"/>
      <c r="IUJ2820" s="484"/>
      <c r="IUU2820" s="484"/>
      <c r="IVF2820" s="484"/>
      <c r="IVQ2820" s="484"/>
      <c r="IWB2820" s="484"/>
      <c r="IWM2820" s="484"/>
      <c r="IWX2820" s="484"/>
      <c r="IXI2820" s="484"/>
      <c r="IXT2820" s="484"/>
      <c r="IYE2820" s="484"/>
      <c r="IYP2820" s="484"/>
      <c r="IZA2820" s="484"/>
      <c r="IZL2820" s="484"/>
      <c r="IZW2820" s="484"/>
      <c r="JAH2820" s="484"/>
      <c r="JAS2820" s="484"/>
      <c r="JBD2820" s="484"/>
      <c r="JBO2820" s="484"/>
      <c r="JBZ2820" s="484"/>
      <c r="JCK2820" s="484"/>
      <c r="JCV2820" s="484"/>
      <c r="JDG2820" s="484"/>
      <c r="JDR2820" s="484"/>
      <c r="JEC2820" s="484"/>
      <c r="JEN2820" s="484"/>
      <c r="JEY2820" s="484"/>
      <c r="JFJ2820" s="484"/>
      <c r="JFU2820" s="484"/>
      <c r="JGF2820" s="484"/>
      <c r="JGQ2820" s="484"/>
      <c r="JHB2820" s="484"/>
      <c r="JHM2820" s="484"/>
      <c r="JHX2820" s="484"/>
      <c r="JII2820" s="484"/>
      <c r="JIT2820" s="484"/>
      <c r="JJE2820" s="484"/>
      <c r="JJP2820" s="484"/>
      <c r="JKA2820" s="484"/>
      <c r="JKL2820" s="484"/>
      <c r="JKW2820" s="484"/>
      <c r="JLH2820" s="484"/>
      <c r="JLS2820" s="484"/>
      <c r="JMD2820" s="484"/>
      <c r="JMO2820" s="484"/>
      <c r="JMZ2820" s="484"/>
      <c r="JNK2820" s="484"/>
      <c r="JNV2820" s="484"/>
      <c r="JOG2820" s="484"/>
      <c r="JOR2820" s="484"/>
      <c r="JPC2820" s="484"/>
      <c r="JPN2820" s="484"/>
      <c r="JPY2820" s="484"/>
      <c r="JQJ2820" s="484"/>
      <c r="JQU2820" s="484"/>
      <c r="JRF2820" s="484"/>
      <c r="JRQ2820" s="484"/>
      <c r="JSB2820" s="484"/>
      <c r="JSM2820" s="484"/>
      <c r="JSX2820" s="484"/>
      <c r="JTI2820" s="484"/>
      <c r="JTT2820" s="484"/>
      <c r="JUE2820" s="484"/>
      <c r="JUP2820" s="484"/>
      <c r="JVA2820" s="484"/>
      <c r="JVL2820" s="484"/>
      <c r="JVW2820" s="484"/>
      <c r="JWH2820" s="484"/>
      <c r="JWS2820" s="484"/>
      <c r="JXD2820" s="484"/>
      <c r="JXO2820" s="484"/>
      <c r="JXZ2820" s="484"/>
      <c r="JYK2820" s="484"/>
      <c r="JYV2820" s="484"/>
      <c r="JZG2820" s="484"/>
      <c r="JZR2820" s="484"/>
      <c r="KAC2820" s="484"/>
      <c r="KAN2820" s="484"/>
      <c r="KAY2820" s="484"/>
      <c r="KBJ2820" s="484"/>
      <c r="KBU2820" s="484"/>
      <c r="KCF2820" s="484"/>
      <c r="KCQ2820" s="484"/>
      <c r="KDB2820" s="484"/>
      <c r="KDM2820" s="484"/>
      <c r="KDX2820" s="484"/>
      <c r="KEI2820" s="484"/>
      <c r="KET2820" s="484"/>
      <c r="KFE2820" s="484"/>
      <c r="KFP2820" s="484"/>
      <c r="KGA2820" s="484"/>
      <c r="KGL2820" s="484"/>
      <c r="KGW2820" s="484"/>
      <c r="KHH2820" s="484"/>
      <c r="KHS2820" s="484"/>
      <c r="KID2820" s="484"/>
      <c r="KIO2820" s="484"/>
      <c r="KIZ2820" s="484"/>
      <c r="KJK2820" s="484"/>
      <c r="KJV2820" s="484"/>
      <c r="KKG2820" s="484"/>
      <c r="KKR2820" s="484"/>
      <c r="KLC2820" s="484"/>
      <c r="KLN2820" s="484"/>
      <c r="KLY2820" s="484"/>
      <c r="KMJ2820" s="484"/>
      <c r="KMU2820" s="484"/>
      <c r="KNF2820" s="484"/>
      <c r="KNQ2820" s="484"/>
      <c r="KOB2820" s="484"/>
      <c r="KOM2820" s="484"/>
      <c r="KOX2820" s="484"/>
      <c r="KPI2820" s="484"/>
      <c r="KPT2820" s="484"/>
      <c r="KQE2820" s="484"/>
      <c r="KQP2820" s="484"/>
      <c r="KRA2820" s="484"/>
      <c r="KRL2820" s="484"/>
      <c r="KRW2820" s="484"/>
      <c r="KSH2820" s="484"/>
      <c r="KSS2820" s="484"/>
      <c r="KTD2820" s="484"/>
      <c r="KTO2820" s="484"/>
      <c r="KTZ2820" s="484"/>
      <c r="KUK2820" s="484"/>
      <c r="KUV2820" s="484"/>
      <c r="KVG2820" s="484"/>
      <c r="KVR2820" s="484"/>
      <c r="KWC2820" s="484"/>
      <c r="KWN2820" s="484"/>
      <c r="KWY2820" s="484"/>
      <c r="KXJ2820" s="484"/>
      <c r="KXU2820" s="484"/>
      <c r="KYF2820" s="484"/>
      <c r="KYQ2820" s="484"/>
      <c r="KZB2820" s="484"/>
      <c r="KZM2820" s="484"/>
      <c r="KZX2820" s="484"/>
      <c r="LAI2820" s="484"/>
      <c r="LAT2820" s="484"/>
      <c r="LBE2820" s="484"/>
      <c r="LBP2820" s="484"/>
      <c r="LCA2820" s="484"/>
      <c r="LCL2820" s="484"/>
      <c r="LCW2820" s="484"/>
      <c r="LDH2820" s="484"/>
      <c r="LDS2820" s="484"/>
      <c r="LED2820" s="484"/>
      <c r="LEO2820" s="484"/>
      <c r="LEZ2820" s="484"/>
      <c r="LFK2820" s="484"/>
      <c r="LFV2820" s="484"/>
      <c r="LGG2820" s="484"/>
      <c r="LGR2820" s="484"/>
      <c r="LHC2820" s="484"/>
      <c r="LHN2820" s="484"/>
      <c r="LHY2820" s="484"/>
      <c r="LIJ2820" s="484"/>
      <c r="LIU2820" s="484"/>
      <c r="LJF2820" s="484"/>
      <c r="LJQ2820" s="484"/>
      <c r="LKB2820" s="484"/>
      <c r="LKM2820" s="484"/>
      <c r="LKX2820" s="484"/>
      <c r="LLI2820" s="484"/>
      <c r="LLT2820" s="484"/>
      <c r="LME2820" s="484"/>
      <c r="LMP2820" s="484"/>
      <c r="LNA2820" s="484"/>
      <c r="LNL2820" s="484"/>
      <c r="LNW2820" s="484"/>
      <c r="LOH2820" s="484"/>
      <c r="LOS2820" s="484"/>
      <c r="LPD2820" s="484"/>
      <c r="LPO2820" s="484"/>
      <c r="LPZ2820" s="484"/>
      <c r="LQK2820" s="484"/>
      <c r="LQV2820" s="484"/>
      <c r="LRG2820" s="484"/>
      <c r="LRR2820" s="484"/>
      <c r="LSC2820" s="484"/>
      <c r="LSN2820" s="484"/>
      <c r="LSY2820" s="484"/>
      <c r="LTJ2820" s="484"/>
      <c r="LTU2820" s="484"/>
      <c r="LUF2820" s="484"/>
      <c r="LUQ2820" s="484"/>
      <c r="LVB2820" s="484"/>
      <c r="LVM2820" s="484"/>
      <c r="LVX2820" s="484"/>
      <c r="LWI2820" s="484"/>
      <c r="LWT2820" s="484"/>
      <c r="LXE2820" s="484"/>
      <c r="LXP2820" s="484"/>
      <c r="LYA2820" s="484"/>
      <c r="LYL2820" s="484"/>
      <c r="LYW2820" s="484"/>
      <c r="LZH2820" s="484"/>
      <c r="LZS2820" s="484"/>
      <c r="MAD2820" s="484"/>
      <c r="MAO2820" s="484"/>
      <c r="MAZ2820" s="484"/>
      <c r="MBK2820" s="484"/>
      <c r="MBV2820" s="484"/>
      <c r="MCG2820" s="484"/>
      <c r="MCR2820" s="484"/>
      <c r="MDC2820" s="484"/>
      <c r="MDN2820" s="484"/>
      <c r="MDY2820" s="484"/>
      <c r="MEJ2820" s="484"/>
      <c r="MEU2820" s="484"/>
      <c r="MFF2820" s="484"/>
      <c r="MFQ2820" s="484"/>
      <c r="MGB2820" s="484"/>
      <c r="MGM2820" s="484"/>
      <c r="MGX2820" s="484"/>
      <c r="MHI2820" s="484"/>
      <c r="MHT2820" s="484"/>
      <c r="MIE2820" s="484"/>
      <c r="MIP2820" s="484"/>
      <c r="MJA2820" s="484"/>
      <c r="MJL2820" s="484"/>
      <c r="MJW2820" s="484"/>
      <c r="MKH2820" s="484"/>
      <c r="MKS2820" s="484"/>
      <c r="MLD2820" s="484"/>
      <c r="MLO2820" s="484"/>
      <c r="MLZ2820" s="484"/>
      <c r="MMK2820" s="484"/>
      <c r="MMV2820" s="484"/>
      <c r="MNG2820" s="484"/>
      <c r="MNR2820" s="484"/>
      <c r="MOC2820" s="484"/>
      <c r="MON2820" s="484"/>
      <c r="MOY2820" s="484"/>
      <c r="MPJ2820" s="484"/>
      <c r="MPU2820" s="484"/>
      <c r="MQF2820" s="484"/>
      <c r="MQQ2820" s="484"/>
      <c r="MRB2820" s="484"/>
      <c r="MRM2820" s="484"/>
      <c r="MRX2820" s="484"/>
      <c r="MSI2820" s="484"/>
      <c r="MST2820" s="484"/>
      <c r="MTE2820" s="484"/>
      <c r="MTP2820" s="484"/>
      <c r="MUA2820" s="484"/>
      <c r="MUL2820" s="484"/>
      <c r="MUW2820" s="484"/>
      <c r="MVH2820" s="484"/>
      <c r="MVS2820" s="484"/>
      <c r="MWD2820" s="484"/>
      <c r="MWO2820" s="484"/>
      <c r="MWZ2820" s="484"/>
      <c r="MXK2820" s="484"/>
      <c r="MXV2820" s="484"/>
      <c r="MYG2820" s="484"/>
      <c r="MYR2820" s="484"/>
      <c r="MZC2820" s="484"/>
      <c r="MZN2820" s="484"/>
      <c r="MZY2820" s="484"/>
      <c r="NAJ2820" s="484"/>
      <c r="NAU2820" s="484"/>
      <c r="NBF2820" s="484"/>
      <c r="NBQ2820" s="484"/>
      <c r="NCB2820" s="484"/>
      <c r="NCM2820" s="484"/>
      <c r="NCX2820" s="484"/>
      <c r="NDI2820" s="484"/>
      <c r="NDT2820" s="484"/>
      <c r="NEE2820" s="484"/>
      <c r="NEP2820" s="484"/>
      <c r="NFA2820" s="484"/>
      <c r="NFL2820" s="484"/>
      <c r="NFW2820" s="484"/>
      <c r="NGH2820" s="484"/>
      <c r="NGS2820" s="484"/>
      <c r="NHD2820" s="484"/>
      <c r="NHO2820" s="484"/>
      <c r="NHZ2820" s="484"/>
      <c r="NIK2820" s="484"/>
      <c r="NIV2820" s="484"/>
      <c r="NJG2820" s="484"/>
      <c r="NJR2820" s="484"/>
      <c r="NKC2820" s="484"/>
      <c r="NKN2820" s="484"/>
      <c r="NKY2820" s="484"/>
      <c r="NLJ2820" s="484"/>
      <c r="NLU2820" s="484"/>
      <c r="NMF2820" s="484"/>
      <c r="NMQ2820" s="484"/>
      <c r="NNB2820" s="484"/>
      <c r="NNM2820" s="484"/>
      <c r="NNX2820" s="484"/>
      <c r="NOI2820" s="484"/>
      <c r="NOT2820" s="484"/>
      <c r="NPE2820" s="484"/>
      <c r="NPP2820" s="484"/>
      <c r="NQA2820" s="484"/>
      <c r="NQL2820" s="484"/>
      <c r="NQW2820" s="484"/>
      <c r="NRH2820" s="484"/>
      <c r="NRS2820" s="484"/>
      <c r="NSD2820" s="484"/>
      <c r="NSO2820" s="484"/>
      <c r="NSZ2820" s="484"/>
      <c r="NTK2820" s="484"/>
      <c r="NTV2820" s="484"/>
      <c r="NUG2820" s="484"/>
      <c r="NUR2820" s="484"/>
      <c r="NVC2820" s="484"/>
      <c r="NVN2820" s="484"/>
      <c r="NVY2820" s="484"/>
      <c r="NWJ2820" s="484"/>
      <c r="NWU2820" s="484"/>
      <c r="NXF2820" s="484"/>
      <c r="NXQ2820" s="484"/>
      <c r="NYB2820" s="484"/>
      <c r="NYM2820" s="484"/>
      <c r="NYX2820" s="484"/>
      <c r="NZI2820" s="484"/>
      <c r="NZT2820" s="484"/>
      <c r="OAE2820" s="484"/>
      <c r="OAP2820" s="484"/>
      <c r="OBA2820" s="484"/>
      <c r="OBL2820" s="484"/>
      <c r="OBW2820" s="484"/>
      <c r="OCH2820" s="484"/>
      <c r="OCS2820" s="484"/>
      <c r="ODD2820" s="484"/>
      <c r="ODO2820" s="484"/>
      <c r="ODZ2820" s="484"/>
      <c r="OEK2820" s="484"/>
      <c r="OEV2820" s="484"/>
      <c r="OFG2820" s="484"/>
      <c r="OFR2820" s="484"/>
      <c r="OGC2820" s="484"/>
      <c r="OGN2820" s="484"/>
      <c r="OGY2820" s="484"/>
      <c r="OHJ2820" s="484"/>
      <c r="OHU2820" s="484"/>
      <c r="OIF2820" s="484"/>
      <c r="OIQ2820" s="484"/>
      <c r="OJB2820" s="484"/>
      <c r="OJM2820" s="484"/>
      <c r="OJX2820" s="484"/>
      <c r="OKI2820" s="484"/>
      <c r="OKT2820" s="484"/>
      <c r="OLE2820" s="484"/>
      <c r="OLP2820" s="484"/>
      <c r="OMA2820" s="484"/>
      <c r="OML2820" s="484"/>
      <c r="OMW2820" s="484"/>
      <c r="ONH2820" s="484"/>
      <c r="ONS2820" s="484"/>
      <c r="OOD2820" s="484"/>
      <c r="OOO2820" s="484"/>
      <c r="OOZ2820" s="484"/>
      <c r="OPK2820" s="484"/>
      <c r="OPV2820" s="484"/>
      <c r="OQG2820" s="484"/>
      <c r="OQR2820" s="484"/>
      <c r="ORC2820" s="484"/>
      <c r="ORN2820" s="484"/>
      <c r="ORY2820" s="484"/>
      <c r="OSJ2820" s="484"/>
      <c r="OSU2820" s="484"/>
      <c r="OTF2820" s="484"/>
      <c r="OTQ2820" s="484"/>
      <c r="OUB2820" s="484"/>
      <c r="OUM2820" s="484"/>
      <c r="OUX2820" s="484"/>
      <c r="OVI2820" s="484"/>
      <c r="OVT2820" s="484"/>
      <c r="OWE2820" s="484"/>
      <c r="OWP2820" s="484"/>
      <c r="OXA2820" s="484"/>
      <c r="OXL2820" s="484"/>
      <c r="OXW2820" s="484"/>
      <c r="OYH2820" s="484"/>
      <c r="OYS2820" s="484"/>
      <c r="OZD2820" s="484"/>
      <c r="OZO2820" s="484"/>
      <c r="OZZ2820" s="484"/>
      <c r="PAK2820" s="484"/>
      <c r="PAV2820" s="484"/>
      <c r="PBG2820" s="484"/>
      <c r="PBR2820" s="484"/>
      <c r="PCC2820" s="484"/>
      <c r="PCN2820" s="484"/>
      <c r="PCY2820" s="484"/>
      <c r="PDJ2820" s="484"/>
      <c r="PDU2820" s="484"/>
      <c r="PEF2820" s="484"/>
      <c r="PEQ2820" s="484"/>
      <c r="PFB2820" s="484"/>
      <c r="PFM2820" s="484"/>
      <c r="PFX2820" s="484"/>
      <c r="PGI2820" s="484"/>
      <c r="PGT2820" s="484"/>
      <c r="PHE2820" s="484"/>
      <c r="PHP2820" s="484"/>
      <c r="PIA2820" s="484"/>
      <c r="PIL2820" s="484"/>
      <c r="PIW2820" s="484"/>
      <c r="PJH2820" s="484"/>
      <c r="PJS2820" s="484"/>
      <c r="PKD2820" s="484"/>
      <c r="PKO2820" s="484"/>
      <c r="PKZ2820" s="484"/>
      <c r="PLK2820" s="484"/>
      <c r="PLV2820" s="484"/>
      <c r="PMG2820" s="484"/>
      <c r="PMR2820" s="484"/>
      <c r="PNC2820" s="484"/>
      <c r="PNN2820" s="484"/>
      <c r="PNY2820" s="484"/>
      <c r="POJ2820" s="484"/>
      <c r="POU2820" s="484"/>
      <c r="PPF2820" s="484"/>
      <c r="PPQ2820" s="484"/>
      <c r="PQB2820" s="484"/>
      <c r="PQM2820" s="484"/>
      <c r="PQX2820" s="484"/>
      <c r="PRI2820" s="484"/>
      <c r="PRT2820" s="484"/>
      <c r="PSE2820" s="484"/>
      <c r="PSP2820" s="484"/>
      <c r="PTA2820" s="484"/>
      <c r="PTL2820" s="484"/>
      <c r="PTW2820" s="484"/>
      <c r="PUH2820" s="484"/>
      <c r="PUS2820" s="484"/>
      <c r="PVD2820" s="484"/>
      <c r="PVO2820" s="484"/>
      <c r="PVZ2820" s="484"/>
      <c r="PWK2820" s="484"/>
      <c r="PWV2820" s="484"/>
      <c r="PXG2820" s="484"/>
      <c r="PXR2820" s="484"/>
      <c r="PYC2820" s="484"/>
      <c r="PYN2820" s="484"/>
      <c r="PYY2820" s="484"/>
      <c r="PZJ2820" s="484"/>
      <c r="PZU2820" s="484"/>
      <c r="QAF2820" s="484"/>
      <c r="QAQ2820" s="484"/>
      <c r="QBB2820" s="484"/>
      <c r="QBM2820" s="484"/>
      <c r="QBX2820" s="484"/>
      <c r="QCI2820" s="484"/>
      <c r="QCT2820" s="484"/>
      <c r="QDE2820" s="484"/>
      <c r="QDP2820" s="484"/>
      <c r="QEA2820" s="484"/>
      <c r="QEL2820" s="484"/>
      <c r="QEW2820" s="484"/>
      <c r="QFH2820" s="484"/>
      <c r="QFS2820" s="484"/>
      <c r="QGD2820" s="484"/>
      <c r="QGO2820" s="484"/>
      <c r="QGZ2820" s="484"/>
      <c r="QHK2820" s="484"/>
      <c r="QHV2820" s="484"/>
      <c r="QIG2820" s="484"/>
      <c r="QIR2820" s="484"/>
      <c r="QJC2820" s="484"/>
      <c r="QJN2820" s="484"/>
      <c r="QJY2820" s="484"/>
      <c r="QKJ2820" s="484"/>
      <c r="QKU2820" s="484"/>
      <c r="QLF2820" s="484"/>
      <c r="QLQ2820" s="484"/>
      <c r="QMB2820" s="484"/>
      <c r="QMM2820" s="484"/>
      <c r="QMX2820" s="484"/>
      <c r="QNI2820" s="484"/>
      <c r="QNT2820" s="484"/>
      <c r="QOE2820" s="484"/>
      <c r="QOP2820" s="484"/>
      <c r="QPA2820" s="484"/>
      <c r="QPL2820" s="484"/>
      <c r="QPW2820" s="484"/>
      <c r="QQH2820" s="484"/>
      <c r="QQS2820" s="484"/>
      <c r="QRD2820" s="484"/>
      <c r="QRO2820" s="484"/>
      <c r="QRZ2820" s="484"/>
      <c r="QSK2820" s="484"/>
      <c r="QSV2820" s="484"/>
      <c r="QTG2820" s="484"/>
      <c r="QTR2820" s="484"/>
      <c r="QUC2820" s="484"/>
      <c r="QUN2820" s="484"/>
      <c r="QUY2820" s="484"/>
      <c r="QVJ2820" s="484"/>
      <c r="QVU2820" s="484"/>
      <c r="QWF2820" s="484"/>
      <c r="QWQ2820" s="484"/>
      <c r="QXB2820" s="484"/>
      <c r="QXM2820" s="484"/>
      <c r="QXX2820" s="484"/>
      <c r="QYI2820" s="484"/>
      <c r="QYT2820" s="484"/>
      <c r="QZE2820" s="484"/>
      <c r="QZP2820" s="484"/>
      <c r="RAA2820" s="484"/>
      <c r="RAL2820" s="484"/>
      <c r="RAW2820" s="484"/>
      <c r="RBH2820" s="484"/>
      <c r="RBS2820" s="484"/>
      <c r="RCD2820" s="484"/>
      <c r="RCO2820" s="484"/>
      <c r="RCZ2820" s="484"/>
      <c r="RDK2820" s="484"/>
      <c r="RDV2820" s="484"/>
      <c r="REG2820" s="484"/>
      <c r="RER2820" s="484"/>
      <c r="RFC2820" s="484"/>
      <c r="RFN2820" s="484"/>
      <c r="RFY2820" s="484"/>
      <c r="RGJ2820" s="484"/>
      <c r="RGU2820" s="484"/>
      <c r="RHF2820" s="484"/>
      <c r="RHQ2820" s="484"/>
      <c r="RIB2820" s="484"/>
      <c r="RIM2820" s="484"/>
      <c r="RIX2820" s="484"/>
      <c r="RJI2820" s="484"/>
      <c r="RJT2820" s="484"/>
      <c r="RKE2820" s="484"/>
      <c r="RKP2820" s="484"/>
      <c r="RLA2820" s="484"/>
      <c r="RLL2820" s="484"/>
      <c r="RLW2820" s="484"/>
      <c r="RMH2820" s="484"/>
      <c r="RMS2820" s="484"/>
      <c r="RND2820" s="484"/>
      <c r="RNO2820" s="484"/>
      <c r="RNZ2820" s="484"/>
      <c r="ROK2820" s="484"/>
      <c r="ROV2820" s="484"/>
      <c r="RPG2820" s="484"/>
      <c r="RPR2820" s="484"/>
      <c r="RQC2820" s="484"/>
      <c r="RQN2820" s="484"/>
      <c r="RQY2820" s="484"/>
      <c r="RRJ2820" s="484"/>
      <c r="RRU2820" s="484"/>
      <c r="RSF2820" s="484"/>
      <c r="RSQ2820" s="484"/>
      <c r="RTB2820" s="484"/>
      <c r="RTM2820" s="484"/>
      <c r="RTX2820" s="484"/>
      <c r="RUI2820" s="484"/>
      <c r="RUT2820" s="484"/>
      <c r="RVE2820" s="484"/>
      <c r="RVP2820" s="484"/>
      <c r="RWA2820" s="484"/>
      <c r="RWL2820" s="484"/>
      <c r="RWW2820" s="484"/>
      <c r="RXH2820" s="484"/>
      <c r="RXS2820" s="484"/>
      <c r="RYD2820" s="484"/>
      <c r="RYO2820" s="484"/>
      <c r="RYZ2820" s="484"/>
      <c r="RZK2820" s="484"/>
      <c r="RZV2820" s="484"/>
      <c r="SAG2820" s="484"/>
      <c r="SAR2820" s="484"/>
      <c r="SBC2820" s="484"/>
      <c r="SBN2820" s="484"/>
      <c r="SBY2820" s="484"/>
      <c r="SCJ2820" s="484"/>
      <c r="SCU2820" s="484"/>
      <c r="SDF2820" s="484"/>
      <c r="SDQ2820" s="484"/>
      <c r="SEB2820" s="484"/>
      <c r="SEM2820" s="484"/>
      <c r="SEX2820" s="484"/>
      <c r="SFI2820" s="484"/>
      <c r="SFT2820" s="484"/>
      <c r="SGE2820" s="484"/>
      <c r="SGP2820" s="484"/>
      <c r="SHA2820" s="484"/>
      <c r="SHL2820" s="484"/>
      <c r="SHW2820" s="484"/>
      <c r="SIH2820" s="484"/>
      <c r="SIS2820" s="484"/>
      <c r="SJD2820" s="484"/>
      <c r="SJO2820" s="484"/>
      <c r="SJZ2820" s="484"/>
      <c r="SKK2820" s="484"/>
      <c r="SKV2820" s="484"/>
      <c r="SLG2820" s="484"/>
      <c r="SLR2820" s="484"/>
      <c r="SMC2820" s="484"/>
      <c r="SMN2820" s="484"/>
      <c r="SMY2820" s="484"/>
      <c r="SNJ2820" s="484"/>
      <c r="SNU2820" s="484"/>
      <c r="SOF2820" s="484"/>
      <c r="SOQ2820" s="484"/>
      <c r="SPB2820" s="484"/>
      <c r="SPM2820" s="484"/>
      <c r="SPX2820" s="484"/>
      <c r="SQI2820" s="484"/>
      <c r="SQT2820" s="484"/>
      <c r="SRE2820" s="484"/>
      <c r="SRP2820" s="484"/>
      <c r="SSA2820" s="484"/>
      <c r="SSL2820" s="484"/>
      <c r="SSW2820" s="484"/>
      <c r="STH2820" s="484"/>
      <c r="STS2820" s="484"/>
      <c r="SUD2820" s="484"/>
      <c r="SUO2820" s="484"/>
      <c r="SUZ2820" s="484"/>
      <c r="SVK2820" s="484"/>
      <c r="SVV2820" s="484"/>
      <c r="SWG2820" s="484"/>
      <c r="SWR2820" s="484"/>
      <c r="SXC2820" s="484"/>
      <c r="SXN2820" s="484"/>
      <c r="SXY2820" s="484"/>
      <c r="SYJ2820" s="484"/>
      <c r="SYU2820" s="484"/>
      <c r="SZF2820" s="484"/>
      <c r="SZQ2820" s="484"/>
      <c r="TAB2820" s="484"/>
      <c r="TAM2820" s="484"/>
      <c r="TAX2820" s="484"/>
      <c r="TBI2820" s="484"/>
      <c r="TBT2820" s="484"/>
      <c r="TCE2820" s="484"/>
      <c r="TCP2820" s="484"/>
      <c r="TDA2820" s="484"/>
      <c r="TDL2820" s="484"/>
      <c r="TDW2820" s="484"/>
      <c r="TEH2820" s="484"/>
      <c r="TES2820" s="484"/>
      <c r="TFD2820" s="484"/>
      <c r="TFO2820" s="484"/>
      <c r="TFZ2820" s="484"/>
      <c r="TGK2820" s="484"/>
      <c r="TGV2820" s="484"/>
      <c r="THG2820" s="484"/>
      <c r="THR2820" s="484"/>
      <c r="TIC2820" s="484"/>
      <c r="TIN2820" s="484"/>
      <c r="TIY2820" s="484"/>
      <c r="TJJ2820" s="484"/>
      <c r="TJU2820" s="484"/>
      <c r="TKF2820" s="484"/>
      <c r="TKQ2820" s="484"/>
      <c r="TLB2820" s="484"/>
      <c r="TLM2820" s="484"/>
      <c r="TLX2820" s="484"/>
      <c r="TMI2820" s="484"/>
      <c r="TMT2820" s="484"/>
      <c r="TNE2820" s="484"/>
      <c r="TNP2820" s="484"/>
      <c r="TOA2820" s="484"/>
      <c r="TOL2820" s="484"/>
      <c r="TOW2820" s="484"/>
      <c r="TPH2820" s="484"/>
      <c r="TPS2820" s="484"/>
      <c r="TQD2820" s="484"/>
      <c r="TQO2820" s="484"/>
      <c r="TQZ2820" s="484"/>
      <c r="TRK2820" s="484"/>
      <c r="TRV2820" s="484"/>
      <c r="TSG2820" s="484"/>
      <c r="TSR2820" s="484"/>
      <c r="TTC2820" s="484"/>
      <c r="TTN2820" s="484"/>
      <c r="TTY2820" s="484"/>
      <c r="TUJ2820" s="484"/>
      <c r="TUU2820" s="484"/>
      <c r="TVF2820" s="484"/>
      <c r="TVQ2820" s="484"/>
      <c r="TWB2820" s="484"/>
      <c r="TWM2820" s="484"/>
      <c r="TWX2820" s="484"/>
      <c r="TXI2820" s="484"/>
      <c r="TXT2820" s="484"/>
      <c r="TYE2820" s="484"/>
      <c r="TYP2820" s="484"/>
      <c r="TZA2820" s="484"/>
      <c r="TZL2820" s="484"/>
      <c r="TZW2820" s="484"/>
      <c r="UAH2820" s="484"/>
      <c r="UAS2820" s="484"/>
      <c r="UBD2820" s="484"/>
      <c r="UBO2820" s="484"/>
      <c r="UBZ2820" s="484"/>
      <c r="UCK2820" s="484"/>
      <c r="UCV2820" s="484"/>
      <c r="UDG2820" s="484"/>
      <c r="UDR2820" s="484"/>
      <c r="UEC2820" s="484"/>
      <c r="UEN2820" s="484"/>
      <c r="UEY2820" s="484"/>
      <c r="UFJ2820" s="484"/>
      <c r="UFU2820" s="484"/>
      <c r="UGF2820" s="484"/>
      <c r="UGQ2820" s="484"/>
      <c r="UHB2820" s="484"/>
      <c r="UHM2820" s="484"/>
      <c r="UHX2820" s="484"/>
      <c r="UII2820" s="484"/>
      <c r="UIT2820" s="484"/>
      <c r="UJE2820" s="484"/>
      <c r="UJP2820" s="484"/>
      <c r="UKA2820" s="484"/>
      <c r="UKL2820" s="484"/>
      <c r="UKW2820" s="484"/>
      <c r="ULH2820" s="484"/>
      <c r="ULS2820" s="484"/>
      <c r="UMD2820" s="484"/>
      <c r="UMO2820" s="484"/>
      <c r="UMZ2820" s="484"/>
      <c r="UNK2820" s="484"/>
      <c r="UNV2820" s="484"/>
      <c r="UOG2820" s="484"/>
      <c r="UOR2820" s="484"/>
      <c r="UPC2820" s="484"/>
      <c r="UPN2820" s="484"/>
      <c r="UPY2820" s="484"/>
      <c r="UQJ2820" s="484"/>
      <c r="UQU2820" s="484"/>
      <c r="URF2820" s="484"/>
      <c r="URQ2820" s="484"/>
      <c r="USB2820" s="484"/>
      <c r="USM2820" s="484"/>
      <c r="USX2820" s="484"/>
      <c r="UTI2820" s="484"/>
      <c r="UTT2820" s="484"/>
      <c r="UUE2820" s="484"/>
      <c r="UUP2820" s="484"/>
      <c r="UVA2820" s="484"/>
      <c r="UVL2820" s="484"/>
      <c r="UVW2820" s="484"/>
      <c r="UWH2820" s="484"/>
      <c r="UWS2820" s="484"/>
      <c r="UXD2820" s="484"/>
      <c r="UXO2820" s="484"/>
      <c r="UXZ2820" s="484"/>
      <c r="UYK2820" s="484"/>
      <c r="UYV2820" s="484"/>
      <c r="UZG2820" s="484"/>
      <c r="UZR2820" s="484"/>
      <c r="VAC2820" s="484"/>
      <c r="VAN2820" s="484"/>
      <c r="VAY2820" s="484"/>
      <c r="VBJ2820" s="484"/>
      <c r="VBU2820" s="484"/>
      <c r="VCF2820" s="484"/>
      <c r="VCQ2820" s="484"/>
      <c r="VDB2820" s="484"/>
      <c r="VDM2820" s="484"/>
      <c r="VDX2820" s="484"/>
      <c r="VEI2820" s="484"/>
      <c r="VET2820" s="484"/>
      <c r="VFE2820" s="484"/>
      <c r="VFP2820" s="484"/>
      <c r="VGA2820" s="484"/>
      <c r="VGL2820" s="484"/>
      <c r="VGW2820" s="484"/>
      <c r="VHH2820" s="484"/>
      <c r="VHS2820" s="484"/>
      <c r="VID2820" s="484"/>
      <c r="VIO2820" s="484"/>
      <c r="VIZ2820" s="484"/>
      <c r="VJK2820" s="484"/>
      <c r="VJV2820" s="484"/>
      <c r="VKG2820" s="484"/>
      <c r="VKR2820" s="484"/>
      <c r="VLC2820" s="484"/>
      <c r="VLN2820" s="484"/>
      <c r="VLY2820" s="484"/>
      <c r="VMJ2820" s="484"/>
      <c r="VMU2820" s="484"/>
      <c r="VNF2820" s="484"/>
      <c r="VNQ2820" s="484"/>
      <c r="VOB2820" s="484"/>
      <c r="VOM2820" s="484"/>
      <c r="VOX2820" s="484"/>
      <c r="VPI2820" s="484"/>
      <c r="VPT2820" s="484"/>
      <c r="VQE2820" s="484"/>
      <c r="VQP2820" s="484"/>
      <c r="VRA2820" s="484"/>
      <c r="VRL2820" s="484"/>
      <c r="VRW2820" s="484"/>
      <c r="VSH2820" s="484"/>
      <c r="VSS2820" s="484"/>
      <c r="VTD2820" s="484"/>
      <c r="VTO2820" s="484"/>
      <c r="VTZ2820" s="484"/>
      <c r="VUK2820" s="484"/>
      <c r="VUV2820" s="484"/>
      <c r="VVG2820" s="484"/>
      <c r="VVR2820" s="484"/>
      <c r="VWC2820" s="484"/>
      <c r="VWN2820" s="484"/>
      <c r="VWY2820" s="484"/>
      <c r="VXJ2820" s="484"/>
      <c r="VXU2820" s="484"/>
      <c r="VYF2820" s="484"/>
      <c r="VYQ2820" s="484"/>
      <c r="VZB2820" s="484"/>
      <c r="VZM2820" s="484"/>
      <c r="VZX2820" s="484"/>
      <c r="WAI2820" s="484"/>
      <c r="WAT2820" s="484"/>
      <c r="WBE2820" s="484"/>
      <c r="WBP2820" s="484"/>
      <c r="WCA2820" s="484"/>
      <c r="WCL2820" s="484"/>
      <c r="WCW2820" s="484"/>
      <c r="WDH2820" s="484"/>
      <c r="WDS2820" s="484"/>
      <c r="WED2820" s="484"/>
      <c r="WEO2820" s="484"/>
      <c r="WEZ2820" s="484"/>
      <c r="WFK2820" s="484"/>
      <c r="WFV2820" s="484"/>
      <c r="WGG2820" s="484"/>
      <c r="WGR2820" s="484"/>
      <c r="WHC2820" s="484"/>
      <c r="WHN2820" s="484"/>
      <c r="WHY2820" s="484"/>
      <c r="WIJ2820" s="484"/>
      <c r="WIU2820" s="484"/>
      <c r="WJF2820" s="484"/>
      <c r="WJQ2820" s="484"/>
      <c r="WKB2820" s="484"/>
      <c r="WKM2820" s="484"/>
      <c r="WKX2820" s="484"/>
      <c r="WLI2820" s="484"/>
      <c r="WLT2820" s="484"/>
      <c r="WME2820" s="484"/>
      <c r="WMP2820" s="484"/>
      <c r="WNA2820" s="484"/>
      <c r="WNL2820" s="484"/>
      <c r="WNW2820" s="484"/>
      <c r="WOH2820" s="484"/>
      <c r="WOS2820" s="484"/>
      <c r="WPD2820" s="484"/>
      <c r="WPO2820" s="484"/>
      <c r="WPZ2820" s="484"/>
      <c r="WQK2820" s="484"/>
      <c r="WQV2820" s="484"/>
      <c r="WRG2820" s="484"/>
      <c r="WRR2820" s="484"/>
      <c r="WSC2820" s="484"/>
      <c r="WSN2820" s="484"/>
      <c r="WSY2820" s="484"/>
      <c r="WTJ2820" s="484"/>
      <c r="WTU2820" s="484"/>
      <c r="WUF2820" s="484"/>
      <c r="WUQ2820" s="484"/>
      <c r="WVB2820" s="484"/>
      <c r="WVM2820" s="484"/>
      <c r="WVX2820" s="484"/>
      <c r="WWI2820" s="484"/>
      <c r="WWT2820" s="484"/>
      <c r="WXE2820" s="484"/>
      <c r="WXP2820" s="484"/>
      <c r="WYA2820" s="484"/>
      <c r="WYL2820" s="484"/>
      <c r="WYW2820" s="484"/>
      <c r="WZH2820" s="484"/>
      <c r="WZS2820" s="484"/>
      <c r="XAD2820" s="484"/>
      <c r="XAO2820" s="484"/>
      <c r="XAZ2820" s="484"/>
      <c r="XBK2820" s="484"/>
      <c r="XBV2820" s="484"/>
      <c r="XCG2820" s="484"/>
      <c r="XCR2820" s="484"/>
      <c r="XDC2820" s="484"/>
      <c r="XDN2820" s="484"/>
      <c r="XDY2820" s="484"/>
      <c r="XEJ2820" s="484"/>
      <c r="XEU2820" s="484"/>
    </row>
    <row r="2821" spans="1:1019 1030:2042 2053:3065 3076:4088 4099:5111 5122:6134 6145:7168 7179:8191 8202:9214 9225:10237 10248:11260 11271:12283 12294:13306 13317:14329 14340:15352 15363:16375" ht="15" hidden="1">
      <c r="A2821" t="s">
        <v>1806</v>
      </c>
      <c r="B2821" t="s">
        <v>689</v>
      </c>
      <c r="C2821" t="s">
        <v>690</v>
      </c>
      <c r="D2821" s="518" t="s">
        <v>2196</v>
      </c>
      <c r="E2821" s="518" t="s">
        <v>700</v>
      </c>
      <c r="F2821" t="s">
        <v>1272</v>
      </c>
      <c r="G2821" t="s">
        <v>661</v>
      </c>
      <c r="H2821" s="484">
        <v>-22000</v>
      </c>
      <c r="I2821" t="str">
        <f t="shared" si="157"/>
        <v>março 2026</v>
      </c>
      <c r="J2821">
        <f t="shared" si="158"/>
        <v>2026</v>
      </c>
      <c r="K2821" t="str">
        <f>VLOOKUP(G2821,METRICS!C:D,2,0)</f>
        <v>Consultoria OP</v>
      </c>
      <c r="L2821" t="str">
        <f>VLOOKUP(K2821,METRICS!D:E,2,0)</f>
        <v>OPERAÇÃO</v>
      </c>
    </row>
    <row r="2822" spans="1:1019 1030:2042 2053:3065 3076:4088 4099:5111 5122:6134 6145:7168 7179:8191 8202:9214 9225:10237 10248:11260 11271:12283 12294:13306 13317:14329 14340:15352 15363:16375" ht="15" hidden="1">
      <c r="A2822" t="s">
        <v>1806</v>
      </c>
      <c r="B2822" t="s">
        <v>612</v>
      </c>
      <c r="D2822" t="s">
        <v>1598</v>
      </c>
      <c r="E2822" t="s">
        <v>1695</v>
      </c>
      <c r="F2822" t="s">
        <v>1272</v>
      </c>
      <c r="G2822" s="484" t="s">
        <v>613</v>
      </c>
      <c r="H2822" s="484">
        <v>-1500</v>
      </c>
      <c r="I2822" t="str">
        <f t="shared" si="157"/>
        <v>março 2026</v>
      </c>
      <c r="J2822">
        <f t="shared" si="158"/>
        <v>2026</v>
      </c>
      <c r="K2822" t="str">
        <f>VLOOKUP(G2822,METRICS!C:D,2,0)</f>
        <v>Dedetização</v>
      </c>
      <c r="L2822" t="str">
        <f>VLOOKUP(K2822,METRICS!D:E,2,0)</f>
        <v>ADMINISTRATIVA</v>
      </c>
      <c r="R2822" s="484"/>
      <c r="AC2822" s="484"/>
      <c r="AN2822" s="484"/>
      <c r="AY2822" s="484"/>
      <c r="BJ2822" s="484"/>
      <c r="BU2822" s="484"/>
      <c r="CF2822" s="484"/>
      <c r="CQ2822" s="484"/>
      <c r="DB2822" s="484"/>
      <c r="DM2822" s="484"/>
      <c r="DX2822" s="484"/>
      <c r="EI2822" s="484"/>
      <c r="ET2822" s="484"/>
      <c r="FE2822" s="484"/>
      <c r="FP2822" s="484"/>
      <c r="GA2822" s="484"/>
      <c r="GL2822" s="484"/>
      <c r="GW2822" s="484"/>
      <c r="HH2822" s="484"/>
      <c r="HS2822" s="484"/>
      <c r="ID2822" s="484"/>
      <c r="IO2822" s="484"/>
      <c r="IZ2822" s="484"/>
      <c r="JK2822" s="484"/>
      <c r="JV2822" s="484"/>
      <c r="KG2822" s="484"/>
      <c r="KR2822" s="484"/>
      <c r="LC2822" s="484"/>
      <c r="LN2822" s="484"/>
      <c r="LY2822" s="484"/>
      <c r="MJ2822" s="484"/>
      <c r="MU2822" s="484"/>
      <c r="NF2822" s="484"/>
      <c r="NQ2822" s="484"/>
      <c r="OB2822" s="484"/>
      <c r="OM2822" s="484"/>
      <c r="OX2822" s="484"/>
      <c r="PI2822" s="484"/>
      <c r="PT2822" s="484"/>
      <c r="QE2822" s="484"/>
      <c r="QP2822" s="484"/>
      <c r="RA2822" s="484"/>
      <c r="RL2822" s="484"/>
      <c r="RW2822" s="484"/>
      <c r="SH2822" s="484"/>
      <c r="SS2822" s="484"/>
      <c r="TD2822" s="484"/>
      <c r="TO2822" s="484"/>
      <c r="TZ2822" s="484"/>
      <c r="UK2822" s="484"/>
      <c r="UV2822" s="484"/>
      <c r="VG2822" s="484"/>
      <c r="VR2822" s="484"/>
      <c r="WC2822" s="484"/>
      <c r="WN2822" s="484"/>
      <c r="WY2822" s="484"/>
      <c r="XJ2822" s="484"/>
      <c r="XU2822" s="484"/>
      <c r="YF2822" s="484"/>
      <c r="YQ2822" s="484"/>
      <c r="ZB2822" s="484"/>
      <c r="ZM2822" s="484"/>
      <c r="ZX2822" s="484"/>
      <c r="AAI2822" s="484"/>
      <c r="AAT2822" s="484"/>
      <c r="ABE2822" s="484"/>
      <c r="ABP2822" s="484"/>
      <c r="ACA2822" s="484"/>
      <c r="ACL2822" s="484"/>
      <c r="ACW2822" s="484"/>
      <c r="ADH2822" s="484"/>
      <c r="ADS2822" s="484"/>
      <c r="AED2822" s="484"/>
      <c r="AEO2822" s="484"/>
      <c r="AEZ2822" s="484"/>
      <c r="AFK2822" s="484"/>
      <c r="AFV2822" s="484"/>
      <c r="AGG2822" s="484"/>
      <c r="AGR2822" s="484"/>
      <c r="AHC2822" s="484"/>
      <c r="AHN2822" s="484"/>
      <c r="AHY2822" s="484"/>
      <c r="AIJ2822" s="484"/>
      <c r="AIU2822" s="484"/>
      <c r="AJF2822" s="484"/>
      <c r="AJQ2822" s="484"/>
      <c r="AKB2822" s="484"/>
      <c r="AKM2822" s="484"/>
      <c r="AKX2822" s="484"/>
      <c r="ALI2822" s="484"/>
      <c r="ALT2822" s="484"/>
      <c r="AME2822" s="484"/>
      <c r="AMP2822" s="484"/>
      <c r="ANA2822" s="484"/>
      <c r="ANL2822" s="484"/>
      <c r="ANW2822" s="484"/>
      <c r="AOH2822" s="484"/>
      <c r="AOS2822" s="484"/>
      <c r="APD2822" s="484"/>
      <c r="APO2822" s="484"/>
      <c r="APZ2822" s="484"/>
      <c r="AQK2822" s="484"/>
      <c r="AQV2822" s="484"/>
      <c r="ARG2822" s="484"/>
      <c r="ARR2822" s="484"/>
      <c r="ASC2822" s="484"/>
      <c r="ASN2822" s="484"/>
      <c r="ASY2822" s="484"/>
      <c r="ATJ2822" s="484"/>
      <c r="ATU2822" s="484"/>
      <c r="AUF2822" s="484"/>
      <c r="AUQ2822" s="484"/>
      <c r="AVB2822" s="484"/>
      <c r="AVM2822" s="484"/>
      <c r="AVX2822" s="484"/>
      <c r="AWI2822" s="484"/>
      <c r="AWT2822" s="484"/>
      <c r="AXE2822" s="484"/>
      <c r="AXP2822" s="484"/>
      <c r="AYA2822" s="484"/>
      <c r="AYL2822" s="484"/>
      <c r="AYW2822" s="484"/>
      <c r="AZH2822" s="484"/>
      <c r="AZS2822" s="484"/>
      <c r="BAD2822" s="484"/>
      <c r="BAO2822" s="484"/>
      <c r="BAZ2822" s="484"/>
      <c r="BBK2822" s="484"/>
      <c r="BBV2822" s="484"/>
      <c r="BCG2822" s="484"/>
      <c r="BCR2822" s="484"/>
      <c r="BDC2822" s="484"/>
      <c r="BDN2822" s="484"/>
      <c r="BDY2822" s="484"/>
      <c r="BEJ2822" s="484"/>
      <c r="BEU2822" s="484"/>
      <c r="BFF2822" s="484"/>
      <c r="BFQ2822" s="484"/>
      <c r="BGB2822" s="484"/>
      <c r="BGM2822" s="484"/>
      <c r="BGX2822" s="484"/>
      <c r="BHI2822" s="484"/>
      <c r="BHT2822" s="484"/>
      <c r="BIE2822" s="484"/>
      <c r="BIP2822" s="484"/>
      <c r="BJA2822" s="484"/>
      <c r="BJL2822" s="484"/>
      <c r="BJW2822" s="484"/>
      <c r="BKH2822" s="484"/>
      <c r="BKS2822" s="484"/>
      <c r="BLD2822" s="484"/>
      <c r="BLO2822" s="484"/>
      <c r="BLZ2822" s="484"/>
      <c r="BMK2822" s="484"/>
      <c r="BMV2822" s="484"/>
      <c r="BNG2822" s="484"/>
      <c r="BNR2822" s="484"/>
      <c r="BOC2822" s="484"/>
      <c r="BON2822" s="484"/>
      <c r="BOY2822" s="484"/>
      <c r="BPJ2822" s="484"/>
      <c r="BPU2822" s="484"/>
      <c r="BQF2822" s="484"/>
      <c r="BQQ2822" s="484"/>
      <c r="BRB2822" s="484"/>
      <c r="BRM2822" s="484"/>
      <c r="BRX2822" s="484"/>
      <c r="BSI2822" s="484"/>
      <c r="BST2822" s="484"/>
      <c r="BTE2822" s="484"/>
      <c r="BTP2822" s="484"/>
      <c r="BUA2822" s="484"/>
      <c r="BUL2822" s="484"/>
      <c r="BUW2822" s="484"/>
      <c r="BVH2822" s="484"/>
      <c r="BVS2822" s="484"/>
      <c r="BWD2822" s="484"/>
      <c r="BWO2822" s="484"/>
      <c r="BWZ2822" s="484"/>
      <c r="BXK2822" s="484"/>
      <c r="BXV2822" s="484"/>
      <c r="BYG2822" s="484"/>
      <c r="BYR2822" s="484"/>
      <c r="BZC2822" s="484"/>
      <c r="BZN2822" s="484"/>
      <c r="BZY2822" s="484"/>
      <c r="CAJ2822" s="484"/>
      <c r="CAU2822" s="484"/>
      <c r="CBF2822" s="484"/>
      <c r="CBQ2822" s="484"/>
      <c r="CCB2822" s="484"/>
      <c r="CCM2822" s="484"/>
      <c r="CCX2822" s="484"/>
      <c r="CDI2822" s="484"/>
      <c r="CDT2822" s="484"/>
      <c r="CEE2822" s="484"/>
      <c r="CEP2822" s="484"/>
      <c r="CFA2822" s="484"/>
      <c r="CFL2822" s="484"/>
      <c r="CFW2822" s="484"/>
      <c r="CGH2822" s="484"/>
      <c r="CGS2822" s="484"/>
      <c r="CHD2822" s="484"/>
      <c r="CHO2822" s="484"/>
      <c r="CHZ2822" s="484"/>
      <c r="CIK2822" s="484"/>
      <c r="CIV2822" s="484"/>
      <c r="CJG2822" s="484"/>
      <c r="CJR2822" s="484"/>
      <c r="CKC2822" s="484"/>
      <c r="CKN2822" s="484"/>
      <c r="CKY2822" s="484"/>
      <c r="CLJ2822" s="484"/>
      <c r="CLU2822" s="484"/>
      <c r="CMF2822" s="484"/>
      <c r="CMQ2822" s="484"/>
      <c r="CNB2822" s="484"/>
      <c r="CNM2822" s="484"/>
      <c r="CNX2822" s="484"/>
      <c r="COI2822" s="484"/>
      <c r="COT2822" s="484"/>
      <c r="CPE2822" s="484"/>
      <c r="CPP2822" s="484"/>
      <c r="CQA2822" s="484"/>
      <c r="CQL2822" s="484"/>
      <c r="CQW2822" s="484"/>
      <c r="CRH2822" s="484"/>
      <c r="CRS2822" s="484"/>
      <c r="CSD2822" s="484"/>
      <c r="CSO2822" s="484"/>
      <c r="CSZ2822" s="484"/>
      <c r="CTK2822" s="484"/>
      <c r="CTV2822" s="484"/>
      <c r="CUG2822" s="484"/>
      <c r="CUR2822" s="484"/>
      <c r="CVC2822" s="484"/>
      <c r="CVN2822" s="484"/>
      <c r="CVY2822" s="484"/>
      <c r="CWJ2822" s="484"/>
      <c r="CWU2822" s="484"/>
      <c r="CXF2822" s="484"/>
      <c r="CXQ2822" s="484"/>
      <c r="CYB2822" s="484"/>
      <c r="CYM2822" s="484"/>
      <c r="CYX2822" s="484"/>
      <c r="CZI2822" s="484"/>
      <c r="CZT2822" s="484"/>
      <c r="DAE2822" s="484"/>
      <c r="DAP2822" s="484"/>
      <c r="DBA2822" s="484"/>
      <c r="DBL2822" s="484"/>
      <c r="DBW2822" s="484"/>
      <c r="DCH2822" s="484"/>
      <c r="DCS2822" s="484"/>
      <c r="DDD2822" s="484"/>
      <c r="DDO2822" s="484"/>
      <c r="DDZ2822" s="484"/>
      <c r="DEK2822" s="484"/>
      <c r="DEV2822" s="484"/>
      <c r="DFG2822" s="484"/>
      <c r="DFR2822" s="484"/>
      <c r="DGC2822" s="484"/>
      <c r="DGN2822" s="484"/>
      <c r="DGY2822" s="484"/>
      <c r="DHJ2822" s="484"/>
      <c r="DHU2822" s="484"/>
      <c r="DIF2822" s="484"/>
      <c r="DIQ2822" s="484"/>
      <c r="DJB2822" s="484"/>
      <c r="DJM2822" s="484"/>
      <c r="DJX2822" s="484"/>
      <c r="DKI2822" s="484"/>
      <c r="DKT2822" s="484"/>
      <c r="DLE2822" s="484"/>
      <c r="DLP2822" s="484"/>
      <c r="DMA2822" s="484"/>
      <c r="DML2822" s="484"/>
      <c r="DMW2822" s="484"/>
      <c r="DNH2822" s="484"/>
      <c r="DNS2822" s="484"/>
      <c r="DOD2822" s="484"/>
      <c r="DOO2822" s="484"/>
      <c r="DOZ2822" s="484"/>
      <c r="DPK2822" s="484"/>
      <c r="DPV2822" s="484"/>
      <c r="DQG2822" s="484"/>
      <c r="DQR2822" s="484"/>
      <c r="DRC2822" s="484"/>
      <c r="DRN2822" s="484"/>
      <c r="DRY2822" s="484"/>
      <c r="DSJ2822" s="484"/>
      <c r="DSU2822" s="484"/>
      <c r="DTF2822" s="484"/>
      <c r="DTQ2822" s="484"/>
      <c r="DUB2822" s="484"/>
      <c r="DUM2822" s="484"/>
      <c r="DUX2822" s="484"/>
      <c r="DVI2822" s="484"/>
      <c r="DVT2822" s="484"/>
      <c r="DWE2822" s="484"/>
      <c r="DWP2822" s="484"/>
      <c r="DXA2822" s="484"/>
      <c r="DXL2822" s="484"/>
      <c r="DXW2822" s="484"/>
      <c r="DYH2822" s="484"/>
      <c r="DYS2822" s="484"/>
      <c r="DZD2822" s="484"/>
      <c r="DZO2822" s="484"/>
      <c r="DZZ2822" s="484"/>
      <c r="EAK2822" s="484"/>
      <c r="EAV2822" s="484"/>
      <c r="EBG2822" s="484"/>
      <c r="EBR2822" s="484"/>
      <c r="ECC2822" s="484"/>
      <c r="ECN2822" s="484"/>
      <c r="ECY2822" s="484"/>
      <c r="EDJ2822" s="484"/>
      <c r="EDU2822" s="484"/>
      <c r="EEF2822" s="484"/>
      <c r="EEQ2822" s="484"/>
      <c r="EFB2822" s="484"/>
      <c r="EFM2822" s="484"/>
      <c r="EFX2822" s="484"/>
      <c r="EGI2822" s="484"/>
      <c r="EGT2822" s="484"/>
      <c r="EHE2822" s="484"/>
      <c r="EHP2822" s="484"/>
      <c r="EIA2822" s="484"/>
      <c r="EIL2822" s="484"/>
      <c r="EIW2822" s="484"/>
      <c r="EJH2822" s="484"/>
      <c r="EJS2822" s="484"/>
      <c r="EKD2822" s="484"/>
      <c r="EKO2822" s="484"/>
      <c r="EKZ2822" s="484"/>
      <c r="ELK2822" s="484"/>
      <c r="ELV2822" s="484"/>
      <c r="EMG2822" s="484"/>
      <c r="EMR2822" s="484"/>
      <c r="ENC2822" s="484"/>
      <c r="ENN2822" s="484"/>
      <c r="ENY2822" s="484"/>
      <c r="EOJ2822" s="484"/>
      <c r="EOU2822" s="484"/>
      <c r="EPF2822" s="484"/>
      <c r="EPQ2822" s="484"/>
      <c r="EQB2822" s="484"/>
      <c r="EQM2822" s="484"/>
      <c r="EQX2822" s="484"/>
      <c r="ERI2822" s="484"/>
      <c r="ERT2822" s="484"/>
      <c r="ESE2822" s="484"/>
      <c r="ESP2822" s="484"/>
      <c r="ETA2822" s="484"/>
      <c r="ETL2822" s="484"/>
      <c r="ETW2822" s="484"/>
      <c r="EUH2822" s="484"/>
      <c r="EUS2822" s="484"/>
      <c r="EVD2822" s="484"/>
      <c r="EVO2822" s="484"/>
      <c r="EVZ2822" s="484"/>
      <c r="EWK2822" s="484"/>
      <c r="EWV2822" s="484"/>
      <c r="EXG2822" s="484"/>
      <c r="EXR2822" s="484"/>
      <c r="EYC2822" s="484"/>
      <c r="EYN2822" s="484"/>
      <c r="EYY2822" s="484"/>
      <c r="EZJ2822" s="484"/>
      <c r="EZU2822" s="484"/>
      <c r="FAF2822" s="484"/>
      <c r="FAQ2822" s="484"/>
      <c r="FBB2822" s="484"/>
      <c r="FBM2822" s="484"/>
      <c r="FBX2822" s="484"/>
      <c r="FCI2822" s="484"/>
      <c r="FCT2822" s="484"/>
      <c r="FDE2822" s="484"/>
      <c r="FDP2822" s="484"/>
      <c r="FEA2822" s="484"/>
      <c r="FEL2822" s="484"/>
      <c r="FEW2822" s="484"/>
      <c r="FFH2822" s="484"/>
      <c r="FFS2822" s="484"/>
      <c r="FGD2822" s="484"/>
      <c r="FGO2822" s="484"/>
      <c r="FGZ2822" s="484"/>
      <c r="FHK2822" s="484"/>
      <c r="FHV2822" s="484"/>
      <c r="FIG2822" s="484"/>
      <c r="FIR2822" s="484"/>
      <c r="FJC2822" s="484"/>
      <c r="FJN2822" s="484"/>
      <c r="FJY2822" s="484"/>
      <c r="FKJ2822" s="484"/>
      <c r="FKU2822" s="484"/>
      <c r="FLF2822" s="484"/>
      <c r="FLQ2822" s="484"/>
      <c r="FMB2822" s="484"/>
      <c r="FMM2822" s="484"/>
      <c r="FMX2822" s="484"/>
      <c r="FNI2822" s="484"/>
      <c r="FNT2822" s="484"/>
      <c r="FOE2822" s="484"/>
      <c r="FOP2822" s="484"/>
      <c r="FPA2822" s="484"/>
      <c r="FPL2822" s="484"/>
      <c r="FPW2822" s="484"/>
      <c r="FQH2822" s="484"/>
      <c r="FQS2822" s="484"/>
      <c r="FRD2822" s="484"/>
      <c r="FRO2822" s="484"/>
      <c r="FRZ2822" s="484"/>
      <c r="FSK2822" s="484"/>
      <c r="FSV2822" s="484"/>
      <c r="FTG2822" s="484"/>
      <c r="FTR2822" s="484"/>
      <c r="FUC2822" s="484"/>
      <c r="FUN2822" s="484"/>
      <c r="FUY2822" s="484"/>
      <c r="FVJ2822" s="484"/>
      <c r="FVU2822" s="484"/>
      <c r="FWF2822" s="484"/>
      <c r="FWQ2822" s="484"/>
      <c r="FXB2822" s="484"/>
      <c r="FXM2822" s="484"/>
      <c r="FXX2822" s="484"/>
      <c r="FYI2822" s="484"/>
      <c r="FYT2822" s="484"/>
      <c r="FZE2822" s="484"/>
      <c r="FZP2822" s="484"/>
      <c r="GAA2822" s="484"/>
      <c r="GAL2822" s="484"/>
      <c r="GAW2822" s="484"/>
      <c r="GBH2822" s="484"/>
      <c r="GBS2822" s="484"/>
      <c r="GCD2822" s="484"/>
      <c r="GCO2822" s="484"/>
      <c r="GCZ2822" s="484"/>
      <c r="GDK2822" s="484"/>
      <c r="GDV2822" s="484"/>
      <c r="GEG2822" s="484"/>
      <c r="GER2822" s="484"/>
      <c r="GFC2822" s="484"/>
      <c r="GFN2822" s="484"/>
      <c r="GFY2822" s="484"/>
      <c r="GGJ2822" s="484"/>
      <c r="GGU2822" s="484"/>
      <c r="GHF2822" s="484"/>
      <c r="GHQ2822" s="484"/>
      <c r="GIB2822" s="484"/>
      <c r="GIM2822" s="484"/>
      <c r="GIX2822" s="484"/>
      <c r="GJI2822" s="484"/>
      <c r="GJT2822" s="484"/>
      <c r="GKE2822" s="484"/>
      <c r="GKP2822" s="484"/>
      <c r="GLA2822" s="484"/>
      <c r="GLL2822" s="484"/>
      <c r="GLW2822" s="484"/>
      <c r="GMH2822" s="484"/>
      <c r="GMS2822" s="484"/>
      <c r="GND2822" s="484"/>
      <c r="GNO2822" s="484"/>
      <c r="GNZ2822" s="484"/>
      <c r="GOK2822" s="484"/>
      <c r="GOV2822" s="484"/>
      <c r="GPG2822" s="484"/>
      <c r="GPR2822" s="484"/>
      <c r="GQC2822" s="484"/>
      <c r="GQN2822" s="484"/>
      <c r="GQY2822" s="484"/>
      <c r="GRJ2822" s="484"/>
      <c r="GRU2822" s="484"/>
      <c r="GSF2822" s="484"/>
      <c r="GSQ2822" s="484"/>
      <c r="GTB2822" s="484"/>
      <c r="GTM2822" s="484"/>
      <c r="GTX2822" s="484"/>
      <c r="GUI2822" s="484"/>
      <c r="GUT2822" s="484"/>
      <c r="GVE2822" s="484"/>
      <c r="GVP2822" s="484"/>
      <c r="GWA2822" s="484"/>
      <c r="GWL2822" s="484"/>
      <c r="GWW2822" s="484"/>
      <c r="GXH2822" s="484"/>
      <c r="GXS2822" s="484"/>
      <c r="GYD2822" s="484"/>
      <c r="GYO2822" s="484"/>
      <c r="GYZ2822" s="484"/>
      <c r="GZK2822" s="484"/>
      <c r="GZV2822" s="484"/>
      <c r="HAG2822" s="484"/>
      <c r="HAR2822" s="484"/>
      <c r="HBC2822" s="484"/>
      <c r="HBN2822" s="484"/>
      <c r="HBY2822" s="484"/>
      <c r="HCJ2822" s="484"/>
      <c r="HCU2822" s="484"/>
      <c r="HDF2822" s="484"/>
      <c r="HDQ2822" s="484"/>
      <c r="HEB2822" s="484"/>
      <c r="HEM2822" s="484"/>
      <c r="HEX2822" s="484"/>
      <c r="HFI2822" s="484"/>
      <c r="HFT2822" s="484"/>
      <c r="HGE2822" s="484"/>
      <c r="HGP2822" s="484"/>
      <c r="HHA2822" s="484"/>
      <c r="HHL2822" s="484"/>
      <c r="HHW2822" s="484"/>
      <c r="HIH2822" s="484"/>
      <c r="HIS2822" s="484"/>
      <c r="HJD2822" s="484"/>
      <c r="HJO2822" s="484"/>
      <c r="HJZ2822" s="484"/>
      <c r="HKK2822" s="484"/>
      <c r="HKV2822" s="484"/>
      <c r="HLG2822" s="484"/>
      <c r="HLR2822" s="484"/>
      <c r="HMC2822" s="484"/>
      <c r="HMN2822" s="484"/>
      <c r="HMY2822" s="484"/>
      <c r="HNJ2822" s="484"/>
      <c r="HNU2822" s="484"/>
      <c r="HOF2822" s="484"/>
      <c r="HOQ2822" s="484"/>
      <c r="HPB2822" s="484"/>
      <c r="HPM2822" s="484"/>
      <c r="HPX2822" s="484"/>
      <c r="HQI2822" s="484"/>
      <c r="HQT2822" s="484"/>
      <c r="HRE2822" s="484"/>
      <c r="HRP2822" s="484"/>
      <c r="HSA2822" s="484"/>
      <c r="HSL2822" s="484"/>
      <c r="HSW2822" s="484"/>
      <c r="HTH2822" s="484"/>
      <c r="HTS2822" s="484"/>
      <c r="HUD2822" s="484"/>
      <c r="HUO2822" s="484"/>
      <c r="HUZ2822" s="484"/>
      <c r="HVK2822" s="484"/>
      <c r="HVV2822" s="484"/>
      <c r="HWG2822" s="484"/>
      <c r="HWR2822" s="484"/>
      <c r="HXC2822" s="484"/>
      <c r="HXN2822" s="484"/>
      <c r="HXY2822" s="484"/>
      <c r="HYJ2822" s="484"/>
      <c r="HYU2822" s="484"/>
      <c r="HZF2822" s="484"/>
      <c r="HZQ2822" s="484"/>
      <c r="IAB2822" s="484"/>
      <c r="IAM2822" s="484"/>
      <c r="IAX2822" s="484"/>
      <c r="IBI2822" s="484"/>
      <c r="IBT2822" s="484"/>
      <c r="ICE2822" s="484"/>
      <c r="ICP2822" s="484"/>
      <c r="IDA2822" s="484"/>
      <c r="IDL2822" s="484"/>
      <c r="IDW2822" s="484"/>
      <c r="IEH2822" s="484"/>
      <c r="IES2822" s="484"/>
      <c r="IFD2822" s="484"/>
      <c r="IFO2822" s="484"/>
      <c r="IFZ2822" s="484"/>
      <c r="IGK2822" s="484"/>
      <c r="IGV2822" s="484"/>
      <c r="IHG2822" s="484"/>
      <c r="IHR2822" s="484"/>
      <c r="IIC2822" s="484"/>
      <c r="IIN2822" s="484"/>
      <c r="IIY2822" s="484"/>
      <c r="IJJ2822" s="484"/>
      <c r="IJU2822" s="484"/>
      <c r="IKF2822" s="484"/>
      <c r="IKQ2822" s="484"/>
      <c r="ILB2822" s="484"/>
      <c r="ILM2822" s="484"/>
      <c r="ILX2822" s="484"/>
      <c r="IMI2822" s="484"/>
      <c r="IMT2822" s="484"/>
      <c r="INE2822" s="484"/>
      <c r="INP2822" s="484"/>
      <c r="IOA2822" s="484"/>
      <c r="IOL2822" s="484"/>
      <c r="IOW2822" s="484"/>
      <c r="IPH2822" s="484"/>
      <c r="IPS2822" s="484"/>
      <c r="IQD2822" s="484"/>
      <c r="IQO2822" s="484"/>
      <c r="IQZ2822" s="484"/>
      <c r="IRK2822" s="484"/>
      <c r="IRV2822" s="484"/>
      <c r="ISG2822" s="484"/>
      <c r="ISR2822" s="484"/>
      <c r="ITC2822" s="484"/>
      <c r="ITN2822" s="484"/>
      <c r="ITY2822" s="484"/>
      <c r="IUJ2822" s="484"/>
      <c r="IUU2822" s="484"/>
      <c r="IVF2822" s="484"/>
      <c r="IVQ2822" s="484"/>
      <c r="IWB2822" s="484"/>
      <c r="IWM2822" s="484"/>
      <c r="IWX2822" s="484"/>
      <c r="IXI2822" s="484"/>
      <c r="IXT2822" s="484"/>
      <c r="IYE2822" s="484"/>
      <c r="IYP2822" s="484"/>
      <c r="IZA2822" s="484"/>
      <c r="IZL2822" s="484"/>
      <c r="IZW2822" s="484"/>
      <c r="JAH2822" s="484"/>
      <c r="JAS2822" s="484"/>
      <c r="JBD2822" s="484"/>
      <c r="JBO2822" s="484"/>
      <c r="JBZ2822" s="484"/>
      <c r="JCK2822" s="484"/>
      <c r="JCV2822" s="484"/>
      <c r="JDG2822" s="484"/>
      <c r="JDR2822" s="484"/>
      <c r="JEC2822" s="484"/>
      <c r="JEN2822" s="484"/>
      <c r="JEY2822" s="484"/>
      <c r="JFJ2822" s="484"/>
      <c r="JFU2822" s="484"/>
      <c r="JGF2822" s="484"/>
      <c r="JGQ2822" s="484"/>
      <c r="JHB2822" s="484"/>
      <c r="JHM2822" s="484"/>
      <c r="JHX2822" s="484"/>
      <c r="JII2822" s="484"/>
      <c r="JIT2822" s="484"/>
      <c r="JJE2822" s="484"/>
      <c r="JJP2822" s="484"/>
      <c r="JKA2822" s="484"/>
      <c r="JKL2822" s="484"/>
      <c r="JKW2822" s="484"/>
      <c r="JLH2822" s="484"/>
      <c r="JLS2822" s="484"/>
      <c r="JMD2822" s="484"/>
      <c r="JMO2822" s="484"/>
      <c r="JMZ2822" s="484"/>
      <c r="JNK2822" s="484"/>
      <c r="JNV2822" s="484"/>
      <c r="JOG2822" s="484"/>
      <c r="JOR2822" s="484"/>
      <c r="JPC2822" s="484"/>
      <c r="JPN2822" s="484"/>
      <c r="JPY2822" s="484"/>
      <c r="JQJ2822" s="484"/>
      <c r="JQU2822" s="484"/>
      <c r="JRF2822" s="484"/>
      <c r="JRQ2822" s="484"/>
      <c r="JSB2822" s="484"/>
      <c r="JSM2822" s="484"/>
      <c r="JSX2822" s="484"/>
      <c r="JTI2822" s="484"/>
      <c r="JTT2822" s="484"/>
      <c r="JUE2822" s="484"/>
      <c r="JUP2822" s="484"/>
      <c r="JVA2822" s="484"/>
      <c r="JVL2822" s="484"/>
      <c r="JVW2822" s="484"/>
      <c r="JWH2822" s="484"/>
      <c r="JWS2822" s="484"/>
      <c r="JXD2822" s="484"/>
      <c r="JXO2822" s="484"/>
      <c r="JXZ2822" s="484"/>
      <c r="JYK2822" s="484"/>
      <c r="JYV2822" s="484"/>
      <c r="JZG2822" s="484"/>
      <c r="JZR2822" s="484"/>
      <c r="KAC2822" s="484"/>
      <c r="KAN2822" s="484"/>
      <c r="KAY2822" s="484"/>
      <c r="KBJ2822" s="484"/>
      <c r="KBU2822" s="484"/>
      <c r="KCF2822" s="484"/>
      <c r="KCQ2822" s="484"/>
      <c r="KDB2822" s="484"/>
      <c r="KDM2822" s="484"/>
      <c r="KDX2822" s="484"/>
      <c r="KEI2822" s="484"/>
      <c r="KET2822" s="484"/>
      <c r="KFE2822" s="484"/>
      <c r="KFP2822" s="484"/>
      <c r="KGA2822" s="484"/>
      <c r="KGL2822" s="484"/>
      <c r="KGW2822" s="484"/>
      <c r="KHH2822" s="484"/>
      <c r="KHS2822" s="484"/>
      <c r="KID2822" s="484"/>
      <c r="KIO2822" s="484"/>
      <c r="KIZ2822" s="484"/>
      <c r="KJK2822" s="484"/>
      <c r="KJV2822" s="484"/>
      <c r="KKG2822" s="484"/>
      <c r="KKR2822" s="484"/>
      <c r="KLC2822" s="484"/>
      <c r="KLN2822" s="484"/>
      <c r="KLY2822" s="484"/>
      <c r="KMJ2822" s="484"/>
      <c r="KMU2822" s="484"/>
      <c r="KNF2822" s="484"/>
      <c r="KNQ2822" s="484"/>
      <c r="KOB2822" s="484"/>
      <c r="KOM2822" s="484"/>
      <c r="KOX2822" s="484"/>
      <c r="KPI2822" s="484"/>
      <c r="KPT2822" s="484"/>
      <c r="KQE2822" s="484"/>
      <c r="KQP2822" s="484"/>
      <c r="KRA2822" s="484"/>
      <c r="KRL2822" s="484"/>
      <c r="KRW2822" s="484"/>
      <c r="KSH2822" s="484"/>
      <c r="KSS2822" s="484"/>
      <c r="KTD2822" s="484"/>
      <c r="KTO2822" s="484"/>
      <c r="KTZ2822" s="484"/>
      <c r="KUK2822" s="484"/>
      <c r="KUV2822" s="484"/>
      <c r="KVG2822" s="484"/>
      <c r="KVR2822" s="484"/>
      <c r="KWC2822" s="484"/>
      <c r="KWN2822" s="484"/>
      <c r="KWY2822" s="484"/>
      <c r="KXJ2822" s="484"/>
      <c r="KXU2822" s="484"/>
      <c r="KYF2822" s="484"/>
      <c r="KYQ2822" s="484"/>
      <c r="KZB2822" s="484"/>
      <c r="KZM2822" s="484"/>
      <c r="KZX2822" s="484"/>
      <c r="LAI2822" s="484"/>
      <c r="LAT2822" s="484"/>
      <c r="LBE2822" s="484"/>
      <c r="LBP2822" s="484"/>
      <c r="LCA2822" s="484"/>
      <c r="LCL2822" s="484"/>
      <c r="LCW2822" s="484"/>
      <c r="LDH2822" s="484"/>
      <c r="LDS2822" s="484"/>
      <c r="LED2822" s="484"/>
      <c r="LEO2822" s="484"/>
      <c r="LEZ2822" s="484"/>
      <c r="LFK2822" s="484"/>
      <c r="LFV2822" s="484"/>
      <c r="LGG2822" s="484"/>
      <c r="LGR2822" s="484"/>
      <c r="LHC2822" s="484"/>
      <c r="LHN2822" s="484"/>
      <c r="LHY2822" s="484"/>
      <c r="LIJ2822" s="484"/>
      <c r="LIU2822" s="484"/>
      <c r="LJF2822" s="484"/>
      <c r="LJQ2822" s="484"/>
      <c r="LKB2822" s="484"/>
      <c r="LKM2822" s="484"/>
      <c r="LKX2822" s="484"/>
      <c r="LLI2822" s="484"/>
      <c r="LLT2822" s="484"/>
      <c r="LME2822" s="484"/>
      <c r="LMP2822" s="484"/>
      <c r="LNA2822" s="484"/>
      <c r="LNL2822" s="484"/>
      <c r="LNW2822" s="484"/>
      <c r="LOH2822" s="484"/>
      <c r="LOS2822" s="484"/>
      <c r="LPD2822" s="484"/>
      <c r="LPO2822" s="484"/>
      <c r="LPZ2822" s="484"/>
      <c r="LQK2822" s="484"/>
      <c r="LQV2822" s="484"/>
      <c r="LRG2822" s="484"/>
      <c r="LRR2822" s="484"/>
      <c r="LSC2822" s="484"/>
      <c r="LSN2822" s="484"/>
      <c r="LSY2822" s="484"/>
      <c r="LTJ2822" s="484"/>
      <c r="LTU2822" s="484"/>
      <c r="LUF2822" s="484"/>
      <c r="LUQ2822" s="484"/>
      <c r="LVB2822" s="484"/>
      <c r="LVM2822" s="484"/>
      <c r="LVX2822" s="484"/>
      <c r="LWI2822" s="484"/>
      <c r="LWT2822" s="484"/>
      <c r="LXE2822" s="484"/>
      <c r="LXP2822" s="484"/>
      <c r="LYA2822" s="484"/>
      <c r="LYL2822" s="484"/>
      <c r="LYW2822" s="484"/>
      <c r="LZH2822" s="484"/>
      <c r="LZS2822" s="484"/>
      <c r="MAD2822" s="484"/>
      <c r="MAO2822" s="484"/>
      <c r="MAZ2822" s="484"/>
      <c r="MBK2822" s="484"/>
      <c r="MBV2822" s="484"/>
      <c r="MCG2822" s="484"/>
      <c r="MCR2822" s="484"/>
      <c r="MDC2822" s="484"/>
      <c r="MDN2822" s="484"/>
      <c r="MDY2822" s="484"/>
      <c r="MEJ2822" s="484"/>
      <c r="MEU2822" s="484"/>
      <c r="MFF2822" s="484"/>
      <c r="MFQ2822" s="484"/>
      <c r="MGB2822" s="484"/>
      <c r="MGM2822" s="484"/>
      <c r="MGX2822" s="484"/>
      <c r="MHI2822" s="484"/>
      <c r="MHT2822" s="484"/>
      <c r="MIE2822" s="484"/>
      <c r="MIP2822" s="484"/>
      <c r="MJA2822" s="484"/>
      <c r="MJL2822" s="484"/>
      <c r="MJW2822" s="484"/>
      <c r="MKH2822" s="484"/>
      <c r="MKS2822" s="484"/>
      <c r="MLD2822" s="484"/>
      <c r="MLO2822" s="484"/>
      <c r="MLZ2822" s="484"/>
      <c r="MMK2822" s="484"/>
      <c r="MMV2822" s="484"/>
      <c r="MNG2822" s="484"/>
      <c r="MNR2822" s="484"/>
      <c r="MOC2822" s="484"/>
      <c r="MON2822" s="484"/>
      <c r="MOY2822" s="484"/>
      <c r="MPJ2822" s="484"/>
      <c r="MPU2822" s="484"/>
      <c r="MQF2822" s="484"/>
      <c r="MQQ2822" s="484"/>
      <c r="MRB2822" s="484"/>
      <c r="MRM2822" s="484"/>
      <c r="MRX2822" s="484"/>
      <c r="MSI2822" s="484"/>
      <c r="MST2822" s="484"/>
      <c r="MTE2822" s="484"/>
      <c r="MTP2822" s="484"/>
      <c r="MUA2822" s="484"/>
      <c r="MUL2822" s="484"/>
      <c r="MUW2822" s="484"/>
      <c r="MVH2822" s="484"/>
      <c r="MVS2822" s="484"/>
      <c r="MWD2822" s="484"/>
      <c r="MWO2822" s="484"/>
      <c r="MWZ2822" s="484"/>
      <c r="MXK2822" s="484"/>
      <c r="MXV2822" s="484"/>
      <c r="MYG2822" s="484"/>
      <c r="MYR2822" s="484"/>
      <c r="MZC2822" s="484"/>
      <c r="MZN2822" s="484"/>
      <c r="MZY2822" s="484"/>
      <c r="NAJ2822" s="484"/>
      <c r="NAU2822" s="484"/>
      <c r="NBF2822" s="484"/>
      <c r="NBQ2822" s="484"/>
      <c r="NCB2822" s="484"/>
      <c r="NCM2822" s="484"/>
      <c r="NCX2822" s="484"/>
      <c r="NDI2822" s="484"/>
      <c r="NDT2822" s="484"/>
      <c r="NEE2822" s="484"/>
      <c r="NEP2822" s="484"/>
      <c r="NFA2822" s="484"/>
      <c r="NFL2822" s="484"/>
      <c r="NFW2822" s="484"/>
      <c r="NGH2822" s="484"/>
      <c r="NGS2822" s="484"/>
      <c r="NHD2822" s="484"/>
      <c r="NHO2822" s="484"/>
      <c r="NHZ2822" s="484"/>
      <c r="NIK2822" s="484"/>
      <c r="NIV2822" s="484"/>
      <c r="NJG2822" s="484"/>
      <c r="NJR2822" s="484"/>
      <c r="NKC2822" s="484"/>
      <c r="NKN2822" s="484"/>
      <c r="NKY2822" s="484"/>
      <c r="NLJ2822" s="484"/>
      <c r="NLU2822" s="484"/>
      <c r="NMF2822" s="484"/>
      <c r="NMQ2822" s="484"/>
      <c r="NNB2822" s="484"/>
      <c r="NNM2822" s="484"/>
      <c r="NNX2822" s="484"/>
      <c r="NOI2822" s="484"/>
      <c r="NOT2822" s="484"/>
      <c r="NPE2822" s="484"/>
      <c r="NPP2822" s="484"/>
      <c r="NQA2822" s="484"/>
      <c r="NQL2822" s="484"/>
      <c r="NQW2822" s="484"/>
      <c r="NRH2822" s="484"/>
      <c r="NRS2822" s="484"/>
      <c r="NSD2822" s="484"/>
      <c r="NSO2822" s="484"/>
      <c r="NSZ2822" s="484"/>
      <c r="NTK2822" s="484"/>
      <c r="NTV2822" s="484"/>
      <c r="NUG2822" s="484"/>
      <c r="NUR2822" s="484"/>
      <c r="NVC2822" s="484"/>
      <c r="NVN2822" s="484"/>
      <c r="NVY2822" s="484"/>
      <c r="NWJ2822" s="484"/>
      <c r="NWU2822" s="484"/>
      <c r="NXF2822" s="484"/>
      <c r="NXQ2822" s="484"/>
      <c r="NYB2822" s="484"/>
      <c r="NYM2822" s="484"/>
      <c r="NYX2822" s="484"/>
      <c r="NZI2822" s="484"/>
      <c r="NZT2822" s="484"/>
      <c r="OAE2822" s="484"/>
      <c r="OAP2822" s="484"/>
      <c r="OBA2822" s="484"/>
      <c r="OBL2822" s="484"/>
      <c r="OBW2822" s="484"/>
      <c r="OCH2822" s="484"/>
      <c r="OCS2822" s="484"/>
      <c r="ODD2822" s="484"/>
      <c r="ODO2822" s="484"/>
      <c r="ODZ2822" s="484"/>
      <c r="OEK2822" s="484"/>
      <c r="OEV2822" s="484"/>
      <c r="OFG2822" s="484"/>
      <c r="OFR2822" s="484"/>
      <c r="OGC2822" s="484"/>
      <c r="OGN2822" s="484"/>
      <c r="OGY2822" s="484"/>
      <c r="OHJ2822" s="484"/>
      <c r="OHU2822" s="484"/>
      <c r="OIF2822" s="484"/>
      <c r="OIQ2822" s="484"/>
      <c r="OJB2822" s="484"/>
      <c r="OJM2822" s="484"/>
      <c r="OJX2822" s="484"/>
      <c r="OKI2822" s="484"/>
      <c r="OKT2822" s="484"/>
      <c r="OLE2822" s="484"/>
      <c r="OLP2822" s="484"/>
      <c r="OMA2822" s="484"/>
      <c r="OML2822" s="484"/>
      <c r="OMW2822" s="484"/>
      <c r="ONH2822" s="484"/>
      <c r="ONS2822" s="484"/>
      <c r="OOD2822" s="484"/>
      <c r="OOO2822" s="484"/>
      <c r="OOZ2822" s="484"/>
      <c r="OPK2822" s="484"/>
      <c r="OPV2822" s="484"/>
      <c r="OQG2822" s="484"/>
      <c r="OQR2822" s="484"/>
      <c r="ORC2822" s="484"/>
      <c r="ORN2822" s="484"/>
      <c r="ORY2822" s="484"/>
      <c r="OSJ2822" s="484"/>
      <c r="OSU2822" s="484"/>
      <c r="OTF2822" s="484"/>
      <c r="OTQ2822" s="484"/>
      <c r="OUB2822" s="484"/>
      <c r="OUM2822" s="484"/>
      <c r="OUX2822" s="484"/>
      <c r="OVI2822" s="484"/>
      <c r="OVT2822" s="484"/>
      <c r="OWE2822" s="484"/>
      <c r="OWP2822" s="484"/>
      <c r="OXA2822" s="484"/>
      <c r="OXL2822" s="484"/>
      <c r="OXW2822" s="484"/>
      <c r="OYH2822" s="484"/>
      <c r="OYS2822" s="484"/>
      <c r="OZD2822" s="484"/>
      <c r="OZO2822" s="484"/>
      <c r="OZZ2822" s="484"/>
      <c r="PAK2822" s="484"/>
      <c r="PAV2822" s="484"/>
      <c r="PBG2822" s="484"/>
      <c r="PBR2822" s="484"/>
      <c r="PCC2822" s="484"/>
      <c r="PCN2822" s="484"/>
      <c r="PCY2822" s="484"/>
      <c r="PDJ2822" s="484"/>
      <c r="PDU2822" s="484"/>
      <c r="PEF2822" s="484"/>
      <c r="PEQ2822" s="484"/>
      <c r="PFB2822" s="484"/>
      <c r="PFM2822" s="484"/>
      <c r="PFX2822" s="484"/>
      <c r="PGI2822" s="484"/>
      <c r="PGT2822" s="484"/>
      <c r="PHE2822" s="484"/>
      <c r="PHP2822" s="484"/>
      <c r="PIA2822" s="484"/>
      <c r="PIL2822" s="484"/>
      <c r="PIW2822" s="484"/>
      <c r="PJH2822" s="484"/>
      <c r="PJS2822" s="484"/>
      <c r="PKD2822" s="484"/>
      <c r="PKO2822" s="484"/>
      <c r="PKZ2822" s="484"/>
      <c r="PLK2822" s="484"/>
      <c r="PLV2822" s="484"/>
      <c r="PMG2822" s="484"/>
      <c r="PMR2822" s="484"/>
      <c r="PNC2822" s="484"/>
      <c r="PNN2822" s="484"/>
      <c r="PNY2822" s="484"/>
      <c r="POJ2822" s="484"/>
      <c r="POU2822" s="484"/>
      <c r="PPF2822" s="484"/>
      <c r="PPQ2822" s="484"/>
      <c r="PQB2822" s="484"/>
      <c r="PQM2822" s="484"/>
      <c r="PQX2822" s="484"/>
      <c r="PRI2822" s="484"/>
      <c r="PRT2822" s="484"/>
      <c r="PSE2822" s="484"/>
      <c r="PSP2822" s="484"/>
      <c r="PTA2822" s="484"/>
      <c r="PTL2822" s="484"/>
      <c r="PTW2822" s="484"/>
      <c r="PUH2822" s="484"/>
      <c r="PUS2822" s="484"/>
      <c r="PVD2822" s="484"/>
      <c r="PVO2822" s="484"/>
      <c r="PVZ2822" s="484"/>
      <c r="PWK2822" s="484"/>
      <c r="PWV2822" s="484"/>
      <c r="PXG2822" s="484"/>
      <c r="PXR2822" s="484"/>
      <c r="PYC2822" s="484"/>
      <c r="PYN2822" s="484"/>
      <c r="PYY2822" s="484"/>
      <c r="PZJ2822" s="484"/>
      <c r="PZU2822" s="484"/>
      <c r="QAF2822" s="484"/>
      <c r="QAQ2822" s="484"/>
      <c r="QBB2822" s="484"/>
      <c r="QBM2822" s="484"/>
      <c r="QBX2822" s="484"/>
      <c r="QCI2822" s="484"/>
      <c r="QCT2822" s="484"/>
      <c r="QDE2822" s="484"/>
      <c r="QDP2822" s="484"/>
      <c r="QEA2822" s="484"/>
      <c r="QEL2822" s="484"/>
      <c r="QEW2822" s="484"/>
      <c r="QFH2822" s="484"/>
      <c r="QFS2822" s="484"/>
      <c r="QGD2822" s="484"/>
      <c r="QGO2822" s="484"/>
      <c r="QGZ2822" s="484"/>
      <c r="QHK2822" s="484"/>
      <c r="QHV2822" s="484"/>
      <c r="QIG2822" s="484"/>
      <c r="QIR2822" s="484"/>
      <c r="QJC2822" s="484"/>
      <c r="QJN2822" s="484"/>
      <c r="QJY2822" s="484"/>
      <c r="QKJ2822" s="484"/>
      <c r="QKU2822" s="484"/>
      <c r="QLF2822" s="484"/>
      <c r="QLQ2822" s="484"/>
      <c r="QMB2822" s="484"/>
      <c r="QMM2822" s="484"/>
      <c r="QMX2822" s="484"/>
      <c r="QNI2822" s="484"/>
      <c r="QNT2822" s="484"/>
      <c r="QOE2822" s="484"/>
      <c r="QOP2822" s="484"/>
      <c r="QPA2822" s="484"/>
      <c r="QPL2822" s="484"/>
      <c r="QPW2822" s="484"/>
      <c r="QQH2822" s="484"/>
      <c r="QQS2822" s="484"/>
      <c r="QRD2822" s="484"/>
      <c r="QRO2822" s="484"/>
      <c r="QRZ2822" s="484"/>
      <c r="QSK2822" s="484"/>
      <c r="QSV2822" s="484"/>
      <c r="QTG2822" s="484"/>
      <c r="QTR2822" s="484"/>
      <c r="QUC2822" s="484"/>
      <c r="QUN2822" s="484"/>
      <c r="QUY2822" s="484"/>
      <c r="QVJ2822" s="484"/>
      <c r="QVU2822" s="484"/>
      <c r="QWF2822" s="484"/>
      <c r="QWQ2822" s="484"/>
      <c r="QXB2822" s="484"/>
      <c r="QXM2822" s="484"/>
      <c r="QXX2822" s="484"/>
      <c r="QYI2822" s="484"/>
      <c r="QYT2822" s="484"/>
      <c r="QZE2822" s="484"/>
      <c r="QZP2822" s="484"/>
      <c r="RAA2822" s="484"/>
      <c r="RAL2822" s="484"/>
      <c r="RAW2822" s="484"/>
      <c r="RBH2822" s="484"/>
      <c r="RBS2822" s="484"/>
      <c r="RCD2822" s="484"/>
      <c r="RCO2822" s="484"/>
      <c r="RCZ2822" s="484"/>
      <c r="RDK2822" s="484"/>
      <c r="RDV2822" s="484"/>
      <c r="REG2822" s="484"/>
      <c r="RER2822" s="484"/>
      <c r="RFC2822" s="484"/>
      <c r="RFN2822" s="484"/>
      <c r="RFY2822" s="484"/>
      <c r="RGJ2822" s="484"/>
      <c r="RGU2822" s="484"/>
      <c r="RHF2822" s="484"/>
      <c r="RHQ2822" s="484"/>
      <c r="RIB2822" s="484"/>
      <c r="RIM2822" s="484"/>
      <c r="RIX2822" s="484"/>
      <c r="RJI2822" s="484"/>
      <c r="RJT2822" s="484"/>
      <c r="RKE2822" s="484"/>
      <c r="RKP2822" s="484"/>
      <c r="RLA2822" s="484"/>
      <c r="RLL2822" s="484"/>
      <c r="RLW2822" s="484"/>
      <c r="RMH2822" s="484"/>
      <c r="RMS2822" s="484"/>
      <c r="RND2822" s="484"/>
      <c r="RNO2822" s="484"/>
      <c r="RNZ2822" s="484"/>
      <c r="ROK2822" s="484"/>
      <c r="ROV2822" s="484"/>
      <c r="RPG2822" s="484"/>
      <c r="RPR2822" s="484"/>
      <c r="RQC2822" s="484"/>
      <c r="RQN2822" s="484"/>
      <c r="RQY2822" s="484"/>
      <c r="RRJ2822" s="484"/>
      <c r="RRU2822" s="484"/>
      <c r="RSF2822" s="484"/>
      <c r="RSQ2822" s="484"/>
      <c r="RTB2822" s="484"/>
      <c r="RTM2822" s="484"/>
      <c r="RTX2822" s="484"/>
      <c r="RUI2822" s="484"/>
      <c r="RUT2822" s="484"/>
      <c r="RVE2822" s="484"/>
      <c r="RVP2822" s="484"/>
      <c r="RWA2822" s="484"/>
      <c r="RWL2822" s="484"/>
      <c r="RWW2822" s="484"/>
      <c r="RXH2822" s="484"/>
      <c r="RXS2822" s="484"/>
      <c r="RYD2822" s="484"/>
      <c r="RYO2822" s="484"/>
      <c r="RYZ2822" s="484"/>
      <c r="RZK2822" s="484"/>
      <c r="RZV2822" s="484"/>
      <c r="SAG2822" s="484"/>
      <c r="SAR2822" s="484"/>
      <c r="SBC2822" s="484"/>
      <c r="SBN2822" s="484"/>
      <c r="SBY2822" s="484"/>
      <c r="SCJ2822" s="484"/>
      <c r="SCU2822" s="484"/>
      <c r="SDF2822" s="484"/>
      <c r="SDQ2822" s="484"/>
      <c r="SEB2822" s="484"/>
      <c r="SEM2822" s="484"/>
      <c r="SEX2822" s="484"/>
      <c r="SFI2822" s="484"/>
      <c r="SFT2822" s="484"/>
      <c r="SGE2822" s="484"/>
      <c r="SGP2822" s="484"/>
      <c r="SHA2822" s="484"/>
      <c r="SHL2822" s="484"/>
      <c r="SHW2822" s="484"/>
      <c r="SIH2822" s="484"/>
      <c r="SIS2822" s="484"/>
      <c r="SJD2822" s="484"/>
      <c r="SJO2822" s="484"/>
      <c r="SJZ2822" s="484"/>
      <c r="SKK2822" s="484"/>
      <c r="SKV2822" s="484"/>
      <c r="SLG2822" s="484"/>
      <c r="SLR2822" s="484"/>
      <c r="SMC2822" s="484"/>
      <c r="SMN2822" s="484"/>
      <c r="SMY2822" s="484"/>
      <c r="SNJ2822" s="484"/>
      <c r="SNU2822" s="484"/>
      <c r="SOF2822" s="484"/>
      <c r="SOQ2822" s="484"/>
      <c r="SPB2822" s="484"/>
      <c r="SPM2822" s="484"/>
      <c r="SPX2822" s="484"/>
      <c r="SQI2822" s="484"/>
      <c r="SQT2822" s="484"/>
      <c r="SRE2822" s="484"/>
      <c r="SRP2822" s="484"/>
      <c r="SSA2822" s="484"/>
      <c r="SSL2822" s="484"/>
      <c r="SSW2822" s="484"/>
      <c r="STH2822" s="484"/>
      <c r="STS2822" s="484"/>
      <c r="SUD2822" s="484"/>
      <c r="SUO2822" s="484"/>
      <c r="SUZ2822" s="484"/>
      <c r="SVK2822" s="484"/>
      <c r="SVV2822" s="484"/>
      <c r="SWG2822" s="484"/>
      <c r="SWR2822" s="484"/>
      <c r="SXC2822" s="484"/>
      <c r="SXN2822" s="484"/>
      <c r="SXY2822" s="484"/>
      <c r="SYJ2822" s="484"/>
      <c r="SYU2822" s="484"/>
      <c r="SZF2822" s="484"/>
      <c r="SZQ2822" s="484"/>
      <c r="TAB2822" s="484"/>
      <c r="TAM2822" s="484"/>
      <c r="TAX2822" s="484"/>
      <c r="TBI2822" s="484"/>
      <c r="TBT2822" s="484"/>
      <c r="TCE2822" s="484"/>
      <c r="TCP2822" s="484"/>
      <c r="TDA2822" s="484"/>
      <c r="TDL2822" s="484"/>
      <c r="TDW2822" s="484"/>
      <c r="TEH2822" s="484"/>
      <c r="TES2822" s="484"/>
      <c r="TFD2822" s="484"/>
      <c r="TFO2822" s="484"/>
      <c r="TFZ2822" s="484"/>
      <c r="TGK2822" s="484"/>
      <c r="TGV2822" s="484"/>
      <c r="THG2822" s="484"/>
      <c r="THR2822" s="484"/>
      <c r="TIC2822" s="484"/>
      <c r="TIN2822" s="484"/>
      <c r="TIY2822" s="484"/>
      <c r="TJJ2822" s="484"/>
      <c r="TJU2822" s="484"/>
      <c r="TKF2822" s="484"/>
      <c r="TKQ2822" s="484"/>
      <c r="TLB2822" s="484"/>
      <c r="TLM2822" s="484"/>
      <c r="TLX2822" s="484"/>
      <c r="TMI2822" s="484"/>
      <c r="TMT2822" s="484"/>
      <c r="TNE2822" s="484"/>
      <c r="TNP2822" s="484"/>
      <c r="TOA2822" s="484"/>
      <c r="TOL2822" s="484"/>
      <c r="TOW2822" s="484"/>
      <c r="TPH2822" s="484"/>
      <c r="TPS2822" s="484"/>
      <c r="TQD2822" s="484"/>
      <c r="TQO2822" s="484"/>
      <c r="TQZ2822" s="484"/>
      <c r="TRK2822" s="484"/>
      <c r="TRV2822" s="484"/>
      <c r="TSG2822" s="484"/>
      <c r="TSR2822" s="484"/>
      <c r="TTC2822" s="484"/>
      <c r="TTN2822" s="484"/>
      <c r="TTY2822" s="484"/>
      <c r="TUJ2822" s="484"/>
      <c r="TUU2822" s="484"/>
      <c r="TVF2822" s="484"/>
      <c r="TVQ2822" s="484"/>
      <c r="TWB2822" s="484"/>
      <c r="TWM2822" s="484"/>
      <c r="TWX2822" s="484"/>
      <c r="TXI2822" s="484"/>
      <c r="TXT2822" s="484"/>
      <c r="TYE2822" s="484"/>
      <c r="TYP2822" s="484"/>
      <c r="TZA2822" s="484"/>
      <c r="TZL2822" s="484"/>
      <c r="TZW2822" s="484"/>
      <c r="UAH2822" s="484"/>
      <c r="UAS2822" s="484"/>
      <c r="UBD2822" s="484"/>
      <c r="UBO2822" s="484"/>
      <c r="UBZ2822" s="484"/>
      <c r="UCK2822" s="484"/>
      <c r="UCV2822" s="484"/>
      <c r="UDG2822" s="484"/>
      <c r="UDR2822" s="484"/>
      <c r="UEC2822" s="484"/>
      <c r="UEN2822" s="484"/>
      <c r="UEY2822" s="484"/>
      <c r="UFJ2822" s="484"/>
      <c r="UFU2822" s="484"/>
      <c r="UGF2822" s="484"/>
      <c r="UGQ2822" s="484"/>
      <c r="UHB2822" s="484"/>
      <c r="UHM2822" s="484"/>
      <c r="UHX2822" s="484"/>
      <c r="UII2822" s="484"/>
      <c r="UIT2822" s="484"/>
      <c r="UJE2822" s="484"/>
      <c r="UJP2822" s="484"/>
      <c r="UKA2822" s="484"/>
      <c r="UKL2822" s="484"/>
      <c r="UKW2822" s="484"/>
      <c r="ULH2822" s="484"/>
      <c r="ULS2822" s="484"/>
      <c r="UMD2822" s="484"/>
      <c r="UMO2822" s="484"/>
      <c r="UMZ2822" s="484"/>
      <c r="UNK2822" s="484"/>
      <c r="UNV2822" s="484"/>
      <c r="UOG2822" s="484"/>
      <c r="UOR2822" s="484"/>
      <c r="UPC2822" s="484"/>
      <c r="UPN2822" s="484"/>
      <c r="UPY2822" s="484"/>
      <c r="UQJ2822" s="484"/>
      <c r="UQU2822" s="484"/>
      <c r="URF2822" s="484"/>
      <c r="URQ2822" s="484"/>
      <c r="USB2822" s="484"/>
      <c r="USM2822" s="484"/>
      <c r="USX2822" s="484"/>
      <c r="UTI2822" s="484"/>
      <c r="UTT2822" s="484"/>
      <c r="UUE2822" s="484"/>
      <c r="UUP2822" s="484"/>
      <c r="UVA2822" s="484"/>
      <c r="UVL2822" s="484"/>
      <c r="UVW2822" s="484"/>
      <c r="UWH2822" s="484"/>
      <c r="UWS2822" s="484"/>
      <c r="UXD2822" s="484"/>
      <c r="UXO2822" s="484"/>
      <c r="UXZ2822" s="484"/>
      <c r="UYK2822" s="484"/>
      <c r="UYV2822" s="484"/>
      <c r="UZG2822" s="484"/>
      <c r="UZR2822" s="484"/>
      <c r="VAC2822" s="484"/>
      <c r="VAN2822" s="484"/>
      <c r="VAY2822" s="484"/>
      <c r="VBJ2822" s="484"/>
      <c r="VBU2822" s="484"/>
      <c r="VCF2822" s="484"/>
      <c r="VCQ2822" s="484"/>
      <c r="VDB2822" s="484"/>
      <c r="VDM2822" s="484"/>
      <c r="VDX2822" s="484"/>
      <c r="VEI2822" s="484"/>
      <c r="VET2822" s="484"/>
      <c r="VFE2822" s="484"/>
      <c r="VFP2822" s="484"/>
      <c r="VGA2822" s="484"/>
      <c r="VGL2822" s="484"/>
      <c r="VGW2822" s="484"/>
      <c r="VHH2822" s="484"/>
      <c r="VHS2822" s="484"/>
      <c r="VID2822" s="484"/>
      <c r="VIO2822" s="484"/>
      <c r="VIZ2822" s="484"/>
      <c r="VJK2822" s="484"/>
      <c r="VJV2822" s="484"/>
      <c r="VKG2822" s="484"/>
      <c r="VKR2822" s="484"/>
      <c r="VLC2822" s="484"/>
      <c r="VLN2822" s="484"/>
      <c r="VLY2822" s="484"/>
      <c r="VMJ2822" s="484"/>
      <c r="VMU2822" s="484"/>
      <c r="VNF2822" s="484"/>
      <c r="VNQ2822" s="484"/>
      <c r="VOB2822" s="484"/>
      <c r="VOM2822" s="484"/>
      <c r="VOX2822" s="484"/>
      <c r="VPI2822" s="484"/>
      <c r="VPT2822" s="484"/>
      <c r="VQE2822" s="484"/>
      <c r="VQP2822" s="484"/>
      <c r="VRA2822" s="484"/>
      <c r="VRL2822" s="484"/>
      <c r="VRW2822" s="484"/>
      <c r="VSH2822" s="484"/>
      <c r="VSS2822" s="484"/>
      <c r="VTD2822" s="484"/>
      <c r="VTO2822" s="484"/>
      <c r="VTZ2822" s="484"/>
      <c r="VUK2822" s="484"/>
      <c r="VUV2822" s="484"/>
      <c r="VVG2822" s="484"/>
      <c r="VVR2822" s="484"/>
      <c r="VWC2822" s="484"/>
      <c r="VWN2822" s="484"/>
      <c r="VWY2822" s="484"/>
      <c r="VXJ2822" s="484"/>
      <c r="VXU2822" s="484"/>
      <c r="VYF2822" s="484"/>
      <c r="VYQ2822" s="484"/>
      <c r="VZB2822" s="484"/>
      <c r="VZM2822" s="484"/>
      <c r="VZX2822" s="484"/>
      <c r="WAI2822" s="484"/>
      <c r="WAT2822" s="484"/>
      <c r="WBE2822" s="484"/>
      <c r="WBP2822" s="484"/>
      <c r="WCA2822" s="484"/>
      <c r="WCL2822" s="484"/>
      <c r="WCW2822" s="484"/>
      <c r="WDH2822" s="484"/>
      <c r="WDS2822" s="484"/>
      <c r="WED2822" s="484"/>
      <c r="WEO2822" s="484"/>
      <c r="WEZ2822" s="484"/>
      <c r="WFK2822" s="484"/>
      <c r="WFV2822" s="484"/>
      <c r="WGG2822" s="484"/>
      <c r="WGR2822" s="484"/>
      <c r="WHC2822" s="484"/>
      <c r="WHN2822" s="484"/>
      <c r="WHY2822" s="484"/>
      <c r="WIJ2822" s="484"/>
      <c r="WIU2822" s="484"/>
      <c r="WJF2822" s="484"/>
      <c r="WJQ2822" s="484"/>
      <c r="WKB2822" s="484"/>
      <c r="WKM2822" s="484"/>
      <c r="WKX2822" s="484"/>
      <c r="WLI2822" s="484"/>
      <c r="WLT2822" s="484"/>
      <c r="WME2822" s="484"/>
      <c r="WMP2822" s="484"/>
      <c r="WNA2822" s="484"/>
      <c r="WNL2822" s="484"/>
      <c r="WNW2822" s="484"/>
      <c r="WOH2822" s="484"/>
      <c r="WOS2822" s="484"/>
      <c r="WPD2822" s="484"/>
      <c r="WPO2822" s="484"/>
      <c r="WPZ2822" s="484"/>
      <c r="WQK2822" s="484"/>
      <c r="WQV2822" s="484"/>
      <c r="WRG2822" s="484"/>
      <c r="WRR2822" s="484"/>
      <c r="WSC2822" s="484"/>
      <c r="WSN2822" s="484"/>
      <c r="WSY2822" s="484"/>
      <c r="WTJ2822" s="484"/>
      <c r="WTU2822" s="484"/>
      <c r="WUF2822" s="484"/>
      <c r="WUQ2822" s="484"/>
      <c r="WVB2822" s="484"/>
      <c r="WVM2822" s="484"/>
      <c r="WVX2822" s="484"/>
      <c r="WWI2822" s="484"/>
      <c r="WWT2822" s="484"/>
      <c r="WXE2822" s="484"/>
      <c r="WXP2822" s="484"/>
      <c r="WYA2822" s="484"/>
      <c r="WYL2822" s="484"/>
      <c r="WYW2822" s="484"/>
      <c r="WZH2822" s="484"/>
      <c r="WZS2822" s="484"/>
      <c r="XAD2822" s="484"/>
      <c r="XAO2822" s="484"/>
      <c r="XAZ2822" s="484"/>
      <c r="XBK2822" s="484"/>
      <c r="XBV2822" s="484"/>
      <c r="XCG2822" s="484"/>
      <c r="XCR2822" s="484"/>
      <c r="XDC2822" s="484"/>
      <c r="XDN2822" s="484"/>
      <c r="XDY2822" s="484"/>
      <c r="XEJ2822" s="484"/>
      <c r="XEU2822" s="484"/>
    </row>
    <row r="2823" spans="1:1019 1030:2042 2053:3065 3076:4088 4099:5111 5122:6134 6145:7168 7179:8191 8202:9214 9225:10237 10248:11260 11271:12283 12294:13306 13317:14329 14340:15352 15363:16375" ht="15" hidden="1">
      <c r="A2823" t="s">
        <v>1806</v>
      </c>
      <c r="B2823" t="s">
        <v>689</v>
      </c>
      <c r="D2823" t="s">
        <v>1643</v>
      </c>
      <c r="E2823" t="s">
        <v>1695</v>
      </c>
      <c r="F2823" t="s">
        <v>1272</v>
      </c>
      <c r="G2823" s="484" t="s">
        <v>613</v>
      </c>
      <c r="H2823" s="484">
        <v>-800</v>
      </c>
      <c r="I2823" t="str">
        <f t="shared" si="157"/>
        <v>março 2026</v>
      </c>
      <c r="J2823">
        <f t="shared" si="158"/>
        <v>2026</v>
      </c>
      <c r="K2823" t="str">
        <f>VLOOKUP(G2823,METRICS!C:D,2,0)</f>
        <v>Dedetização</v>
      </c>
      <c r="L2823" t="str">
        <f>VLOOKUP(K2823,METRICS!D:E,2,0)</f>
        <v>ADMINISTRATIVA</v>
      </c>
      <c r="R2823" s="484"/>
      <c r="AC2823" s="484"/>
      <c r="AN2823" s="484"/>
      <c r="AY2823" s="484"/>
      <c r="BJ2823" s="484"/>
      <c r="BU2823" s="484"/>
      <c r="CF2823" s="484"/>
      <c r="CQ2823" s="484"/>
      <c r="DB2823" s="484"/>
      <c r="DM2823" s="484"/>
      <c r="DX2823" s="484"/>
      <c r="EI2823" s="484"/>
      <c r="ET2823" s="484"/>
      <c r="FE2823" s="484"/>
      <c r="FP2823" s="484"/>
      <c r="GA2823" s="484"/>
      <c r="GL2823" s="484"/>
      <c r="GW2823" s="484"/>
      <c r="HH2823" s="484"/>
      <c r="HS2823" s="484"/>
      <c r="ID2823" s="484"/>
      <c r="IO2823" s="484"/>
      <c r="IZ2823" s="484"/>
      <c r="JK2823" s="484"/>
      <c r="JV2823" s="484"/>
      <c r="KG2823" s="484"/>
      <c r="KR2823" s="484"/>
      <c r="LC2823" s="484"/>
      <c r="LN2823" s="484"/>
      <c r="LY2823" s="484"/>
      <c r="MJ2823" s="484"/>
      <c r="MU2823" s="484"/>
      <c r="NF2823" s="484"/>
      <c r="NQ2823" s="484"/>
      <c r="OB2823" s="484"/>
      <c r="OM2823" s="484"/>
      <c r="OX2823" s="484"/>
      <c r="PI2823" s="484"/>
      <c r="PT2823" s="484"/>
      <c r="QE2823" s="484"/>
      <c r="QP2823" s="484"/>
      <c r="RA2823" s="484"/>
      <c r="RL2823" s="484"/>
      <c r="RW2823" s="484"/>
      <c r="SH2823" s="484"/>
      <c r="SS2823" s="484"/>
      <c r="TD2823" s="484"/>
      <c r="TO2823" s="484"/>
      <c r="TZ2823" s="484"/>
      <c r="UK2823" s="484"/>
      <c r="UV2823" s="484"/>
      <c r="VG2823" s="484"/>
      <c r="VR2823" s="484"/>
      <c r="WC2823" s="484"/>
      <c r="WN2823" s="484"/>
      <c r="WY2823" s="484"/>
      <c r="XJ2823" s="484"/>
      <c r="XU2823" s="484"/>
      <c r="YF2823" s="484"/>
      <c r="YQ2823" s="484"/>
      <c r="ZB2823" s="484"/>
      <c r="ZM2823" s="484"/>
      <c r="ZX2823" s="484"/>
      <c r="AAI2823" s="484"/>
      <c r="AAT2823" s="484"/>
      <c r="ABE2823" s="484"/>
      <c r="ABP2823" s="484"/>
      <c r="ACA2823" s="484"/>
      <c r="ACL2823" s="484"/>
      <c r="ACW2823" s="484"/>
      <c r="ADH2823" s="484"/>
      <c r="ADS2823" s="484"/>
      <c r="AED2823" s="484"/>
      <c r="AEO2823" s="484"/>
      <c r="AEZ2823" s="484"/>
      <c r="AFK2823" s="484"/>
      <c r="AFV2823" s="484"/>
      <c r="AGG2823" s="484"/>
      <c r="AGR2823" s="484"/>
      <c r="AHC2823" s="484"/>
      <c r="AHN2823" s="484"/>
      <c r="AHY2823" s="484"/>
      <c r="AIJ2823" s="484"/>
      <c r="AIU2823" s="484"/>
      <c r="AJF2823" s="484"/>
      <c r="AJQ2823" s="484"/>
      <c r="AKB2823" s="484"/>
      <c r="AKM2823" s="484"/>
      <c r="AKX2823" s="484"/>
      <c r="ALI2823" s="484"/>
      <c r="ALT2823" s="484"/>
      <c r="AME2823" s="484"/>
      <c r="AMP2823" s="484"/>
      <c r="ANA2823" s="484"/>
      <c r="ANL2823" s="484"/>
      <c r="ANW2823" s="484"/>
      <c r="AOH2823" s="484"/>
      <c r="AOS2823" s="484"/>
      <c r="APD2823" s="484"/>
      <c r="APO2823" s="484"/>
      <c r="APZ2823" s="484"/>
      <c r="AQK2823" s="484"/>
      <c r="AQV2823" s="484"/>
      <c r="ARG2823" s="484"/>
      <c r="ARR2823" s="484"/>
      <c r="ASC2823" s="484"/>
      <c r="ASN2823" s="484"/>
      <c r="ASY2823" s="484"/>
      <c r="ATJ2823" s="484"/>
      <c r="ATU2823" s="484"/>
      <c r="AUF2823" s="484"/>
      <c r="AUQ2823" s="484"/>
      <c r="AVB2823" s="484"/>
      <c r="AVM2823" s="484"/>
      <c r="AVX2823" s="484"/>
      <c r="AWI2823" s="484"/>
      <c r="AWT2823" s="484"/>
      <c r="AXE2823" s="484"/>
      <c r="AXP2823" s="484"/>
      <c r="AYA2823" s="484"/>
      <c r="AYL2823" s="484"/>
      <c r="AYW2823" s="484"/>
      <c r="AZH2823" s="484"/>
      <c r="AZS2823" s="484"/>
      <c r="BAD2823" s="484"/>
      <c r="BAO2823" s="484"/>
      <c r="BAZ2823" s="484"/>
      <c r="BBK2823" s="484"/>
      <c r="BBV2823" s="484"/>
      <c r="BCG2823" s="484"/>
      <c r="BCR2823" s="484"/>
      <c r="BDC2823" s="484"/>
      <c r="BDN2823" s="484"/>
      <c r="BDY2823" s="484"/>
      <c r="BEJ2823" s="484"/>
      <c r="BEU2823" s="484"/>
      <c r="BFF2823" s="484"/>
      <c r="BFQ2823" s="484"/>
      <c r="BGB2823" s="484"/>
      <c r="BGM2823" s="484"/>
      <c r="BGX2823" s="484"/>
      <c r="BHI2823" s="484"/>
      <c r="BHT2823" s="484"/>
      <c r="BIE2823" s="484"/>
      <c r="BIP2823" s="484"/>
      <c r="BJA2823" s="484"/>
      <c r="BJL2823" s="484"/>
      <c r="BJW2823" s="484"/>
      <c r="BKH2823" s="484"/>
      <c r="BKS2823" s="484"/>
      <c r="BLD2823" s="484"/>
      <c r="BLO2823" s="484"/>
      <c r="BLZ2823" s="484"/>
      <c r="BMK2823" s="484"/>
      <c r="BMV2823" s="484"/>
      <c r="BNG2823" s="484"/>
      <c r="BNR2823" s="484"/>
      <c r="BOC2823" s="484"/>
      <c r="BON2823" s="484"/>
      <c r="BOY2823" s="484"/>
      <c r="BPJ2823" s="484"/>
      <c r="BPU2823" s="484"/>
      <c r="BQF2823" s="484"/>
      <c r="BQQ2823" s="484"/>
      <c r="BRB2823" s="484"/>
      <c r="BRM2823" s="484"/>
      <c r="BRX2823" s="484"/>
      <c r="BSI2823" s="484"/>
      <c r="BST2823" s="484"/>
      <c r="BTE2823" s="484"/>
      <c r="BTP2823" s="484"/>
      <c r="BUA2823" s="484"/>
      <c r="BUL2823" s="484"/>
      <c r="BUW2823" s="484"/>
      <c r="BVH2823" s="484"/>
      <c r="BVS2823" s="484"/>
      <c r="BWD2823" s="484"/>
      <c r="BWO2823" s="484"/>
      <c r="BWZ2823" s="484"/>
      <c r="BXK2823" s="484"/>
      <c r="BXV2823" s="484"/>
      <c r="BYG2823" s="484"/>
      <c r="BYR2823" s="484"/>
      <c r="BZC2823" s="484"/>
      <c r="BZN2823" s="484"/>
      <c r="BZY2823" s="484"/>
      <c r="CAJ2823" s="484"/>
      <c r="CAU2823" s="484"/>
      <c r="CBF2823" s="484"/>
      <c r="CBQ2823" s="484"/>
      <c r="CCB2823" s="484"/>
      <c r="CCM2823" s="484"/>
      <c r="CCX2823" s="484"/>
      <c r="CDI2823" s="484"/>
      <c r="CDT2823" s="484"/>
      <c r="CEE2823" s="484"/>
      <c r="CEP2823" s="484"/>
      <c r="CFA2823" s="484"/>
      <c r="CFL2823" s="484"/>
      <c r="CFW2823" s="484"/>
      <c r="CGH2823" s="484"/>
      <c r="CGS2823" s="484"/>
      <c r="CHD2823" s="484"/>
      <c r="CHO2823" s="484"/>
      <c r="CHZ2823" s="484"/>
      <c r="CIK2823" s="484"/>
      <c r="CIV2823" s="484"/>
      <c r="CJG2823" s="484"/>
      <c r="CJR2823" s="484"/>
      <c r="CKC2823" s="484"/>
      <c r="CKN2823" s="484"/>
      <c r="CKY2823" s="484"/>
      <c r="CLJ2823" s="484"/>
      <c r="CLU2823" s="484"/>
      <c r="CMF2823" s="484"/>
      <c r="CMQ2823" s="484"/>
      <c r="CNB2823" s="484"/>
      <c r="CNM2823" s="484"/>
      <c r="CNX2823" s="484"/>
      <c r="COI2823" s="484"/>
      <c r="COT2823" s="484"/>
      <c r="CPE2823" s="484"/>
      <c r="CPP2823" s="484"/>
      <c r="CQA2823" s="484"/>
      <c r="CQL2823" s="484"/>
      <c r="CQW2823" s="484"/>
      <c r="CRH2823" s="484"/>
      <c r="CRS2823" s="484"/>
      <c r="CSD2823" s="484"/>
      <c r="CSO2823" s="484"/>
      <c r="CSZ2823" s="484"/>
      <c r="CTK2823" s="484"/>
      <c r="CTV2823" s="484"/>
      <c r="CUG2823" s="484"/>
      <c r="CUR2823" s="484"/>
      <c r="CVC2823" s="484"/>
      <c r="CVN2823" s="484"/>
      <c r="CVY2823" s="484"/>
      <c r="CWJ2823" s="484"/>
      <c r="CWU2823" s="484"/>
      <c r="CXF2823" s="484"/>
      <c r="CXQ2823" s="484"/>
      <c r="CYB2823" s="484"/>
      <c r="CYM2823" s="484"/>
      <c r="CYX2823" s="484"/>
      <c r="CZI2823" s="484"/>
      <c r="CZT2823" s="484"/>
      <c r="DAE2823" s="484"/>
      <c r="DAP2823" s="484"/>
      <c r="DBA2823" s="484"/>
      <c r="DBL2823" s="484"/>
      <c r="DBW2823" s="484"/>
      <c r="DCH2823" s="484"/>
      <c r="DCS2823" s="484"/>
      <c r="DDD2823" s="484"/>
      <c r="DDO2823" s="484"/>
      <c r="DDZ2823" s="484"/>
      <c r="DEK2823" s="484"/>
      <c r="DEV2823" s="484"/>
      <c r="DFG2823" s="484"/>
      <c r="DFR2823" s="484"/>
      <c r="DGC2823" s="484"/>
      <c r="DGN2823" s="484"/>
      <c r="DGY2823" s="484"/>
      <c r="DHJ2823" s="484"/>
      <c r="DHU2823" s="484"/>
      <c r="DIF2823" s="484"/>
      <c r="DIQ2823" s="484"/>
      <c r="DJB2823" s="484"/>
      <c r="DJM2823" s="484"/>
      <c r="DJX2823" s="484"/>
      <c r="DKI2823" s="484"/>
      <c r="DKT2823" s="484"/>
      <c r="DLE2823" s="484"/>
      <c r="DLP2823" s="484"/>
      <c r="DMA2823" s="484"/>
      <c r="DML2823" s="484"/>
      <c r="DMW2823" s="484"/>
      <c r="DNH2823" s="484"/>
      <c r="DNS2823" s="484"/>
      <c r="DOD2823" s="484"/>
      <c r="DOO2823" s="484"/>
      <c r="DOZ2823" s="484"/>
      <c r="DPK2823" s="484"/>
      <c r="DPV2823" s="484"/>
      <c r="DQG2823" s="484"/>
      <c r="DQR2823" s="484"/>
      <c r="DRC2823" s="484"/>
      <c r="DRN2823" s="484"/>
      <c r="DRY2823" s="484"/>
      <c r="DSJ2823" s="484"/>
      <c r="DSU2823" s="484"/>
      <c r="DTF2823" s="484"/>
      <c r="DTQ2823" s="484"/>
      <c r="DUB2823" s="484"/>
      <c r="DUM2823" s="484"/>
      <c r="DUX2823" s="484"/>
      <c r="DVI2823" s="484"/>
      <c r="DVT2823" s="484"/>
      <c r="DWE2823" s="484"/>
      <c r="DWP2823" s="484"/>
      <c r="DXA2823" s="484"/>
      <c r="DXL2823" s="484"/>
      <c r="DXW2823" s="484"/>
      <c r="DYH2823" s="484"/>
      <c r="DYS2823" s="484"/>
      <c r="DZD2823" s="484"/>
      <c r="DZO2823" s="484"/>
      <c r="DZZ2823" s="484"/>
      <c r="EAK2823" s="484"/>
      <c r="EAV2823" s="484"/>
      <c r="EBG2823" s="484"/>
      <c r="EBR2823" s="484"/>
      <c r="ECC2823" s="484"/>
      <c r="ECN2823" s="484"/>
      <c r="ECY2823" s="484"/>
      <c r="EDJ2823" s="484"/>
      <c r="EDU2823" s="484"/>
      <c r="EEF2823" s="484"/>
      <c r="EEQ2823" s="484"/>
      <c r="EFB2823" s="484"/>
      <c r="EFM2823" s="484"/>
      <c r="EFX2823" s="484"/>
      <c r="EGI2823" s="484"/>
      <c r="EGT2823" s="484"/>
      <c r="EHE2823" s="484"/>
      <c r="EHP2823" s="484"/>
      <c r="EIA2823" s="484"/>
      <c r="EIL2823" s="484"/>
      <c r="EIW2823" s="484"/>
      <c r="EJH2823" s="484"/>
      <c r="EJS2823" s="484"/>
      <c r="EKD2823" s="484"/>
      <c r="EKO2823" s="484"/>
      <c r="EKZ2823" s="484"/>
      <c r="ELK2823" s="484"/>
      <c r="ELV2823" s="484"/>
      <c r="EMG2823" s="484"/>
      <c r="EMR2823" s="484"/>
      <c r="ENC2823" s="484"/>
      <c r="ENN2823" s="484"/>
      <c r="ENY2823" s="484"/>
      <c r="EOJ2823" s="484"/>
      <c r="EOU2823" s="484"/>
      <c r="EPF2823" s="484"/>
      <c r="EPQ2823" s="484"/>
      <c r="EQB2823" s="484"/>
      <c r="EQM2823" s="484"/>
      <c r="EQX2823" s="484"/>
      <c r="ERI2823" s="484"/>
      <c r="ERT2823" s="484"/>
      <c r="ESE2823" s="484"/>
      <c r="ESP2823" s="484"/>
      <c r="ETA2823" s="484"/>
      <c r="ETL2823" s="484"/>
      <c r="ETW2823" s="484"/>
      <c r="EUH2823" s="484"/>
      <c r="EUS2823" s="484"/>
      <c r="EVD2823" s="484"/>
      <c r="EVO2823" s="484"/>
      <c r="EVZ2823" s="484"/>
      <c r="EWK2823" s="484"/>
      <c r="EWV2823" s="484"/>
      <c r="EXG2823" s="484"/>
      <c r="EXR2823" s="484"/>
      <c r="EYC2823" s="484"/>
      <c r="EYN2823" s="484"/>
      <c r="EYY2823" s="484"/>
      <c r="EZJ2823" s="484"/>
      <c r="EZU2823" s="484"/>
      <c r="FAF2823" s="484"/>
      <c r="FAQ2823" s="484"/>
      <c r="FBB2823" s="484"/>
      <c r="FBM2823" s="484"/>
      <c r="FBX2823" s="484"/>
      <c r="FCI2823" s="484"/>
      <c r="FCT2823" s="484"/>
      <c r="FDE2823" s="484"/>
      <c r="FDP2823" s="484"/>
      <c r="FEA2823" s="484"/>
      <c r="FEL2823" s="484"/>
      <c r="FEW2823" s="484"/>
      <c r="FFH2823" s="484"/>
      <c r="FFS2823" s="484"/>
      <c r="FGD2823" s="484"/>
      <c r="FGO2823" s="484"/>
      <c r="FGZ2823" s="484"/>
      <c r="FHK2823" s="484"/>
      <c r="FHV2823" s="484"/>
      <c r="FIG2823" s="484"/>
      <c r="FIR2823" s="484"/>
      <c r="FJC2823" s="484"/>
      <c r="FJN2823" s="484"/>
      <c r="FJY2823" s="484"/>
      <c r="FKJ2823" s="484"/>
      <c r="FKU2823" s="484"/>
      <c r="FLF2823" s="484"/>
      <c r="FLQ2823" s="484"/>
      <c r="FMB2823" s="484"/>
      <c r="FMM2823" s="484"/>
      <c r="FMX2823" s="484"/>
      <c r="FNI2823" s="484"/>
      <c r="FNT2823" s="484"/>
      <c r="FOE2823" s="484"/>
      <c r="FOP2823" s="484"/>
      <c r="FPA2823" s="484"/>
      <c r="FPL2823" s="484"/>
      <c r="FPW2823" s="484"/>
      <c r="FQH2823" s="484"/>
      <c r="FQS2823" s="484"/>
      <c r="FRD2823" s="484"/>
      <c r="FRO2823" s="484"/>
      <c r="FRZ2823" s="484"/>
      <c r="FSK2823" s="484"/>
      <c r="FSV2823" s="484"/>
      <c r="FTG2823" s="484"/>
      <c r="FTR2823" s="484"/>
      <c r="FUC2823" s="484"/>
      <c r="FUN2823" s="484"/>
      <c r="FUY2823" s="484"/>
      <c r="FVJ2823" s="484"/>
      <c r="FVU2823" s="484"/>
      <c r="FWF2823" s="484"/>
      <c r="FWQ2823" s="484"/>
      <c r="FXB2823" s="484"/>
      <c r="FXM2823" s="484"/>
      <c r="FXX2823" s="484"/>
      <c r="FYI2823" s="484"/>
      <c r="FYT2823" s="484"/>
      <c r="FZE2823" s="484"/>
      <c r="FZP2823" s="484"/>
      <c r="GAA2823" s="484"/>
      <c r="GAL2823" s="484"/>
      <c r="GAW2823" s="484"/>
      <c r="GBH2823" s="484"/>
      <c r="GBS2823" s="484"/>
      <c r="GCD2823" s="484"/>
      <c r="GCO2823" s="484"/>
      <c r="GCZ2823" s="484"/>
      <c r="GDK2823" s="484"/>
      <c r="GDV2823" s="484"/>
      <c r="GEG2823" s="484"/>
      <c r="GER2823" s="484"/>
      <c r="GFC2823" s="484"/>
      <c r="GFN2823" s="484"/>
      <c r="GFY2823" s="484"/>
      <c r="GGJ2823" s="484"/>
      <c r="GGU2823" s="484"/>
      <c r="GHF2823" s="484"/>
      <c r="GHQ2823" s="484"/>
      <c r="GIB2823" s="484"/>
      <c r="GIM2823" s="484"/>
      <c r="GIX2823" s="484"/>
      <c r="GJI2823" s="484"/>
      <c r="GJT2823" s="484"/>
      <c r="GKE2823" s="484"/>
      <c r="GKP2823" s="484"/>
      <c r="GLA2823" s="484"/>
      <c r="GLL2823" s="484"/>
      <c r="GLW2823" s="484"/>
      <c r="GMH2823" s="484"/>
      <c r="GMS2823" s="484"/>
      <c r="GND2823" s="484"/>
      <c r="GNO2823" s="484"/>
      <c r="GNZ2823" s="484"/>
      <c r="GOK2823" s="484"/>
      <c r="GOV2823" s="484"/>
      <c r="GPG2823" s="484"/>
      <c r="GPR2823" s="484"/>
      <c r="GQC2823" s="484"/>
      <c r="GQN2823" s="484"/>
      <c r="GQY2823" s="484"/>
      <c r="GRJ2823" s="484"/>
      <c r="GRU2823" s="484"/>
      <c r="GSF2823" s="484"/>
      <c r="GSQ2823" s="484"/>
      <c r="GTB2823" s="484"/>
      <c r="GTM2823" s="484"/>
      <c r="GTX2823" s="484"/>
      <c r="GUI2823" s="484"/>
      <c r="GUT2823" s="484"/>
      <c r="GVE2823" s="484"/>
      <c r="GVP2823" s="484"/>
      <c r="GWA2823" s="484"/>
      <c r="GWL2823" s="484"/>
      <c r="GWW2823" s="484"/>
      <c r="GXH2823" s="484"/>
      <c r="GXS2823" s="484"/>
      <c r="GYD2823" s="484"/>
      <c r="GYO2823" s="484"/>
      <c r="GYZ2823" s="484"/>
      <c r="GZK2823" s="484"/>
      <c r="GZV2823" s="484"/>
      <c r="HAG2823" s="484"/>
      <c r="HAR2823" s="484"/>
      <c r="HBC2823" s="484"/>
      <c r="HBN2823" s="484"/>
      <c r="HBY2823" s="484"/>
      <c r="HCJ2823" s="484"/>
      <c r="HCU2823" s="484"/>
      <c r="HDF2823" s="484"/>
      <c r="HDQ2823" s="484"/>
      <c r="HEB2823" s="484"/>
      <c r="HEM2823" s="484"/>
      <c r="HEX2823" s="484"/>
      <c r="HFI2823" s="484"/>
      <c r="HFT2823" s="484"/>
      <c r="HGE2823" s="484"/>
      <c r="HGP2823" s="484"/>
      <c r="HHA2823" s="484"/>
      <c r="HHL2823" s="484"/>
      <c r="HHW2823" s="484"/>
      <c r="HIH2823" s="484"/>
      <c r="HIS2823" s="484"/>
      <c r="HJD2823" s="484"/>
      <c r="HJO2823" s="484"/>
      <c r="HJZ2823" s="484"/>
      <c r="HKK2823" s="484"/>
      <c r="HKV2823" s="484"/>
      <c r="HLG2823" s="484"/>
      <c r="HLR2823" s="484"/>
      <c r="HMC2823" s="484"/>
      <c r="HMN2823" s="484"/>
      <c r="HMY2823" s="484"/>
      <c r="HNJ2823" s="484"/>
      <c r="HNU2823" s="484"/>
      <c r="HOF2823" s="484"/>
      <c r="HOQ2823" s="484"/>
      <c r="HPB2823" s="484"/>
      <c r="HPM2823" s="484"/>
      <c r="HPX2823" s="484"/>
      <c r="HQI2823" s="484"/>
      <c r="HQT2823" s="484"/>
      <c r="HRE2823" s="484"/>
      <c r="HRP2823" s="484"/>
      <c r="HSA2823" s="484"/>
      <c r="HSL2823" s="484"/>
      <c r="HSW2823" s="484"/>
      <c r="HTH2823" s="484"/>
      <c r="HTS2823" s="484"/>
      <c r="HUD2823" s="484"/>
      <c r="HUO2823" s="484"/>
      <c r="HUZ2823" s="484"/>
      <c r="HVK2823" s="484"/>
      <c r="HVV2823" s="484"/>
      <c r="HWG2823" s="484"/>
      <c r="HWR2823" s="484"/>
      <c r="HXC2823" s="484"/>
      <c r="HXN2823" s="484"/>
      <c r="HXY2823" s="484"/>
      <c r="HYJ2823" s="484"/>
      <c r="HYU2823" s="484"/>
      <c r="HZF2823" s="484"/>
      <c r="HZQ2823" s="484"/>
      <c r="IAB2823" s="484"/>
      <c r="IAM2823" s="484"/>
      <c r="IAX2823" s="484"/>
      <c r="IBI2823" s="484"/>
      <c r="IBT2823" s="484"/>
      <c r="ICE2823" s="484"/>
      <c r="ICP2823" s="484"/>
      <c r="IDA2823" s="484"/>
      <c r="IDL2823" s="484"/>
      <c r="IDW2823" s="484"/>
      <c r="IEH2823" s="484"/>
      <c r="IES2823" s="484"/>
      <c r="IFD2823" s="484"/>
      <c r="IFO2823" s="484"/>
      <c r="IFZ2823" s="484"/>
      <c r="IGK2823" s="484"/>
      <c r="IGV2823" s="484"/>
      <c r="IHG2823" s="484"/>
      <c r="IHR2823" s="484"/>
      <c r="IIC2823" s="484"/>
      <c r="IIN2823" s="484"/>
      <c r="IIY2823" s="484"/>
      <c r="IJJ2823" s="484"/>
      <c r="IJU2823" s="484"/>
      <c r="IKF2823" s="484"/>
      <c r="IKQ2823" s="484"/>
      <c r="ILB2823" s="484"/>
      <c r="ILM2823" s="484"/>
      <c r="ILX2823" s="484"/>
      <c r="IMI2823" s="484"/>
      <c r="IMT2823" s="484"/>
      <c r="INE2823" s="484"/>
      <c r="INP2823" s="484"/>
      <c r="IOA2823" s="484"/>
      <c r="IOL2823" s="484"/>
      <c r="IOW2823" s="484"/>
      <c r="IPH2823" s="484"/>
      <c r="IPS2823" s="484"/>
      <c r="IQD2823" s="484"/>
      <c r="IQO2823" s="484"/>
      <c r="IQZ2823" s="484"/>
      <c r="IRK2823" s="484"/>
      <c r="IRV2823" s="484"/>
      <c r="ISG2823" s="484"/>
      <c r="ISR2823" s="484"/>
      <c r="ITC2823" s="484"/>
      <c r="ITN2823" s="484"/>
      <c r="ITY2823" s="484"/>
      <c r="IUJ2823" s="484"/>
      <c r="IUU2823" s="484"/>
      <c r="IVF2823" s="484"/>
      <c r="IVQ2823" s="484"/>
      <c r="IWB2823" s="484"/>
      <c r="IWM2823" s="484"/>
      <c r="IWX2823" s="484"/>
      <c r="IXI2823" s="484"/>
      <c r="IXT2823" s="484"/>
      <c r="IYE2823" s="484"/>
      <c r="IYP2823" s="484"/>
      <c r="IZA2823" s="484"/>
      <c r="IZL2823" s="484"/>
      <c r="IZW2823" s="484"/>
      <c r="JAH2823" s="484"/>
      <c r="JAS2823" s="484"/>
      <c r="JBD2823" s="484"/>
      <c r="JBO2823" s="484"/>
      <c r="JBZ2823" s="484"/>
      <c r="JCK2823" s="484"/>
      <c r="JCV2823" s="484"/>
      <c r="JDG2823" s="484"/>
      <c r="JDR2823" s="484"/>
      <c r="JEC2823" s="484"/>
      <c r="JEN2823" s="484"/>
      <c r="JEY2823" s="484"/>
      <c r="JFJ2823" s="484"/>
      <c r="JFU2823" s="484"/>
      <c r="JGF2823" s="484"/>
      <c r="JGQ2823" s="484"/>
      <c r="JHB2823" s="484"/>
      <c r="JHM2823" s="484"/>
      <c r="JHX2823" s="484"/>
      <c r="JII2823" s="484"/>
      <c r="JIT2823" s="484"/>
      <c r="JJE2823" s="484"/>
      <c r="JJP2823" s="484"/>
      <c r="JKA2823" s="484"/>
      <c r="JKL2823" s="484"/>
      <c r="JKW2823" s="484"/>
      <c r="JLH2823" s="484"/>
      <c r="JLS2823" s="484"/>
      <c r="JMD2823" s="484"/>
      <c r="JMO2823" s="484"/>
      <c r="JMZ2823" s="484"/>
      <c r="JNK2823" s="484"/>
      <c r="JNV2823" s="484"/>
      <c r="JOG2823" s="484"/>
      <c r="JOR2823" s="484"/>
      <c r="JPC2823" s="484"/>
      <c r="JPN2823" s="484"/>
      <c r="JPY2823" s="484"/>
      <c r="JQJ2823" s="484"/>
      <c r="JQU2823" s="484"/>
      <c r="JRF2823" s="484"/>
      <c r="JRQ2823" s="484"/>
      <c r="JSB2823" s="484"/>
      <c r="JSM2823" s="484"/>
      <c r="JSX2823" s="484"/>
      <c r="JTI2823" s="484"/>
      <c r="JTT2823" s="484"/>
      <c r="JUE2823" s="484"/>
      <c r="JUP2823" s="484"/>
      <c r="JVA2823" s="484"/>
      <c r="JVL2823" s="484"/>
      <c r="JVW2823" s="484"/>
      <c r="JWH2823" s="484"/>
      <c r="JWS2823" s="484"/>
      <c r="JXD2823" s="484"/>
      <c r="JXO2823" s="484"/>
      <c r="JXZ2823" s="484"/>
      <c r="JYK2823" s="484"/>
      <c r="JYV2823" s="484"/>
      <c r="JZG2823" s="484"/>
      <c r="JZR2823" s="484"/>
      <c r="KAC2823" s="484"/>
      <c r="KAN2823" s="484"/>
      <c r="KAY2823" s="484"/>
      <c r="KBJ2823" s="484"/>
      <c r="KBU2823" s="484"/>
      <c r="KCF2823" s="484"/>
      <c r="KCQ2823" s="484"/>
      <c r="KDB2823" s="484"/>
      <c r="KDM2823" s="484"/>
      <c r="KDX2823" s="484"/>
      <c r="KEI2823" s="484"/>
      <c r="KET2823" s="484"/>
      <c r="KFE2823" s="484"/>
      <c r="KFP2823" s="484"/>
      <c r="KGA2823" s="484"/>
      <c r="KGL2823" s="484"/>
      <c r="KGW2823" s="484"/>
      <c r="KHH2823" s="484"/>
      <c r="KHS2823" s="484"/>
      <c r="KID2823" s="484"/>
      <c r="KIO2823" s="484"/>
      <c r="KIZ2823" s="484"/>
      <c r="KJK2823" s="484"/>
      <c r="KJV2823" s="484"/>
      <c r="KKG2823" s="484"/>
      <c r="KKR2823" s="484"/>
      <c r="KLC2823" s="484"/>
      <c r="KLN2823" s="484"/>
      <c r="KLY2823" s="484"/>
      <c r="KMJ2823" s="484"/>
      <c r="KMU2823" s="484"/>
      <c r="KNF2823" s="484"/>
      <c r="KNQ2823" s="484"/>
      <c r="KOB2823" s="484"/>
      <c r="KOM2823" s="484"/>
      <c r="KOX2823" s="484"/>
      <c r="KPI2823" s="484"/>
      <c r="KPT2823" s="484"/>
      <c r="KQE2823" s="484"/>
      <c r="KQP2823" s="484"/>
      <c r="KRA2823" s="484"/>
      <c r="KRL2823" s="484"/>
      <c r="KRW2823" s="484"/>
      <c r="KSH2823" s="484"/>
      <c r="KSS2823" s="484"/>
      <c r="KTD2823" s="484"/>
      <c r="KTO2823" s="484"/>
      <c r="KTZ2823" s="484"/>
      <c r="KUK2823" s="484"/>
      <c r="KUV2823" s="484"/>
      <c r="KVG2823" s="484"/>
      <c r="KVR2823" s="484"/>
      <c r="KWC2823" s="484"/>
      <c r="KWN2823" s="484"/>
      <c r="KWY2823" s="484"/>
      <c r="KXJ2823" s="484"/>
      <c r="KXU2823" s="484"/>
      <c r="KYF2823" s="484"/>
      <c r="KYQ2823" s="484"/>
      <c r="KZB2823" s="484"/>
      <c r="KZM2823" s="484"/>
      <c r="KZX2823" s="484"/>
      <c r="LAI2823" s="484"/>
      <c r="LAT2823" s="484"/>
      <c r="LBE2823" s="484"/>
      <c r="LBP2823" s="484"/>
      <c r="LCA2823" s="484"/>
      <c r="LCL2823" s="484"/>
      <c r="LCW2823" s="484"/>
      <c r="LDH2823" s="484"/>
      <c r="LDS2823" s="484"/>
      <c r="LED2823" s="484"/>
      <c r="LEO2823" s="484"/>
      <c r="LEZ2823" s="484"/>
      <c r="LFK2823" s="484"/>
      <c r="LFV2823" s="484"/>
      <c r="LGG2823" s="484"/>
      <c r="LGR2823" s="484"/>
      <c r="LHC2823" s="484"/>
      <c r="LHN2823" s="484"/>
      <c r="LHY2823" s="484"/>
      <c r="LIJ2823" s="484"/>
      <c r="LIU2823" s="484"/>
      <c r="LJF2823" s="484"/>
      <c r="LJQ2823" s="484"/>
      <c r="LKB2823" s="484"/>
      <c r="LKM2823" s="484"/>
      <c r="LKX2823" s="484"/>
      <c r="LLI2823" s="484"/>
      <c r="LLT2823" s="484"/>
      <c r="LME2823" s="484"/>
      <c r="LMP2823" s="484"/>
      <c r="LNA2823" s="484"/>
      <c r="LNL2823" s="484"/>
      <c r="LNW2823" s="484"/>
      <c r="LOH2823" s="484"/>
      <c r="LOS2823" s="484"/>
      <c r="LPD2823" s="484"/>
      <c r="LPO2823" s="484"/>
      <c r="LPZ2823" s="484"/>
      <c r="LQK2823" s="484"/>
      <c r="LQV2823" s="484"/>
      <c r="LRG2823" s="484"/>
      <c r="LRR2823" s="484"/>
      <c r="LSC2823" s="484"/>
      <c r="LSN2823" s="484"/>
      <c r="LSY2823" s="484"/>
      <c r="LTJ2823" s="484"/>
      <c r="LTU2823" s="484"/>
      <c r="LUF2823" s="484"/>
      <c r="LUQ2823" s="484"/>
      <c r="LVB2823" s="484"/>
      <c r="LVM2823" s="484"/>
      <c r="LVX2823" s="484"/>
      <c r="LWI2823" s="484"/>
      <c r="LWT2823" s="484"/>
      <c r="LXE2823" s="484"/>
      <c r="LXP2823" s="484"/>
      <c r="LYA2823" s="484"/>
      <c r="LYL2823" s="484"/>
      <c r="LYW2823" s="484"/>
      <c r="LZH2823" s="484"/>
      <c r="LZS2823" s="484"/>
      <c r="MAD2823" s="484"/>
      <c r="MAO2823" s="484"/>
      <c r="MAZ2823" s="484"/>
      <c r="MBK2823" s="484"/>
      <c r="MBV2823" s="484"/>
      <c r="MCG2823" s="484"/>
      <c r="MCR2823" s="484"/>
      <c r="MDC2823" s="484"/>
      <c r="MDN2823" s="484"/>
      <c r="MDY2823" s="484"/>
      <c r="MEJ2823" s="484"/>
      <c r="MEU2823" s="484"/>
      <c r="MFF2823" s="484"/>
      <c r="MFQ2823" s="484"/>
      <c r="MGB2823" s="484"/>
      <c r="MGM2823" s="484"/>
      <c r="MGX2823" s="484"/>
      <c r="MHI2823" s="484"/>
      <c r="MHT2823" s="484"/>
      <c r="MIE2823" s="484"/>
      <c r="MIP2823" s="484"/>
      <c r="MJA2823" s="484"/>
      <c r="MJL2823" s="484"/>
      <c r="MJW2823" s="484"/>
      <c r="MKH2823" s="484"/>
      <c r="MKS2823" s="484"/>
      <c r="MLD2823" s="484"/>
      <c r="MLO2823" s="484"/>
      <c r="MLZ2823" s="484"/>
      <c r="MMK2823" s="484"/>
      <c r="MMV2823" s="484"/>
      <c r="MNG2823" s="484"/>
      <c r="MNR2823" s="484"/>
      <c r="MOC2823" s="484"/>
      <c r="MON2823" s="484"/>
      <c r="MOY2823" s="484"/>
      <c r="MPJ2823" s="484"/>
      <c r="MPU2823" s="484"/>
      <c r="MQF2823" s="484"/>
      <c r="MQQ2823" s="484"/>
      <c r="MRB2823" s="484"/>
      <c r="MRM2823" s="484"/>
      <c r="MRX2823" s="484"/>
      <c r="MSI2823" s="484"/>
      <c r="MST2823" s="484"/>
      <c r="MTE2823" s="484"/>
      <c r="MTP2823" s="484"/>
      <c r="MUA2823" s="484"/>
      <c r="MUL2823" s="484"/>
      <c r="MUW2823" s="484"/>
      <c r="MVH2823" s="484"/>
      <c r="MVS2823" s="484"/>
      <c r="MWD2823" s="484"/>
      <c r="MWO2823" s="484"/>
      <c r="MWZ2823" s="484"/>
      <c r="MXK2823" s="484"/>
      <c r="MXV2823" s="484"/>
      <c r="MYG2823" s="484"/>
      <c r="MYR2823" s="484"/>
      <c r="MZC2823" s="484"/>
      <c r="MZN2823" s="484"/>
      <c r="MZY2823" s="484"/>
      <c r="NAJ2823" s="484"/>
      <c r="NAU2823" s="484"/>
      <c r="NBF2823" s="484"/>
      <c r="NBQ2823" s="484"/>
      <c r="NCB2823" s="484"/>
      <c r="NCM2823" s="484"/>
      <c r="NCX2823" s="484"/>
      <c r="NDI2823" s="484"/>
      <c r="NDT2823" s="484"/>
      <c r="NEE2823" s="484"/>
      <c r="NEP2823" s="484"/>
      <c r="NFA2823" s="484"/>
      <c r="NFL2823" s="484"/>
      <c r="NFW2823" s="484"/>
      <c r="NGH2823" s="484"/>
      <c r="NGS2823" s="484"/>
      <c r="NHD2823" s="484"/>
      <c r="NHO2823" s="484"/>
      <c r="NHZ2823" s="484"/>
      <c r="NIK2823" s="484"/>
      <c r="NIV2823" s="484"/>
      <c r="NJG2823" s="484"/>
      <c r="NJR2823" s="484"/>
      <c r="NKC2823" s="484"/>
      <c r="NKN2823" s="484"/>
      <c r="NKY2823" s="484"/>
      <c r="NLJ2823" s="484"/>
      <c r="NLU2823" s="484"/>
      <c r="NMF2823" s="484"/>
      <c r="NMQ2823" s="484"/>
      <c r="NNB2823" s="484"/>
      <c r="NNM2823" s="484"/>
      <c r="NNX2823" s="484"/>
      <c r="NOI2823" s="484"/>
      <c r="NOT2823" s="484"/>
      <c r="NPE2823" s="484"/>
      <c r="NPP2823" s="484"/>
      <c r="NQA2823" s="484"/>
      <c r="NQL2823" s="484"/>
      <c r="NQW2823" s="484"/>
      <c r="NRH2823" s="484"/>
      <c r="NRS2823" s="484"/>
      <c r="NSD2823" s="484"/>
      <c r="NSO2823" s="484"/>
      <c r="NSZ2823" s="484"/>
      <c r="NTK2823" s="484"/>
      <c r="NTV2823" s="484"/>
      <c r="NUG2823" s="484"/>
      <c r="NUR2823" s="484"/>
      <c r="NVC2823" s="484"/>
      <c r="NVN2823" s="484"/>
      <c r="NVY2823" s="484"/>
      <c r="NWJ2823" s="484"/>
      <c r="NWU2823" s="484"/>
      <c r="NXF2823" s="484"/>
      <c r="NXQ2823" s="484"/>
      <c r="NYB2823" s="484"/>
      <c r="NYM2823" s="484"/>
      <c r="NYX2823" s="484"/>
      <c r="NZI2823" s="484"/>
      <c r="NZT2823" s="484"/>
      <c r="OAE2823" s="484"/>
      <c r="OAP2823" s="484"/>
      <c r="OBA2823" s="484"/>
      <c r="OBL2823" s="484"/>
      <c r="OBW2823" s="484"/>
      <c r="OCH2823" s="484"/>
      <c r="OCS2823" s="484"/>
      <c r="ODD2823" s="484"/>
      <c r="ODO2823" s="484"/>
      <c r="ODZ2823" s="484"/>
      <c r="OEK2823" s="484"/>
      <c r="OEV2823" s="484"/>
      <c r="OFG2823" s="484"/>
      <c r="OFR2823" s="484"/>
      <c r="OGC2823" s="484"/>
      <c r="OGN2823" s="484"/>
      <c r="OGY2823" s="484"/>
      <c r="OHJ2823" s="484"/>
      <c r="OHU2823" s="484"/>
      <c r="OIF2823" s="484"/>
      <c r="OIQ2823" s="484"/>
      <c r="OJB2823" s="484"/>
      <c r="OJM2823" s="484"/>
      <c r="OJX2823" s="484"/>
      <c r="OKI2823" s="484"/>
      <c r="OKT2823" s="484"/>
      <c r="OLE2823" s="484"/>
      <c r="OLP2823" s="484"/>
      <c r="OMA2823" s="484"/>
      <c r="OML2823" s="484"/>
      <c r="OMW2823" s="484"/>
      <c r="ONH2823" s="484"/>
      <c r="ONS2823" s="484"/>
      <c r="OOD2823" s="484"/>
      <c r="OOO2823" s="484"/>
      <c r="OOZ2823" s="484"/>
      <c r="OPK2823" s="484"/>
      <c r="OPV2823" s="484"/>
      <c r="OQG2823" s="484"/>
      <c r="OQR2823" s="484"/>
      <c r="ORC2823" s="484"/>
      <c r="ORN2823" s="484"/>
      <c r="ORY2823" s="484"/>
      <c r="OSJ2823" s="484"/>
      <c r="OSU2823" s="484"/>
      <c r="OTF2823" s="484"/>
      <c r="OTQ2823" s="484"/>
      <c r="OUB2823" s="484"/>
      <c r="OUM2823" s="484"/>
      <c r="OUX2823" s="484"/>
      <c r="OVI2823" s="484"/>
      <c r="OVT2823" s="484"/>
      <c r="OWE2823" s="484"/>
      <c r="OWP2823" s="484"/>
      <c r="OXA2823" s="484"/>
      <c r="OXL2823" s="484"/>
      <c r="OXW2823" s="484"/>
      <c r="OYH2823" s="484"/>
      <c r="OYS2823" s="484"/>
      <c r="OZD2823" s="484"/>
      <c r="OZO2823" s="484"/>
      <c r="OZZ2823" s="484"/>
      <c r="PAK2823" s="484"/>
      <c r="PAV2823" s="484"/>
      <c r="PBG2823" s="484"/>
      <c r="PBR2823" s="484"/>
      <c r="PCC2823" s="484"/>
      <c r="PCN2823" s="484"/>
      <c r="PCY2823" s="484"/>
      <c r="PDJ2823" s="484"/>
      <c r="PDU2823" s="484"/>
      <c r="PEF2823" s="484"/>
      <c r="PEQ2823" s="484"/>
      <c r="PFB2823" s="484"/>
      <c r="PFM2823" s="484"/>
      <c r="PFX2823" s="484"/>
      <c r="PGI2823" s="484"/>
      <c r="PGT2823" s="484"/>
      <c r="PHE2823" s="484"/>
      <c r="PHP2823" s="484"/>
      <c r="PIA2823" s="484"/>
      <c r="PIL2823" s="484"/>
      <c r="PIW2823" s="484"/>
      <c r="PJH2823" s="484"/>
      <c r="PJS2823" s="484"/>
      <c r="PKD2823" s="484"/>
      <c r="PKO2823" s="484"/>
      <c r="PKZ2823" s="484"/>
      <c r="PLK2823" s="484"/>
      <c r="PLV2823" s="484"/>
      <c r="PMG2823" s="484"/>
      <c r="PMR2823" s="484"/>
      <c r="PNC2823" s="484"/>
      <c r="PNN2823" s="484"/>
      <c r="PNY2823" s="484"/>
      <c r="POJ2823" s="484"/>
      <c r="POU2823" s="484"/>
      <c r="PPF2823" s="484"/>
      <c r="PPQ2823" s="484"/>
      <c r="PQB2823" s="484"/>
      <c r="PQM2823" s="484"/>
      <c r="PQX2823" s="484"/>
      <c r="PRI2823" s="484"/>
      <c r="PRT2823" s="484"/>
      <c r="PSE2823" s="484"/>
      <c r="PSP2823" s="484"/>
      <c r="PTA2823" s="484"/>
      <c r="PTL2823" s="484"/>
      <c r="PTW2823" s="484"/>
      <c r="PUH2823" s="484"/>
      <c r="PUS2823" s="484"/>
      <c r="PVD2823" s="484"/>
      <c r="PVO2823" s="484"/>
      <c r="PVZ2823" s="484"/>
      <c r="PWK2823" s="484"/>
      <c r="PWV2823" s="484"/>
      <c r="PXG2823" s="484"/>
      <c r="PXR2823" s="484"/>
      <c r="PYC2823" s="484"/>
      <c r="PYN2823" s="484"/>
      <c r="PYY2823" s="484"/>
      <c r="PZJ2823" s="484"/>
      <c r="PZU2823" s="484"/>
      <c r="QAF2823" s="484"/>
      <c r="QAQ2823" s="484"/>
      <c r="QBB2823" s="484"/>
      <c r="QBM2823" s="484"/>
      <c r="QBX2823" s="484"/>
      <c r="QCI2823" s="484"/>
      <c r="QCT2823" s="484"/>
      <c r="QDE2823" s="484"/>
      <c r="QDP2823" s="484"/>
      <c r="QEA2823" s="484"/>
      <c r="QEL2823" s="484"/>
      <c r="QEW2823" s="484"/>
      <c r="QFH2823" s="484"/>
      <c r="QFS2823" s="484"/>
      <c r="QGD2823" s="484"/>
      <c r="QGO2823" s="484"/>
      <c r="QGZ2823" s="484"/>
      <c r="QHK2823" s="484"/>
      <c r="QHV2823" s="484"/>
      <c r="QIG2823" s="484"/>
      <c r="QIR2823" s="484"/>
      <c r="QJC2823" s="484"/>
      <c r="QJN2823" s="484"/>
      <c r="QJY2823" s="484"/>
      <c r="QKJ2823" s="484"/>
      <c r="QKU2823" s="484"/>
      <c r="QLF2823" s="484"/>
      <c r="QLQ2823" s="484"/>
      <c r="QMB2823" s="484"/>
      <c r="QMM2823" s="484"/>
      <c r="QMX2823" s="484"/>
      <c r="QNI2823" s="484"/>
      <c r="QNT2823" s="484"/>
      <c r="QOE2823" s="484"/>
      <c r="QOP2823" s="484"/>
      <c r="QPA2823" s="484"/>
      <c r="QPL2823" s="484"/>
      <c r="QPW2823" s="484"/>
      <c r="QQH2823" s="484"/>
      <c r="QQS2823" s="484"/>
      <c r="QRD2823" s="484"/>
      <c r="QRO2823" s="484"/>
      <c r="QRZ2823" s="484"/>
      <c r="QSK2823" s="484"/>
      <c r="QSV2823" s="484"/>
      <c r="QTG2823" s="484"/>
      <c r="QTR2823" s="484"/>
      <c r="QUC2823" s="484"/>
      <c r="QUN2823" s="484"/>
      <c r="QUY2823" s="484"/>
      <c r="QVJ2823" s="484"/>
      <c r="QVU2823" s="484"/>
      <c r="QWF2823" s="484"/>
      <c r="QWQ2823" s="484"/>
      <c r="QXB2823" s="484"/>
      <c r="QXM2823" s="484"/>
      <c r="QXX2823" s="484"/>
      <c r="QYI2823" s="484"/>
      <c r="QYT2823" s="484"/>
      <c r="QZE2823" s="484"/>
      <c r="QZP2823" s="484"/>
      <c r="RAA2823" s="484"/>
      <c r="RAL2823" s="484"/>
      <c r="RAW2823" s="484"/>
      <c r="RBH2823" s="484"/>
      <c r="RBS2823" s="484"/>
      <c r="RCD2823" s="484"/>
      <c r="RCO2823" s="484"/>
      <c r="RCZ2823" s="484"/>
      <c r="RDK2823" s="484"/>
      <c r="RDV2823" s="484"/>
      <c r="REG2823" s="484"/>
      <c r="RER2823" s="484"/>
      <c r="RFC2823" s="484"/>
      <c r="RFN2823" s="484"/>
      <c r="RFY2823" s="484"/>
      <c r="RGJ2823" s="484"/>
      <c r="RGU2823" s="484"/>
      <c r="RHF2823" s="484"/>
      <c r="RHQ2823" s="484"/>
      <c r="RIB2823" s="484"/>
      <c r="RIM2823" s="484"/>
      <c r="RIX2823" s="484"/>
      <c r="RJI2823" s="484"/>
      <c r="RJT2823" s="484"/>
      <c r="RKE2823" s="484"/>
      <c r="RKP2823" s="484"/>
      <c r="RLA2823" s="484"/>
      <c r="RLL2823" s="484"/>
      <c r="RLW2823" s="484"/>
      <c r="RMH2823" s="484"/>
      <c r="RMS2823" s="484"/>
      <c r="RND2823" s="484"/>
      <c r="RNO2823" s="484"/>
      <c r="RNZ2823" s="484"/>
      <c r="ROK2823" s="484"/>
      <c r="ROV2823" s="484"/>
      <c r="RPG2823" s="484"/>
      <c r="RPR2823" s="484"/>
      <c r="RQC2823" s="484"/>
      <c r="RQN2823" s="484"/>
      <c r="RQY2823" s="484"/>
      <c r="RRJ2823" s="484"/>
      <c r="RRU2823" s="484"/>
      <c r="RSF2823" s="484"/>
      <c r="RSQ2823" s="484"/>
      <c r="RTB2823" s="484"/>
      <c r="RTM2823" s="484"/>
      <c r="RTX2823" s="484"/>
      <c r="RUI2823" s="484"/>
      <c r="RUT2823" s="484"/>
      <c r="RVE2823" s="484"/>
      <c r="RVP2823" s="484"/>
      <c r="RWA2823" s="484"/>
      <c r="RWL2823" s="484"/>
      <c r="RWW2823" s="484"/>
      <c r="RXH2823" s="484"/>
      <c r="RXS2823" s="484"/>
      <c r="RYD2823" s="484"/>
      <c r="RYO2823" s="484"/>
      <c r="RYZ2823" s="484"/>
      <c r="RZK2823" s="484"/>
      <c r="RZV2823" s="484"/>
      <c r="SAG2823" s="484"/>
      <c r="SAR2823" s="484"/>
      <c r="SBC2823" s="484"/>
      <c r="SBN2823" s="484"/>
      <c r="SBY2823" s="484"/>
      <c r="SCJ2823" s="484"/>
      <c r="SCU2823" s="484"/>
      <c r="SDF2823" s="484"/>
      <c r="SDQ2823" s="484"/>
      <c r="SEB2823" s="484"/>
      <c r="SEM2823" s="484"/>
      <c r="SEX2823" s="484"/>
      <c r="SFI2823" s="484"/>
      <c r="SFT2823" s="484"/>
      <c r="SGE2823" s="484"/>
      <c r="SGP2823" s="484"/>
      <c r="SHA2823" s="484"/>
      <c r="SHL2823" s="484"/>
      <c r="SHW2823" s="484"/>
      <c r="SIH2823" s="484"/>
      <c r="SIS2823" s="484"/>
      <c r="SJD2823" s="484"/>
      <c r="SJO2823" s="484"/>
      <c r="SJZ2823" s="484"/>
      <c r="SKK2823" s="484"/>
      <c r="SKV2823" s="484"/>
      <c r="SLG2823" s="484"/>
      <c r="SLR2823" s="484"/>
      <c r="SMC2823" s="484"/>
      <c r="SMN2823" s="484"/>
      <c r="SMY2823" s="484"/>
      <c r="SNJ2823" s="484"/>
      <c r="SNU2823" s="484"/>
      <c r="SOF2823" s="484"/>
      <c r="SOQ2823" s="484"/>
      <c r="SPB2823" s="484"/>
      <c r="SPM2823" s="484"/>
      <c r="SPX2823" s="484"/>
      <c r="SQI2823" s="484"/>
      <c r="SQT2823" s="484"/>
      <c r="SRE2823" s="484"/>
      <c r="SRP2823" s="484"/>
      <c r="SSA2823" s="484"/>
      <c r="SSL2823" s="484"/>
      <c r="SSW2823" s="484"/>
      <c r="STH2823" s="484"/>
      <c r="STS2823" s="484"/>
      <c r="SUD2823" s="484"/>
      <c r="SUO2823" s="484"/>
      <c r="SUZ2823" s="484"/>
      <c r="SVK2823" s="484"/>
      <c r="SVV2823" s="484"/>
      <c r="SWG2823" s="484"/>
      <c r="SWR2823" s="484"/>
      <c r="SXC2823" s="484"/>
      <c r="SXN2823" s="484"/>
      <c r="SXY2823" s="484"/>
      <c r="SYJ2823" s="484"/>
      <c r="SYU2823" s="484"/>
      <c r="SZF2823" s="484"/>
      <c r="SZQ2823" s="484"/>
      <c r="TAB2823" s="484"/>
      <c r="TAM2823" s="484"/>
      <c r="TAX2823" s="484"/>
      <c r="TBI2823" s="484"/>
      <c r="TBT2823" s="484"/>
      <c r="TCE2823" s="484"/>
      <c r="TCP2823" s="484"/>
      <c r="TDA2823" s="484"/>
      <c r="TDL2823" s="484"/>
      <c r="TDW2823" s="484"/>
      <c r="TEH2823" s="484"/>
      <c r="TES2823" s="484"/>
      <c r="TFD2823" s="484"/>
      <c r="TFO2823" s="484"/>
      <c r="TFZ2823" s="484"/>
      <c r="TGK2823" s="484"/>
      <c r="TGV2823" s="484"/>
      <c r="THG2823" s="484"/>
      <c r="THR2823" s="484"/>
      <c r="TIC2823" s="484"/>
      <c r="TIN2823" s="484"/>
      <c r="TIY2823" s="484"/>
      <c r="TJJ2823" s="484"/>
      <c r="TJU2823" s="484"/>
      <c r="TKF2823" s="484"/>
      <c r="TKQ2823" s="484"/>
      <c r="TLB2823" s="484"/>
      <c r="TLM2823" s="484"/>
      <c r="TLX2823" s="484"/>
      <c r="TMI2823" s="484"/>
      <c r="TMT2823" s="484"/>
      <c r="TNE2823" s="484"/>
      <c r="TNP2823" s="484"/>
      <c r="TOA2823" s="484"/>
      <c r="TOL2823" s="484"/>
      <c r="TOW2823" s="484"/>
      <c r="TPH2823" s="484"/>
      <c r="TPS2823" s="484"/>
      <c r="TQD2823" s="484"/>
      <c r="TQO2823" s="484"/>
      <c r="TQZ2823" s="484"/>
      <c r="TRK2823" s="484"/>
      <c r="TRV2823" s="484"/>
      <c r="TSG2823" s="484"/>
      <c r="TSR2823" s="484"/>
      <c r="TTC2823" s="484"/>
      <c r="TTN2823" s="484"/>
      <c r="TTY2823" s="484"/>
      <c r="TUJ2823" s="484"/>
      <c r="TUU2823" s="484"/>
      <c r="TVF2823" s="484"/>
      <c r="TVQ2823" s="484"/>
      <c r="TWB2823" s="484"/>
      <c r="TWM2823" s="484"/>
      <c r="TWX2823" s="484"/>
      <c r="TXI2823" s="484"/>
      <c r="TXT2823" s="484"/>
      <c r="TYE2823" s="484"/>
      <c r="TYP2823" s="484"/>
      <c r="TZA2823" s="484"/>
      <c r="TZL2823" s="484"/>
      <c r="TZW2823" s="484"/>
      <c r="UAH2823" s="484"/>
      <c r="UAS2823" s="484"/>
      <c r="UBD2823" s="484"/>
      <c r="UBO2823" s="484"/>
      <c r="UBZ2823" s="484"/>
      <c r="UCK2823" s="484"/>
      <c r="UCV2823" s="484"/>
      <c r="UDG2823" s="484"/>
      <c r="UDR2823" s="484"/>
      <c r="UEC2823" s="484"/>
      <c r="UEN2823" s="484"/>
      <c r="UEY2823" s="484"/>
      <c r="UFJ2823" s="484"/>
      <c r="UFU2823" s="484"/>
      <c r="UGF2823" s="484"/>
      <c r="UGQ2823" s="484"/>
      <c r="UHB2823" s="484"/>
      <c r="UHM2823" s="484"/>
      <c r="UHX2823" s="484"/>
      <c r="UII2823" s="484"/>
      <c r="UIT2823" s="484"/>
      <c r="UJE2823" s="484"/>
      <c r="UJP2823" s="484"/>
      <c r="UKA2823" s="484"/>
      <c r="UKL2823" s="484"/>
      <c r="UKW2823" s="484"/>
      <c r="ULH2823" s="484"/>
      <c r="ULS2823" s="484"/>
      <c r="UMD2823" s="484"/>
      <c r="UMO2823" s="484"/>
      <c r="UMZ2823" s="484"/>
      <c r="UNK2823" s="484"/>
      <c r="UNV2823" s="484"/>
      <c r="UOG2823" s="484"/>
      <c r="UOR2823" s="484"/>
      <c r="UPC2823" s="484"/>
      <c r="UPN2823" s="484"/>
      <c r="UPY2823" s="484"/>
      <c r="UQJ2823" s="484"/>
      <c r="UQU2823" s="484"/>
      <c r="URF2823" s="484"/>
      <c r="URQ2823" s="484"/>
      <c r="USB2823" s="484"/>
      <c r="USM2823" s="484"/>
      <c r="USX2823" s="484"/>
      <c r="UTI2823" s="484"/>
      <c r="UTT2823" s="484"/>
      <c r="UUE2823" s="484"/>
      <c r="UUP2823" s="484"/>
      <c r="UVA2823" s="484"/>
      <c r="UVL2823" s="484"/>
      <c r="UVW2823" s="484"/>
      <c r="UWH2823" s="484"/>
      <c r="UWS2823" s="484"/>
      <c r="UXD2823" s="484"/>
      <c r="UXO2823" s="484"/>
      <c r="UXZ2823" s="484"/>
      <c r="UYK2823" s="484"/>
      <c r="UYV2823" s="484"/>
      <c r="UZG2823" s="484"/>
      <c r="UZR2823" s="484"/>
      <c r="VAC2823" s="484"/>
      <c r="VAN2823" s="484"/>
      <c r="VAY2823" s="484"/>
      <c r="VBJ2823" s="484"/>
      <c r="VBU2823" s="484"/>
      <c r="VCF2823" s="484"/>
      <c r="VCQ2823" s="484"/>
      <c r="VDB2823" s="484"/>
      <c r="VDM2823" s="484"/>
      <c r="VDX2823" s="484"/>
      <c r="VEI2823" s="484"/>
      <c r="VET2823" s="484"/>
      <c r="VFE2823" s="484"/>
      <c r="VFP2823" s="484"/>
      <c r="VGA2823" s="484"/>
      <c r="VGL2823" s="484"/>
      <c r="VGW2823" s="484"/>
      <c r="VHH2823" s="484"/>
      <c r="VHS2823" s="484"/>
      <c r="VID2823" s="484"/>
      <c r="VIO2823" s="484"/>
      <c r="VIZ2823" s="484"/>
      <c r="VJK2823" s="484"/>
      <c r="VJV2823" s="484"/>
      <c r="VKG2823" s="484"/>
      <c r="VKR2823" s="484"/>
      <c r="VLC2823" s="484"/>
      <c r="VLN2823" s="484"/>
      <c r="VLY2823" s="484"/>
      <c r="VMJ2823" s="484"/>
      <c r="VMU2823" s="484"/>
      <c r="VNF2823" s="484"/>
      <c r="VNQ2823" s="484"/>
      <c r="VOB2823" s="484"/>
      <c r="VOM2823" s="484"/>
      <c r="VOX2823" s="484"/>
      <c r="VPI2823" s="484"/>
      <c r="VPT2823" s="484"/>
      <c r="VQE2823" s="484"/>
      <c r="VQP2823" s="484"/>
      <c r="VRA2823" s="484"/>
      <c r="VRL2823" s="484"/>
      <c r="VRW2823" s="484"/>
      <c r="VSH2823" s="484"/>
      <c r="VSS2823" s="484"/>
      <c r="VTD2823" s="484"/>
      <c r="VTO2823" s="484"/>
      <c r="VTZ2823" s="484"/>
      <c r="VUK2823" s="484"/>
      <c r="VUV2823" s="484"/>
      <c r="VVG2823" s="484"/>
      <c r="VVR2823" s="484"/>
      <c r="VWC2823" s="484"/>
      <c r="VWN2823" s="484"/>
      <c r="VWY2823" s="484"/>
      <c r="VXJ2823" s="484"/>
      <c r="VXU2823" s="484"/>
      <c r="VYF2823" s="484"/>
      <c r="VYQ2823" s="484"/>
      <c r="VZB2823" s="484"/>
      <c r="VZM2823" s="484"/>
      <c r="VZX2823" s="484"/>
      <c r="WAI2823" s="484"/>
      <c r="WAT2823" s="484"/>
      <c r="WBE2823" s="484"/>
      <c r="WBP2823" s="484"/>
      <c r="WCA2823" s="484"/>
      <c r="WCL2823" s="484"/>
      <c r="WCW2823" s="484"/>
      <c r="WDH2823" s="484"/>
      <c r="WDS2823" s="484"/>
      <c r="WED2823" s="484"/>
      <c r="WEO2823" s="484"/>
      <c r="WEZ2823" s="484"/>
      <c r="WFK2823" s="484"/>
      <c r="WFV2823" s="484"/>
      <c r="WGG2823" s="484"/>
      <c r="WGR2823" s="484"/>
      <c r="WHC2823" s="484"/>
      <c r="WHN2823" s="484"/>
      <c r="WHY2823" s="484"/>
      <c r="WIJ2823" s="484"/>
      <c r="WIU2823" s="484"/>
      <c r="WJF2823" s="484"/>
      <c r="WJQ2823" s="484"/>
      <c r="WKB2823" s="484"/>
      <c r="WKM2823" s="484"/>
      <c r="WKX2823" s="484"/>
      <c r="WLI2823" s="484"/>
      <c r="WLT2823" s="484"/>
      <c r="WME2823" s="484"/>
      <c r="WMP2823" s="484"/>
      <c r="WNA2823" s="484"/>
      <c r="WNL2823" s="484"/>
      <c r="WNW2823" s="484"/>
      <c r="WOH2823" s="484"/>
      <c r="WOS2823" s="484"/>
      <c r="WPD2823" s="484"/>
      <c r="WPO2823" s="484"/>
      <c r="WPZ2823" s="484"/>
      <c r="WQK2823" s="484"/>
      <c r="WQV2823" s="484"/>
      <c r="WRG2823" s="484"/>
      <c r="WRR2823" s="484"/>
      <c r="WSC2823" s="484"/>
      <c r="WSN2823" s="484"/>
      <c r="WSY2823" s="484"/>
      <c r="WTJ2823" s="484"/>
      <c r="WTU2823" s="484"/>
      <c r="WUF2823" s="484"/>
      <c r="WUQ2823" s="484"/>
      <c r="WVB2823" s="484"/>
      <c r="WVM2823" s="484"/>
      <c r="WVX2823" s="484"/>
      <c r="WWI2823" s="484"/>
      <c r="WWT2823" s="484"/>
      <c r="WXE2823" s="484"/>
      <c r="WXP2823" s="484"/>
      <c r="WYA2823" s="484"/>
      <c r="WYL2823" s="484"/>
      <c r="WYW2823" s="484"/>
      <c r="WZH2823" s="484"/>
      <c r="WZS2823" s="484"/>
      <c r="XAD2823" s="484"/>
      <c r="XAO2823" s="484"/>
      <c r="XAZ2823" s="484"/>
      <c r="XBK2823" s="484"/>
      <c r="XBV2823" s="484"/>
      <c r="XCG2823" s="484"/>
      <c r="XCR2823" s="484"/>
      <c r="XDC2823" s="484"/>
      <c r="XDN2823" s="484"/>
      <c r="XDY2823" s="484"/>
      <c r="XEJ2823" s="484"/>
      <c r="XEU2823" s="484"/>
    </row>
    <row r="2824" spans="1:1019 1030:2042 2053:3065 3076:4088 4099:5111 5122:6134 6145:7168 7179:8191 8202:9214 9225:10237 10248:11260 11271:12283 12294:13306 13317:14329 14340:15352 15363:16375" ht="15" hidden="1">
      <c r="A2824" t="s">
        <v>1806</v>
      </c>
      <c r="B2824" t="s">
        <v>689</v>
      </c>
      <c r="D2824" s="518" t="s">
        <v>2212</v>
      </c>
      <c r="E2824" s="518" t="s">
        <v>1703</v>
      </c>
      <c r="F2824" t="s">
        <v>1272</v>
      </c>
      <c r="G2824" s="518" t="s">
        <v>1323</v>
      </c>
      <c r="H2824" s="484">
        <v>-16000</v>
      </c>
      <c r="I2824" t="str">
        <f t="shared" si="157"/>
        <v>março 2026</v>
      </c>
      <c r="J2824">
        <f t="shared" si="158"/>
        <v>2026</v>
      </c>
      <c r="K2824" t="str">
        <f>VLOOKUP(G2824,METRICS!C:D,2,0)</f>
        <v>Prestação de Serviço Pessoa Jurídica ADM</v>
      </c>
      <c r="L2824" t="str">
        <f>VLOOKUP(K2824,METRICS!D:E,2,0)</f>
        <v>ADMINISTRATIVA</v>
      </c>
    </row>
    <row r="2825" spans="1:1019 1030:2042 2053:3065 3076:4088 4099:5111 5122:6134 6145:7168 7179:8191 8202:9214 9225:10237 10248:11260 11271:12283 12294:13306 13317:14329 14340:15352 15363:16375" ht="15" hidden="1">
      <c r="A2825" t="s">
        <v>1806</v>
      </c>
      <c r="B2825" t="s">
        <v>689</v>
      </c>
      <c r="D2825" s="518" t="s">
        <v>2213</v>
      </c>
      <c r="E2825" s="518" t="s">
        <v>1711</v>
      </c>
      <c r="F2825" t="s">
        <v>1272</v>
      </c>
      <c r="G2825" s="518" t="s">
        <v>1323</v>
      </c>
      <c r="H2825" s="484">
        <v>-13000</v>
      </c>
      <c r="I2825" t="str">
        <f t="shared" si="157"/>
        <v>março 2026</v>
      </c>
      <c r="J2825">
        <f t="shared" si="158"/>
        <v>2026</v>
      </c>
      <c r="K2825" t="str">
        <f>VLOOKUP(G2825,METRICS!C:D,2,0)</f>
        <v>Prestação de Serviço Pessoa Jurídica ADM</v>
      </c>
      <c r="L2825" t="str">
        <f>VLOOKUP(K2825,METRICS!D:E,2,0)</f>
        <v>ADMINISTRATIVA</v>
      </c>
    </row>
    <row r="2826" spans="1:1019 1030:2042 2053:3065 3076:4088 4099:5111 5122:6134 6145:7168 7179:8191 8202:9214 9225:10237 10248:11260 11271:12283 12294:13306 13317:14329 14340:15352 15363:16375" ht="15" hidden="1">
      <c r="A2826" t="s">
        <v>1806</v>
      </c>
      <c r="B2826" t="s">
        <v>689</v>
      </c>
      <c r="C2826" t="s">
        <v>690</v>
      </c>
      <c r="D2826" s="518" t="s">
        <v>2213</v>
      </c>
      <c r="E2826" t="s">
        <v>1230</v>
      </c>
      <c r="F2826" t="s">
        <v>1272</v>
      </c>
      <c r="G2826" s="518" t="s">
        <v>1323</v>
      </c>
      <c r="H2826" s="484">
        <v>-8000</v>
      </c>
      <c r="I2826" t="str">
        <f t="shared" si="157"/>
        <v>março 2026</v>
      </c>
      <c r="J2826">
        <f t="shared" si="158"/>
        <v>2026</v>
      </c>
      <c r="K2826" t="str">
        <f>VLOOKUP(G2826,METRICS!C:D,2,0)</f>
        <v>Prestação de Serviço Pessoa Jurídica ADM</v>
      </c>
      <c r="L2826" t="str">
        <f>VLOOKUP(K2826,METRICS!D:E,2,0)</f>
        <v>ADMINISTRATIVA</v>
      </c>
    </row>
    <row r="2827" spans="1:1019 1030:2042 2053:3065 3076:4088 4099:5111 5122:6134 6145:7168 7179:8191 8202:9214 9225:10237 10248:11260 11271:12283 12294:13306 13317:14329 14340:15352 15363:16375" ht="15" hidden="1">
      <c r="A2827" t="s">
        <v>1806</v>
      </c>
      <c r="B2827" t="s">
        <v>689</v>
      </c>
      <c r="D2827" s="518" t="s">
        <v>2214</v>
      </c>
      <c r="E2827" s="518" t="s">
        <v>1714</v>
      </c>
      <c r="F2827" t="s">
        <v>1272</v>
      </c>
      <c r="G2827" s="518" t="s">
        <v>1323</v>
      </c>
      <c r="H2827" s="484">
        <v>-5750</v>
      </c>
      <c r="I2827" t="str">
        <f t="shared" si="157"/>
        <v>março 2026</v>
      </c>
      <c r="J2827">
        <f t="shared" si="158"/>
        <v>2026</v>
      </c>
      <c r="K2827" t="str">
        <f>VLOOKUP(G2827,METRICS!C:D,2,0)</f>
        <v>Prestação de Serviço Pessoa Jurídica ADM</v>
      </c>
      <c r="L2827" t="str">
        <f>VLOOKUP(K2827,METRICS!D:E,2,0)</f>
        <v>ADMINISTRATIVA</v>
      </c>
    </row>
    <row r="2828" spans="1:1019 1030:2042 2053:3065 3076:4088 4099:5111 5122:6134 6145:7168 7179:8191 8202:9214 9225:10237 10248:11260 11271:12283 12294:13306 13317:14329 14340:15352 15363:16375" ht="15" hidden="1">
      <c r="A2828" t="s">
        <v>1806</v>
      </c>
      <c r="B2828" t="s">
        <v>689</v>
      </c>
      <c r="C2828" t="s">
        <v>690</v>
      </c>
      <c r="D2828" t="s">
        <v>2215</v>
      </c>
      <c r="E2828" t="s">
        <v>1131</v>
      </c>
      <c r="F2828" t="s">
        <v>1272</v>
      </c>
      <c r="G2828" t="s">
        <v>667</v>
      </c>
      <c r="H2828" s="484">
        <v>-4000</v>
      </c>
      <c r="I2828" t="str">
        <f t="shared" si="157"/>
        <v>março 2026</v>
      </c>
      <c r="J2828">
        <f t="shared" si="158"/>
        <v>2026</v>
      </c>
      <c r="K2828" t="str">
        <f>VLOOKUP(G2828,METRICS!C:D,2,0)</f>
        <v>Consultoria ADM</v>
      </c>
      <c r="L2828" t="str">
        <f>VLOOKUP(K2828,METRICS!D:E,2,0)</f>
        <v>ADMINISTRATIVA</v>
      </c>
    </row>
    <row r="2829" spans="1:1019 1030:2042 2053:3065 3076:4088 4099:5111 5122:6134 6145:7168 7179:8191 8202:9214 9225:10237 10248:11260 11271:12283 12294:13306 13317:14329 14340:15352 15363:16375" ht="15" hidden="1">
      <c r="A2829" t="s">
        <v>1806</v>
      </c>
      <c r="B2829" t="s">
        <v>689</v>
      </c>
      <c r="C2829" t="s">
        <v>690</v>
      </c>
      <c r="D2829" t="s">
        <v>2215</v>
      </c>
      <c r="E2829" t="s">
        <v>2216</v>
      </c>
      <c r="F2829" t="s">
        <v>1272</v>
      </c>
      <c r="G2829" s="518" t="s">
        <v>661</v>
      </c>
      <c r="H2829" s="484">
        <v>-12000</v>
      </c>
      <c r="I2829" t="str">
        <f t="shared" ref="I2829" si="159">TEXT(A2829, "mmmm aaaa")</f>
        <v>março 2026</v>
      </c>
      <c r="J2829">
        <f t="shared" ref="J2829" si="160">YEAR(A2829)</f>
        <v>2026</v>
      </c>
      <c r="K2829" t="str">
        <f>VLOOKUP(G2829,METRICS!C:D,2,0)</f>
        <v>Consultoria OP</v>
      </c>
      <c r="L2829" t="str">
        <f>VLOOKUP(K2829,METRICS!D:E,2,0)</f>
        <v>OPERAÇÃO</v>
      </c>
    </row>
    <row r="2830" spans="1:1019 1030:2042 2053:3065 3076:4088 4099:5111 5122:6134 6145:7168 7179:8191 8202:9214 9225:10237 10248:11260 11271:12283 12294:13306 13317:14329 14340:15352 15363:16375" ht="15" hidden="1">
      <c r="A2830" t="s">
        <v>1806</v>
      </c>
      <c r="B2830" t="s">
        <v>689</v>
      </c>
      <c r="C2830" t="s">
        <v>690</v>
      </c>
      <c r="D2830" t="s">
        <v>2215</v>
      </c>
      <c r="E2830" t="s">
        <v>2217</v>
      </c>
      <c r="F2830" t="s">
        <v>1272</v>
      </c>
      <c r="G2830" s="518" t="s">
        <v>1323</v>
      </c>
      <c r="H2830" s="484">
        <v>-12000</v>
      </c>
      <c r="I2830" t="str">
        <f t="shared" ref="I2830:I2894" si="161">TEXT(A2830, "mmmm aaaa")</f>
        <v>março 2026</v>
      </c>
      <c r="J2830">
        <f t="shared" ref="J2830:J2835" si="162">YEAR(A2830)</f>
        <v>2026</v>
      </c>
      <c r="K2830" t="str">
        <f>VLOOKUP(G2830,METRICS!C:D,2,0)</f>
        <v>Prestação de Serviço Pessoa Jurídica ADM</v>
      </c>
      <c r="L2830" t="str">
        <f>VLOOKUP(K2830,METRICS!D:E,2,0)</f>
        <v>ADMINISTRATIVA</v>
      </c>
    </row>
    <row r="2831" spans="1:1019 1030:2042 2053:3065 3076:4088 4099:5111 5122:6134 6145:7168 7179:8191 8202:9214 9225:10237 10248:11260 11271:12283 12294:13306 13317:14329 14340:15352 15363:16375" ht="15" hidden="1">
      <c r="A2831" t="s">
        <v>1806</v>
      </c>
      <c r="B2831" t="s">
        <v>689</v>
      </c>
      <c r="C2831" t="s">
        <v>690</v>
      </c>
      <c r="D2831" t="s">
        <v>883</v>
      </c>
      <c r="E2831" t="s">
        <v>746</v>
      </c>
      <c r="F2831" t="s">
        <v>1272</v>
      </c>
      <c r="G2831" t="s">
        <v>665</v>
      </c>
      <c r="H2831" s="484">
        <v>-25133.7</v>
      </c>
      <c r="I2831" t="str">
        <f t="shared" si="161"/>
        <v>março 2026</v>
      </c>
      <c r="J2831">
        <f t="shared" si="162"/>
        <v>2026</v>
      </c>
      <c r="K2831" t="str">
        <f>VLOOKUP(G2831,METRICS!C:D,2,0)</f>
        <v>Taxas Financeiras Diversas</v>
      </c>
      <c r="L2831" t="str">
        <f>VLOOKUP(K2831,METRICS!D:E,2,0)</f>
        <v>TAXAS CARTÃO DE CRÉDITO</v>
      </c>
    </row>
    <row r="2832" spans="1:1019 1030:2042 2053:3065 3076:4088 4099:5111 5122:6134 6145:7168 7179:8191 8202:9214 9225:10237 10248:11260 11271:12283 12294:13306 13317:14329 14340:15352 15363:16375" ht="15" hidden="1">
      <c r="A2832" t="s">
        <v>1806</v>
      </c>
      <c r="B2832" t="s">
        <v>689</v>
      </c>
      <c r="C2832" t="s">
        <v>690</v>
      </c>
      <c r="D2832" t="s">
        <v>817</v>
      </c>
      <c r="E2832" t="s">
        <v>544</v>
      </c>
      <c r="F2832" t="s">
        <v>1272</v>
      </c>
      <c r="G2832" t="s">
        <v>664</v>
      </c>
      <c r="H2832" s="484">
        <v>-24399</v>
      </c>
      <c r="I2832" t="str">
        <f t="shared" si="161"/>
        <v>março 2026</v>
      </c>
      <c r="J2832">
        <f t="shared" si="162"/>
        <v>2026</v>
      </c>
      <c r="K2832" t="str">
        <f>VLOOKUP(G2832,METRICS!C:D,2,0)</f>
        <v>Colaborador Extra</v>
      </c>
      <c r="L2832" t="str">
        <f>VLOOKUP(K2832,METRICS!D:E,2,0)</f>
        <v>PESSOAL</v>
      </c>
    </row>
    <row r="2833" spans="1:12" ht="15" hidden="1">
      <c r="A2833" t="s">
        <v>1806</v>
      </c>
      <c r="B2833" t="s">
        <v>689</v>
      </c>
      <c r="D2833" s="518" t="s">
        <v>2608</v>
      </c>
      <c r="E2833" s="518" t="s">
        <v>2608</v>
      </c>
      <c r="F2833" t="s">
        <v>1272</v>
      </c>
      <c r="G2833" t="s">
        <v>23</v>
      </c>
      <c r="H2833" s="484">
        <v>-4006.37</v>
      </c>
      <c r="I2833" t="str">
        <f t="shared" si="161"/>
        <v>março 2026</v>
      </c>
      <c r="J2833">
        <f t="shared" si="162"/>
        <v>2026</v>
      </c>
      <c r="K2833" t="str">
        <f>VLOOKUP(G2833,METRICS!C:D,2,0)</f>
        <v>(-) PIS/Pasep</v>
      </c>
      <c r="L2833" t="str">
        <f>VLOOKUP(K2833,METRICS!D:E,2,0)</f>
        <v xml:space="preserve">IMPOSTOS </v>
      </c>
    </row>
    <row r="2834" spans="1:12" ht="15" hidden="1">
      <c r="A2834" t="s">
        <v>1806</v>
      </c>
      <c r="B2834" t="s">
        <v>689</v>
      </c>
      <c r="D2834" s="518" t="s">
        <v>2608</v>
      </c>
      <c r="E2834" s="518" t="s">
        <v>2608</v>
      </c>
      <c r="F2834" t="s">
        <v>1272</v>
      </c>
      <c r="G2834" t="s">
        <v>21</v>
      </c>
      <c r="H2834" s="484">
        <v>-37427.25</v>
      </c>
      <c r="I2834" t="str">
        <f t="shared" si="161"/>
        <v>março 2026</v>
      </c>
      <c r="J2834">
        <f t="shared" si="162"/>
        <v>2026</v>
      </c>
      <c r="K2834" t="str">
        <f>VLOOKUP(G2834,METRICS!C:D,2,0)</f>
        <v>(-) ICMS</v>
      </c>
      <c r="L2834" t="str">
        <f>VLOOKUP(K2834,METRICS!D:E,2,0)</f>
        <v xml:space="preserve">IMPOSTOS </v>
      </c>
    </row>
    <row r="2835" spans="1:12" ht="15" hidden="1">
      <c r="A2835" s="518" t="s">
        <v>1806</v>
      </c>
      <c r="B2835" t="s">
        <v>689</v>
      </c>
      <c r="D2835" s="518" t="s">
        <v>2608</v>
      </c>
      <c r="E2835" s="518" t="s">
        <v>2608</v>
      </c>
      <c r="F2835" t="s">
        <v>1272</v>
      </c>
      <c r="G2835" t="s">
        <v>22</v>
      </c>
      <c r="H2835" s="484">
        <v>-18490.919999999998</v>
      </c>
      <c r="I2835" t="str">
        <f t="shared" si="161"/>
        <v>março 2026</v>
      </c>
      <c r="J2835">
        <f t="shared" si="162"/>
        <v>2026</v>
      </c>
      <c r="K2835" t="str">
        <f>VLOOKUP(G2835,METRICS!C:D,2,0)</f>
        <v>(-) COFINS</v>
      </c>
      <c r="L2835" t="str">
        <f>VLOOKUP(K2835,METRICS!D:E,2,0)</f>
        <v xml:space="preserve">IMPOSTOS </v>
      </c>
    </row>
    <row r="2836" spans="1:12" ht="15" hidden="1">
      <c r="A2836" s="518" t="s">
        <v>1806</v>
      </c>
      <c r="B2836" t="s">
        <v>689</v>
      </c>
      <c r="D2836" t="s">
        <v>1874</v>
      </c>
      <c r="E2836" t="s">
        <v>1666</v>
      </c>
      <c r="F2836" t="s">
        <v>1272</v>
      </c>
      <c r="G2836" t="s">
        <v>157</v>
      </c>
      <c r="H2836" s="484">
        <v>-8067.66</v>
      </c>
      <c r="I2836" t="str">
        <f>TEXT(A2836, "mmmm aaaa")</f>
        <v>março 2026</v>
      </c>
      <c r="J2836">
        <f>YEAR(A2836)</f>
        <v>2026</v>
      </c>
      <c r="K2836" t="str">
        <f>VLOOKUP(G2836,METRICS!C:D,2,0)</f>
        <v>IPTU</v>
      </c>
      <c r="L2836" t="str">
        <f>VLOOKUP(K2836,METRICS!D:E,2,0)</f>
        <v>OCUPAÇÃO</v>
      </c>
    </row>
    <row r="2837" spans="1:12" ht="15" hidden="1">
      <c r="A2837" t="s">
        <v>2233</v>
      </c>
      <c r="B2837" t="s">
        <v>612</v>
      </c>
      <c r="D2837" t="s">
        <v>2260</v>
      </c>
      <c r="E2837" t="s">
        <v>906</v>
      </c>
      <c r="F2837" t="s">
        <v>1272</v>
      </c>
      <c r="G2837" t="s">
        <v>628</v>
      </c>
      <c r="H2837" s="484">
        <v>-1126.5</v>
      </c>
      <c r="I2837" t="str">
        <f t="shared" si="161"/>
        <v>abril 2026</v>
      </c>
      <c r="J2837">
        <f t="shared" ref="J2837:J2897" si="163">YEAR(A2837)</f>
        <v>2026</v>
      </c>
      <c r="K2837" t="str">
        <f>VLOOKUP(G2837,METRICS!C:D,2,0)</f>
        <v>Material de Escritório</v>
      </c>
      <c r="L2837" t="str">
        <f>VLOOKUP(K2837,METRICS!D:E,2,0)</f>
        <v>ADMINISTRATIVA</v>
      </c>
    </row>
    <row r="2838" spans="1:12" ht="15" hidden="1">
      <c r="A2838" t="s">
        <v>2233</v>
      </c>
      <c r="B2838" t="s">
        <v>612</v>
      </c>
      <c r="D2838" t="s">
        <v>2261</v>
      </c>
      <c r="E2838" t="s">
        <v>1005</v>
      </c>
      <c r="F2838" t="s">
        <v>1272</v>
      </c>
      <c r="G2838" t="s">
        <v>608</v>
      </c>
      <c r="H2838" s="484">
        <v>-1524.8</v>
      </c>
      <c r="I2838" t="str">
        <f t="shared" si="161"/>
        <v>abril 2026</v>
      </c>
      <c r="J2838">
        <f t="shared" si="163"/>
        <v>2026</v>
      </c>
      <c r="K2838" t="str">
        <f>VLOOKUP(G2838,METRICS!C:D,2,0)</f>
        <v>Bebidas não Alcoolicas</v>
      </c>
      <c r="L2838" t="str">
        <f>VLOOKUP(K2838,METRICS!D:E,2,0)</f>
        <v>CUSTOS DOS PRODUTOS VENDIDOS</v>
      </c>
    </row>
    <row r="2839" spans="1:12" ht="15" hidden="1">
      <c r="A2839" t="s">
        <v>2233</v>
      </c>
      <c r="B2839" t="s">
        <v>689</v>
      </c>
      <c r="D2839" t="s">
        <v>2262</v>
      </c>
      <c r="E2839" t="s">
        <v>757</v>
      </c>
      <c r="F2839" t="s">
        <v>1272</v>
      </c>
      <c r="G2839" t="s">
        <v>1717</v>
      </c>
      <c r="H2839" s="484">
        <v>-371.35</v>
      </c>
      <c r="I2839" t="str">
        <f t="shared" si="161"/>
        <v>abril 2026</v>
      </c>
      <c r="J2839">
        <f t="shared" si="163"/>
        <v>2026</v>
      </c>
      <c r="K2839" t="str">
        <f>VLOOKUP(G2839,METRICS!C:D,2,0)</f>
        <v>Encargos Bancarios</v>
      </c>
      <c r="L2839" t="str">
        <f>VLOOKUP(K2839,METRICS!D:E,2,0)</f>
        <v>DESPESAS FINANCEIRAS</v>
      </c>
    </row>
    <row r="2840" spans="1:12" ht="15" hidden="1">
      <c r="A2840" t="s">
        <v>2233</v>
      </c>
      <c r="B2840" t="s">
        <v>612</v>
      </c>
      <c r="D2840" t="s">
        <v>2263</v>
      </c>
      <c r="E2840" t="s">
        <v>1153</v>
      </c>
      <c r="F2840" t="s">
        <v>1272</v>
      </c>
      <c r="G2840" t="s">
        <v>636</v>
      </c>
      <c r="H2840" s="484">
        <v>-840</v>
      </c>
      <c r="I2840" t="str">
        <f t="shared" si="161"/>
        <v>abril 2026</v>
      </c>
      <c r="J2840">
        <f t="shared" si="163"/>
        <v>2026</v>
      </c>
      <c r="K2840" t="str">
        <f>VLOOKUP(G2840,METRICS!C:D,2,0)</f>
        <v>Secos - Mercearia</v>
      </c>
      <c r="L2840" t="str">
        <f>VLOOKUP(K2840,METRICS!D:E,2,0)</f>
        <v>CUSTOS DOS PRODUTOS VENDIDOS</v>
      </c>
    </row>
    <row r="2841" spans="1:12" ht="15" hidden="1">
      <c r="A2841" t="s">
        <v>2233</v>
      </c>
      <c r="B2841" t="s">
        <v>612</v>
      </c>
      <c r="D2841" t="s">
        <v>2264</v>
      </c>
      <c r="E2841" t="s">
        <v>770</v>
      </c>
      <c r="F2841" t="s">
        <v>1272</v>
      </c>
      <c r="G2841" t="s">
        <v>630</v>
      </c>
      <c r="H2841" s="484">
        <v>-1486.34</v>
      </c>
      <c r="I2841" t="str">
        <f t="shared" si="161"/>
        <v>abril 2026</v>
      </c>
      <c r="J2841">
        <f t="shared" si="163"/>
        <v>2026</v>
      </c>
      <c r="K2841" t="str">
        <f>VLOOKUP(G2841,METRICS!C:D,2,0)</f>
        <v>Material de Copa e Limpeza</v>
      </c>
      <c r="L2841" t="str">
        <f>VLOOKUP(K2841,METRICS!D:E,2,0)</f>
        <v>ADMINISTRATIVA</v>
      </c>
    </row>
    <row r="2842" spans="1:12" ht="15" hidden="1">
      <c r="A2842" t="s">
        <v>2233</v>
      </c>
      <c r="B2842" t="s">
        <v>612</v>
      </c>
      <c r="D2842" t="s">
        <v>2265</v>
      </c>
      <c r="E2842" t="s">
        <v>1691</v>
      </c>
      <c r="F2842" t="s">
        <v>1272</v>
      </c>
      <c r="G2842" t="s">
        <v>620</v>
      </c>
      <c r="H2842" s="484">
        <v>-437.98</v>
      </c>
      <c r="I2842" t="str">
        <f t="shared" si="161"/>
        <v>abril 2026</v>
      </c>
      <c r="J2842">
        <f t="shared" si="163"/>
        <v>2026</v>
      </c>
      <c r="K2842" t="str">
        <f>VLOOKUP(G2842,METRICS!C:D,2,0)</f>
        <v>Hortifruti</v>
      </c>
      <c r="L2842" t="str">
        <f>VLOOKUP(K2842,METRICS!D:E,2,0)</f>
        <v>CUSTOS DOS PRODUTOS VENDIDOS</v>
      </c>
    </row>
    <row r="2843" spans="1:12" ht="15" hidden="1">
      <c r="A2843" s="512">
        <v>46105</v>
      </c>
      <c r="B2843" t="s">
        <v>612</v>
      </c>
      <c r="D2843" t="s">
        <v>308</v>
      </c>
      <c r="E2843" t="s">
        <v>1036</v>
      </c>
      <c r="F2843" t="s">
        <v>1272</v>
      </c>
      <c r="G2843" s="518" t="s">
        <v>1736</v>
      </c>
      <c r="H2843" s="595">
        <v>-2021.76</v>
      </c>
      <c r="I2843" t="str">
        <f t="shared" si="161"/>
        <v>março 2026</v>
      </c>
      <c r="J2843">
        <f t="shared" si="163"/>
        <v>2026</v>
      </c>
      <c r="K2843" t="str">
        <f>VLOOKUP(G2843,METRICS!C:D,2,0)</f>
        <v>Sistema e Software OP</v>
      </c>
      <c r="L2843" t="str">
        <f>VLOOKUP(K2843,METRICS!D:E,2,0)</f>
        <v>OPERAÇÃO</v>
      </c>
    </row>
    <row r="2844" spans="1:12" ht="15" hidden="1">
      <c r="A2844" t="s">
        <v>2233</v>
      </c>
      <c r="B2844" t="s">
        <v>689</v>
      </c>
      <c r="D2844" t="s">
        <v>308</v>
      </c>
      <c r="E2844" t="s">
        <v>1036</v>
      </c>
      <c r="F2844" t="s">
        <v>1272</v>
      </c>
      <c r="G2844" s="518" t="s">
        <v>1736</v>
      </c>
      <c r="H2844" s="484">
        <v>-2021.76</v>
      </c>
      <c r="I2844" t="str">
        <f t="shared" si="161"/>
        <v>abril 2026</v>
      </c>
      <c r="J2844">
        <f t="shared" si="163"/>
        <v>2026</v>
      </c>
      <c r="K2844" t="str">
        <f>VLOOKUP(G2844,METRICS!C:D,2,0)</f>
        <v>Sistema e Software OP</v>
      </c>
      <c r="L2844" t="str">
        <f>VLOOKUP(K2844,METRICS!D:E,2,0)</f>
        <v>OPERAÇÃO</v>
      </c>
    </row>
    <row r="2845" spans="1:12" ht="15" hidden="1">
      <c r="A2845" t="s">
        <v>2233</v>
      </c>
      <c r="B2845" t="s">
        <v>612</v>
      </c>
      <c r="D2845" t="s">
        <v>2266</v>
      </c>
      <c r="E2845" t="s">
        <v>721</v>
      </c>
      <c r="F2845" t="s">
        <v>1272</v>
      </c>
      <c r="G2845" s="518" t="s">
        <v>1736</v>
      </c>
      <c r="H2845" s="484">
        <v>-1560.4</v>
      </c>
      <c r="I2845" t="str">
        <f t="shared" si="161"/>
        <v>abril 2026</v>
      </c>
      <c r="J2845">
        <f t="shared" si="163"/>
        <v>2026</v>
      </c>
      <c r="K2845" t="str">
        <f>VLOOKUP(G2845,METRICS!C:D,2,0)</f>
        <v>Sistema e Software OP</v>
      </c>
      <c r="L2845" t="str">
        <f>VLOOKUP(K2845,METRICS!D:E,2,0)</f>
        <v>OPERAÇÃO</v>
      </c>
    </row>
    <row r="2846" spans="1:12" ht="15" hidden="1">
      <c r="A2846" t="s">
        <v>2233</v>
      </c>
      <c r="B2846" t="s">
        <v>612</v>
      </c>
      <c r="D2846" t="s">
        <v>2267</v>
      </c>
      <c r="E2846" t="s">
        <v>802</v>
      </c>
      <c r="F2846" t="s">
        <v>1272</v>
      </c>
      <c r="G2846" t="s">
        <v>633</v>
      </c>
      <c r="H2846" s="484">
        <v>-288</v>
      </c>
      <c r="I2846" t="str">
        <f t="shared" si="161"/>
        <v>abril 2026</v>
      </c>
      <c r="J2846">
        <f t="shared" si="163"/>
        <v>2026</v>
      </c>
      <c r="K2846" t="str">
        <f>VLOOKUP(G2846,METRICS!C:D,2,0)</f>
        <v>Paes, Massas e Salgados</v>
      </c>
      <c r="L2846" t="str">
        <f>VLOOKUP(K2846,METRICS!D:E,2,0)</f>
        <v>CUSTOS DOS PRODUTOS VENDIDOS</v>
      </c>
    </row>
    <row r="2847" spans="1:12" ht="15" hidden="1">
      <c r="A2847" t="s">
        <v>2233</v>
      </c>
      <c r="B2847" t="s">
        <v>612</v>
      </c>
      <c r="D2847" t="s">
        <v>2268</v>
      </c>
      <c r="E2847" t="s">
        <v>1162</v>
      </c>
      <c r="F2847" t="s">
        <v>1272</v>
      </c>
      <c r="G2847" t="s">
        <v>625</v>
      </c>
      <c r="H2847" s="484">
        <v>-682.71</v>
      </c>
      <c r="I2847" t="str">
        <f t="shared" si="161"/>
        <v>abril 2026</v>
      </c>
      <c r="J2847">
        <f t="shared" si="163"/>
        <v>2026</v>
      </c>
      <c r="K2847" t="str">
        <f>VLOOKUP(G2847,METRICS!C:D,2,0)</f>
        <v>Manutenção e Conservação</v>
      </c>
      <c r="L2847" t="str">
        <f>VLOOKUP(K2847,METRICS!D:E,2,0)</f>
        <v>OPERAÇÃO</v>
      </c>
    </row>
    <row r="2848" spans="1:12" ht="15" hidden="1">
      <c r="A2848" t="s">
        <v>2233</v>
      </c>
      <c r="B2848" t="s">
        <v>612</v>
      </c>
      <c r="D2848" t="s">
        <v>2269</v>
      </c>
      <c r="E2848" t="s">
        <v>796</v>
      </c>
      <c r="F2848" t="s">
        <v>1272</v>
      </c>
      <c r="G2848" t="s">
        <v>1719</v>
      </c>
      <c r="H2848" s="484">
        <v>-4000</v>
      </c>
      <c r="I2848" t="str">
        <f t="shared" si="161"/>
        <v>abril 2026</v>
      </c>
      <c r="J2848">
        <f t="shared" si="163"/>
        <v>2026</v>
      </c>
      <c r="K2848" t="str">
        <f>VLOOKUP(G2848,METRICS!C:D,2,0)</f>
        <v>Propaganda, Publicidade e Patrocínio</v>
      </c>
      <c r="L2848" t="str">
        <f>VLOOKUP(K2848,METRICS!D:E,2,0)</f>
        <v>MARKETING</v>
      </c>
    </row>
    <row r="2849" spans="1:12" ht="15" hidden="1">
      <c r="A2849" t="s">
        <v>2233</v>
      </c>
      <c r="B2849" t="s">
        <v>689</v>
      </c>
      <c r="D2849" t="s">
        <v>2270</v>
      </c>
      <c r="E2849" t="s">
        <v>757</v>
      </c>
      <c r="F2849" t="s">
        <v>1272</v>
      </c>
      <c r="G2849" t="s">
        <v>658</v>
      </c>
      <c r="H2849" s="484">
        <v>-1445.94</v>
      </c>
      <c r="I2849" t="str">
        <f t="shared" si="161"/>
        <v>abril 2026</v>
      </c>
      <c r="J2849">
        <f t="shared" si="163"/>
        <v>2026</v>
      </c>
      <c r="K2849" t="s">
        <v>243</v>
      </c>
      <c r="L2849" t="str">
        <f>VLOOKUP(K2849,METRICS!D:E,2,0)</f>
        <v>DESPESAS FINANCEIRAS</v>
      </c>
    </row>
    <row r="2850" spans="1:12" ht="15" hidden="1">
      <c r="A2850" t="s">
        <v>2233</v>
      </c>
      <c r="B2850" t="s">
        <v>612</v>
      </c>
      <c r="D2850" t="s">
        <v>2271</v>
      </c>
      <c r="E2850" t="s">
        <v>2575</v>
      </c>
      <c r="F2850" t="s">
        <v>1272</v>
      </c>
      <c r="G2850" t="s">
        <v>609</v>
      </c>
      <c r="H2850" s="484">
        <v>-803.92</v>
      </c>
      <c r="I2850" t="str">
        <f t="shared" si="161"/>
        <v>abril 2026</v>
      </c>
      <c r="J2850">
        <f t="shared" si="163"/>
        <v>2026</v>
      </c>
      <c r="K2850" t="str">
        <f>VLOOKUP(G2850,METRICS!C:D,2,0)</f>
        <v>Carnes e Aves</v>
      </c>
      <c r="L2850" t="str">
        <f>VLOOKUP(K2850,METRICS!D:E,2,0)</f>
        <v>CUSTOS DOS PRODUTOS VENDIDOS</v>
      </c>
    </row>
    <row r="2851" spans="1:12" ht="15" hidden="1">
      <c r="A2851" t="s">
        <v>2233</v>
      </c>
      <c r="B2851" t="s">
        <v>689</v>
      </c>
      <c r="D2851" t="s">
        <v>1397</v>
      </c>
      <c r="E2851" t="s">
        <v>1668</v>
      </c>
      <c r="F2851" t="s">
        <v>1272</v>
      </c>
      <c r="G2851" t="s">
        <v>124</v>
      </c>
      <c r="H2851" s="484">
        <v>-3703.46</v>
      </c>
      <c r="I2851" t="str">
        <f t="shared" si="161"/>
        <v>abril 2026</v>
      </c>
      <c r="J2851">
        <f t="shared" si="163"/>
        <v>2026</v>
      </c>
      <c r="K2851" t="str">
        <f>VLOOKUP(G2851,METRICS!C:D,2,0)</f>
        <v>Contribuição Sindical</v>
      </c>
      <c r="L2851" t="str">
        <f>VLOOKUP(K2851,METRICS!D:E,2,0)</f>
        <v>PESSOAL</v>
      </c>
    </row>
    <row r="2852" spans="1:12" ht="15" hidden="1">
      <c r="A2852" t="s">
        <v>2233</v>
      </c>
      <c r="B2852" t="s">
        <v>612</v>
      </c>
      <c r="D2852" t="s">
        <v>2272</v>
      </c>
      <c r="E2852" t="s">
        <v>890</v>
      </c>
      <c r="F2852" t="s">
        <v>1272</v>
      </c>
      <c r="G2852" s="518" t="s">
        <v>1736</v>
      </c>
      <c r="H2852" s="484">
        <v>-373.43</v>
      </c>
      <c r="I2852" t="str">
        <f t="shared" si="161"/>
        <v>abril 2026</v>
      </c>
      <c r="J2852">
        <f t="shared" si="163"/>
        <v>2026</v>
      </c>
      <c r="K2852" t="str">
        <f>VLOOKUP(G2852,METRICS!C:D,2,0)</f>
        <v>Sistema e Software OP</v>
      </c>
      <c r="L2852" t="str">
        <f>VLOOKUP(K2852,METRICS!D:E,2,0)</f>
        <v>OPERAÇÃO</v>
      </c>
    </row>
    <row r="2853" spans="1:12" ht="15" hidden="1">
      <c r="A2853" t="s">
        <v>2233</v>
      </c>
      <c r="B2853" t="s">
        <v>689</v>
      </c>
      <c r="D2853" t="s">
        <v>2273</v>
      </c>
      <c r="E2853" t="s">
        <v>2576</v>
      </c>
      <c r="F2853" t="s">
        <v>1272</v>
      </c>
      <c r="G2853" t="s">
        <v>1318</v>
      </c>
      <c r="H2853" s="484">
        <v>-12585</v>
      </c>
      <c r="I2853" t="str">
        <f t="shared" si="161"/>
        <v>abril 2026</v>
      </c>
      <c r="J2853">
        <f t="shared" si="163"/>
        <v>2026</v>
      </c>
      <c r="K2853" t="str">
        <f>VLOOKUP(G2853,METRICS!C:D,2,0)</f>
        <v>Despesas com Segurança</v>
      </c>
      <c r="L2853" t="str">
        <f>VLOOKUP(K2853,METRICS!D:E,2,0)</f>
        <v>OPERAÇÃO</v>
      </c>
    </row>
    <row r="2854" spans="1:12" ht="15" hidden="1">
      <c r="A2854" t="s">
        <v>2233</v>
      </c>
      <c r="B2854" t="s">
        <v>689</v>
      </c>
      <c r="D2854" t="s">
        <v>2273</v>
      </c>
      <c r="E2854" t="s">
        <v>2576</v>
      </c>
      <c r="F2854" t="s">
        <v>1272</v>
      </c>
      <c r="G2854" t="s">
        <v>1318</v>
      </c>
      <c r="H2854" s="484">
        <v>-12855</v>
      </c>
      <c r="I2854" t="str">
        <f t="shared" si="161"/>
        <v>abril 2026</v>
      </c>
      <c r="J2854">
        <f t="shared" si="163"/>
        <v>2026</v>
      </c>
      <c r="K2854" t="str">
        <f>VLOOKUP(G2854,METRICS!C:D,2,0)</f>
        <v>Despesas com Segurança</v>
      </c>
      <c r="L2854" t="str">
        <f>VLOOKUP(K2854,METRICS!D:E,2,0)</f>
        <v>OPERAÇÃO</v>
      </c>
    </row>
    <row r="2855" spans="1:12" ht="15" hidden="1">
      <c r="A2855" t="s">
        <v>2233</v>
      </c>
      <c r="B2855" t="s">
        <v>612</v>
      </c>
      <c r="D2855" t="s">
        <v>2274</v>
      </c>
      <c r="E2855" t="s">
        <v>939</v>
      </c>
      <c r="F2855" t="s">
        <v>1272</v>
      </c>
      <c r="G2855" t="s">
        <v>636</v>
      </c>
      <c r="H2855" s="484">
        <v>-963.55</v>
      </c>
      <c r="I2855" t="str">
        <f t="shared" si="161"/>
        <v>abril 2026</v>
      </c>
      <c r="J2855">
        <f t="shared" si="163"/>
        <v>2026</v>
      </c>
      <c r="K2855" t="str">
        <f>VLOOKUP(G2855,METRICS!C:D,2,0)</f>
        <v>Secos - Mercearia</v>
      </c>
      <c r="L2855" t="str">
        <f>VLOOKUP(K2855,METRICS!D:E,2,0)</f>
        <v>CUSTOS DOS PRODUTOS VENDIDOS</v>
      </c>
    </row>
    <row r="2856" spans="1:12" ht="15" hidden="1">
      <c r="A2856" t="s">
        <v>2233</v>
      </c>
      <c r="B2856" t="s">
        <v>689</v>
      </c>
      <c r="D2856" t="s">
        <v>2273</v>
      </c>
      <c r="E2856" t="s">
        <v>2576</v>
      </c>
      <c r="F2856" t="s">
        <v>1272</v>
      </c>
      <c r="G2856" t="s">
        <v>1318</v>
      </c>
      <c r="H2856" s="484">
        <v>-12220</v>
      </c>
      <c r="I2856" t="str">
        <f t="shared" si="161"/>
        <v>abril 2026</v>
      </c>
      <c r="J2856">
        <f t="shared" si="163"/>
        <v>2026</v>
      </c>
      <c r="K2856" t="str">
        <f>VLOOKUP(G2856,METRICS!C:D,2,0)</f>
        <v>Despesas com Segurança</v>
      </c>
      <c r="L2856" t="str">
        <f>VLOOKUP(K2856,METRICS!D:E,2,0)</f>
        <v>OPERAÇÃO</v>
      </c>
    </row>
    <row r="2857" spans="1:12" ht="15" hidden="1">
      <c r="A2857" t="s">
        <v>2233</v>
      </c>
      <c r="B2857" t="s">
        <v>689</v>
      </c>
      <c r="D2857" t="s">
        <v>2275</v>
      </c>
      <c r="E2857" t="s">
        <v>757</v>
      </c>
      <c r="F2857" t="s">
        <v>1272</v>
      </c>
      <c r="G2857" t="s">
        <v>1717</v>
      </c>
      <c r="H2857" s="484">
        <v>-26.72</v>
      </c>
      <c r="I2857" t="str">
        <f t="shared" si="161"/>
        <v>abril 2026</v>
      </c>
      <c r="J2857">
        <f t="shared" si="163"/>
        <v>2026</v>
      </c>
      <c r="K2857" t="str">
        <f>VLOOKUP(G2857,METRICS!C:D,2,0)</f>
        <v>Encargos Bancarios</v>
      </c>
      <c r="L2857" t="str">
        <f>VLOOKUP(K2857,METRICS!D:E,2,0)</f>
        <v>DESPESAS FINANCEIRAS</v>
      </c>
    </row>
    <row r="2858" spans="1:12" ht="15" hidden="1">
      <c r="A2858" t="s">
        <v>2233</v>
      </c>
      <c r="B2858" t="s">
        <v>612</v>
      </c>
      <c r="D2858" t="s">
        <v>2276</v>
      </c>
      <c r="E2858" t="s">
        <v>774</v>
      </c>
      <c r="F2858" t="s">
        <v>1272</v>
      </c>
      <c r="G2858" t="s">
        <v>629</v>
      </c>
      <c r="H2858" s="484">
        <v>-1468.87</v>
      </c>
      <c r="I2858" t="str">
        <f t="shared" si="161"/>
        <v>abril 2026</v>
      </c>
      <c r="J2858">
        <f t="shared" si="163"/>
        <v>2026</v>
      </c>
      <c r="K2858" t="str">
        <f>VLOOKUP(G2858,METRICS!C:D,2,0)</f>
        <v>Material de limpeza</v>
      </c>
      <c r="L2858" t="str">
        <f>VLOOKUP(K2858,METRICS!D:E,2,0)</f>
        <v>OPERAÇÃO</v>
      </c>
    </row>
    <row r="2859" spans="1:12" ht="15" hidden="1">
      <c r="A2859" t="s">
        <v>2233</v>
      </c>
      <c r="B2859" t="s">
        <v>612</v>
      </c>
      <c r="D2859" t="s">
        <v>2277</v>
      </c>
      <c r="E2859" t="s">
        <v>1012</v>
      </c>
      <c r="F2859" t="s">
        <v>1272</v>
      </c>
      <c r="G2859" t="s">
        <v>611</v>
      </c>
      <c r="H2859" s="484">
        <v>-1646.12</v>
      </c>
      <c r="I2859" t="str">
        <f t="shared" si="161"/>
        <v>abril 2026</v>
      </c>
      <c r="J2859">
        <f t="shared" si="163"/>
        <v>2026</v>
      </c>
      <c r="K2859" t="str">
        <f>VLOOKUP(G2859,METRICS!C:D,2,0)</f>
        <v>Bebidas Alcoólicas</v>
      </c>
      <c r="L2859" t="str">
        <f>VLOOKUP(K2859,METRICS!D:E,2,0)</f>
        <v>CUSTOS DOS PRODUTOS VENDIDOS</v>
      </c>
    </row>
    <row r="2860" spans="1:12" ht="15" hidden="1">
      <c r="A2860" t="s">
        <v>2233</v>
      </c>
      <c r="B2860" t="s">
        <v>689</v>
      </c>
      <c r="D2860" t="s">
        <v>1575</v>
      </c>
      <c r="E2860" t="s">
        <v>1314</v>
      </c>
      <c r="F2860" t="s">
        <v>1272</v>
      </c>
      <c r="G2860" t="s">
        <v>1315</v>
      </c>
      <c r="H2860" s="484">
        <v>-3840.68</v>
      </c>
      <c r="I2860" t="str">
        <f t="shared" si="161"/>
        <v>abril 2026</v>
      </c>
      <c r="J2860">
        <f t="shared" si="163"/>
        <v>2026</v>
      </c>
      <c r="K2860" t="str">
        <f>VLOOKUP(G2860,METRICS!C:D,2,0)</f>
        <v>Água e Esgoto</v>
      </c>
      <c r="L2860" t="str">
        <f>VLOOKUP(K2860,METRICS!D:E,2,0)</f>
        <v>OPERAÇÃO</v>
      </c>
    </row>
    <row r="2861" spans="1:12" ht="15" hidden="1">
      <c r="A2861" t="s">
        <v>2233</v>
      </c>
      <c r="B2861" t="s">
        <v>689</v>
      </c>
      <c r="D2861" t="s">
        <v>308</v>
      </c>
      <c r="E2861" t="s">
        <v>902</v>
      </c>
      <c r="F2861" t="s">
        <v>1272</v>
      </c>
      <c r="G2861" t="s">
        <v>1737</v>
      </c>
      <c r="H2861" s="484">
        <v>-1657.81</v>
      </c>
      <c r="I2861" t="str">
        <f t="shared" si="161"/>
        <v>abril 2026</v>
      </c>
      <c r="J2861">
        <f t="shared" si="163"/>
        <v>2026</v>
      </c>
      <c r="K2861" t="str">
        <f>VLOOKUP(G2861,METRICS!C:D,2,0)</f>
        <v>Sistema e Software ADM</v>
      </c>
      <c r="L2861" t="str">
        <f>VLOOKUP(K2861,METRICS!D:E,2,0)</f>
        <v>ADMINISTRATIVA</v>
      </c>
    </row>
    <row r="2862" spans="1:12" ht="15" hidden="1">
      <c r="A2862" t="s">
        <v>2233</v>
      </c>
      <c r="B2862" t="s">
        <v>612</v>
      </c>
      <c r="D2862" t="s">
        <v>2278</v>
      </c>
      <c r="E2862" t="s">
        <v>834</v>
      </c>
      <c r="F2862" t="s">
        <v>1272</v>
      </c>
      <c r="G2862" t="s">
        <v>413</v>
      </c>
      <c r="H2862" s="484">
        <v>-10053.85</v>
      </c>
      <c r="I2862" t="str">
        <f t="shared" si="161"/>
        <v>abril 2026</v>
      </c>
      <c r="J2862">
        <f t="shared" si="163"/>
        <v>2026</v>
      </c>
      <c r="K2862" t="str">
        <f>VLOOKUP(G2862,METRICS!C:D,2,0)</f>
        <v>Pescados</v>
      </c>
      <c r="L2862" t="str">
        <f>VLOOKUP(K2862,METRICS!D:E,2,0)</f>
        <v>CUSTOS DOS PRODUTOS VENDIDOS</v>
      </c>
    </row>
    <row r="2863" spans="1:12" ht="15" hidden="1">
      <c r="A2863" t="s">
        <v>2233</v>
      </c>
      <c r="B2863" t="s">
        <v>612</v>
      </c>
      <c r="D2863" t="s">
        <v>2279</v>
      </c>
      <c r="E2863" t="s">
        <v>878</v>
      </c>
      <c r="F2863" t="s">
        <v>1272</v>
      </c>
      <c r="G2863" t="s">
        <v>609</v>
      </c>
      <c r="H2863" s="484">
        <v>-17047.63</v>
      </c>
      <c r="I2863" t="str">
        <f t="shared" si="161"/>
        <v>abril 2026</v>
      </c>
      <c r="J2863">
        <f t="shared" si="163"/>
        <v>2026</v>
      </c>
      <c r="K2863" t="str">
        <f>VLOOKUP(G2863,METRICS!C:D,2,0)</f>
        <v>Carnes e Aves</v>
      </c>
      <c r="L2863" t="str">
        <f>VLOOKUP(K2863,METRICS!D:E,2,0)</f>
        <v>CUSTOS DOS PRODUTOS VENDIDOS</v>
      </c>
    </row>
    <row r="2864" spans="1:12" ht="15" hidden="1">
      <c r="A2864" t="s">
        <v>2233</v>
      </c>
      <c r="B2864" t="s">
        <v>689</v>
      </c>
      <c r="D2864" t="s">
        <v>756</v>
      </c>
      <c r="E2864" t="s">
        <v>757</v>
      </c>
      <c r="F2864" t="s">
        <v>1272</v>
      </c>
      <c r="G2864" t="s">
        <v>666</v>
      </c>
      <c r="H2864" s="484">
        <v>-29.7</v>
      </c>
      <c r="I2864" t="str">
        <f t="shared" si="161"/>
        <v>abril 2026</v>
      </c>
      <c r="J2864">
        <f t="shared" si="163"/>
        <v>2026</v>
      </c>
      <c r="K2864" t="str">
        <f>VLOOKUP(G2864,METRICS!C:D,2,0)</f>
        <v>Encargos Bancarios</v>
      </c>
      <c r="L2864" t="str">
        <f>VLOOKUP(K2864,METRICS!D:E,2,0)</f>
        <v>DESPESAS FINANCEIRAS</v>
      </c>
    </row>
    <row r="2865" spans="1:12" ht="15" hidden="1">
      <c r="A2865" t="s">
        <v>2233</v>
      </c>
      <c r="B2865" t="s">
        <v>689</v>
      </c>
      <c r="D2865" t="s">
        <v>2280</v>
      </c>
      <c r="E2865" t="s">
        <v>1022</v>
      </c>
      <c r="F2865" t="s">
        <v>1272</v>
      </c>
      <c r="G2865" t="s">
        <v>625</v>
      </c>
      <c r="H2865" s="484">
        <v>-1640</v>
      </c>
      <c r="I2865" t="str">
        <f t="shared" si="161"/>
        <v>abril 2026</v>
      </c>
      <c r="J2865">
        <f t="shared" si="163"/>
        <v>2026</v>
      </c>
      <c r="K2865" t="str">
        <f>VLOOKUP(G2865,METRICS!C:D,2,0)</f>
        <v>Manutenção e Conservação</v>
      </c>
      <c r="L2865" t="str">
        <f>VLOOKUP(K2865,METRICS!D:E,2,0)</f>
        <v>OPERAÇÃO</v>
      </c>
    </row>
    <row r="2866" spans="1:12" ht="15" hidden="1">
      <c r="A2866" t="s">
        <v>2233</v>
      </c>
      <c r="B2866" t="s">
        <v>689</v>
      </c>
      <c r="D2866" t="s">
        <v>1815</v>
      </c>
      <c r="E2866" t="s">
        <v>2182</v>
      </c>
      <c r="F2866" t="s">
        <v>1272</v>
      </c>
      <c r="G2866" t="s">
        <v>657</v>
      </c>
      <c r="H2866" s="484">
        <v>-2300</v>
      </c>
      <c r="I2866" t="str">
        <f t="shared" si="161"/>
        <v>abril 2026</v>
      </c>
      <c r="J2866">
        <f t="shared" si="163"/>
        <v>2026</v>
      </c>
      <c r="K2866" t="str">
        <f>VLOOKUP(G2866,METRICS!C:D,2,0)</f>
        <v>Aluguel de Maquinas</v>
      </c>
      <c r="L2866" t="str">
        <f>VLOOKUP(K2866,METRICS!D:E,2,0)</f>
        <v>OPERAÇÃO</v>
      </c>
    </row>
    <row r="2867" spans="1:12" ht="15" hidden="1">
      <c r="A2867" t="s">
        <v>2233</v>
      </c>
      <c r="B2867" t="s">
        <v>689</v>
      </c>
      <c r="D2867" t="s">
        <v>754</v>
      </c>
      <c r="E2867" t="s">
        <v>755</v>
      </c>
      <c r="F2867" t="s">
        <v>1272</v>
      </c>
      <c r="G2867" t="s">
        <v>646</v>
      </c>
      <c r="H2867" s="484">
        <v>-3500</v>
      </c>
      <c r="I2867" t="str">
        <f t="shared" si="161"/>
        <v>abril 2026</v>
      </c>
      <c r="J2867">
        <f t="shared" si="163"/>
        <v>2026</v>
      </c>
      <c r="K2867" t="str">
        <f>VLOOKUP(G2867,METRICS!C:D,2,0)</f>
        <v>Ações (Eventos com Funcionários)</v>
      </c>
      <c r="L2867" t="str">
        <f>VLOOKUP(K2867,METRICS!D:E,2,0)</f>
        <v>OPERAÇÃO</v>
      </c>
    </row>
    <row r="2868" spans="1:12" ht="15" hidden="1">
      <c r="A2868" t="s">
        <v>2233</v>
      </c>
      <c r="B2868" t="s">
        <v>689</v>
      </c>
      <c r="D2868" t="s">
        <v>2281</v>
      </c>
      <c r="E2868" t="s">
        <v>757</v>
      </c>
      <c r="F2868" t="s">
        <v>1272</v>
      </c>
      <c r="G2868" t="s">
        <v>658</v>
      </c>
      <c r="H2868" s="484">
        <v>-81.94</v>
      </c>
      <c r="I2868" t="str">
        <f t="shared" si="161"/>
        <v>abril 2026</v>
      </c>
      <c r="J2868">
        <f t="shared" si="163"/>
        <v>2026</v>
      </c>
      <c r="K2868" t="s">
        <v>243</v>
      </c>
      <c r="L2868" t="str">
        <f>VLOOKUP(K2868,METRICS!D:E,2,0)</f>
        <v>DESPESAS FINANCEIRAS</v>
      </c>
    </row>
    <row r="2869" spans="1:12" ht="15" hidden="1">
      <c r="A2869" t="s">
        <v>2233</v>
      </c>
      <c r="B2869" t="s">
        <v>612</v>
      </c>
      <c r="D2869" t="s">
        <v>2282</v>
      </c>
      <c r="E2869" t="s">
        <v>1712</v>
      </c>
      <c r="F2869" t="s">
        <v>1272</v>
      </c>
      <c r="G2869" t="s">
        <v>641</v>
      </c>
      <c r="H2869" s="484">
        <v>-7444.24</v>
      </c>
      <c r="I2869" t="str">
        <f t="shared" si="161"/>
        <v>abril 2026</v>
      </c>
      <c r="J2869">
        <f t="shared" si="163"/>
        <v>2026</v>
      </c>
      <c r="K2869" t="str">
        <f>VLOOKUP(G2869,METRICS!C:D,2,0)</f>
        <v>Vinhos/Espumantes</v>
      </c>
      <c r="L2869" t="str">
        <f>VLOOKUP(K2869,METRICS!D:E,2,0)</f>
        <v>CUSTOS DOS PRODUTOS VENDIDOS</v>
      </c>
    </row>
    <row r="2870" spans="1:12" ht="15" hidden="1">
      <c r="A2870" t="s">
        <v>2233</v>
      </c>
      <c r="B2870" t="s">
        <v>612</v>
      </c>
      <c r="D2870" t="s">
        <v>2283</v>
      </c>
      <c r="E2870" t="s">
        <v>752</v>
      </c>
      <c r="F2870" t="s">
        <v>1272</v>
      </c>
      <c r="G2870" t="s">
        <v>609</v>
      </c>
      <c r="H2870" s="484">
        <v>-1860.01</v>
      </c>
      <c r="I2870" t="str">
        <f t="shared" si="161"/>
        <v>abril 2026</v>
      </c>
      <c r="J2870">
        <f t="shared" si="163"/>
        <v>2026</v>
      </c>
      <c r="K2870" t="str">
        <f>VLOOKUP(G2870,METRICS!C:D,2,0)</f>
        <v>Carnes e Aves</v>
      </c>
      <c r="L2870" t="str">
        <f>VLOOKUP(K2870,METRICS!D:E,2,0)</f>
        <v>CUSTOS DOS PRODUTOS VENDIDOS</v>
      </c>
    </row>
    <row r="2871" spans="1:12" ht="15" hidden="1">
      <c r="A2871" s="512">
        <v>46112</v>
      </c>
      <c r="B2871" t="s">
        <v>689</v>
      </c>
      <c r="D2871" t="s">
        <v>1356</v>
      </c>
      <c r="E2871" t="s">
        <v>1663</v>
      </c>
      <c r="F2871" t="s">
        <v>1272</v>
      </c>
      <c r="G2871" t="s">
        <v>2199</v>
      </c>
      <c r="H2871" s="484">
        <v>-582.78</v>
      </c>
      <c r="I2871" t="str">
        <f t="shared" si="161"/>
        <v>março 2026</v>
      </c>
      <c r="J2871">
        <f t="shared" si="163"/>
        <v>2026</v>
      </c>
      <c r="K2871" t="str">
        <f>VLOOKUP(G2871,METRICS!C:D,2,0)</f>
        <v>Locação de Espaço</v>
      </c>
      <c r="L2871" t="str">
        <f>VLOOKUP(K2871,METRICS!D:E,2,0)</f>
        <v>ADMINISTRATIVA</v>
      </c>
    </row>
    <row r="2872" spans="1:12" ht="15" hidden="1">
      <c r="A2872" t="s">
        <v>2233</v>
      </c>
      <c r="B2872" t="s">
        <v>612</v>
      </c>
      <c r="D2872" t="s">
        <v>2284</v>
      </c>
      <c r="E2872" t="s">
        <v>826</v>
      </c>
      <c r="F2872" t="s">
        <v>1272</v>
      </c>
      <c r="G2872" t="s">
        <v>633</v>
      </c>
      <c r="H2872" s="484">
        <v>-5131</v>
      </c>
      <c r="I2872" t="str">
        <f t="shared" si="161"/>
        <v>abril 2026</v>
      </c>
      <c r="J2872">
        <f t="shared" si="163"/>
        <v>2026</v>
      </c>
      <c r="K2872" t="str">
        <f>VLOOKUP(G2872,METRICS!C:D,2,0)</f>
        <v>Paes, Massas e Salgados</v>
      </c>
      <c r="L2872" t="str">
        <f>VLOOKUP(K2872,METRICS!D:E,2,0)</f>
        <v>CUSTOS DOS PRODUTOS VENDIDOS</v>
      </c>
    </row>
    <row r="2873" spans="1:12" ht="15" hidden="1">
      <c r="A2873" t="s">
        <v>2233</v>
      </c>
      <c r="B2873" t="s">
        <v>689</v>
      </c>
      <c r="D2873" t="s">
        <v>308</v>
      </c>
      <c r="E2873" t="s">
        <v>902</v>
      </c>
      <c r="F2873" t="s">
        <v>1272</v>
      </c>
      <c r="G2873" t="s">
        <v>1737</v>
      </c>
      <c r="H2873" s="484">
        <v>-1574.33</v>
      </c>
      <c r="I2873" t="str">
        <f t="shared" si="161"/>
        <v>abril 2026</v>
      </c>
      <c r="J2873">
        <f t="shared" si="163"/>
        <v>2026</v>
      </c>
      <c r="K2873" t="str">
        <f>VLOOKUP(G2873,METRICS!C:D,2,0)</f>
        <v>Sistema e Software ADM</v>
      </c>
      <c r="L2873" t="str">
        <f>VLOOKUP(K2873,METRICS!D:E,2,0)</f>
        <v>ADMINISTRATIVA</v>
      </c>
    </row>
    <row r="2874" spans="1:12" ht="15" hidden="1">
      <c r="A2874" t="s">
        <v>2234</v>
      </c>
      <c r="B2874" t="s">
        <v>612</v>
      </c>
      <c r="D2874" t="s">
        <v>2285</v>
      </c>
      <c r="E2874" t="s">
        <v>828</v>
      </c>
      <c r="F2874" t="s">
        <v>1272</v>
      </c>
      <c r="G2874" t="s">
        <v>636</v>
      </c>
      <c r="H2874" s="484">
        <v>-928.74</v>
      </c>
      <c r="I2874" t="str">
        <f t="shared" si="161"/>
        <v>abril 2026</v>
      </c>
      <c r="J2874">
        <f t="shared" si="163"/>
        <v>2026</v>
      </c>
      <c r="K2874" t="str">
        <f>VLOOKUP(G2874,METRICS!C:D,2,0)</f>
        <v>Secos - Mercearia</v>
      </c>
      <c r="L2874" t="str">
        <f>VLOOKUP(K2874,METRICS!D:E,2,0)</f>
        <v>CUSTOS DOS PRODUTOS VENDIDOS</v>
      </c>
    </row>
    <row r="2875" spans="1:12" ht="15" hidden="1">
      <c r="A2875" t="s">
        <v>2234</v>
      </c>
      <c r="B2875" t="s">
        <v>689</v>
      </c>
      <c r="D2875" t="s">
        <v>2286</v>
      </c>
      <c r="E2875" t="s">
        <v>757</v>
      </c>
      <c r="F2875" t="s">
        <v>1272</v>
      </c>
      <c r="G2875" t="s">
        <v>647</v>
      </c>
      <c r="H2875" s="484">
        <v>-170</v>
      </c>
      <c r="I2875" t="str">
        <f t="shared" si="161"/>
        <v>abril 2026</v>
      </c>
      <c r="J2875">
        <f t="shared" si="163"/>
        <v>2026</v>
      </c>
      <c r="K2875" t="str">
        <f>VLOOKUP(G2875,METRICS!C:D,2,0)</f>
        <v>FGTS</v>
      </c>
      <c r="L2875" t="str">
        <f>VLOOKUP(K2875,METRICS!D:E,2,0)</f>
        <v>PESSOAL</v>
      </c>
    </row>
    <row r="2876" spans="1:12" ht="15" hidden="1">
      <c r="A2876" t="s">
        <v>2234</v>
      </c>
      <c r="B2876" t="s">
        <v>612</v>
      </c>
      <c r="D2876" t="s">
        <v>2287</v>
      </c>
      <c r="E2876" t="s">
        <v>742</v>
      </c>
      <c r="F2876" t="s">
        <v>1272</v>
      </c>
      <c r="G2876" t="s">
        <v>632</v>
      </c>
      <c r="H2876" s="484">
        <v>-2750</v>
      </c>
      <c r="I2876" t="str">
        <f t="shared" si="161"/>
        <v>abril 2026</v>
      </c>
      <c r="J2876">
        <f t="shared" si="163"/>
        <v>2026</v>
      </c>
      <c r="K2876" t="str">
        <f>VLOOKUP(G2876,METRICS!C:D,2,0)</f>
        <v>Assessoria Nutricional</v>
      </c>
      <c r="L2876" t="str">
        <f>VLOOKUP(K2876,METRICS!D:E,2,0)</f>
        <v>OPERAÇÃO</v>
      </c>
    </row>
    <row r="2877" spans="1:12" ht="15" hidden="1">
      <c r="A2877" t="s">
        <v>2234</v>
      </c>
      <c r="B2877" t="s">
        <v>612</v>
      </c>
      <c r="D2877" t="s">
        <v>2288</v>
      </c>
      <c r="E2877" t="s">
        <v>745</v>
      </c>
      <c r="F2877" t="s">
        <v>1272</v>
      </c>
      <c r="G2877" t="s">
        <v>620</v>
      </c>
      <c r="H2877" s="484">
        <v>-346.2</v>
      </c>
      <c r="I2877" t="str">
        <f t="shared" si="161"/>
        <v>abril 2026</v>
      </c>
      <c r="J2877">
        <f t="shared" si="163"/>
        <v>2026</v>
      </c>
      <c r="K2877" t="str">
        <f>VLOOKUP(G2877,METRICS!C:D,2,0)</f>
        <v>Hortifruti</v>
      </c>
      <c r="L2877" t="str">
        <f>VLOOKUP(K2877,METRICS!D:E,2,0)</f>
        <v>CUSTOS DOS PRODUTOS VENDIDOS</v>
      </c>
    </row>
    <row r="2878" spans="1:12" ht="15" hidden="1">
      <c r="A2878" t="s">
        <v>2234</v>
      </c>
      <c r="B2878" t="s">
        <v>689</v>
      </c>
      <c r="D2878" t="s">
        <v>2286</v>
      </c>
      <c r="E2878" t="s">
        <v>757</v>
      </c>
      <c r="F2878" t="s">
        <v>1272</v>
      </c>
      <c r="G2878" t="s">
        <v>1718</v>
      </c>
      <c r="H2878" s="484">
        <v>-250</v>
      </c>
      <c r="I2878" t="str">
        <f t="shared" si="161"/>
        <v>abril 2026</v>
      </c>
      <c r="J2878">
        <f t="shared" si="163"/>
        <v>2026</v>
      </c>
      <c r="K2878" t="str">
        <f>VLOOKUP(G2878,METRICS!C:D,2,0)</f>
        <v>Utensílios</v>
      </c>
      <c r="L2878" t="str">
        <f>VLOOKUP(K2878,METRICS!D:E,2,0)</f>
        <v>OPERAÇÃO</v>
      </c>
    </row>
    <row r="2879" spans="1:12" ht="15" hidden="1">
      <c r="A2879" t="s">
        <v>2234</v>
      </c>
      <c r="B2879" t="s">
        <v>612</v>
      </c>
      <c r="D2879" t="s">
        <v>2289</v>
      </c>
      <c r="E2879" t="s">
        <v>784</v>
      </c>
      <c r="F2879" t="s">
        <v>1272</v>
      </c>
      <c r="G2879" t="s">
        <v>636</v>
      </c>
      <c r="H2879" s="484">
        <v>-625</v>
      </c>
      <c r="I2879" t="str">
        <f t="shared" si="161"/>
        <v>abril 2026</v>
      </c>
      <c r="J2879">
        <f t="shared" si="163"/>
        <v>2026</v>
      </c>
      <c r="K2879" t="str">
        <f>VLOOKUP(G2879,METRICS!C:D,2,0)</f>
        <v>Secos - Mercearia</v>
      </c>
      <c r="L2879" t="str">
        <f>VLOOKUP(K2879,METRICS!D:E,2,0)</f>
        <v>CUSTOS DOS PRODUTOS VENDIDOS</v>
      </c>
    </row>
    <row r="2880" spans="1:12" ht="15" hidden="1">
      <c r="A2880" t="s">
        <v>2234</v>
      </c>
      <c r="B2880" t="s">
        <v>612</v>
      </c>
      <c r="D2880" t="s">
        <v>2290</v>
      </c>
      <c r="E2880" t="s">
        <v>811</v>
      </c>
      <c r="F2880" t="s">
        <v>1272</v>
      </c>
      <c r="G2880" t="s">
        <v>636</v>
      </c>
      <c r="H2880" s="484">
        <v>-1980.1</v>
      </c>
      <c r="I2880" t="str">
        <f t="shared" si="161"/>
        <v>abril 2026</v>
      </c>
      <c r="J2880">
        <f t="shared" si="163"/>
        <v>2026</v>
      </c>
      <c r="K2880" t="str">
        <f>VLOOKUP(G2880,METRICS!C:D,2,0)</f>
        <v>Secos - Mercearia</v>
      </c>
      <c r="L2880" t="str">
        <f>VLOOKUP(K2880,METRICS!D:E,2,0)</f>
        <v>CUSTOS DOS PRODUTOS VENDIDOS</v>
      </c>
    </row>
    <row r="2881" spans="1:12" ht="15" hidden="1">
      <c r="A2881" t="s">
        <v>2234</v>
      </c>
      <c r="B2881" t="s">
        <v>612</v>
      </c>
      <c r="D2881" t="s">
        <v>2291</v>
      </c>
      <c r="E2881" t="s">
        <v>772</v>
      </c>
      <c r="F2881" t="s">
        <v>1272</v>
      </c>
      <c r="G2881" t="s">
        <v>615</v>
      </c>
      <c r="H2881" s="484">
        <v>-730.02</v>
      </c>
      <c r="I2881" t="str">
        <f t="shared" si="161"/>
        <v>abril 2026</v>
      </c>
      <c r="J2881">
        <f t="shared" si="163"/>
        <v>2026</v>
      </c>
      <c r="K2881" t="str">
        <f>VLOOKUP(G2881,METRICS!C:D,2,0)</f>
        <v>Embalagens</v>
      </c>
      <c r="L2881" t="str">
        <f>VLOOKUP(K2881,METRICS!D:E,2,0)</f>
        <v>OPERAÇÃO</v>
      </c>
    </row>
    <row r="2882" spans="1:12" ht="15" hidden="1">
      <c r="A2882" t="s">
        <v>2234</v>
      </c>
      <c r="B2882" t="s">
        <v>689</v>
      </c>
      <c r="D2882" t="s">
        <v>2286</v>
      </c>
      <c r="E2882" t="s">
        <v>757</v>
      </c>
      <c r="F2882" t="s">
        <v>1272</v>
      </c>
      <c r="G2882" t="s">
        <v>647</v>
      </c>
      <c r="H2882" s="484">
        <v>-250</v>
      </c>
      <c r="I2882" t="str">
        <f t="shared" si="161"/>
        <v>abril 2026</v>
      </c>
      <c r="J2882">
        <f t="shared" si="163"/>
        <v>2026</v>
      </c>
      <c r="K2882" t="str">
        <f>VLOOKUP(G2882,METRICS!C:D,2,0)</f>
        <v>FGTS</v>
      </c>
      <c r="L2882" t="str">
        <f>VLOOKUP(K2882,METRICS!D:E,2,0)</f>
        <v>PESSOAL</v>
      </c>
    </row>
    <row r="2883" spans="1:12" ht="15" hidden="1">
      <c r="A2883" t="s">
        <v>2234</v>
      </c>
      <c r="B2883" t="s">
        <v>612</v>
      </c>
      <c r="D2883" t="s">
        <v>2292</v>
      </c>
      <c r="E2883" t="s">
        <v>727</v>
      </c>
      <c r="F2883" t="s">
        <v>1272</v>
      </c>
      <c r="G2883" t="s">
        <v>620</v>
      </c>
      <c r="H2883" s="484">
        <v>-4716.62</v>
      </c>
      <c r="I2883" t="str">
        <f t="shared" si="161"/>
        <v>abril 2026</v>
      </c>
      <c r="J2883">
        <f t="shared" si="163"/>
        <v>2026</v>
      </c>
      <c r="K2883" t="str">
        <f>VLOOKUP(G2883,METRICS!C:D,2,0)</f>
        <v>Hortifruti</v>
      </c>
      <c r="L2883" t="str">
        <f>VLOOKUP(K2883,METRICS!D:E,2,0)</f>
        <v>CUSTOS DOS PRODUTOS VENDIDOS</v>
      </c>
    </row>
    <row r="2884" spans="1:12" ht="15" hidden="1">
      <c r="A2884" t="s">
        <v>2234</v>
      </c>
      <c r="B2884" t="s">
        <v>689</v>
      </c>
      <c r="D2884" t="s">
        <v>2293</v>
      </c>
      <c r="E2884" t="s">
        <v>696</v>
      </c>
      <c r="F2884" t="s">
        <v>1272</v>
      </c>
      <c r="G2884" t="s">
        <v>660</v>
      </c>
      <c r="H2884" s="484">
        <v>-441.46</v>
      </c>
      <c r="I2884" t="str">
        <f t="shared" si="161"/>
        <v>abril 2026</v>
      </c>
      <c r="J2884">
        <f t="shared" si="163"/>
        <v>2026</v>
      </c>
      <c r="K2884" t="str">
        <f>VLOOKUP(G2884,METRICS!C:D,2,0)</f>
        <v>Telefone e Internet</v>
      </c>
      <c r="L2884" t="str">
        <f>VLOOKUP(K2884,METRICS!D:E,2,0)</f>
        <v>ADMINISTRATIVA</v>
      </c>
    </row>
    <row r="2885" spans="1:12" ht="15" hidden="1">
      <c r="A2885" t="s">
        <v>2234</v>
      </c>
      <c r="B2885" t="s">
        <v>612</v>
      </c>
      <c r="D2885" t="s">
        <v>2294</v>
      </c>
      <c r="E2885" t="s">
        <v>804</v>
      </c>
      <c r="F2885" t="s">
        <v>1272</v>
      </c>
      <c r="G2885" t="s">
        <v>607</v>
      </c>
      <c r="H2885" s="484">
        <v>-4062.37</v>
      </c>
      <c r="I2885" t="str">
        <f t="shared" si="161"/>
        <v>abril 2026</v>
      </c>
      <c r="J2885">
        <f t="shared" si="163"/>
        <v>2026</v>
      </c>
      <c r="K2885" t="str">
        <f>VLOOKUP(G2885,METRICS!C:D,2,0)</f>
        <v>Bebidas Alcoólicas</v>
      </c>
      <c r="L2885" t="str">
        <f>VLOOKUP(K2885,METRICS!D:E,2,0)</f>
        <v>CUSTOS DOS PRODUTOS VENDIDOS</v>
      </c>
    </row>
    <row r="2886" spans="1:12" ht="15" hidden="1">
      <c r="A2886" t="s">
        <v>2234</v>
      </c>
      <c r="B2886" t="s">
        <v>612</v>
      </c>
      <c r="D2886" t="s">
        <v>2295</v>
      </c>
      <c r="E2886" t="s">
        <v>1249</v>
      </c>
      <c r="F2886" t="s">
        <v>1272</v>
      </c>
      <c r="G2886" t="s">
        <v>413</v>
      </c>
      <c r="H2886" s="484">
        <v>-1198.5</v>
      </c>
      <c r="I2886" t="str">
        <f t="shared" si="161"/>
        <v>abril 2026</v>
      </c>
      <c r="J2886">
        <f t="shared" si="163"/>
        <v>2026</v>
      </c>
      <c r="K2886" t="str">
        <f>VLOOKUP(G2886,METRICS!C:D,2,0)</f>
        <v>Pescados</v>
      </c>
      <c r="L2886" t="str">
        <f>VLOOKUP(K2886,METRICS!D:E,2,0)</f>
        <v>CUSTOS DOS PRODUTOS VENDIDOS</v>
      </c>
    </row>
    <row r="2887" spans="1:12" ht="15" hidden="1">
      <c r="A2887" t="s">
        <v>2234</v>
      </c>
      <c r="B2887" t="s">
        <v>612</v>
      </c>
      <c r="D2887" t="s">
        <v>2296</v>
      </c>
      <c r="E2887" t="s">
        <v>748</v>
      </c>
      <c r="F2887" t="s">
        <v>1272</v>
      </c>
      <c r="G2887" t="s">
        <v>620</v>
      </c>
      <c r="H2887" s="484">
        <v>-258.67</v>
      </c>
      <c r="I2887" t="str">
        <f t="shared" si="161"/>
        <v>abril 2026</v>
      </c>
      <c r="J2887">
        <f t="shared" si="163"/>
        <v>2026</v>
      </c>
      <c r="K2887" t="str">
        <f>VLOOKUP(G2887,METRICS!C:D,2,0)</f>
        <v>Hortifruti</v>
      </c>
      <c r="L2887" t="str">
        <f>VLOOKUP(K2887,METRICS!D:E,2,0)</f>
        <v>CUSTOS DOS PRODUTOS VENDIDOS</v>
      </c>
    </row>
    <row r="2888" spans="1:12" ht="15" hidden="1">
      <c r="A2888" t="s">
        <v>2234</v>
      </c>
      <c r="B2888" t="s">
        <v>689</v>
      </c>
      <c r="D2888" t="s">
        <v>716</v>
      </c>
      <c r="E2888" t="s">
        <v>717</v>
      </c>
      <c r="F2888" t="s">
        <v>1272</v>
      </c>
      <c r="G2888" t="s">
        <v>663</v>
      </c>
      <c r="H2888" s="484">
        <v>-16112.86</v>
      </c>
      <c r="I2888" t="str">
        <f t="shared" si="161"/>
        <v>abril 2026</v>
      </c>
      <c r="J2888">
        <f t="shared" si="163"/>
        <v>2026</v>
      </c>
      <c r="K2888" t="str">
        <f>VLOOKUP(G2888,METRICS!C:D,2,0)</f>
        <v>Aluguéis</v>
      </c>
      <c r="L2888" t="str">
        <f>VLOOKUP(K2888,METRICS!D:E,2,0)</f>
        <v>OCUPAÇÃO</v>
      </c>
    </row>
    <row r="2889" spans="1:12" ht="15" hidden="1">
      <c r="A2889" t="s">
        <v>2234</v>
      </c>
      <c r="B2889" t="s">
        <v>612</v>
      </c>
      <c r="D2889" t="s">
        <v>2297</v>
      </c>
      <c r="E2889" t="s">
        <v>826</v>
      </c>
      <c r="F2889" t="s">
        <v>1272</v>
      </c>
      <c r="G2889" t="s">
        <v>633</v>
      </c>
      <c r="H2889" s="484">
        <v>-405</v>
      </c>
      <c r="I2889" t="str">
        <f t="shared" si="161"/>
        <v>abril 2026</v>
      </c>
      <c r="J2889">
        <f t="shared" si="163"/>
        <v>2026</v>
      </c>
      <c r="K2889" t="str">
        <f>VLOOKUP(G2889,METRICS!C:D,2,0)</f>
        <v>Paes, Massas e Salgados</v>
      </c>
      <c r="L2889" t="str">
        <f>VLOOKUP(K2889,METRICS!D:E,2,0)</f>
        <v>CUSTOS DOS PRODUTOS VENDIDOS</v>
      </c>
    </row>
    <row r="2890" spans="1:12" ht="15" hidden="1">
      <c r="A2890" t="s">
        <v>2235</v>
      </c>
      <c r="B2890" t="s">
        <v>689</v>
      </c>
      <c r="D2890" t="s">
        <v>1826</v>
      </c>
      <c r="E2890" t="s">
        <v>1314</v>
      </c>
      <c r="F2890" t="s">
        <v>1272</v>
      </c>
      <c r="G2890" t="s">
        <v>1315</v>
      </c>
      <c r="H2890" s="484">
        <v>-18209.810000000001</v>
      </c>
      <c r="I2890" t="str">
        <f t="shared" si="161"/>
        <v>abril 2026</v>
      </c>
      <c r="J2890">
        <f t="shared" si="163"/>
        <v>2026</v>
      </c>
      <c r="K2890" t="str">
        <f>VLOOKUP(G2890,METRICS!C:D,2,0)</f>
        <v>Água e Esgoto</v>
      </c>
      <c r="L2890" t="str">
        <f>VLOOKUP(K2890,METRICS!D:E,2,0)</f>
        <v>OPERAÇÃO</v>
      </c>
    </row>
    <row r="2891" spans="1:12" ht="15" hidden="1">
      <c r="A2891" t="s">
        <v>2236</v>
      </c>
      <c r="B2891" t="s">
        <v>612</v>
      </c>
      <c r="D2891" t="s">
        <v>2298</v>
      </c>
      <c r="E2891" t="s">
        <v>784</v>
      </c>
      <c r="F2891" t="s">
        <v>1272</v>
      </c>
      <c r="G2891" t="s">
        <v>636</v>
      </c>
      <c r="H2891" s="484">
        <v>-1790</v>
      </c>
      <c r="I2891" t="str">
        <f t="shared" si="161"/>
        <v>abril 2026</v>
      </c>
      <c r="J2891">
        <f t="shared" si="163"/>
        <v>2026</v>
      </c>
      <c r="K2891" t="str">
        <f>VLOOKUP(G2891,METRICS!C:D,2,0)</f>
        <v>Secos - Mercearia</v>
      </c>
      <c r="L2891" t="str">
        <f>VLOOKUP(K2891,METRICS!D:E,2,0)</f>
        <v>CUSTOS DOS PRODUTOS VENDIDOS</v>
      </c>
    </row>
    <row r="2892" spans="1:12" ht="15" hidden="1">
      <c r="A2892" t="s">
        <v>2236</v>
      </c>
      <c r="B2892" t="s">
        <v>612</v>
      </c>
      <c r="D2892" t="s">
        <v>2299</v>
      </c>
      <c r="E2892" t="s">
        <v>2577</v>
      </c>
      <c r="F2892" t="s">
        <v>1272</v>
      </c>
      <c r="G2892" t="s">
        <v>413</v>
      </c>
      <c r="H2892" s="484">
        <v>-1076</v>
      </c>
      <c r="I2892" t="str">
        <f t="shared" si="161"/>
        <v>abril 2026</v>
      </c>
      <c r="J2892">
        <f t="shared" si="163"/>
        <v>2026</v>
      </c>
      <c r="K2892" t="str">
        <f>VLOOKUP(G2892,METRICS!C:D,2,0)</f>
        <v>Pescados</v>
      </c>
      <c r="L2892" t="str">
        <f>VLOOKUP(K2892,METRICS!D:E,2,0)</f>
        <v>CUSTOS DOS PRODUTOS VENDIDOS</v>
      </c>
    </row>
    <row r="2893" spans="1:12" ht="15" hidden="1">
      <c r="A2893" t="s">
        <v>2237</v>
      </c>
      <c r="B2893" t="s">
        <v>689</v>
      </c>
      <c r="D2893" t="s">
        <v>758</v>
      </c>
      <c r="E2893" t="s">
        <v>759</v>
      </c>
      <c r="F2893" t="s">
        <v>1272</v>
      </c>
      <c r="G2893" t="s">
        <v>667</v>
      </c>
      <c r="H2893" s="484">
        <v>-3500</v>
      </c>
      <c r="I2893" t="str">
        <f t="shared" si="161"/>
        <v>abril 2026</v>
      </c>
      <c r="J2893">
        <f t="shared" si="163"/>
        <v>2026</v>
      </c>
      <c r="K2893" t="str">
        <f>VLOOKUP(G2893,METRICS!C:D,2,0)</f>
        <v>Consultoria ADM</v>
      </c>
      <c r="L2893" t="str">
        <f>VLOOKUP(K2893,METRICS!D:E,2,0)</f>
        <v>ADMINISTRATIVA</v>
      </c>
    </row>
    <row r="2894" spans="1:12" ht="15" hidden="1">
      <c r="A2894" t="s">
        <v>2238</v>
      </c>
      <c r="B2894" t="s">
        <v>612</v>
      </c>
      <c r="D2894" t="s">
        <v>2300</v>
      </c>
      <c r="E2894" t="s">
        <v>1012</v>
      </c>
      <c r="F2894" t="s">
        <v>1272</v>
      </c>
      <c r="G2894" t="s">
        <v>611</v>
      </c>
      <c r="H2894" s="484">
        <v>-724.99</v>
      </c>
      <c r="I2894" t="str">
        <f t="shared" si="161"/>
        <v>abril 2026</v>
      </c>
      <c r="J2894">
        <f t="shared" si="163"/>
        <v>2026</v>
      </c>
      <c r="K2894" t="str">
        <f>VLOOKUP(G2894,METRICS!C:D,2,0)</f>
        <v>Bebidas Alcoólicas</v>
      </c>
      <c r="L2894" t="str">
        <f>VLOOKUP(K2894,METRICS!D:E,2,0)</f>
        <v>CUSTOS DOS PRODUTOS VENDIDOS</v>
      </c>
    </row>
    <row r="2895" spans="1:12" ht="15" hidden="1">
      <c r="A2895" t="s">
        <v>2238</v>
      </c>
      <c r="B2895" t="s">
        <v>612</v>
      </c>
      <c r="D2895" t="s">
        <v>2301</v>
      </c>
      <c r="E2895" t="s">
        <v>824</v>
      </c>
      <c r="F2895" t="s">
        <v>1272</v>
      </c>
      <c r="G2895" t="s">
        <v>413</v>
      </c>
      <c r="H2895" s="484">
        <v>-2798</v>
      </c>
      <c r="I2895" t="str">
        <f t="shared" ref="I2895:I2952" si="164">TEXT(A2895, "mmmm aaaa")</f>
        <v>abril 2026</v>
      </c>
      <c r="J2895">
        <f t="shared" si="163"/>
        <v>2026</v>
      </c>
      <c r="K2895" t="str">
        <f>VLOOKUP(G2895,METRICS!C:D,2,0)</f>
        <v>Pescados</v>
      </c>
      <c r="L2895" t="str">
        <f>VLOOKUP(K2895,METRICS!D:E,2,0)</f>
        <v>CUSTOS DOS PRODUTOS VENDIDOS</v>
      </c>
    </row>
    <row r="2896" spans="1:12" ht="15" hidden="1">
      <c r="A2896" t="s">
        <v>2238</v>
      </c>
      <c r="B2896" t="s">
        <v>612</v>
      </c>
      <c r="D2896" t="s">
        <v>2302</v>
      </c>
      <c r="E2896" t="s">
        <v>750</v>
      </c>
      <c r="F2896" t="s">
        <v>1272</v>
      </c>
      <c r="G2896" t="s">
        <v>610</v>
      </c>
      <c r="H2896" s="484">
        <v>-2514</v>
      </c>
      <c r="I2896" t="str">
        <f t="shared" si="164"/>
        <v>abril 2026</v>
      </c>
      <c r="J2896">
        <f t="shared" si="163"/>
        <v>2026</v>
      </c>
      <c r="K2896" t="str">
        <f>VLOOKUP(G2896,METRICS!C:D,2,0)</f>
        <v>Carvão</v>
      </c>
      <c r="L2896" t="str">
        <f>VLOOKUP(K2896,METRICS!D:E,2,0)</f>
        <v>CUSTOS DOS PRODUTOS VENDIDOS</v>
      </c>
    </row>
    <row r="2897" spans="1:12" ht="15" hidden="1">
      <c r="A2897" t="s">
        <v>2238</v>
      </c>
      <c r="B2897" t="s">
        <v>689</v>
      </c>
      <c r="D2897" t="s">
        <v>2303</v>
      </c>
      <c r="E2897" t="s">
        <v>757</v>
      </c>
      <c r="F2897" t="s">
        <v>1272</v>
      </c>
      <c r="G2897" t="s">
        <v>666</v>
      </c>
      <c r="H2897" s="484">
        <v>-9.9</v>
      </c>
      <c r="I2897" t="str">
        <f t="shared" si="164"/>
        <v>abril 2026</v>
      </c>
      <c r="J2897">
        <f t="shared" si="163"/>
        <v>2026</v>
      </c>
      <c r="K2897" t="str">
        <f>VLOOKUP(G2897,METRICS!C:D,2,0)</f>
        <v>Encargos Bancarios</v>
      </c>
      <c r="L2897" t="str">
        <f>VLOOKUP(K2897,METRICS!D:E,2,0)</f>
        <v>DESPESAS FINANCEIRAS</v>
      </c>
    </row>
    <row r="2898" spans="1:12" ht="15" hidden="1">
      <c r="A2898" t="s">
        <v>2238</v>
      </c>
      <c r="B2898" t="s">
        <v>612</v>
      </c>
      <c r="D2898" t="s">
        <v>2304</v>
      </c>
      <c r="E2898" t="s">
        <v>765</v>
      </c>
      <c r="F2898" t="s">
        <v>1272</v>
      </c>
      <c r="G2898" t="s">
        <v>619</v>
      </c>
      <c r="H2898" s="484">
        <v>-509.6</v>
      </c>
      <c r="I2898" t="str">
        <f t="shared" si="164"/>
        <v>abril 2026</v>
      </c>
      <c r="J2898">
        <f t="shared" ref="J2898:J2955" si="165">YEAR(A2898)</f>
        <v>2026</v>
      </c>
      <c r="K2898" t="str">
        <f>VLOOKUP(G2898,METRICS!C:D,2,0)</f>
        <v>Gelo</v>
      </c>
      <c r="L2898" t="str">
        <f>VLOOKUP(K2898,METRICS!D:E,2,0)</f>
        <v>CUSTOS DOS PRODUTOS VENDIDOS</v>
      </c>
    </row>
    <row r="2899" spans="1:12" ht="15" hidden="1">
      <c r="A2899" t="s">
        <v>2238</v>
      </c>
      <c r="B2899" t="s">
        <v>612</v>
      </c>
      <c r="D2899" t="s">
        <v>2305</v>
      </c>
      <c r="E2899" t="s">
        <v>866</v>
      </c>
      <c r="F2899" t="s">
        <v>1272</v>
      </c>
      <c r="G2899" t="s">
        <v>627</v>
      </c>
      <c r="H2899" s="484">
        <v>-713.28</v>
      </c>
      <c r="I2899" t="str">
        <f t="shared" si="164"/>
        <v>abril 2026</v>
      </c>
      <c r="J2899">
        <f t="shared" si="165"/>
        <v>2026</v>
      </c>
      <c r="K2899" t="str">
        <f>VLOOKUP(G2899,METRICS!C:D,2,0)</f>
        <v>Manutenção e Conservação</v>
      </c>
      <c r="L2899" t="str">
        <f>VLOOKUP(K2899,METRICS!D:E,2,0)</f>
        <v>OPERAÇÃO</v>
      </c>
    </row>
    <row r="2900" spans="1:12" ht="15" hidden="1">
      <c r="A2900" t="s">
        <v>2238</v>
      </c>
      <c r="B2900" t="s">
        <v>612</v>
      </c>
      <c r="D2900" t="s">
        <v>2306</v>
      </c>
      <c r="E2900" t="s">
        <v>752</v>
      </c>
      <c r="F2900" t="s">
        <v>1272</v>
      </c>
      <c r="G2900" t="s">
        <v>609</v>
      </c>
      <c r="H2900" s="484">
        <v>-381.18</v>
      </c>
      <c r="I2900" t="str">
        <f t="shared" si="164"/>
        <v>abril 2026</v>
      </c>
      <c r="J2900">
        <f t="shared" si="165"/>
        <v>2026</v>
      </c>
      <c r="K2900" t="str">
        <f>VLOOKUP(G2900,METRICS!C:D,2,0)</f>
        <v>Carnes e Aves</v>
      </c>
      <c r="L2900" t="str">
        <f>VLOOKUP(K2900,METRICS!D:E,2,0)</f>
        <v>CUSTOS DOS PRODUTOS VENDIDOS</v>
      </c>
    </row>
    <row r="2901" spans="1:12" ht="15" hidden="1">
      <c r="A2901" t="s">
        <v>2238</v>
      </c>
      <c r="B2901" t="s">
        <v>612</v>
      </c>
      <c r="D2901" t="s">
        <v>2307</v>
      </c>
      <c r="E2901" t="s">
        <v>745</v>
      </c>
      <c r="F2901" t="s">
        <v>1272</v>
      </c>
      <c r="G2901" t="s">
        <v>620</v>
      </c>
      <c r="H2901" s="484">
        <v>-281.2</v>
      </c>
      <c r="I2901" t="str">
        <f t="shared" si="164"/>
        <v>abril 2026</v>
      </c>
      <c r="J2901">
        <f t="shared" si="165"/>
        <v>2026</v>
      </c>
      <c r="K2901" t="str">
        <f>VLOOKUP(G2901,METRICS!C:D,2,0)</f>
        <v>Hortifruti</v>
      </c>
      <c r="L2901" t="str">
        <f>VLOOKUP(K2901,METRICS!D:E,2,0)</f>
        <v>CUSTOS DOS PRODUTOS VENDIDOS</v>
      </c>
    </row>
    <row r="2902" spans="1:12" ht="15" hidden="1">
      <c r="A2902" t="s">
        <v>2238</v>
      </c>
      <c r="B2902" t="s">
        <v>612</v>
      </c>
      <c r="D2902" t="s">
        <v>2308</v>
      </c>
      <c r="E2902" t="s">
        <v>2578</v>
      </c>
      <c r="F2902" t="s">
        <v>1272</v>
      </c>
      <c r="G2902" t="s">
        <v>621</v>
      </c>
      <c r="H2902" s="484">
        <v>-3400</v>
      </c>
      <c r="I2902" t="str">
        <f t="shared" si="164"/>
        <v>abril 2026</v>
      </c>
      <c r="J2902">
        <f t="shared" si="165"/>
        <v>2026</v>
      </c>
      <c r="K2902" t="str">
        <f>VLOOKUP(G2902,METRICS!C:D,2,0)</f>
        <v>Influencer</v>
      </c>
      <c r="L2902" t="str">
        <f>VLOOKUP(K2902,METRICS!D:E,2,0)</f>
        <v>MARKETING</v>
      </c>
    </row>
    <row r="2903" spans="1:12" ht="15" hidden="1">
      <c r="A2903" t="s">
        <v>2238</v>
      </c>
      <c r="B2903" t="s">
        <v>612</v>
      </c>
      <c r="D2903" t="s">
        <v>2309</v>
      </c>
      <c r="E2903" t="s">
        <v>778</v>
      </c>
      <c r="F2903" t="s">
        <v>1272</v>
      </c>
      <c r="G2903" t="s">
        <v>640</v>
      </c>
      <c r="H2903" s="484">
        <v>-2593</v>
      </c>
      <c r="I2903" t="str">
        <f t="shared" si="164"/>
        <v>abril 2026</v>
      </c>
      <c r="J2903">
        <f t="shared" si="165"/>
        <v>2026</v>
      </c>
      <c r="K2903" t="str">
        <f>VLOOKUP(G2903,METRICS!C:D,2,0)</f>
        <v>Uniforme</v>
      </c>
      <c r="L2903" t="str">
        <f>VLOOKUP(K2903,METRICS!D:E,2,0)</f>
        <v>OPERAÇÃO</v>
      </c>
    </row>
    <row r="2904" spans="1:12" ht="15" hidden="1">
      <c r="A2904" t="s">
        <v>2238</v>
      </c>
      <c r="B2904" t="s">
        <v>689</v>
      </c>
      <c r="D2904" t="s">
        <v>2310</v>
      </c>
      <c r="E2904" t="s">
        <v>1222</v>
      </c>
      <c r="F2904" t="s">
        <v>1272</v>
      </c>
      <c r="G2904" t="s">
        <v>651</v>
      </c>
      <c r="H2904" s="484">
        <v>-3828.97</v>
      </c>
      <c r="I2904" t="str">
        <f t="shared" si="164"/>
        <v>abril 2026</v>
      </c>
      <c r="J2904">
        <f t="shared" si="165"/>
        <v>2026</v>
      </c>
      <c r="K2904" t="str">
        <f>VLOOKUP(G2904,METRICS!C:D,2,0)</f>
        <v>Assistência Médica e Social</v>
      </c>
      <c r="L2904" t="str">
        <f>VLOOKUP(K2904,METRICS!D:E,2,0)</f>
        <v>PESSOAL</v>
      </c>
    </row>
    <row r="2905" spans="1:12" ht="15" hidden="1">
      <c r="A2905" t="s">
        <v>2238</v>
      </c>
      <c r="B2905" t="s">
        <v>612</v>
      </c>
      <c r="D2905" t="s">
        <v>2311</v>
      </c>
      <c r="E2905" t="s">
        <v>936</v>
      </c>
      <c r="F2905" t="s">
        <v>1272</v>
      </c>
      <c r="G2905" t="s">
        <v>283</v>
      </c>
      <c r="H2905" s="484">
        <v>-3190</v>
      </c>
      <c r="I2905" t="str">
        <f t="shared" si="164"/>
        <v>abril 2026</v>
      </c>
      <c r="J2905">
        <f t="shared" si="165"/>
        <v>2026</v>
      </c>
      <c r="K2905" t="str">
        <f>VLOOKUP(G2905,METRICS!C:D,2,0)</f>
        <v>Hostess</v>
      </c>
      <c r="L2905" t="str">
        <f>VLOOKUP(K2905,METRICS!D:E,2,0)</f>
        <v>OPERAÇÃO</v>
      </c>
    </row>
    <row r="2906" spans="1:12" ht="15">
      <c r="A2906" t="s">
        <v>2238</v>
      </c>
      <c r="B2906" t="s">
        <v>689</v>
      </c>
      <c r="D2906" t="s">
        <v>677</v>
      </c>
      <c r="E2906" s="518" t="s">
        <v>1241</v>
      </c>
      <c r="F2906" t="s">
        <v>1272</v>
      </c>
      <c r="G2906" t="s">
        <v>606</v>
      </c>
      <c r="H2906" s="484">
        <v>-2061.37</v>
      </c>
      <c r="I2906" t="str">
        <f t="shared" si="164"/>
        <v>abril 2026</v>
      </c>
      <c r="J2906">
        <f t="shared" si="165"/>
        <v>2026</v>
      </c>
      <c r="K2906" t="str">
        <f>VLOOKUP(G2906,METRICS!C:D,2,0)</f>
        <v>Propaganda, Publicidade e Patrocínio</v>
      </c>
      <c r="L2906" t="str">
        <f>VLOOKUP(K2906,METRICS!D:E,2,0)</f>
        <v>MARKETING</v>
      </c>
    </row>
    <row r="2907" spans="1:12" ht="15" hidden="1">
      <c r="A2907" t="s">
        <v>2238</v>
      </c>
      <c r="B2907" t="s">
        <v>612</v>
      </c>
      <c r="D2907" t="s">
        <v>2312</v>
      </c>
      <c r="E2907" t="s">
        <v>770</v>
      </c>
      <c r="F2907" t="s">
        <v>1272</v>
      </c>
      <c r="G2907" t="s">
        <v>630</v>
      </c>
      <c r="H2907" s="484">
        <v>-1654.35</v>
      </c>
      <c r="I2907" t="str">
        <f t="shared" si="164"/>
        <v>abril 2026</v>
      </c>
      <c r="J2907">
        <f t="shared" si="165"/>
        <v>2026</v>
      </c>
      <c r="K2907" t="str">
        <f>VLOOKUP(G2907,METRICS!C:D,2,0)</f>
        <v>Material de Copa e Limpeza</v>
      </c>
      <c r="L2907" t="str">
        <f>VLOOKUP(K2907,METRICS!D:E,2,0)</f>
        <v>ADMINISTRATIVA</v>
      </c>
    </row>
    <row r="2908" spans="1:12" ht="15" hidden="1">
      <c r="A2908" t="s">
        <v>2238</v>
      </c>
      <c r="B2908" t="s">
        <v>612</v>
      </c>
      <c r="D2908" t="s">
        <v>2313</v>
      </c>
      <c r="E2908" t="s">
        <v>832</v>
      </c>
      <c r="F2908" t="s">
        <v>1272</v>
      </c>
      <c r="G2908" t="s">
        <v>633</v>
      </c>
      <c r="H2908" s="484">
        <v>-238.3</v>
      </c>
      <c r="I2908" t="str">
        <f t="shared" si="164"/>
        <v>abril 2026</v>
      </c>
      <c r="J2908">
        <f t="shared" si="165"/>
        <v>2026</v>
      </c>
      <c r="K2908" t="str">
        <f>VLOOKUP(G2908,METRICS!C:D,2,0)</f>
        <v>Paes, Massas e Salgados</v>
      </c>
      <c r="L2908" t="str">
        <f>VLOOKUP(K2908,METRICS!D:E,2,0)</f>
        <v>CUSTOS DOS PRODUTOS VENDIDOS</v>
      </c>
    </row>
    <row r="2909" spans="1:12" ht="15" hidden="1">
      <c r="A2909" t="s">
        <v>2238</v>
      </c>
      <c r="B2909" t="s">
        <v>612</v>
      </c>
      <c r="D2909" t="s">
        <v>2314</v>
      </c>
      <c r="E2909" t="s">
        <v>752</v>
      </c>
      <c r="F2909" t="s">
        <v>1272</v>
      </c>
      <c r="G2909" t="s">
        <v>609</v>
      </c>
      <c r="H2909" s="484">
        <v>-4333.8500000000004</v>
      </c>
      <c r="I2909" t="str">
        <f t="shared" si="164"/>
        <v>abril 2026</v>
      </c>
      <c r="J2909">
        <f t="shared" si="165"/>
        <v>2026</v>
      </c>
      <c r="K2909" t="str">
        <f>VLOOKUP(G2909,METRICS!C:D,2,0)</f>
        <v>Carnes e Aves</v>
      </c>
      <c r="L2909" t="str">
        <f>VLOOKUP(K2909,METRICS!D:E,2,0)</f>
        <v>CUSTOS DOS PRODUTOS VENDIDOS</v>
      </c>
    </row>
    <row r="2910" spans="1:12" ht="15" hidden="1">
      <c r="A2910" t="s">
        <v>2238</v>
      </c>
      <c r="B2910" t="s">
        <v>612</v>
      </c>
      <c r="D2910" t="s">
        <v>2315</v>
      </c>
      <c r="E2910" t="s">
        <v>774</v>
      </c>
      <c r="F2910" t="s">
        <v>1272</v>
      </c>
      <c r="G2910" t="s">
        <v>629</v>
      </c>
      <c r="H2910" s="484">
        <v>-1433.22</v>
      </c>
      <c r="I2910" t="str">
        <f t="shared" si="164"/>
        <v>abril 2026</v>
      </c>
      <c r="J2910">
        <f t="shared" si="165"/>
        <v>2026</v>
      </c>
      <c r="K2910" t="str">
        <f>VLOOKUP(G2910,METRICS!C:D,2,0)</f>
        <v>Material de limpeza</v>
      </c>
      <c r="L2910" t="str">
        <f>VLOOKUP(K2910,METRICS!D:E,2,0)</f>
        <v>OPERAÇÃO</v>
      </c>
    </row>
    <row r="2911" spans="1:12" ht="15" hidden="1">
      <c r="A2911" t="s">
        <v>2238</v>
      </c>
      <c r="B2911" t="s">
        <v>612</v>
      </c>
      <c r="D2911" t="s">
        <v>2316</v>
      </c>
      <c r="E2911" t="s">
        <v>727</v>
      </c>
      <c r="F2911" t="s">
        <v>1272</v>
      </c>
      <c r="G2911" t="s">
        <v>620</v>
      </c>
      <c r="H2911" s="484">
        <v>-4879.92</v>
      </c>
      <c r="I2911" t="str">
        <f t="shared" si="164"/>
        <v>abril 2026</v>
      </c>
      <c r="J2911">
        <f t="shared" si="165"/>
        <v>2026</v>
      </c>
      <c r="K2911" t="str">
        <f>VLOOKUP(G2911,METRICS!C:D,2,0)</f>
        <v>Hortifruti</v>
      </c>
      <c r="L2911" t="str">
        <f>VLOOKUP(K2911,METRICS!D:E,2,0)</f>
        <v>CUSTOS DOS PRODUTOS VENDIDOS</v>
      </c>
    </row>
    <row r="2912" spans="1:12" ht="15" hidden="1">
      <c r="A2912" t="s">
        <v>2239</v>
      </c>
      <c r="B2912" t="s">
        <v>612</v>
      </c>
      <c r="D2912" t="s">
        <v>2317</v>
      </c>
      <c r="E2912" t="s">
        <v>824</v>
      </c>
      <c r="F2912" t="s">
        <v>1272</v>
      </c>
      <c r="G2912" t="s">
        <v>413</v>
      </c>
      <c r="H2912" s="484">
        <v>-1325</v>
      </c>
      <c r="I2912" t="str">
        <f t="shared" si="164"/>
        <v>abril 2026</v>
      </c>
      <c r="J2912">
        <f t="shared" si="165"/>
        <v>2026</v>
      </c>
      <c r="K2912" t="str">
        <f>VLOOKUP(G2912,METRICS!C:D,2,0)</f>
        <v>Pescados</v>
      </c>
      <c r="L2912" t="str">
        <f>VLOOKUP(K2912,METRICS!D:E,2,0)</f>
        <v>CUSTOS DOS PRODUTOS VENDIDOS</v>
      </c>
    </row>
    <row r="2913" spans="1:13" ht="15" hidden="1">
      <c r="A2913" t="s">
        <v>2239</v>
      </c>
      <c r="B2913" t="s">
        <v>689</v>
      </c>
      <c r="D2913" t="s">
        <v>2318</v>
      </c>
      <c r="F2913" t="s">
        <v>1272</v>
      </c>
      <c r="G2913" t="s">
        <v>650</v>
      </c>
      <c r="H2913" s="484">
        <v>-182737.92000000001</v>
      </c>
      <c r="I2913" t="str">
        <f t="shared" si="164"/>
        <v>abril 2026</v>
      </c>
      <c r="J2913">
        <f t="shared" si="165"/>
        <v>2026</v>
      </c>
      <c r="K2913" t="str">
        <f>VLOOKUP(G2913,METRICS!C:D,2,0)</f>
        <v>Salários e Ordenados</v>
      </c>
      <c r="L2913" t="str">
        <f>VLOOKUP(K2913,METRICS!D:E,2,0)</f>
        <v>PESSOAL</v>
      </c>
    </row>
    <row r="2914" spans="1:13" ht="15" hidden="1">
      <c r="A2914" t="s">
        <v>2239</v>
      </c>
      <c r="B2914" t="s">
        <v>612</v>
      </c>
      <c r="D2914" t="s">
        <v>2319</v>
      </c>
      <c r="E2914" t="s">
        <v>1670</v>
      </c>
      <c r="F2914" t="s">
        <v>1272</v>
      </c>
      <c r="G2914" t="s">
        <v>2193</v>
      </c>
      <c r="H2914" s="484">
        <v>-10400</v>
      </c>
      <c r="I2914" t="str">
        <f t="shared" si="164"/>
        <v>abril 2026</v>
      </c>
      <c r="J2914">
        <f t="shared" si="165"/>
        <v>2026</v>
      </c>
      <c r="K2914" t="str">
        <f>VLOOKUP(G2914,METRICS!C:D,2,0)</f>
        <v>IMOBILIZADO</v>
      </c>
      <c r="L2914" t="str">
        <f>VLOOKUP(K2914,METRICS!D:E,2,0)</f>
        <v>IMOBILIZADO</v>
      </c>
    </row>
    <row r="2915" spans="1:13" ht="15" hidden="1">
      <c r="A2915" t="s">
        <v>2239</v>
      </c>
      <c r="B2915" t="s">
        <v>612</v>
      </c>
      <c r="D2915" t="s">
        <v>2320</v>
      </c>
      <c r="E2915" t="s">
        <v>828</v>
      </c>
      <c r="F2915" t="s">
        <v>1272</v>
      </c>
      <c r="G2915" t="s">
        <v>636</v>
      </c>
      <c r="H2915" s="484">
        <v>-903.6</v>
      </c>
      <c r="I2915" t="str">
        <f t="shared" si="164"/>
        <v>abril 2026</v>
      </c>
      <c r="J2915">
        <f t="shared" si="165"/>
        <v>2026</v>
      </c>
      <c r="K2915" t="str">
        <f>VLOOKUP(G2915,METRICS!C:D,2,0)</f>
        <v>Secos - Mercearia</v>
      </c>
      <c r="L2915" t="str">
        <f>VLOOKUP(K2915,METRICS!D:E,2,0)</f>
        <v>CUSTOS DOS PRODUTOS VENDIDOS</v>
      </c>
    </row>
    <row r="2916" spans="1:13" ht="15" hidden="1">
      <c r="A2916" t="s">
        <v>2239</v>
      </c>
      <c r="B2916" t="s">
        <v>689</v>
      </c>
      <c r="D2916" t="s">
        <v>1463</v>
      </c>
      <c r="E2916" t="s">
        <v>2579</v>
      </c>
      <c r="F2916" t="s">
        <v>1272</v>
      </c>
      <c r="G2916" t="s">
        <v>643</v>
      </c>
      <c r="H2916" s="484">
        <v>-3771.98</v>
      </c>
      <c r="I2916" t="str">
        <f t="shared" si="164"/>
        <v>abril 2026</v>
      </c>
      <c r="J2916">
        <f t="shared" si="165"/>
        <v>2026</v>
      </c>
      <c r="K2916" t="str">
        <f>VLOOKUP(G2916,METRICS!C:D,2,0)</f>
        <v>Rescisões Trabalhistas</v>
      </c>
      <c r="L2916" t="str">
        <f>VLOOKUP(K2916,METRICS!D:E,2,0)</f>
        <v>PESSOAL</v>
      </c>
    </row>
    <row r="2917" spans="1:13" ht="15" hidden="1">
      <c r="A2917" t="s">
        <v>2239</v>
      </c>
      <c r="B2917" t="s">
        <v>689</v>
      </c>
      <c r="D2917" t="s">
        <v>918</v>
      </c>
      <c r="E2917" t="s">
        <v>919</v>
      </c>
      <c r="F2917" t="s">
        <v>1272</v>
      </c>
      <c r="G2917" t="s">
        <v>657</v>
      </c>
      <c r="H2917" s="484">
        <v>-1995</v>
      </c>
      <c r="I2917" t="str">
        <f t="shared" si="164"/>
        <v>abril 2026</v>
      </c>
      <c r="J2917">
        <f t="shared" si="165"/>
        <v>2026</v>
      </c>
      <c r="K2917" t="str">
        <f>VLOOKUP(G2917,METRICS!C:D,2,0)</f>
        <v>Aluguel de Maquinas</v>
      </c>
      <c r="L2917" t="str">
        <f>VLOOKUP(K2917,METRICS!D:E,2,0)</f>
        <v>OPERAÇÃO</v>
      </c>
    </row>
    <row r="2918" spans="1:13" ht="15" hidden="1">
      <c r="A2918" t="s">
        <v>2239</v>
      </c>
      <c r="B2918" t="s">
        <v>612</v>
      </c>
      <c r="D2918" t="s">
        <v>2321</v>
      </c>
      <c r="E2918" t="s">
        <v>878</v>
      </c>
      <c r="F2918" t="s">
        <v>1272</v>
      </c>
      <c r="G2918" t="s">
        <v>609</v>
      </c>
      <c r="H2918" s="484">
        <v>-1377.6</v>
      </c>
      <c r="I2918" t="str">
        <f t="shared" si="164"/>
        <v>abril 2026</v>
      </c>
      <c r="J2918">
        <f t="shared" si="165"/>
        <v>2026</v>
      </c>
      <c r="K2918" t="str">
        <f>VLOOKUP(G2918,METRICS!C:D,2,0)</f>
        <v>Carnes e Aves</v>
      </c>
      <c r="L2918" t="str">
        <f>VLOOKUP(K2918,METRICS!D:E,2,0)</f>
        <v>CUSTOS DOS PRODUTOS VENDIDOS</v>
      </c>
    </row>
    <row r="2919" spans="1:13" ht="15" hidden="1">
      <c r="A2919" t="s">
        <v>2250</v>
      </c>
      <c r="B2919" t="s">
        <v>689</v>
      </c>
      <c r="C2919" t="s">
        <v>690</v>
      </c>
      <c r="D2919" t="s">
        <v>1228</v>
      </c>
      <c r="E2919" t="s">
        <v>789</v>
      </c>
      <c r="F2919" t="s">
        <v>1272</v>
      </c>
      <c r="G2919" t="s">
        <v>110</v>
      </c>
      <c r="H2919" s="484">
        <v>-17595.919999999998</v>
      </c>
      <c r="I2919" t="str">
        <f t="shared" si="164"/>
        <v>abril 2026</v>
      </c>
      <c r="J2919">
        <f t="shared" si="165"/>
        <v>2026</v>
      </c>
      <c r="K2919" t="str">
        <f>VLOOKUP(G2919,METRICS!C:D,2,0)</f>
        <v>FGTS</v>
      </c>
      <c r="L2919" t="str">
        <f>VLOOKUP(K2919,METRICS!D:E,2,0)</f>
        <v>PESSOAL</v>
      </c>
      <c r="M2919" s="518"/>
    </row>
    <row r="2920" spans="1:13" ht="15" hidden="1">
      <c r="A2920" t="s">
        <v>2239</v>
      </c>
      <c r="B2920" t="s">
        <v>612</v>
      </c>
      <c r="D2920" t="s">
        <v>2322</v>
      </c>
      <c r="E2920" t="s">
        <v>878</v>
      </c>
      <c r="F2920" t="s">
        <v>1272</v>
      </c>
      <c r="G2920" t="s">
        <v>609</v>
      </c>
      <c r="H2920" s="484">
        <v>-7253.98</v>
      </c>
      <c r="I2920" t="str">
        <f t="shared" si="164"/>
        <v>abril 2026</v>
      </c>
      <c r="J2920">
        <f t="shared" si="165"/>
        <v>2026</v>
      </c>
      <c r="K2920" t="str">
        <f>VLOOKUP(G2920,METRICS!C:D,2,0)</f>
        <v>Carnes e Aves</v>
      </c>
      <c r="L2920" t="str">
        <f>VLOOKUP(K2920,METRICS!D:E,2,0)</f>
        <v>CUSTOS DOS PRODUTOS VENDIDOS</v>
      </c>
    </row>
    <row r="2921" spans="1:13" ht="15" hidden="1">
      <c r="A2921" t="s">
        <v>2239</v>
      </c>
      <c r="B2921" t="s">
        <v>612</v>
      </c>
      <c r="D2921" t="s">
        <v>2323</v>
      </c>
      <c r="E2921" t="s">
        <v>765</v>
      </c>
      <c r="F2921" t="s">
        <v>1272</v>
      </c>
      <c r="G2921" t="s">
        <v>619</v>
      </c>
      <c r="H2921" s="484">
        <v>-509.6</v>
      </c>
      <c r="I2921" t="str">
        <f t="shared" si="164"/>
        <v>abril 2026</v>
      </c>
      <c r="J2921">
        <f t="shared" si="165"/>
        <v>2026</v>
      </c>
      <c r="K2921" t="str">
        <f>VLOOKUP(G2921,METRICS!C:D,2,0)</f>
        <v>Gelo</v>
      </c>
      <c r="L2921" t="str">
        <f>VLOOKUP(K2921,METRICS!D:E,2,0)</f>
        <v>CUSTOS DOS PRODUTOS VENDIDOS</v>
      </c>
    </row>
    <row r="2922" spans="1:13" ht="15" hidden="1">
      <c r="A2922" t="s">
        <v>2239</v>
      </c>
      <c r="B2922" t="s">
        <v>612</v>
      </c>
      <c r="D2922" t="s">
        <v>2324</v>
      </c>
      <c r="E2922" t="s">
        <v>2580</v>
      </c>
      <c r="F2922" t="s">
        <v>1272</v>
      </c>
      <c r="G2922" t="s">
        <v>626</v>
      </c>
      <c r="H2922" s="484">
        <v>-800</v>
      </c>
      <c r="I2922" t="str">
        <f t="shared" si="164"/>
        <v>abril 2026</v>
      </c>
      <c r="J2922">
        <f t="shared" si="165"/>
        <v>2026</v>
      </c>
      <c r="K2922" t="str">
        <f>VLOOKUP(G2922,METRICS!C:D,2,0)</f>
        <v>Manutenção e Conservação</v>
      </c>
      <c r="L2922" t="str">
        <f>VLOOKUP(K2922,METRICS!D:E,2,0)</f>
        <v>OPERAÇÃO</v>
      </c>
    </row>
    <row r="2923" spans="1:13" ht="15" hidden="1">
      <c r="A2923" t="s">
        <v>2239</v>
      </c>
      <c r="B2923" t="s">
        <v>689</v>
      </c>
      <c r="D2923" t="s">
        <v>2325</v>
      </c>
      <c r="E2923" t="s">
        <v>789</v>
      </c>
      <c r="F2923" t="s">
        <v>1272</v>
      </c>
      <c r="G2923" t="s">
        <v>647</v>
      </c>
      <c r="H2923" s="484">
        <v>-1235.6500000000001</v>
      </c>
      <c r="I2923" t="str">
        <f t="shared" si="164"/>
        <v>abril 2026</v>
      </c>
      <c r="J2923">
        <f t="shared" si="165"/>
        <v>2026</v>
      </c>
      <c r="K2923" t="str">
        <f>VLOOKUP(G2923,METRICS!C:D,2,0)</f>
        <v>FGTS</v>
      </c>
      <c r="L2923" t="str">
        <f>VLOOKUP(K2923,METRICS!D:E,2,0)</f>
        <v>PESSOAL</v>
      </c>
    </row>
    <row r="2924" spans="1:13" ht="15" hidden="1">
      <c r="A2924" t="s">
        <v>2239</v>
      </c>
      <c r="B2924" t="s">
        <v>689</v>
      </c>
      <c r="D2924" t="s">
        <v>1463</v>
      </c>
      <c r="E2924" t="s">
        <v>2581</v>
      </c>
      <c r="F2924" t="s">
        <v>1272</v>
      </c>
      <c r="G2924" t="s">
        <v>643</v>
      </c>
      <c r="H2924" s="484">
        <v>-3308.28</v>
      </c>
      <c r="I2924" t="str">
        <f t="shared" si="164"/>
        <v>abril 2026</v>
      </c>
      <c r="J2924">
        <f t="shared" si="165"/>
        <v>2026</v>
      </c>
      <c r="K2924" t="str">
        <f>VLOOKUP(G2924,METRICS!C:D,2,0)</f>
        <v>Rescisões Trabalhistas</v>
      </c>
      <c r="L2924" t="str">
        <f>VLOOKUP(K2924,METRICS!D:E,2,0)</f>
        <v>PESSOAL</v>
      </c>
    </row>
    <row r="2925" spans="1:13" ht="15" hidden="1">
      <c r="A2925" t="s">
        <v>2239</v>
      </c>
      <c r="B2925" t="s">
        <v>612</v>
      </c>
      <c r="D2925" t="s">
        <v>2326</v>
      </c>
      <c r="E2925" t="s">
        <v>731</v>
      </c>
      <c r="F2925" t="s">
        <v>1272</v>
      </c>
      <c r="G2925" t="s">
        <v>637</v>
      </c>
      <c r="H2925" s="484">
        <v>-2097.46</v>
      </c>
      <c r="I2925" t="str">
        <f t="shared" si="164"/>
        <v>abril 2026</v>
      </c>
      <c r="J2925">
        <f t="shared" si="165"/>
        <v>2026</v>
      </c>
      <c r="K2925" t="str">
        <f>VLOOKUP(G2925,METRICS!C:D,2,0)</f>
        <v>Prestação de Servço Informatica</v>
      </c>
      <c r="L2925" t="str">
        <f>VLOOKUP(K2925,METRICS!D:E,2,0)</f>
        <v>ADMINISTRATIVA</v>
      </c>
    </row>
    <row r="2926" spans="1:13" ht="15" hidden="1">
      <c r="A2926" t="s">
        <v>2239</v>
      </c>
      <c r="B2926" t="s">
        <v>689</v>
      </c>
      <c r="D2926" t="s">
        <v>1652</v>
      </c>
      <c r="F2926" t="s">
        <v>1272</v>
      </c>
      <c r="G2926" t="s">
        <v>542</v>
      </c>
      <c r="H2926" s="484">
        <v>-2493.6799999999998</v>
      </c>
      <c r="I2926" t="str">
        <f t="shared" si="164"/>
        <v>abril 2026</v>
      </c>
      <c r="J2926">
        <f t="shared" si="165"/>
        <v>2026</v>
      </c>
      <c r="K2926" t="str">
        <f>VLOOKUP(G2926,METRICS!C:D,2,0)</f>
        <v>Vale Transporte</v>
      </c>
      <c r="L2926" t="str">
        <f>VLOOKUP(K2926,METRICS!D:E,2,0)</f>
        <v>PESSOAL</v>
      </c>
    </row>
    <row r="2927" spans="1:13" ht="15" hidden="1">
      <c r="A2927" t="s">
        <v>2239</v>
      </c>
      <c r="B2927" t="s">
        <v>689</v>
      </c>
      <c r="D2927" t="s">
        <v>756</v>
      </c>
      <c r="E2927" t="s">
        <v>757</v>
      </c>
      <c r="F2927" t="s">
        <v>1272</v>
      </c>
      <c r="G2927" t="s">
        <v>666</v>
      </c>
      <c r="H2927" s="484">
        <v>-89.1</v>
      </c>
      <c r="I2927" t="str">
        <f t="shared" si="164"/>
        <v>abril 2026</v>
      </c>
      <c r="J2927">
        <f t="shared" si="165"/>
        <v>2026</v>
      </c>
      <c r="K2927" t="str">
        <f>VLOOKUP(G2927,METRICS!C:D,2,0)</f>
        <v>Encargos Bancarios</v>
      </c>
      <c r="L2927" t="str">
        <f>VLOOKUP(K2927,METRICS!D:E,2,0)</f>
        <v>DESPESAS FINANCEIRAS</v>
      </c>
    </row>
    <row r="2928" spans="1:13" ht="15" hidden="1">
      <c r="A2928" t="s">
        <v>2239</v>
      </c>
      <c r="B2928" t="s">
        <v>689</v>
      </c>
      <c r="D2928" t="s">
        <v>2327</v>
      </c>
      <c r="E2928" t="s">
        <v>1694</v>
      </c>
      <c r="F2928" t="s">
        <v>1272</v>
      </c>
      <c r="G2928" t="s">
        <v>626</v>
      </c>
      <c r="H2928" s="484">
        <v>-1300</v>
      </c>
      <c r="I2928" t="str">
        <f t="shared" si="164"/>
        <v>abril 2026</v>
      </c>
      <c r="J2928">
        <f t="shared" si="165"/>
        <v>2026</v>
      </c>
      <c r="K2928" t="str">
        <f>VLOOKUP(G2928,METRICS!C:D,2,0)</f>
        <v>Manutenção e Conservação</v>
      </c>
      <c r="L2928" t="str">
        <f>VLOOKUP(K2928,METRICS!D:E,2,0)</f>
        <v>OPERAÇÃO</v>
      </c>
    </row>
    <row r="2929" spans="1:12" ht="15" hidden="1">
      <c r="A2929" t="s">
        <v>2239</v>
      </c>
      <c r="B2929" t="s">
        <v>612</v>
      </c>
      <c r="D2929" t="s">
        <v>2328</v>
      </c>
      <c r="E2929" t="s">
        <v>811</v>
      </c>
      <c r="F2929" t="s">
        <v>1272</v>
      </c>
      <c r="G2929" t="s">
        <v>636</v>
      </c>
      <c r="H2929" s="484">
        <v>-2031.5</v>
      </c>
      <c r="I2929" t="str">
        <f t="shared" si="164"/>
        <v>abril 2026</v>
      </c>
      <c r="J2929">
        <f t="shared" si="165"/>
        <v>2026</v>
      </c>
      <c r="K2929" t="str">
        <f>VLOOKUP(G2929,METRICS!C:D,2,0)</f>
        <v>Secos - Mercearia</v>
      </c>
      <c r="L2929" t="str">
        <f>VLOOKUP(K2929,METRICS!D:E,2,0)</f>
        <v>CUSTOS DOS PRODUTOS VENDIDOS</v>
      </c>
    </row>
    <row r="2930" spans="1:12" ht="15" hidden="1">
      <c r="A2930" t="s">
        <v>2239</v>
      </c>
      <c r="B2930" t="s">
        <v>689</v>
      </c>
      <c r="D2930" t="s">
        <v>2329</v>
      </c>
      <c r="E2930" t="s">
        <v>2582</v>
      </c>
      <c r="F2930" t="s">
        <v>1272</v>
      </c>
      <c r="G2930" t="s">
        <v>625</v>
      </c>
      <c r="H2930" s="484">
        <v>-959</v>
      </c>
      <c r="I2930" t="str">
        <f t="shared" si="164"/>
        <v>abril 2026</v>
      </c>
      <c r="J2930">
        <f t="shared" si="165"/>
        <v>2026</v>
      </c>
      <c r="K2930" t="str">
        <f>VLOOKUP(G2930,METRICS!C:D,2,0)</f>
        <v>Manutenção e Conservação</v>
      </c>
      <c r="L2930" t="str">
        <f>VLOOKUP(K2930,METRICS!D:E,2,0)</f>
        <v>OPERAÇÃO</v>
      </c>
    </row>
    <row r="2931" spans="1:12" ht="15" hidden="1">
      <c r="A2931" t="s">
        <v>2240</v>
      </c>
      <c r="B2931" t="s">
        <v>689</v>
      </c>
      <c r="D2931" t="s">
        <v>2125</v>
      </c>
      <c r="E2931" t="s">
        <v>1049</v>
      </c>
      <c r="F2931" t="s">
        <v>1272</v>
      </c>
      <c r="G2931" t="s">
        <v>674</v>
      </c>
      <c r="H2931" s="484">
        <v>-32477.45</v>
      </c>
      <c r="I2931" t="str">
        <f t="shared" si="164"/>
        <v>abril 2026</v>
      </c>
      <c r="J2931">
        <f t="shared" si="165"/>
        <v>2026</v>
      </c>
      <c r="K2931" t="str">
        <f>VLOOKUP(G2931,METRICS!C:D,2,0)</f>
        <v>Energia Elétrica</v>
      </c>
      <c r="L2931" t="str">
        <f>VLOOKUP(K2931,METRICS!D:E,2,0)</f>
        <v>OPERAÇÃO</v>
      </c>
    </row>
    <row r="2932" spans="1:12" ht="15" hidden="1">
      <c r="A2932" t="s">
        <v>2240</v>
      </c>
      <c r="B2932" t="s">
        <v>689</v>
      </c>
      <c r="D2932" t="s">
        <v>2330</v>
      </c>
      <c r="E2932" t="s">
        <v>862</v>
      </c>
      <c r="F2932" t="s">
        <v>1272</v>
      </c>
      <c r="G2932" t="s">
        <v>624</v>
      </c>
      <c r="H2932" s="484">
        <v>-1000</v>
      </c>
      <c r="I2932" t="str">
        <f t="shared" si="164"/>
        <v>abril 2026</v>
      </c>
      <c r="J2932">
        <f t="shared" si="165"/>
        <v>2026</v>
      </c>
      <c r="K2932" t="str">
        <f>VLOOKUP(G2932,METRICS!C:D,2,0)</f>
        <v>Manutenção e Conservação</v>
      </c>
      <c r="L2932" t="str">
        <f>VLOOKUP(K2932,METRICS!D:E,2,0)</f>
        <v>OPERAÇÃO</v>
      </c>
    </row>
    <row r="2933" spans="1:12" ht="15" hidden="1">
      <c r="A2933" t="s">
        <v>2240</v>
      </c>
      <c r="B2933" t="s">
        <v>689</v>
      </c>
      <c r="D2933" t="s">
        <v>756</v>
      </c>
      <c r="E2933" t="s">
        <v>757</v>
      </c>
      <c r="F2933" t="s">
        <v>1272</v>
      </c>
      <c r="G2933" t="s">
        <v>666</v>
      </c>
      <c r="H2933" s="484">
        <v>-29.7</v>
      </c>
      <c r="I2933" t="str">
        <f t="shared" si="164"/>
        <v>abril 2026</v>
      </c>
      <c r="J2933">
        <f t="shared" si="165"/>
        <v>2026</v>
      </c>
      <c r="K2933" t="str">
        <f>VLOOKUP(G2933,METRICS!C:D,2,0)</f>
        <v>Encargos Bancarios</v>
      </c>
      <c r="L2933" t="str">
        <f>VLOOKUP(K2933,METRICS!D:E,2,0)</f>
        <v>DESPESAS FINANCEIRAS</v>
      </c>
    </row>
    <row r="2934" spans="1:12" ht="15" hidden="1">
      <c r="A2934" t="s">
        <v>2240</v>
      </c>
      <c r="B2934" t="s">
        <v>612</v>
      </c>
      <c r="D2934" t="s">
        <v>2331</v>
      </c>
      <c r="E2934" t="s">
        <v>951</v>
      </c>
      <c r="F2934" t="s">
        <v>1272</v>
      </c>
      <c r="G2934" t="s">
        <v>609</v>
      </c>
      <c r="H2934" s="484">
        <v>-3584.25</v>
      </c>
      <c r="I2934" t="str">
        <f t="shared" si="164"/>
        <v>abril 2026</v>
      </c>
      <c r="J2934">
        <f t="shared" si="165"/>
        <v>2026</v>
      </c>
      <c r="K2934" t="str">
        <f>VLOOKUP(G2934,METRICS!C:D,2,0)</f>
        <v>Carnes e Aves</v>
      </c>
      <c r="L2934" t="str">
        <f>VLOOKUP(K2934,METRICS!D:E,2,0)</f>
        <v>CUSTOS DOS PRODUTOS VENDIDOS</v>
      </c>
    </row>
    <row r="2935" spans="1:12" ht="15" hidden="1">
      <c r="A2935" t="s">
        <v>2240</v>
      </c>
      <c r="B2935" t="s">
        <v>689</v>
      </c>
      <c r="D2935" t="s">
        <v>1396</v>
      </c>
      <c r="E2935" t="s">
        <v>1222</v>
      </c>
      <c r="F2935" t="s">
        <v>1272</v>
      </c>
      <c r="G2935" t="s">
        <v>1329</v>
      </c>
      <c r="H2935" s="484">
        <v>-773.46</v>
      </c>
      <c r="I2935" t="str">
        <f t="shared" si="164"/>
        <v>abril 2026</v>
      </c>
      <c r="J2935">
        <f t="shared" si="165"/>
        <v>2026</v>
      </c>
      <c r="K2935" t="str">
        <f>VLOOKUP(G2935,METRICS!C:D,2,0)</f>
        <v>Seguro de Vida</v>
      </c>
      <c r="L2935" t="str">
        <f>VLOOKUP(K2935,METRICS!D:E,2,0)</f>
        <v>PESSOAL</v>
      </c>
    </row>
    <row r="2936" spans="1:12" ht="15" hidden="1">
      <c r="A2936" t="s">
        <v>2240</v>
      </c>
      <c r="B2936" t="s">
        <v>612</v>
      </c>
      <c r="D2936" t="s">
        <v>2332</v>
      </c>
      <c r="E2936" t="s">
        <v>1712</v>
      </c>
      <c r="F2936" t="s">
        <v>1272</v>
      </c>
      <c r="G2936" t="s">
        <v>641</v>
      </c>
      <c r="H2936" s="484">
        <v>-12670.82</v>
      </c>
      <c r="I2936" t="str">
        <f t="shared" si="164"/>
        <v>abril 2026</v>
      </c>
      <c r="J2936">
        <f t="shared" si="165"/>
        <v>2026</v>
      </c>
      <c r="K2936" t="str">
        <f>VLOOKUP(G2936,METRICS!C:D,2,0)</f>
        <v>Vinhos/Espumantes</v>
      </c>
      <c r="L2936" t="str">
        <f>VLOOKUP(K2936,METRICS!D:E,2,0)</f>
        <v>CUSTOS DOS PRODUTOS VENDIDOS</v>
      </c>
    </row>
    <row r="2937" spans="1:12" ht="15" hidden="1">
      <c r="A2937" t="s">
        <v>2240</v>
      </c>
      <c r="B2937" t="s">
        <v>689</v>
      </c>
      <c r="D2937" t="s">
        <v>638</v>
      </c>
      <c r="E2937" t="s">
        <v>721</v>
      </c>
      <c r="F2937" t="s">
        <v>1272</v>
      </c>
      <c r="G2937" s="518" t="s">
        <v>1736</v>
      </c>
      <c r="H2937" s="484">
        <v>-817.78</v>
      </c>
      <c r="I2937" t="str">
        <f t="shared" si="164"/>
        <v>abril 2026</v>
      </c>
      <c r="J2937">
        <f t="shared" si="165"/>
        <v>2026</v>
      </c>
      <c r="K2937" t="str">
        <f>VLOOKUP(G2937,METRICS!C:D,2,0)</f>
        <v>Sistema e Software OP</v>
      </c>
      <c r="L2937" t="str">
        <f>VLOOKUP(K2937,METRICS!D:E,2,0)</f>
        <v>OPERAÇÃO</v>
      </c>
    </row>
    <row r="2938" spans="1:12" ht="15" hidden="1">
      <c r="A2938" t="s">
        <v>2240</v>
      </c>
      <c r="B2938" t="s">
        <v>612</v>
      </c>
      <c r="D2938" t="s">
        <v>2333</v>
      </c>
      <c r="E2938" t="s">
        <v>802</v>
      </c>
      <c r="F2938" t="s">
        <v>1272</v>
      </c>
      <c r="G2938" t="s">
        <v>633</v>
      </c>
      <c r="H2938" s="484">
        <v>-576</v>
      </c>
      <c r="I2938" t="str">
        <f t="shared" si="164"/>
        <v>abril 2026</v>
      </c>
      <c r="J2938">
        <f t="shared" si="165"/>
        <v>2026</v>
      </c>
      <c r="K2938" t="str">
        <f>VLOOKUP(G2938,METRICS!C:D,2,0)</f>
        <v>Paes, Massas e Salgados</v>
      </c>
      <c r="L2938" t="str">
        <f>VLOOKUP(K2938,METRICS!D:E,2,0)</f>
        <v>CUSTOS DOS PRODUTOS VENDIDOS</v>
      </c>
    </row>
    <row r="2939" spans="1:12" ht="15" hidden="1">
      <c r="A2939" t="s">
        <v>2240</v>
      </c>
      <c r="B2939" t="s">
        <v>612</v>
      </c>
      <c r="D2939" t="s">
        <v>2334</v>
      </c>
      <c r="E2939" t="s">
        <v>979</v>
      </c>
      <c r="F2939" t="s">
        <v>1272</v>
      </c>
      <c r="G2939" t="s">
        <v>641</v>
      </c>
      <c r="H2939" s="484">
        <v>-3864.84</v>
      </c>
      <c r="I2939" t="str">
        <f t="shared" si="164"/>
        <v>abril 2026</v>
      </c>
      <c r="J2939">
        <f t="shared" si="165"/>
        <v>2026</v>
      </c>
      <c r="K2939" t="str">
        <f>VLOOKUP(G2939,METRICS!C:D,2,0)</f>
        <v>Vinhos/Espumantes</v>
      </c>
      <c r="L2939" t="str">
        <f>VLOOKUP(K2939,METRICS!D:E,2,0)</f>
        <v>CUSTOS DOS PRODUTOS VENDIDOS</v>
      </c>
    </row>
    <row r="2940" spans="1:12" ht="15" hidden="1">
      <c r="A2940" t="s">
        <v>2241</v>
      </c>
      <c r="B2940" t="s">
        <v>612</v>
      </c>
      <c r="D2940" t="s">
        <v>2335</v>
      </c>
      <c r="E2940" t="s">
        <v>820</v>
      </c>
      <c r="F2940" t="s">
        <v>1272</v>
      </c>
      <c r="G2940" t="s">
        <v>611</v>
      </c>
      <c r="H2940" s="484">
        <v>-4440.92</v>
      </c>
      <c r="I2940" t="str">
        <f t="shared" si="164"/>
        <v>abril 2026</v>
      </c>
      <c r="J2940">
        <f t="shared" si="165"/>
        <v>2026</v>
      </c>
      <c r="K2940" t="str">
        <f>VLOOKUP(G2940,METRICS!C:D,2,0)</f>
        <v>Bebidas Alcoólicas</v>
      </c>
      <c r="L2940" t="str">
        <f>VLOOKUP(K2940,METRICS!D:E,2,0)</f>
        <v>CUSTOS DOS PRODUTOS VENDIDOS</v>
      </c>
    </row>
    <row r="2941" spans="1:12" ht="15" hidden="1">
      <c r="A2941" t="s">
        <v>2241</v>
      </c>
      <c r="B2941" t="s">
        <v>612</v>
      </c>
      <c r="D2941" t="s">
        <v>2336</v>
      </c>
      <c r="E2941" t="s">
        <v>1039</v>
      </c>
      <c r="F2941" t="s">
        <v>1272</v>
      </c>
      <c r="G2941" t="s">
        <v>623</v>
      </c>
      <c r="H2941" s="484">
        <v>-159.97999999999999</v>
      </c>
      <c r="I2941" t="str">
        <f t="shared" si="164"/>
        <v>abril 2026</v>
      </c>
      <c r="J2941">
        <f t="shared" si="165"/>
        <v>2026</v>
      </c>
      <c r="K2941" t="str">
        <f>VLOOKUP(G2941,METRICS!C:D,2,0)</f>
        <v>Secos - Mercearia</v>
      </c>
      <c r="L2941" t="str">
        <f>VLOOKUP(K2941,METRICS!D:E,2,0)</f>
        <v>CUSTOS DOS PRODUTOS VENDIDOS</v>
      </c>
    </row>
    <row r="2942" spans="1:12" ht="15" hidden="1">
      <c r="A2942" t="s">
        <v>2241</v>
      </c>
      <c r="B2942" t="s">
        <v>689</v>
      </c>
      <c r="D2942" t="s">
        <v>756</v>
      </c>
      <c r="E2942" t="s">
        <v>757</v>
      </c>
      <c r="F2942" t="s">
        <v>1272</v>
      </c>
      <c r="G2942" t="s">
        <v>666</v>
      </c>
      <c r="H2942" s="484">
        <v>-24.85</v>
      </c>
      <c r="I2942" t="str">
        <f t="shared" si="164"/>
        <v>abril 2026</v>
      </c>
      <c r="J2942">
        <f t="shared" si="165"/>
        <v>2026</v>
      </c>
      <c r="K2942" t="str">
        <f>VLOOKUP(G2942,METRICS!C:D,2,0)</f>
        <v>Encargos Bancarios</v>
      </c>
      <c r="L2942" t="str">
        <f>VLOOKUP(K2942,METRICS!D:E,2,0)</f>
        <v>DESPESAS FINANCEIRAS</v>
      </c>
    </row>
    <row r="2943" spans="1:12" ht="15" hidden="1">
      <c r="A2943" t="s">
        <v>2241</v>
      </c>
      <c r="B2943" t="s">
        <v>612</v>
      </c>
      <c r="D2943" t="s">
        <v>2337</v>
      </c>
      <c r="E2943" t="s">
        <v>972</v>
      </c>
      <c r="F2943" t="s">
        <v>1272</v>
      </c>
      <c r="G2943" t="s">
        <v>1318</v>
      </c>
      <c r="H2943" s="484">
        <v>-222.84</v>
      </c>
      <c r="I2943" t="str">
        <f t="shared" si="164"/>
        <v>abril 2026</v>
      </c>
      <c r="J2943">
        <f t="shared" si="165"/>
        <v>2026</v>
      </c>
      <c r="K2943" t="str">
        <f>VLOOKUP(G2943,METRICS!C:D,2,0)</f>
        <v>Despesas com Segurança</v>
      </c>
      <c r="L2943" t="str">
        <f>VLOOKUP(K2943,METRICS!D:E,2,0)</f>
        <v>OPERAÇÃO</v>
      </c>
    </row>
    <row r="2944" spans="1:12" ht="15" hidden="1">
      <c r="A2944" t="s">
        <v>2241</v>
      </c>
      <c r="B2944" t="s">
        <v>689</v>
      </c>
      <c r="D2944" t="s">
        <v>2338</v>
      </c>
      <c r="E2944" t="s">
        <v>2583</v>
      </c>
      <c r="F2944" t="s">
        <v>1272</v>
      </c>
      <c r="G2944" t="s">
        <v>605</v>
      </c>
      <c r="H2944" s="484">
        <v>-1308</v>
      </c>
      <c r="I2944" t="str">
        <f t="shared" si="164"/>
        <v>abril 2026</v>
      </c>
      <c r="J2944">
        <f t="shared" si="165"/>
        <v>2026</v>
      </c>
      <c r="K2944" t="str">
        <f>VLOOKUP(G2944,METRICS!C:D,2,0)</f>
        <v>Beneficios</v>
      </c>
      <c r="L2944" t="str">
        <f>VLOOKUP(K2944,METRICS!D:E,2,0)</f>
        <v>PESSOAL</v>
      </c>
    </row>
    <row r="2945" spans="1:12" ht="15" hidden="1">
      <c r="A2945" t="s">
        <v>2241</v>
      </c>
      <c r="B2945" t="s">
        <v>612</v>
      </c>
      <c r="D2945" t="s">
        <v>2339</v>
      </c>
      <c r="E2945" t="s">
        <v>830</v>
      </c>
      <c r="F2945" t="s">
        <v>1272</v>
      </c>
      <c r="G2945" t="s">
        <v>623</v>
      </c>
      <c r="H2945" s="484">
        <v>-407</v>
      </c>
      <c r="I2945" t="str">
        <f t="shared" si="164"/>
        <v>abril 2026</v>
      </c>
      <c r="J2945">
        <f t="shared" si="165"/>
        <v>2026</v>
      </c>
      <c r="K2945" t="str">
        <f>VLOOKUP(G2945,METRICS!C:D,2,0)</f>
        <v>Secos - Mercearia</v>
      </c>
      <c r="L2945" t="str">
        <f>VLOOKUP(K2945,METRICS!D:E,2,0)</f>
        <v>CUSTOS DOS PRODUTOS VENDIDOS</v>
      </c>
    </row>
    <row r="2946" spans="1:12" ht="15" hidden="1">
      <c r="A2946" t="s">
        <v>2241</v>
      </c>
      <c r="B2946" t="s">
        <v>612</v>
      </c>
      <c r="D2946" t="s">
        <v>2340</v>
      </c>
      <c r="E2946" t="s">
        <v>774</v>
      </c>
      <c r="F2946" t="s">
        <v>1272</v>
      </c>
      <c r="G2946" t="s">
        <v>629</v>
      </c>
      <c r="H2946" s="484">
        <v>-776.94</v>
      </c>
      <c r="I2946" t="str">
        <f t="shared" si="164"/>
        <v>abril 2026</v>
      </c>
      <c r="J2946">
        <f t="shared" si="165"/>
        <v>2026</v>
      </c>
      <c r="K2946" t="str">
        <f>VLOOKUP(G2946,METRICS!C:D,2,0)</f>
        <v>Material de limpeza</v>
      </c>
      <c r="L2946" t="str">
        <f>VLOOKUP(K2946,METRICS!D:E,2,0)</f>
        <v>OPERAÇÃO</v>
      </c>
    </row>
    <row r="2947" spans="1:12" ht="15" hidden="1">
      <c r="A2947" t="s">
        <v>2241</v>
      </c>
      <c r="B2947" t="s">
        <v>612</v>
      </c>
      <c r="D2947" t="s">
        <v>2341</v>
      </c>
      <c r="E2947" t="s">
        <v>770</v>
      </c>
      <c r="F2947" t="s">
        <v>1272</v>
      </c>
      <c r="G2947" t="s">
        <v>630</v>
      </c>
      <c r="H2947" s="484">
        <v>-1400.51</v>
      </c>
      <c r="I2947" t="str">
        <f t="shared" si="164"/>
        <v>abril 2026</v>
      </c>
      <c r="J2947">
        <f t="shared" si="165"/>
        <v>2026</v>
      </c>
      <c r="K2947" t="str">
        <f>VLOOKUP(G2947,METRICS!C:D,2,0)</f>
        <v>Material de Copa e Limpeza</v>
      </c>
      <c r="L2947" t="str">
        <f>VLOOKUP(K2947,METRICS!D:E,2,0)</f>
        <v>ADMINISTRATIVA</v>
      </c>
    </row>
    <row r="2948" spans="1:12" ht="15" hidden="1">
      <c r="A2948" t="s">
        <v>2241</v>
      </c>
      <c r="B2948" t="s">
        <v>612</v>
      </c>
      <c r="D2948" t="s">
        <v>2342</v>
      </c>
      <c r="E2948" t="s">
        <v>866</v>
      </c>
      <c r="F2948" t="s">
        <v>1272</v>
      </c>
      <c r="G2948" t="s">
        <v>627</v>
      </c>
      <c r="H2948" s="484">
        <v>-1765.14</v>
      </c>
      <c r="I2948" t="str">
        <f t="shared" si="164"/>
        <v>abril 2026</v>
      </c>
      <c r="J2948">
        <f t="shared" si="165"/>
        <v>2026</v>
      </c>
      <c r="K2948" t="str">
        <f>VLOOKUP(G2948,METRICS!C:D,2,0)</f>
        <v>Manutenção e Conservação</v>
      </c>
      <c r="L2948" t="str">
        <f>VLOOKUP(K2948,METRICS!D:E,2,0)</f>
        <v>OPERAÇÃO</v>
      </c>
    </row>
    <row r="2949" spans="1:12" ht="15" hidden="1">
      <c r="A2949" t="s">
        <v>2241</v>
      </c>
      <c r="B2949" t="s">
        <v>689</v>
      </c>
      <c r="D2949" t="s">
        <v>1938</v>
      </c>
      <c r="E2949" t="s">
        <v>694</v>
      </c>
      <c r="F2949" t="s">
        <v>1272</v>
      </c>
      <c r="G2949" t="s">
        <v>657</v>
      </c>
      <c r="H2949" s="484">
        <v>-5338.71</v>
      </c>
      <c r="I2949" t="str">
        <f t="shared" si="164"/>
        <v>abril 2026</v>
      </c>
      <c r="J2949">
        <f t="shared" si="165"/>
        <v>2026</v>
      </c>
      <c r="K2949" t="str">
        <f>VLOOKUP(G2949,METRICS!C:D,2,0)</f>
        <v>Aluguel de Maquinas</v>
      </c>
      <c r="L2949" t="str">
        <f>VLOOKUP(K2949,METRICS!D:E,2,0)</f>
        <v>OPERAÇÃO</v>
      </c>
    </row>
    <row r="2950" spans="1:12" ht="15" hidden="1">
      <c r="A2950" t="s">
        <v>2241</v>
      </c>
      <c r="B2950" t="s">
        <v>612</v>
      </c>
      <c r="D2950" t="s">
        <v>2343</v>
      </c>
      <c r="E2950" t="s">
        <v>807</v>
      </c>
      <c r="F2950" t="s">
        <v>1272</v>
      </c>
      <c r="G2950" t="s">
        <v>609</v>
      </c>
      <c r="H2950" s="484">
        <v>-2067.59</v>
      </c>
      <c r="I2950" t="str">
        <f t="shared" si="164"/>
        <v>abril 2026</v>
      </c>
      <c r="J2950">
        <f t="shared" si="165"/>
        <v>2026</v>
      </c>
      <c r="K2950" t="str">
        <f>VLOOKUP(G2950,METRICS!C:D,2,0)</f>
        <v>Carnes e Aves</v>
      </c>
      <c r="L2950" t="str">
        <f>VLOOKUP(K2950,METRICS!D:E,2,0)</f>
        <v>CUSTOS DOS PRODUTOS VENDIDOS</v>
      </c>
    </row>
    <row r="2951" spans="1:12" ht="15" hidden="1">
      <c r="A2951" t="s">
        <v>2241</v>
      </c>
      <c r="B2951" t="s">
        <v>612</v>
      </c>
      <c r="D2951" t="s">
        <v>2344</v>
      </c>
      <c r="E2951" t="s">
        <v>752</v>
      </c>
      <c r="F2951" t="s">
        <v>1272</v>
      </c>
      <c r="G2951" t="s">
        <v>609</v>
      </c>
      <c r="H2951" s="484">
        <v>-1539.59</v>
      </c>
      <c r="I2951" t="str">
        <f t="shared" si="164"/>
        <v>abril 2026</v>
      </c>
      <c r="J2951">
        <f t="shared" si="165"/>
        <v>2026</v>
      </c>
      <c r="K2951" t="str">
        <f>VLOOKUP(G2951,METRICS!C:D,2,0)</f>
        <v>Carnes e Aves</v>
      </c>
      <c r="L2951" t="str">
        <f>VLOOKUP(K2951,METRICS!D:E,2,0)</f>
        <v>CUSTOS DOS PRODUTOS VENDIDOS</v>
      </c>
    </row>
    <row r="2952" spans="1:12" ht="15" hidden="1">
      <c r="A2952" t="s">
        <v>2241</v>
      </c>
      <c r="B2952" t="s">
        <v>612</v>
      </c>
      <c r="D2952" t="s">
        <v>2345</v>
      </c>
      <c r="E2952" t="s">
        <v>794</v>
      </c>
      <c r="F2952" t="s">
        <v>1272</v>
      </c>
      <c r="G2952" t="s">
        <v>608</v>
      </c>
      <c r="H2952" s="484">
        <v>-118.8</v>
      </c>
      <c r="I2952" t="str">
        <f t="shared" si="164"/>
        <v>abril 2026</v>
      </c>
      <c r="J2952">
        <f t="shared" si="165"/>
        <v>2026</v>
      </c>
      <c r="K2952" t="str">
        <f>VLOOKUP(G2952,METRICS!C:D,2,0)</f>
        <v>Bebidas não Alcoolicas</v>
      </c>
      <c r="L2952" t="str">
        <f>VLOOKUP(K2952,METRICS!D:E,2,0)</f>
        <v>CUSTOS DOS PRODUTOS VENDIDOS</v>
      </c>
    </row>
    <row r="2953" spans="1:12" ht="15" hidden="1">
      <c r="A2953" t="s">
        <v>2241</v>
      </c>
      <c r="B2953" t="s">
        <v>612</v>
      </c>
      <c r="D2953" t="s">
        <v>2346</v>
      </c>
      <c r="E2953" t="s">
        <v>784</v>
      </c>
      <c r="F2953" t="s">
        <v>1272</v>
      </c>
      <c r="G2953" t="s">
        <v>636</v>
      </c>
      <c r="H2953" s="484">
        <v>-1250</v>
      </c>
      <c r="I2953" t="str">
        <f t="shared" ref="I2953:I3011" si="166">TEXT(A2953, "mmmm aaaa")</f>
        <v>abril 2026</v>
      </c>
      <c r="J2953">
        <f t="shared" si="165"/>
        <v>2026</v>
      </c>
      <c r="K2953" t="str">
        <f>VLOOKUP(G2953,METRICS!C:D,2,0)</f>
        <v>Secos - Mercearia</v>
      </c>
      <c r="L2953" t="str">
        <f>VLOOKUP(K2953,METRICS!D:E,2,0)</f>
        <v>CUSTOS DOS PRODUTOS VENDIDOS</v>
      </c>
    </row>
    <row r="2954" spans="1:12" ht="15" hidden="1">
      <c r="A2954" t="s">
        <v>2241</v>
      </c>
      <c r="B2954" t="s">
        <v>612</v>
      </c>
      <c r="D2954" t="s">
        <v>2347</v>
      </c>
      <c r="E2954" t="s">
        <v>752</v>
      </c>
      <c r="F2954" t="s">
        <v>1272</v>
      </c>
      <c r="G2954" t="s">
        <v>609</v>
      </c>
      <c r="H2954" s="484">
        <v>-369</v>
      </c>
      <c r="I2954" t="str">
        <f t="shared" si="166"/>
        <v>abril 2026</v>
      </c>
      <c r="J2954">
        <f t="shared" si="165"/>
        <v>2026</v>
      </c>
      <c r="K2954" t="str">
        <f>VLOOKUP(G2954,METRICS!C:D,2,0)</f>
        <v>Carnes e Aves</v>
      </c>
      <c r="L2954" t="str">
        <f>VLOOKUP(K2954,METRICS!D:E,2,0)</f>
        <v>CUSTOS DOS PRODUTOS VENDIDOS</v>
      </c>
    </row>
    <row r="2955" spans="1:12" ht="15" hidden="1">
      <c r="A2955" t="s">
        <v>2241</v>
      </c>
      <c r="B2955" t="s">
        <v>612</v>
      </c>
      <c r="D2955" t="s">
        <v>2348</v>
      </c>
      <c r="E2955" t="s">
        <v>872</v>
      </c>
      <c r="F2955" t="s">
        <v>1272</v>
      </c>
      <c r="G2955" t="s">
        <v>608</v>
      </c>
      <c r="H2955" s="484">
        <v>-815.04</v>
      </c>
      <c r="I2955" t="str">
        <f t="shared" si="166"/>
        <v>abril 2026</v>
      </c>
      <c r="J2955">
        <f t="shared" si="165"/>
        <v>2026</v>
      </c>
      <c r="K2955" t="str">
        <f>VLOOKUP(G2955,METRICS!C:D,2,0)</f>
        <v>Bebidas não Alcoolicas</v>
      </c>
      <c r="L2955" t="str">
        <f>VLOOKUP(K2955,METRICS!D:E,2,0)</f>
        <v>CUSTOS DOS PRODUTOS VENDIDOS</v>
      </c>
    </row>
    <row r="2956" spans="1:12" ht="15" hidden="1">
      <c r="A2956" t="s">
        <v>2241</v>
      </c>
      <c r="B2956" t="s">
        <v>612</v>
      </c>
      <c r="D2956" t="s">
        <v>2349</v>
      </c>
      <c r="E2956" t="s">
        <v>727</v>
      </c>
      <c r="F2956" t="s">
        <v>1272</v>
      </c>
      <c r="G2956" t="s">
        <v>620</v>
      </c>
      <c r="H2956" s="484">
        <v>-4759.8100000000004</v>
      </c>
      <c r="I2956" t="str">
        <f t="shared" si="166"/>
        <v>abril 2026</v>
      </c>
      <c r="J2956">
        <f t="shared" ref="J2956:J3014" si="167">YEAR(A2956)</f>
        <v>2026</v>
      </c>
      <c r="K2956" t="str">
        <f>VLOOKUP(G2956,METRICS!C:D,2,0)</f>
        <v>Hortifruti</v>
      </c>
      <c r="L2956" t="str">
        <f>VLOOKUP(K2956,METRICS!D:E,2,0)</f>
        <v>CUSTOS DOS PRODUTOS VENDIDOS</v>
      </c>
    </row>
    <row r="2957" spans="1:12" ht="15" hidden="1">
      <c r="A2957" t="s">
        <v>2241</v>
      </c>
      <c r="B2957" t="s">
        <v>612</v>
      </c>
      <c r="D2957" t="s">
        <v>2350</v>
      </c>
      <c r="E2957" t="s">
        <v>1005</v>
      </c>
      <c r="F2957" t="s">
        <v>1272</v>
      </c>
      <c r="G2957" t="s">
        <v>608</v>
      </c>
      <c r="H2957" s="484">
        <v>-2287.1999999999998</v>
      </c>
      <c r="I2957" t="str">
        <f t="shared" si="166"/>
        <v>abril 2026</v>
      </c>
      <c r="J2957">
        <f t="shared" si="167"/>
        <v>2026</v>
      </c>
      <c r="K2957" t="str">
        <f>VLOOKUP(G2957,METRICS!C:D,2,0)</f>
        <v>Bebidas não Alcoolicas</v>
      </c>
      <c r="L2957" t="str">
        <f>VLOOKUP(K2957,METRICS!D:E,2,0)</f>
        <v>CUSTOS DOS PRODUTOS VENDIDOS</v>
      </c>
    </row>
    <row r="2958" spans="1:12" ht="15" hidden="1">
      <c r="A2958" t="s">
        <v>2241</v>
      </c>
      <c r="B2958" t="s">
        <v>612</v>
      </c>
      <c r="D2958" t="s">
        <v>2351</v>
      </c>
      <c r="E2958" t="s">
        <v>780</v>
      </c>
      <c r="F2958" t="s">
        <v>1272</v>
      </c>
      <c r="G2958" t="s">
        <v>611</v>
      </c>
      <c r="H2958" s="484">
        <v>-1119.8699999999999</v>
      </c>
      <c r="I2958" t="str">
        <f t="shared" si="166"/>
        <v>abril 2026</v>
      </c>
      <c r="J2958">
        <f t="shared" si="167"/>
        <v>2026</v>
      </c>
      <c r="K2958" t="str">
        <f>VLOOKUP(G2958,METRICS!C:D,2,0)</f>
        <v>Bebidas Alcoólicas</v>
      </c>
      <c r="L2958" t="str">
        <f>VLOOKUP(K2958,METRICS!D:E,2,0)</f>
        <v>CUSTOS DOS PRODUTOS VENDIDOS</v>
      </c>
    </row>
    <row r="2959" spans="1:12" ht="15" hidden="1">
      <c r="A2959" t="s">
        <v>2242</v>
      </c>
      <c r="B2959" t="s">
        <v>689</v>
      </c>
      <c r="D2959" t="s">
        <v>2280</v>
      </c>
      <c r="E2959" t="s">
        <v>1022</v>
      </c>
      <c r="F2959" t="s">
        <v>1272</v>
      </c>
      <c r="G2959" t="s">
        <v>625</v>
      </c>
      <c r="H2959" s="484">
        <v>-1640</v>
      </c>
      <c r="I2959" t="str">
        <f t="shared" si="166"/>
        <v>abril 2026</v>
      </c>
      <c r="J2959">
        <f t="shared" si="167"/>
        <v>2026</v>
      </c>
      <c r="K2959" t="str">
        <f>VLOOKUP(G2959,METRICS!C:D,2,0)</f>
        <v>Manutenção e Conservação</v>
      </c>
      <c r="L2959" t="str">
        <f>VLOOKUP(K2959,METRICS!D:E,2,0)</f>
        <v>OPERAÇÃO</v>
      </c>
    </row>
    <row r="2960" spans="1:12" ht="15" hidden="1">
      <c r="A2960" t="s">
        <v>2242</v>
      </c>
      <c r="B2960" t="s">
        <v>612</v>
      </c>
      <c r="D2960" t="s">
        <v>2352</v>
      </c>
      <c r="E2960" t="s">
        <v>878</v>
      </c>
      <c r="F2960" t="s">
        <v>1272</v>
      </c>
      <c r="G2960" t="s">
        <v>609</v>
      </c>
      <c r="H2960" s="484">
        <v>-2236.29</v>
      </c>
      <c r="I2960" t="str">
        <f t="shared" si="166"/>
        <v>abril 2026</v>
      </c>
      <c r="J2960">
        <f t="shared" si="167"/>
        <v>2026</v>
      </c>
      <c r="K2960" t="str">
        <f>VLOOKUP(G2960,METRICS!C:D,2,0)</f>
        <v>Carnes e Aves</v>
      </c>
      <c r="L2960" t="str">
        <f>VLOOKUP(K2960,METRICS!D:E,2,0)</f>
        <v>CUSTOS DOS PRODUTOS VENDIDOS</v>
      </c>
    </row>
    <row r="2961" spans="1:12" ht="15" hidden="1">
      <c r="A2961" t="s">
        <v>2242</v>
      </c>
      <c r="B2961" t="s">
        <v>689</v>
      </c>
      <c r="D2961" t="s">
        <v>1425</v>
      </c>
      <c r="E2961" t="s">
        <v>862</v>
      </c>
      <c r="F2961" t="s">
        <v>1272</v>
      </c>
      <c r="G2961" t="s">
        <v>624</v>
      </c>
      <c r="H2961" s="484">
        <v>-1000</v>
      </c>
      <c r="I2961" t="str">
        <f t="shared" si="166"/>
        <v>abril 2026</v>
      </c>
      <c r="J2961">
        <f t="shared" si="167"/>
        <v>2026</v>
      </c>
      <c r="K2961" t="str">
        <f>VLOOKUP(G2961,METRICS!C:D,2,0)</f>
        <v>Manutenção e Conservação</v>
      </c>
      <c r="L2961" t="str">
        <f>VLOOKUP(K2961,METRICS!D:E,2,0)</f>
        <v>OPERAÇÃO</v>
      </c>
    </row>
    <row r="2962" spans="1:12" ht="15" hidden="1">
      <c r="A2962" t="s">
        <v>2242</v>
      </c>
      <c r="B2962" t="s">
        <v>689</v>
      </c>
      <c r="D2962" t="s">
        <v>756</v>
      </c>
      <c r="E2962" t="s">
        <v>757</v>
      </c>
      <c r="F2962" t="s">
        <v>1272</v>
      </c>
      <c r="G2962" t="s">
        <v>666</v>
      </c>
      <c r="H2962" s="484">
        <v>-39.6</v>
      </c>
      <c r="I2962" t="str">
        <f t="shared" si="166"/>
        <v>abril 2026</v>
      </c>
      <c r="J2962">
        <f t="shared" si="167"/>
        <v>2026</v>
      </c>
      <c r="K2962" t="str">
        <f>VLOOKUP(G2962,METRICS!C:D,2,0)</f>
        <v>Encargos Bancarios</v>
      </c>
      <c r="L2962" t="str">
        <f>VLOOKUP(K2962,METRICS!D:E,2,0)</f>
        <v>DESPESAS FINANCEIRAS</v>
      </c>
    </row>
    <row r="2963" spans="1:12" ht="15" hidden="1">
      <c r="A2963" t="s">
        <v>2242</v>
      </c>
      <c r="B2963" t="s">
        <v>612</v>
      </c>
      <c r="D2963" t="s">
        <v>2353</v>
      </c>
      <c r="E2963" t="s">
        <v>807</v>
      </c>
      <c r="F2963" t="s">
        <v>1272</v>
      </c>
      <c r="G2963" t="s">
        <v>609</v>
      </c>
      <c r="H2963" s="484">
        <v>-2235.87</v>
      </c>
      <c r="I2963" t="str">
        <f t="shared" si="166"/>
        <v>abril 2026</v>
      </c>
      <c r="J2963">
        <f t="shared" si="167"/>
        <v>2026</v>
      </c>
      <c r="K2963" t="str">
        <f>VLOOKUP(G2963,METRICS!C:D,2,0)</f>
        <v>Carnes e Aves</v>
      </c>
      <c r="L2963" t="str">
        <f>VLOOKUP(K2963,METRICS!D:E,2,0)</f>
        <v>CUSTOS DOS PRODUTOS VENDIDOS</v>
      </c>
    </row>
    <row r="2964" spans="1:12" ht="15" hidden="1">
      <c r="A2964" t="s">
        <v>2242</v>
      </c>
      <c r="B2964" t="s">
        <v>612</v>
      </c>
      <c r="D2964" t="s">
        <v>2354</v>
      </c>
      <c r="E2964" t="s">
        <v>972</v>
      </c>
      <c r="F2964" t="s">
        <v>1272</v>
      </c>
      <c r="G2964" t="s">
        <v>1318</v>
      </c>
      <c r="H2964" s="484">
        <v>-223.56</v>
      </c>
      <c r="I2964" t="str">
        <f t="shared" si="166"/>
        <v>abril 2026</v>
      </c>
      <c r="J2964">
        <f t="shared" si="167"/>
        <v>2026</v>
      </c>
      <c r="K2964" t="str">
        <f>VLOOKUP(G2964,METRICS!C:D,2,0)</f>
        <v>Despesas com Segurança</v>
      </c>
      <c r="L2964" t="str">
        <f>VLOOKUP(K2964,METRICS!D:E,2,0)</f>
        <v>OPERAÇÃO</v>
      </c>
    </row>
    <row r="2965" spans="1:12" ht="15" hidden="1">
      <c r="A2965" t="s">
        <v>2242</v>
      </c>
      <c r="B2965" t="s">
        <v>689</v>
      </c>
      <c r="D2965" t="s">
        <v>2355</v>
      </c>
      <c r="E2965" t="s">
        <v>1712</v>
      </c>
      <c r="F2965" t="s">
        <v>1272</v>
      </c>
      <c r="G2965" t="s">
        <v>641</v>
      </c>
      <c r="H2965" s="484">
        <v>-566.14</v>
      </c>
      <c r="I2965" t="str">
        <f t="shared" si="166"/>
        <v>abril 2026</v>
      </c>
      <c r="J2965">
        <f t="shared" si="167"/>
        <v>2026</v>
      </c>
      <c r="K2965" t="str">
        <f>VLOOKUP(G2965,METRICS!C:D,2,0)</f>
        <v>Vinhos/Espumantes</v>
      </c>
      <c r="L2965" t="str">
        <f>VLOOKUP(K2965,METRICS!D:E,2,0)</f>
        <v>CUSTOS DOS PRODUTOS VENDIDOS</v>
      </c>
    </row>
    <row r="2966" spans="1:12" ht="15" hidden="1">
      <c r="A2966" t="s">
        <v>2242</v>
      </c>
      <c r="B2966" t="s">
        <v>612</v>
      </c>
      <c r="D2966" t="s">
        <v>2356</v>
      </c>
      <c r="E2966" t="s">
        <v>752</v>
      </c>
      <c r="F2966" t="s">
        <v>1272</v>
      </c>
      <c r="G2966" t="s">
        <v>609</v>
      </c>
      <c r="H2966" s="484">
        <v>-198.15</v>
      </c>
      <c r="I2966" t="str">
        <f t="shared" si="166"/>
        <v>abril 2026</v>
      </c>
      <c r="J2966">
        <f t="shared" si="167"/>
        <v>2026</v>
      </c>
      <c r="K2966" t="str">
        <f>VLOOKUP(G2966,METRICS!C:D,2,0)</f>
        <v>Carnes e Aves</v>
      </c>
      <c r="L2966" t="str">
        <f>VLOOKUP(K2966,METRICS!D:E,2,0)</f>
        <v>CUSTOS DOS PRODUTOS VENDIDOS</v>
      </c>
    </row>
    <row r="2967" spans="1:12" ht="15" hidden="1">
      <c r="A2967" t="s">
        <v>2242</v>
      </c>
      <c r="B2967" t="s">
        <v>689</v>
      </c>
      <c r="D2967" t="s">
        <v>1372</v>
      </c>
      <c r="E2967" t="s">
        <v>700</v>
      </c>
      <c r="F2967" t="s">
        <v>1272</v>
      </c>
      <c r="G2967" t="s">
        <v>661</v>
      </c>
      <c r="H2967" s="484">
        <v>-17000</v>
      </c>
      <c r="I2967" t="str">
        <f t="shared" si="166"/>
        <v>abril 2026</v>
      </c>
      <c r="J2967">
        <f t="shared" si="167"/>
        <v>2026</v>
      </c>
      <c r="K2967" t="str">
        <f>VLOOKUP(G2967,METRICS!C:D,2,0)</f>
        <v>Consultoria OP</v>
      </c>
      <c r="L2967" t="str">
        <f>VLOOKUP(K2967,METRICS!D:E,2,0)</f>
        <v>OPERAÇÃO</v>
      </c>
    </row>
    <row r="2968" spans="1:12" ht="15" hidden="1">
      <c r="A2968" t="s">
        <v>2242</v>
      </c>
      <c r="B2968" t="s">
        <v>689</v>
      </c>
      <c r="D2968" t="s">
        <v>2358</v>
      </c>
      <c r="E2968" t="s">
        <v>960</v>
      </c>
      <c r="F2968" t="s">
        <v>1272</v>
      </c>
      <c r="G2968" t="s">
        <v>673</v>
      </c>
      <c r="H2968" s="484">
        <v>-1775</v>
      </c>
      <c r="I2968" t="str">
        <f t="shared" si="166"/>
        <v>abril 2026</v>
      </c>
      <c r="J2968">
        <f t="shared" si="167"/>
        <v>2026</v>
      </c>
      <c r="K2968" t="str">
        <f>VLOOKUP(G2968,METRICS!C:D,2,0)</f>
        <v>Comissões Eventos</v>
      </c>
      <c r="L2968" t="str">
        <f>VLOOKUP(K2968,METRICS!D:E,2,0)</f>
        <v>OPERAÇÃO</v>
      </c>
    </row>
    <row r="2969" spans="1:12" ht="15" hidden="1">
      <c r="A2969" t="s">
        <v>2242</v>
      </c>
      <c r="B2969" t="s">
        <v>612</v>
      </c>
      <c r="D2969" t="s">
        <v>2359</v>
      </c>
      <c r="E2969" t="s">
        <v>828</v>
      </c>
      <c r="F2969" t="s">
        <v>1272</v>
      </c>
      <c r="G2969" t="s">
        <v>636</v>
      </c>
      <c r="H2969" s="484">
        <v>-2009.94</v>
      </c>
      <c r="I2969" t="str">
        <f t="shared" si="166"/>
        <v>abril 2026</v>
      </c>
      <c r="J2969">
        <f t="shared" si="167"/>
        <v>2026</v>
      </c>
      <c r="K2969" t="str">
        <f>VLOOKUP(G2969,METRICS!C:D,2,0)</f>
        <v>Secos - Mercearia</v>
      </c>
      <c r="L2969" t="str">
        <f>VLOOKUP(K2969,METRICS!D:E,2,0)</f>
        <v>CUSTOS DOS PRODUTOS VENDIDOS</v>
      </c>
    </row>
    <row r="2970" spans="1:12" ht="15" hidden="1">
      <c r="A2970" t="s">
        <v>2242</v>
      </c>
      <c r="B2970" t="s">
        <v>612</v>
      </c>
      <c r="D2970" t="s">
        <v>2360</v>
      </c>
      <c r="E2970" t="s">
        <v>1691</v>
      </c>
      <c r="F2970" t="s">
        <v>1272</v>
      </c>
      <c r="G2970" t="s">
        <v>623</v>
      </c>
      <c r="H2970" s="484">
        <v>-3246.39</v>
      </c>
      <c r="I2970" t="str">
        <f t="shared" si="166"/>
        <v>abril 2026</v>
      </c>
      <c r="J2970">
        <f t="shared" si="167"/>
        <v>2026</v>
      </c>
      <c r="K2970" t="str">
        <f>VLOOKUP(G2970,METRICS!C:D,2,0)</f>
        <v>Secos - Mercearia</v>
      </c>
      <c r="L2970" t="str">
        <f>VLOOKUP(K2970,METRICS!D:E,2,0)</f>
        <v>CUSTOS DOS PRODUTOS VENDIDOS</v>
      </c>
    </row>
    <row r="2971" spans="1:12" ht="15" hidden="1">
      <c r="A2971" t="s">
        <v>2242</v>
      </c>
      <c r="B2971" t="s">
        <v>612</v>
      </c>
      <c r="D2971" t="s">
        <v>2361</v>
      </c>
      <c r="E2971" t="s">
        <v>804</v>
      </c>
      <c r="F2971" t="s">
        <v>1272</v>
      </c>
      <c r="G2971" t="s">
        <v>607</v>
      </c>
      <c r="H2971" s="484">
        <v>-6843.24</v>
      </c>
      <c r="I2971" t="str">
        <f t="shared" si="166"/>
        <v>abril 2026</v>
      </c>
      <c r="J2971">
        <f t="shared" si="167"/>
        <v>2026</v>
      </c>
      <c r="K2971" t="str">
        <f>VLOOKUP(G2971,METRICS!C:D,2,0)</f>
        <v>Bebidas Alcoólicas</v>
      </c>
      <c r="L2971" t="str">
        <f>VLOOKUP(K2971,METRICS!D:E,2,0)</f>
        <v>CUSTOS DOS PRODUTOS VENDIDOS</v>
      </c>
    </row>
    <row r="2972" spans="1:12" ht="15" hidden="1">
      <c r="A2972" t="s">
        <v>2242</v>
      </c>
      <c r="B2972" t="s">
        <v>612</v>
      </c>
      <c r="D2972" t="s">
        <v>2362</v>
      </c>
      <c r="E2972" t="s">
        <v>1135</v>
      </c>
      <c r="F2972" t="s">
        <v>1272</v>
      </c>
      <c r="G2972" t="s">
        <v>636</v>
      </c>
      <c r="H2972" s="484">
        <v>-260</v>
      </c>
      <c r="I2972" t="str">
        <f t="shared" si="166"/>
        <v>abril 2026</v>
      </c>
      <c r="J2972">
        <f t="shared" si="167"/>
        <v>2026</v>
      </c>
      <c r="K2972" t="str">
        <f>VLOOKUP(G2972,METRICS!C:D,2,0)</f>
        <v>Secos - Mercearia</v>
      </c>
      <c r="L2972" t="str">
        <f>VLOOKUP(K2972,METRICS!D:E,2,0)</f>
        <v>CUSTOS DOS PRODUTOS VENDIDOS</v>
      </c>
    </row>
    <row r="2973" spans="1:12" ht="15" hidden="1">
      <c r="A2973" t="s">
        <v>2242</v>
      </c>
      <c r="B2973" t="s">
        <v>612</v>
      </c>
      <c r="D2973" t="s">
        <v>2363</v>
      </c>
      <c r="E2973" t="s">
        <v>811</v>
      </c>
      <c r="F2973" t="s">
        <v>1272</v>
      </c>
      <c r="G2973" t="s">
        <v>636</v>
      </c>
      <c r="H2973" s="484">
        <v>-1992.23</v>
      </c>
      <c r="I2973" t="str">
        <f t="shared" si="166"/>
        <v>abril 2026</v>
      </c>
      <c r="J2973">
        <f t="shared" si="167"/>
        <v>2026</v>
      </c>
      <c r="K2973" t="str">
        <f>VLOOKUP(G2973,METRICS!C:D,2,0)</f>
        <v>Secos - Mercearia</v>
      </c>
      <c r="L2973" t="str">
        <f>VLOOKUP(K2973,METRICS!D:E,2,0)</f>
        <v>CUSTOS DOS PRODUTOS VENDIDOS</v>
      </c>
    </row>
    <row r="2974" spans="1:12" ht="15" hidden="1">
      <c r="A2974" t="s">
        <v>2242</v>
      </c>
      <c r="B2974" t="s">
        <v>612</v>
      </c>
      <c r="D2974" t="s">
        <v>2364</v>
      </c>
      <c r="E2974" t="s">
        <v>990</v>
      </c>
      <c r="F2974" t="s">
        <v>1272</v>
      </c>
      <c r="G2974" t="s">
        <v>608</v>
      </c>
      <c r="H2974" s="484">
        <v>-720.91</v>
      </c>
      <c r="I2974" t="str">
        <f t="shared" si="166"/>
        <v>abril 2026</v>
      </c>
      <c r="J2974">
        <f t="shared" si="167"/>
        <v>2026</v>
      </c>
      <c r="K2974" t="str">
        <f>VLOOKUP(G2974,METRICS!C:D,2,0)</f>
        <v>Bebidas não Alcoolicas</v>
      </c>
      <c r="L2974" t="str">
        <f>VLOOKUP(K2974,METRICS!D:E,2,0)</f>
        <v>CUSTOS DOS PRODUTOS VENDIDOS</v>
      </c>
    </row>
    <row r="2975" spans="1:12" ht="15" hidden="1">
      <c r="A2975" t="s">
        <v>2243</v>
      </c>
      <c r="B2975" t="s">
        <v>612</v>
      </c>
      <c r="D2975" t="s">
        <v>2365</v>
      </c>
      <c r="E2975" t="s">
        <v>804</v>
      </c>
      <c r="F2975" t="s">
        <v>1272</v>
      </c>
      <c r="G2975" t="s">
        <v>607</v>
      </c>
      <c r="H2975" s="484">
        <v>-6001.87</v>
      </c>
      <c r="I2975" t="str">
        <f t="shared" si="166"/>
        <v>abril 2026</v>
      </c>
      <c r="J2975">
        <f t="shared" si="167"/>
        <v>2026</v>
      </c>
      <c r="K2975" t="str">
        <f>VLOOKUP(G2975,METRICS!C:D,2,0)</f>
        <v>Bebidas Alcoólicas</v>
      </c>
      <c r="L2975" t="str">
        <f>VLOOKUP(K2975,METRICS!D:E,2,0)</f>
        <v>CUSTOS DOS PRODUTOS VENDIDOS</v>
      </c>
    </row>
    <row r="2976" spans="1:12" ht="15" hidden="1">
      <c r="A2976" t="s">
        <v>2243</v>
      </c>
      <c r="B2976" t="s">
        <v>612</v>
      </c>
      <c r="D2976" t="s">
        <v>2366</v>
      </c>
      <c r="E2976" t="s">
        <v>2585</v>
      </c>
      <c r="F2976" t="s">
        <v>1272</v>
      </c>
      <c r="G2976" t="s">
        <v>609</v>
      </c>
      <c r="H2976" s="484">
        <v>-4862.7700000000004</v>
      </c>
      <c r="I2976" t="str">
        <f t="shared" si="166"/>
        <v>abril 2026</v>
      </c>
      <c r="J2976">
        <f t="shared" si="167"/>
        <v>2026</v>
      </c>
      <c r="K2976" t="str">
        <f>VLOOKUP(G2976,METRICS!C:D,2,0)</f>
        <v>Carnes e Aves</v>
      </c>
      <c r="L2976" t="str">
        <f>VLOOKUP(K2976,METRICS!D:E,2,0)</f>
        <v>CUSTOS DOS PRODUTOS VENDIDOS</v>
      </c>
    </row>
    <row r="2977" spans="1:12" ht="15" hidden="1">
      <c r="A2977" t="s">
        <v>2243</v>
      </c>
      <c r="B2977" t="s">
        <v>612</v>
      </c>
      <c r="D2977" t="s">
        <v>2367</v>
      </c>
      <c r="E2977" t="s">
        <v>1239</v>
      </c>
      <c r="F2977" t="s">
        <v>1272</v>
      </c>
      <c r="G2977" t="s">
        <v>413</v>
      </c>
      <c r="H2977" s="484">
        <v>-5962.4</v>
      </c>
      <c r="I2977" t="str">
        <f t="shared" si="166"/>
        <v>abril 2026</v>
      </c>
      <c r="J2977">
        <f t="shared" si="167"/>
        <v>2026</v>
      </c>
      <c r="K2977" t="str">
        <f>VLOOKUP(G2977,METRICS!C:D,2,0)</f>
        <v>Pescados</v>
      </c>
      <c r="L2977" t="str">
        <f>VLOOKUP(K2977,METRICS!D:E,2,0)</f>
        <v>CUSTOS DOS PRODUTOS VENDIDOS</v>
      </c>
    </row>
    <row r="2978" spans="1:12" ht="15" hidden="1">
      <c r="A2978" t="s">
        <v>2243</v>
      </c>
      <c r="B2978" t="s">
        <v>612</v>
      </c>
      <c r="D2978" t="s">
        <v>2368</v>
      </c>
      <c r="E2978" t="s">
        <v>752</v>
      </c>
      <c r="F2978" t="s">
        <v>1272</v>
      </c>
      <c r="G2978" t="s">
        <v>609</v>
      </c>
      <c r="H2978" s="484">
        <v>-369</v>
      </c>
      <c r="I2978" t="str">
        <f t="shared" si="166"/>
        <v>abril 2026</v>
      </c>
      <c r="J2978">
        <f t="shared" si="167"/>
        <v>2026</v>
      </c>
      <c r="K2978" t="str">
        <f>VLOOKUP(G2978,METRICS!C:D,2,0)</f>
        <v>Carnes e Aves</v>
      </c>
      <c r="L2978" t="str">
        <f>VLOOKUP(K2978,METRICS!D:E,2,0)</f>
        <v>CUSTOS DOS PRODUTOS VENDIDOS</v>
      </c>
    </row>
    <row r="2979" spans="1:12" ht="15" hidden="1">
      <c r="A2979" t="s">
        <v>2244</v>
      </c>
      <c r="B2979" t="s">
        <v>612</v>
      </c>
      <c r="D2979" t="s">
        <v>2369</v>
      </c>
      <c r="E2979" t="s">
        <v>727</v>
      </c>
      <c r="F2979" t="s">
        <v>1272</v>
      </c>
      <c r="G2979" t="s">
        <v>620</v>
      </c>
      <c r="H2979" s="484">
        <v>-6964.37</v>
      </c>
      <c r="I2979" t="str">
        <f t="shared" si="166"/>
        <v>abril 2026</v>
      </c>
      <c r="J2979">
        <f t="shared" si="167"/>
        <v>2026</v>
      </c>
      <c r="K2979" t="str">
        <f>VLOOKUP(G2979,METRICS!C:D,2,0)</f>
        <v>Hortifruti</v>
      </c>
      <c r="L2979" t="str">
        <f>VLOOKUP(K2979,METRICS!D:E,2,0)</f>
        <v>CUSTOS DOS PRODUTOS VENDIDOS</v>
      </c>
    </row>
    <row r="2980" spans="1:12" ht="15" hidden="1">
      <c r="A2980" t="s">
        <v>2244</v>
      </c>
      <c r="B2980" t="s">
        <v>612</v>
      </c>
      <c r="D2980" t="s">
        <v>2370</v>
      </c>
      <c r="E2980" t="s">
        <v>832</v>
      </c>
      <c r="F2980" t="s">
        <v>1272</v>
      </c>
      <c r="G2980" t="s">
        <v>633</v>
      </c>
      <c r="H2980" s="484">
        <v>-238.3</v>
      </c>
      <c r="I2980" t="str">
        <f t="shared" si="166"/>
        <v>abril 2026</v>
      </c>
      <c r="J2980">
        <f t="shared" si="167"/>
        <v>2026</v>
      </c>
      <c r="K2980" t="str">
        <f>VLOOKUP(G2980,METRICS!C:D,2,0)</f>
        <v>Paes, Massas e Salgados</v>
      </c>
      <c r="L2980" t="str">
        <f>VLOOKUP(K2980,METRICS!D:E,2,0)</f>
        <v>CUSTOS DOS PRODUTOS VENDIDOS</v>
      </c>
    </row>
    <row r="2981" spans="1:12" ht="15" hidden="1">
      <c r="A2981" t="s">
        <v>2244</v>
      </c>
      <c r="B2981" t="s">
        <v>612</v>
      </c>
      <c r="D2981" t="s">
        <v>2371</v>
      </c>
      <c r="E2981" t="s">
        <v>1012</v>
      </c>
      <c r="F2981" t="s">
        <v>1272</v>
      </c>
      <c r="G2981" t="s">
        <v>611</v>
      </c>
      <c r="H2981" s="484">
        <v>-4581.93</v>
      </c>
      <c r="I2981" t="str">
        <f t="shared" si="166"/>
        <v>abril 2026</v>
      </c>
      <c r="J2981">
        <f t="shared" si="167"/>
        <v>2026</v>
      </c>
      <c r="K2981" t="str">
        <f>VLOOKUP(G2981,METRICS!C:D,2,0)</f>
        <v>Bebidas Alcoólicas</v>
      </c>
      <c r="L2981" t="str">
        <f>VLOOKUP(K2981,METRICS!D:E,2,0)</f>
        <v>CUSTOS DOS PRODUTOS VENDIDOS</v>
      </c>
    </row>
    <row r="2982" spans="1:12" ht="15" hidden="1">
      <c r="A2982" t="s">
        <v>2244</v>
      </c>
      <c r="B2982" t="s">
        <v>612</v>
      </c>
      <c r="D2982" t="s">
        <v>2372</v>
      </c>
      <c r="E2982" t="s">
        <v>984</v>
      </c>
      <c r="F2982" t="s">
        <v>1272</v>
      </c>
      <c r="G2982" t="s">
        <v>614</v>
      </c>
      <c r="H2982" s="484">
        <v>-3620.05</v>
      </c>
      <c r="I2982" t="str">
        <f t="shared" si="166"/>
        <v>abril 2026</v>
      </c>
      <c r="J2982">
        <f t="shared" si="167"/>
        <v>2026</v>
      </c>
      <c r="K2982" t="str">
        <f>VLOOKUP(G2982,METRICS!C:D,2,0)</f>
        <v>Honorarios Advocaticios</v>
      </c>
      <c r="L2982" t="str">
        <f>VLOOKUP(K2982,METRICS!D:E,2,0)</f>
        <v>ADMINISTRATIVA</v>
      </c>
    </row>
    <row r="2983" spans="1:12" ht="15" hidden="1">
      <c r="A2983" t="s">
        <v>2244</v>
      </c>
      <c r="B2983" t="s">
        <v>612</v>
      </c>
      <c r="D2983" t="s">
        <v>2373</v>
      </c>
      <c r="E2983" t="s">
        <v>794</v>
      </c>
      <c r="F2983" t="s">
        <v>1272</v>
      </c>
      <c r="G2983" t="s">
        <v>607</v>
      </c>
      <c r="H2983" s="484">
        <v>-356.4</v>
      </c>
      <c r="I2983" t="str">
        <f t="shared" si="166"/>
        <v>abril 2026</v>
      </c>
      <c r="J2983">
        <f t="shared" si="167"/>
        <v>2026</v>
      </c>
      <c r="K2983" t="str">
        <f>VLOOKUP(G2983,METRICS!C:D,2,0)</f>
        <v>Bebidas Alcoólicas</v>
      </c>
      <c r="L2983" t="str">
        <f>VLOOKUP(K2983,METRICS!D:E,2,0)</f>
        <v>CUSTOS DOS PRODUTOS VENDIDOS</v>
      </c>
    </row>
    <row r="2984" spans="1:12" ht="15" hidden="1">
      <c r="A2984" t="s">
        <v>2244</v>
      </c>
      <c r="B2984" t="s">
        <v>612</v>
      </c>
      <c r="D2984" t="s">
        <v>2374</v>
      </c>
      <c r="E2984" t="s">
        <v>752</v>
      </c>
      <c r="F2984" t="s">
        <v>1272</v>
      </c>
      <c r="G2984" t="s">
        <v>609</v>
      </c>
      <c r="H2984" s="484">
        <v>-6127.55</v>
      </c>
      <c r="I2984" t="str">
        <f t="shared" si="166"/>
        <v>abril 2026</v>
      </c>
      <c r="J2984">
        <f t="shared" si="167"/>
        <v>2026</v>
      </c>
      <c r="K2984" t="str">
        <f>VLOOKUP(G2984,METRICS!C:D,2,0)</f>
        <v>Carnes e Aves</v>
      </c>
      <c r="L2984" t="str">
        <f>VLOOKUP(K2984,METRICS!D:E,2,0)</f>
        <v>CUSTOS DOS PRODUTOS VENDIDOS</v>
      </c>
    </row>
    <row r="2985" spans="1:12" ht="15" hidden="1">
      <c r="A2985" s="512">
        <v>46132</v>
      </c>
      <c r="B2985" t="s">
        <v>689</v>
      </c>
      <c r="D2985" t="s">
        <v>2375</v>
      </c>
      <c r="E2985" t="s">
        <v>2586</v>
      </c>
      <c r="F2985" t="s">
        <v>1272</v>
      </c>
      <c r="G2985" t="s">
        <v>605</v>
      </c>
      <c r="H2985" s="484">
        <v>-8000</v>
      </c>
      <c r="I2985" t="str">
        <f t="shared" si="166"/>
        <v>abril 2026</v>
      </c>
      <c r="J2985">
        <f t="shared" si="167"/>
        <v>2026</v>
      </c>
      <c r="K2985" t="str">
        <f>VLOOKUP(G2985,METRICS!C:D,2,0)</f>
        <v>Beneficios</v>
      </c>
      <c r="L2985" t="str">
        <f>VLOOKUP(K2985,METRICS!D:E,2,0)</f>
        <v>PESSOAL</v>
      </c>
    </row>
    <row r="2986" spans="1:12" ht="15" hidden="1">
      <c r="A2986" t="s">
        <v>2244</v>
      </c>
      <c r="B2986" t="s">
        <v>612</v>
      </c>
      <c r="D2986" t="s">
        <v>2376</v>
      </c>
      <c r="E2986" t="s">
        <v>872</v>
      </c>
      <c r="F2986" t="s">
        <v>1272</v>
      </c>
      <c r="G2986" t="s">
        <v>608</v>
      </c>
      <c r="H2986" s="484">
        <v>-2852.64</v>
      </c>
      <c r="I2986" t="str">
        <f t="shared" si="166"/>
        <v>abril 2026</v>
      </c>
      <c r="J2986">
        <f t="shared" si="167"/>
        <v>2026</v>
      </c>
      <c r="K2986" t="str">
        <f>VLOOKUP(G2986,METRICS!C:D,2,0)</f>
        <v>Bebidas não Alcoolicas</v>
      </c>
      <c r="L2986" t="str">
        <f>VLOOKUP(K2986,METRICS!D:E,2,0)</f>
        <v>CUSTOS DOS PRODUTOS VENDIDOS</v>
      </c>
    </row>
    <row r="2987" spans="1:12" ht="15" hidden="1">
      <c r="A2987" t="s">
        <v>2244</v>
      </c>
      <c r="B2987" t="s">
        <v>612</v>
      </c>
      <c r="D2987" t="s">
        <v>2377</v>
      </c>
      <c r="E2987" t="s">
        <v>2587</v>
      </c>
      <c r="F2987" t="s">
        <v>1272</v>
      </c>
      <c r="G2987" t="s">
        <v>607</v>
      </c>
      <c r="H2987" s="484">
        <v>-2151.4499999999998</v>
      </c>
      <c r="I2987" t="str">
        <f t="shared" si="166"/>
        <v>abril 2026</v>
      </c>
      <c r="J2987">
        <f t="shared" si="167"/>
        <v>2026</v>
      </c>
      <c r="K2987" t="str">
        <f>VLOOKUP(G2987,METRICS!C:D,2,0)</f>
        <v>Bebidas Alcoólicas</v>
      </c>
      <c r="L2987" t="str">
        <f>VLOOKUP(K2987,METRICS!D:E,2,0)</f>
        <v>CUSTOS DOS PRODUTOS VENDIDOS</v>
      </c>
    </row>
    <row r="2988" spans="1:12" ht="15" hidden="1">
      <c r="A2988" t="s">
        <v>2244</v>
      </c>
      <c r="B2988" t="s">
        <v>612</v>
      </c>
      <c r="D2988" t="s">
        <v>2378</v>
      </c>
      <c r="E2988" t="s">
        <v>826</v>
      </c>
      <c r="F2988" t="s">
        <v>1272</v>
      </c>
      <c r="G2988" t="s">
        <v>633</v>
      </c>
      <c r="H2988" s="484">
        <v>-155</v>
      </c>
      <c r="I2988" t="str">
        <f t="shared" si="166"/>
        <v>abril 2026</v>
      </c>
      <c r="J2988">
        <f t="shared" si="167"/>
        <v>2026</v>
      </c>
      <c r="K2988" t="str">
        <f>VLOOKUP(G2988,METRICS!C:D,2,0)</f>
        <v>Paes, Massas e Salgados</v>
      </c>
      <c r="L2988" t="str">
        <f>VLOOKUP(K2988,METRICS!D:E,2,0)</f>
        <v>CUSTOS DOS PRODUTOS VENDIDOS</v>
      </c>
    </row>
    <row r="2989" spans="1:12" ht="15" hidden="1">
      <c r="A2989" t="s">
        <v>2244</v>
      </c>
      <c r="B2989" t="s">
        <v>612</v>
      </c>
      <c r="D2989" t="s">
        <v>2379</v>
      </c>
      <c r="E2989" t="s">
        <v>1153</v>
      </c>
      <c r="F2989" t="s">
        <v>1272</v>
      </c>
      <c r="G2989" t="s">
        <v>607</v>
      </c>
      <c r="H2989" s="484">
        <v>-1515</v>
      </c>
      <c r="I2989" t="str">
        <f t="shared" si="166"/>
        <v>abril 2026</v>
      </c>
      <c r="J2989">
        <f t="shared" si="167"/>
        <v>2026</v>
      </c>
      <c r="K2989" t="str">
        <f>VLOOKUP(G2989,METRICS!C:D,2,0)</f>
        <v>Bebidas Alcoólicas</v>
      </c>
      <c r="L2989" t="str">
        <f>VLOOKUP(K2989,METRICS!D:E,2,0)</f>
        <v>CUSTOS DOS PRODUTOS VENDIDOS</v>
      </c>
    </row>
    <row r="2990" spans="1:12" ht="15" hidden="1">
      <c r="A2990" t="s">
        <v>2244</v>
      </c>
      <c r="B2990" t="s">
        <v>689</v>
      </c>
      <c r="D2990" t="s">
        <v>756</v>
      </c>
      <c r="E2990" t="s">
        <v>757</v>
      </c>
      <c r="F2990" t="s">
        <v>1272</v>
      </c>
      <c r="G2990" t="s">
        <v>666</v>
      </c>
      <c r="H2990" s="484">
        <v>-56.64</v>
      </c>
      <c r="I2990" t="str">
        <f t="shared" si="166"/>
        <v>abril 2026</v>
      </c>
      <c r="J2990">
        <f t="shared" si="167"/>
        <v>2026</v>
      </c>
      <c r="K2990" t="str">
        <f>VLOOKUP(G2990,METRICS!C:D,2,0)</f>
        <v>Encargos Bancarios</v>
      </c>
      <c r="L2990" t="str">
        <f>VLOOKUP(K2990,METRICS!D:E,2,0)</f>
        <v>DESPESAS FINANCEIRAS</v>
      </c>
    </row>
    <row r="2991" spans="1:12" ht="15" hidden="1">
      <c r="A2991" t="s">
        <v>2244</v>
      </c>
      <c r="B2991" t="s">
        <v>612</v>
      </c>
      <c r="D2991" t="s">
        <v>2380</v>
      </c>
      <c r="E2991" t="s">
        <v>774</v>
      </c>
      <c r="F2991" t="s">
        <v>1272</v>
      </c>
      <c r="G2991" t="s">
        <v>629</v>
      </c>
      <c r="H2991" s="484">
        <v>-1760.65</v>
      </c>
      <c r="I2991" t="str">
        <f t="shared" si="166"/>
        <v>abril 2026</v>
      </c>
      <c r="J2991">
        <f t="shared" si="167"/>
        <v>2026</v>
      </c>
      <c r="K2991" t="str">
        <f>VLOOKUP(G2991,METRICS!C:D,2,0)</f>
        <v>Material de limpeza</v>
      </c>
      <c r="L2991" t="str">
        <f>VLOOKUP(K2991,METRICS!D:E,2,0)</f>
        <v>OPERAÇÃO</v>
      </c>
    </row>
    <row r="2992" spans="1:12" ht="15" hidden="1">
      <c r="A2992" t="s">
        <v>2244</v>
      </c>
      <c r="B2992" t="s">
        <v>612</v>
      </c>
      <c r="D2992" t="s">
        <v>2381</v>
      </c>
      <c r="E2992" t="s">
        <v>745</v>
      </c>
      <c r="F2992" t="s">
        <v>1272</v>
      </c>
      <c r="G2992" t="s">
        <v>620</v>
      </c>
      <c r="H2992" s="484">
        <v>-501.25</v>
      </c>
      <c r="I2992" t="str">
        <f t="shared" si="166"/>
        <v>abril 2026</v>
      </c>
      <c r="J2992">
        <f t="shared" si="167"/>
        <v>2026</v>
      </c>
      <c r="K2992" t="str">
        <f>VLOOKUP(G2992,METRICS!C:D,2,0)</f>
        <v>Hortifruti</v>
      </c>
      <c r="L2992" t="str">
        <f>VLOOKUP(K2992,METRICS!D:E,2,0)</f>
        <v>CUSTOS DOS PRODUTOS VENDIDOS</v>
      </c>
    </row>
    <row r="2993" spans="1:12" ht="15" hidden="1">
      <c r="A2993" t="s">
        <v>2244</v>
      </c>
      <c r="B2993" t="s">
        <v>612</v>
      </c>
      <c r="D2993" t="s">
        <v>2382</v>
      </c>
      <c r="E2993" t="s">
        <v>1693</v>
      </c>
      <c r="F2993" t="s">
        <v>1272</v>
      </c>
      <c r="G2993" t="s">
        <v>615</v>
      </c>
      <c r="H2993" s="484">
        <v>-1008</v>
      </c>
      <c r="I2993" t="str">
        <f t="shared" si="166"/>
        <v>abril 2026</v>
      </c>
      <c r="J2993">
        <f t="shared" si="167"/>
        <v>2026</v>
      </c>
      <c r="K2993" t="str">
        <f>VLOOKUP(G2993,METRICS!C:D,2,0)</f>
        <v>Embalagens</v>
      </c>
      <c r="L2993" t="str">
        <f>VLOOKUP(K2993,METRICS!D:E,2,0)</f>
        <v>OPERAÇÃO</v>
      </c>
    </row>
    <row r="2994" spans="1:12" ht="15" hidden="1">
      <c r="A2994" t="s">
        <v>2244</v>
      </c>
      <c r="B2994" t="s">
        <v>612</v>
      </c>
      <c r="D2994" t="s">
        <v>2383</v>
      </c>
      <c r="E2994" t="s">
        <v>770</v>
      </c>
      <c r="F2994" t="s">
        <v>1272</v>
      </c>
      <c r="G2994" t="s">
        <v>630</v>
      </c>
      <c r="H2994" s="484">
        <v>-1936.35</v>
      </c>
      <c r="I2994" t="str">
        <f t="shared" si="166"/>
        <v>abril 2026</v>
      </c>
      <c r="J2994">
        <f t="shared" si="167"/>
        <v>2026</v>
      </c>
      <c r="K2994" t="str">
        <f>VLOOKUP(G2994,METRICS!C:D,2,0)</f>
        <v>Material de Copa e Limpeza</v>
      </c>
      <c r="L2994" t="str">
        <f>VLOOKUP(K2994,METRICS!D:E,2,0)</f>
        <v>ADMINISTRATIVA</v>
      </c>
    </row>
    <row r="2995" spans="1:12" ht="15" hidden="1">
      <c r="A2995" t="s">
        <v>2244</v>
      </c>
      <c r="B2995" t="s">
        <v>612</v>
      </c>
      <c r="D2995" t="s">
        <v>2384</v>
      </c>
      <c r="E2995" t="s">
        <v>1039</v>
      </c>
      <c r="F2995" t="s">
        <v>1272</v>
      </c>
      <c r="G2995" t="s">
        <v>623</v>
      </c>
      <c r="H2995" s="484">
        <v>-495.93</v>
      </c>
      <c r="I2995" t="str">
        <f t="shared" si="166"/>
        <v>abril 2026</v>
      </c>
      <c r="J2995">
        <f t="shared" si="167"/>
        <v>2026</v>
      </c>
      <c r="K2995" t="str">
        <f>VLOOKUP(G2995,METRICS!C:D,2,0)</f>
        <v>Secos - Mercearia</v>
      </c>
      <c r="L2995" t="str">
        <f>VLOOKUP(K2995,METRICS!D:E,2,0)</f>
        <v>CUSTOS DOS PRODUTOS VENDIDOS</v>
      </c>
    </row>
    <row r="2996" spans="1:12" ht="15" hidden="1">
      <c r="A2996" t="s">
        <v>2244</v>
      </c>
      <c r="B2996" t="s">
        <v>612</v>
      </c>
      <c r="D2996" t="s">
        <v>2385</v>
      </c>
      <c r="E2996" t="s">
        <v>765</v>
      </c>
      <c r="F2996" t="s">
        <v>1272</v>
      </c>
      <c r="G2996" t="s">
        <v>619</v>
      </c>
      <c r="H2996" s="484">
        <v>-509.6</v>
      </c>
      <c r="I2996" t="str">
        <f t="shared" si="166"/>
        <v>abril 2026</v>
      </c>
      <c r="J2996">
        <f t="shared" si="167"/>
        <v>2026</v>
      </c>
      <c r="K2996" t="str">
        <f>VLOOKUP(G2996,METRICS!C:D,2,0)</f>
        <v>Gelo</v>
      </c>
      <c r="L2996" t="str">
        <f>VLOOKUP(K2996,METRICS!D:E,2,0)</f>
        <v>CUSTOS DOS PRODUTOS VENDIDOS</v>
      </c>
    </row>
    <row r="2997" spans="1:12" ht="15" hidden="1">
      <c r="A2997" t="s">
        <v>2244</v>
      </c>
      <c r="B2997" t="s">
        <v>612</v>
      </c>
      <c r="D2997" t="s">
        <v>2386</v>
      </c>
      <c r="E2997" t="s">
        <v>1005</v>
      </c>
      <c r="F2997" t="s">
        <v>1272</v>
      </c>
      <c r="G2997" t="s">
        <v>608</v>
      </c>
      <c r="H2997" s="484">
        <v>-3812</v>
      </c>
      <c r="I2997" t="str">
        <f t="shared" si="166"/>
        <v>abril 2026</v>
      </c>
      <c r="J2997">
        <f t="shared" si="167"/>
        <v>2026</v>
      </c>
      <c r="K2997" t="str">
        <f>VLOOKUP(G2997,METRICS!C:D,2,0)</f>
        <v>Bebidas não Alcoolicas</v>
      </c>
      <c r="L2997" t="str">
        <f>VLOOKUP(K2997,METRICS!D:E,2,0)</f>
        <v>CUSTOS DOS PRODUTOS VENDIDOS</v>
      </c>
    </row>
    <row r="2998" spans="1:12" ht="15" hidden="1">
      <c r="A2998" t="s">
        <v>2244</v>
      </c>
      <c r="B2998" t="s">
        <v>689</v>
      </c>
      <c r="D2998" t="s">
        <v>2375</v>
      </c>
      <c r="E2998" t="s">
        <v>2586</v>
      </c>
      <c r="F2998" t="s">
        <v>1272</v>
      </c>
      <c r="G2998" t="s">
        <v>605</v>
      </c>
      <c r="H2998" s="484">
        <v>-7342</v>
      </c>
      <c r="I2998" t="str">
        <f t="shared" ref="I2998" si="168">TEXT(A2998, "mmmm aaaa")</f>
        <v>abril 2026</v>
      </c>
      <c r="J2998">
        <f t="shared" ref="J2998" si="169">YEAR(A2998)</f>
        <v>2026</v>
      </c>
      <c r="K2998" t="str">
        <f>VLOOKUP(G2998,METRICS!C:D,2,0)</f>
        <v>Beneficios</v>
      </c>
      <c r="L2998" t="str">
        <f>VLOOKUP(K2998,METRICS!D:E,2,0)</f>
        <v>PESSOAL</v>
      </c>
    </row>
    <row r="2999" spans="1:12" ht="15" hidden="1">
      <c r="A2999" t="s">
        <v>2245</v>
      </c>
      <c r="B2999" t="s">
        <v>689</v>
      </c>
      <c r="D2999" t="s">
        <v>756</v>
      </c>
      <c r="E2999" t="s">
        <v>757</v>
      </c>
      <c r="F2999" t="s">
        <v>1272</v>
      </c>
      <c r="G2999" t="s">
        <v>666</v>
      </c>
      <c r="H2999" s="484">
        <v>-98.66</v>
      </c>
      <c r="I2999" t="str">
        <f t="shared" si="166"/>
        <v>abril 2026</v>
      </c>
      <c r="J2999">
        <f t="shared" si="167"/>
        <v>2026</v>
      </c>
      <c r="K2999" t="str">
        <f>VLOOKUP(G2999,METRICS!C:D,2,0)</f>
        <v>Encargos Bancarios</v>
      </c>
      <c r="L2999" t="str">
        <f>VLOOKUP(K2999,METRICS!D:E,2,0)</f>
        <v>DESPESAS FINANCEIRAS</v>
      </c>
    </row>
    <row r="3000" spans="1:12" ht="15" hidden="1">
      <c r="A3000" t="s">
        <v>2245</v>
      </c>
      <c r="B3000" t="s">
        <v>612</v>
      </c>
      <c r="D3000" t="s">
        <v>2387</v>
      </c>
      <c r="E3000" t="s">
        <v>834</v>
      </c>
      <c r="F3000" t="s">
        <v>1272</v>
      </c>
      <c r="G3000" t="s">
        <v>413</v>
      </c>
      <c r="H3000" s="484">
        <v>-12011.48</v>
      </c>
      <c r="I3000" t="str">
        <f t="shared" si="166"/>
        <v>abril 2026</v>
      </c>
      <c r="J3000">
        <f t="shared" si="167"/>
        <v>2026</v>
      </c>
      <c r="K3000" t="str">
        <f>VLOOKUP(G3000,METRICS!C:D,2,0)</f>
        <v>Pescados</v>
      </c>
      <c r="L3000" t="str">
        <f>VLOOKUP(K3000,METRICS!D:E,2,0)</f>
        <v>CUSTOS DOS PRODUTOS VENDIDOS</v>
      </c>
    </row>
    <row r="3001" spans="1:12" ht="15" hidden="1">
      <c r="A3001" t="s">
        <v>2245</v>
      </c>
      <c r="B3001" t="s">
        <v>689</v>
      </c>
      <c r="D3001" t="s">
        <v>2357</v>
      </c>
      <c r="E3001" t="s">
        <v>874</v>
      </c>
      <c r="F3001" t="s">
        <v>1272</v>
      </c>
      <c r="G3001" t="s">
        <v>631</v>
      </c>
      <c r="H3001" s="484">
        <v>-599.9</v>
      </c>
      <c r="I3001" t="str">
        <f t="shared" si="166"/>
        <v>abril 2026</v>
      </c>
      <c r="J3001">
        <f t="shared" si="167"/>
        <v>2026</v>
      </c>
      <c r="K3001" t="str">
        <f>VLOOKUP(G3001,METRICS!C:D,2,0)</f>
        <v>Midias Sociais</v>
      </c>
      <c r="L3001" t="str">
        <f>VLOOKUP(K3001,METRICS!D:E,2,0)</f>
        <v>MARKETING</v>
      </c>
    </row>
    <row r="3002" spans="1:12" ht="15" hidden="1">
      <c r="A3002" t="s">
        <v>2245</v>
      </c>
      <c r="B3002" t="s">
        <v>612</v>
      </c>
      <c r="D3002" t="s">
        <v>2388</v>
      </c>
      <c r="E3002" t="s">
        <v>765</v>
      </c>
      <c r="F3002" t="s">
        <v>1272</v>
      </c>
      <c r="G3002" t="s">
        <v>619</v>
      </c>
      <c r="H3002" s="484">
        <v>-509.6</v>
      </c>
      <c r="I3002" t="str">
        <f t="shared" si="166"/>
        <v>abril 2026</v>
      </c>
      <c r="J3002">
        <f t="shared" si="167"/>
        <v>2026</v>
      </c>
      <c r="K3002" t="str">
        <f>VLOOKUP(G3002,METRICS!C:D,2,0)</f>
        <v>Gelo</v>
      </c>
      <c r="L3002" t="str">
        <f>VLOOKUP(K3002,METRICS!D:E,2,0)</f>
        <v>CUSTOS DOS PRODUTOS VENDIDOS</v>
      </c>
    </row>
    <row r="3003" spans="1:12" ht="15" hidden="1">
      <c r="A3003" t="s">
        <v>2245</v>
      </c>
      <c r="B3003" t="s">
        <v>612</v>
      </c>
      <c r="D3003" t="s">
        <v>2389</v>
      </c>
      <c r="E3003" t="s">
        <v>878</v>
      </c>
      <c r="F3003" t="s">
        <v>1272</v>
      </c>
      <c r="G3003" t="s">
        <v>609</v>
      </c>
      <c r="H3003" s="484">
        <v>-7214.54</v>
      </c>
      <c r="I3003" t="str">
        <f t="shared" si="166"/>
        <v>abril 2026</v>
      </c>
      <c r="J3003">
        <f t="shared" si="167"/>
        <v>2026</v>
      </c>
      <c r="K3003" t="str">
        <f>VLOOKUP(G3003,METRICS!C:D,2,0)</f>
        <v>Carnes e Aves</v>
      </c>
      <c r="L3003" t="str">
        <f>VLOOKUP(K3003,METRICS!D:E,2,0)</f>
        <v>CUSTOS DOS PRODUTOS VENDIDOS</v>
      </c>
    </row>
    <row r="3004" spans="1:12" ht="15" hidden="1">
      <c r="A3004" t="s">
        <v>2245</v>
      </c>
      <c r="B3004" t="s">
        <v>612</v>
      </c>
      <c r="D3004" t="s">
        <v>2390</v>
      </c>
      <c r="E3004" t="s">
        <v>804</v>
      </c>
      <c r="F3004" t="s">
        <v>1272</v>
      </c>
      <c r="G3004" t="s">
        <v>608</v>
      </c>
      <c r="H3004" s="484">
        <v>-12691.35</v>
      </c>
      <c r="I3004" t="str">
        <f t="shared" si="166"/>
        <v>abril 2026</v>
      </c>
      <c r="J3004">
        <f t="shared" si="167"/>
        <v>2026</v>
      </c>
      <c r="K3004" t="str">
        <f>VLOOKUP(G3004,METRICS!C:D,2,0)</f>
        <v>Bebidas não Alcoolicas</v>
      </c>
      <c r="L3004" t="str">
        <f>VLOOKUP(K3004,METRICS!D:E,2,0)</f>
        <v>CUSTOS DOS PRODUTOS VENDIDOS</v>
      </c>
    </row>
    <row r="3005" spans="1:12" ht="15" hidden="1">
      <c r="A3005" t="s">
        <v>2245</v>
      </c>
      <c r="B3005" t="s">
        <v>612</v>
      </c>
      <c r="D3005" s="518" t="s">
        <v>2632</v>
      </c>
      <c r="E3005" s="518" t="s">
        <v>2633</v>
      </c>
      <c r="F3005" t="s">
        <v>1272</v>
      </c>
      <c r="G3005" t="s">
        <v>2634</v>
      </c>
      <c r="H3005" s="484">
        <v>-1598.48</v>
      </c>
      <c r="I3005" t="str">
        <f t="shared" ref="I3005" si="170">TEXT(A3005, "mmmm aaaa")</f>
        <v>abril 2026</v>
      </c>
      <c r="J3005">
        <f t="shared" ref="J3005" si="171">YEAR(A3005)</f>
        <v>2026</v>
      </c>
      <c r="K3005" t="str">
        <f>VLOOKUP(G3005,METRICS!C:D,2,0)</f>
        <v>Despesas de Seguros</v>
      </c>
      <c r="L3005" t="str">
        <f>VLOOKUP(K3005,METRICS!D:E,2,0)</f>
        <v>OPERAÇÃO</v>
      </c>
    </row>
    <row r="3006" spans="1:12" ht="15" hidden="1">
      <c r="A3006" t="s">
        <v>2245</v>
      </c>
      <c r="B3006" t="s">
        <v>612</v>
      </c>
      <c r="D3006" t="s">
        <v>2391</v>
      </c>
      <c r="E3006" t="s">
        <v>811</v>
      </c>
      <c r="F3006" t="s">
        <v>1272</v>
      </c>
      <c r="G3006" t="s">
        <v>636</v>
      </c>
      <c r="H3006" s="484">
        <v>-3990.56</v>
      </c>
      <c r="I3006" t="str">
        <f t="shared" si="166"/>
        <v>abril 2026</v>
      </c>
      <c r="J3006">
        <f t="shared" si="167"/>
        <v>2026</v>
      </c>
      <c r="K3006" t="str">
        <f>VLOOKUP(G3006,METRICS!C:D,2,0)</f>
        <v>Secos - Mercearia</v>
      </c>
      <c r="L3006" t="str">
        <f>VLOOKUP(K3006,METRICS!D:E,2,0)</f>
        <v>CUSTOS DOS PRODUTOS VENDIDOS</v>
      </c>
    </row>
    <row r="3007" spans="1:12" ht="15" hidden="1">
      <c r="A3007" t="s">
        <v>2245</v>
      </c>
      <c r="B3007" t="s">
        <v>612</v>
      </c>
      <c r="D3007" t="s">
        <v>2392</v>
      </c>
      <c r="E3007" t="s">
        <v>824</v>
      </c>
      <c r="F3007" t="s">
        <v>1272</v>
      </c>
      <c r="G3007" t="s">
        <v>413</v>
      </c>
      <c r="H3007" s="484">
        <v>-4388</v>
      </c>
      <c r="I3007" t="str">
        <f t="shared" si="166"/>
        <v>abril 2026</v>
      </c>
      <c r="J3007">
        <f t="shared" si="167"/>
        <v>2026</v>
      </c>
      <c r="K3007" t="str">
        <f>VLOOKUP(G3007,METRICS!C:D,2,0)</f>
        <v>Pescados</v>
      </c>
      <c r="L3007" t="str">
        <f>VLOOKUP(K3007,METRICS!D:E,2,0)</f>
        <v>CUSTOS DOS PRODUTOS VENDIDOS</v>
      </c>
    </row>
    <row r="3008" spans="1:12" ht="15" hidden="1">
      <c r="A3008" t="s">
        <v>2245</v>
      </c>
      <c r="B3008" t="s">
        <v>612</v>
      </c>
      <c r="D3008" t="s">
        <v>2393</v>
      </c>
      <c r="E3008" t="s">
        <v>1249</v>
      </c>
      <c r="F3008" t="s">
        <v>1272</v>
      </c>
      <c r="G3008" t="s">
        <v>413</v>
      </c>
      <c r="H3008" s="484">
        <v>-2397</v>
      </c>
      <c r="I3008" t="str">
        <f t="shared" si="166"/>
        <v>abril 2026</v>
      </c>
      <c r="J3008">
        <f t="shared" si="167"/>
        <v>2026</v>
      </c>
      <c r="K3008" t="str">
        <f>VLOOKUP(G3008,METRICS!C:D,2,0)</f>
        <v>Pescados</v>
      </c>
      <c r="L3008" t="str">
        <f>VLOOKUP(K3008,METRICS!D:E,2,0)</f>
        <v>CUSTOS DOS PRODUTOS VENDIDOS</v>
      </c>
    </row>
    <row r="3009" spans="1:12" ht="15" hidden="1">
      <c r="A3009" t="s">
        <v>2245</v>
      </c>
      <c r="B3009" t="s">
        <v>612</v>
      </c>
      <c r="D3009" t="s">
        <v>2394</v>
      </c>
      <c r="E3009" t="s">
        <v>830</v>
      </c>
      <c r="F3009" t="s">
        <v>1272</v>
      </c>
      <c r="G3009" t="s">
        <v>623</v>
      </c>
      <c r="H3009" s="484">
        <v>-407</v>
      </c>
      <c r="I3009" t="str">
        <f t="shared" si="166"/>
        <v>abril 2026</v>
      </c>
      <c r="J3009">
        <f t="shared" si="167"/>
        <v>2026</v>
      </c>
      <c r="K3009" t="str">
        <f>VLOOKUP(G3009,METRICS!C:D,2,0)</f>
        <v>Secos - Mercearia</v>
      </c>
      <c r="L3009" t="str">
        <f>VLOOKUP(K3009,METRICS!D:E,2,0)</f>
        <v>CUSTOS DOS PRODUTOS VENDIDOS</v>
      </c>
    </row>
    <row r="3010" spans="1:12" ht="15" hidden="1">
      <c r="A3010" t="s">
        <v>2245</v>
      </c>
      <c r="B3010" t="s">
        <v>612</v>
      </c>
      <c r="D3010" t="s">
        <v>2395</v>
      </c>
      <c r="E3010" t="s">
        <v>750</v>
      </c>
      <c r="F3010" t="s">
        <v>1272</v>
      </c>
      <c r="G3010" t="s">
        <v>610</v>
      </c>
      <c r="H3010" s="484">
        <v>-3352</v>
      </c>
      <c r="I3010" t="str">
        <f t="shared" si="166"/>
        <v>abril 2026</v>
      </c>
      <c r="J3010">
        <f t="shared" si="167"/>
        <v>2026</v>
      </c>
      <c r="K3010" t="str">
        <f>VLOOKUP(G3010,METRICS!C:D,2,0)</f>
        <v>Carvão</v>
      </c>
      <c r="L3010" t="str">
        <f>VLOOKUP(K3010,METRICS!D:E,2,0)</f>
        <v>CUSTOS DOS PRODUTOS VENDIDOS</v>
      </c>
    </row>
    <row r="3011" spans="1:12" ht="15" hidden="1">
      <c r="A3011" t="s">
        <v>2245</v>
      </c>
      <c r="B3011" t="s">
        <v>612</v>
      </c>
      <c r="D3011" t="s">
        <v>2396</v>
      </c>
      <c r="E3011" t="s">
        <v>1012</v>
      </c>
      <c r="F3011" t="s">
        <v>1272</v>
      </c>
      <c r="G3011" t="s">
        <v>611</v>
      </c>
      <c r="H3011" s="484">
        <v>-1600.68</v>
      </c>
      <c r="I3011" t="str">
        <f t="shared" si="166"/>
        <v>abril 2026</v>
      </c>
      <c r="J3011">
        <f t="shared" si="167"/>
        <v>2026</v>
      </c>
      <c r="K3011" t="str">
        <f>VLOOKUP(G3011,METRICS!C:D,2,0)</f>
        <v>Bebidas Alcoólicas</v>
      </c>
      <c r="L3011" t="str">
        <f>VLOOKUP(K3011,METRICS!D:E,2,0)</f>
        <v>CUSTOS DOS PRODUTOS VENDIDOS</v>
      </c>
    </row>
    <row r="3012" spans="1:12" ht="15" hidden="1">
      <c r="A3012" t="s">
        <v>2245</v>
      </c>
      <c r="B3012" t="s">
        <v>612</v>
      </c>
      <c r="D3012" t="s">
        <v>2397</v>
      </c>
      <c r="E3012" t="s">
        <v>828</v>
      </c>
      <c r="F3012" t="s">
        <v>1272</v>
      </c>
      <c r="G3012" t="s">
        <v>636</v>
      </c>
      <c r="H3012" s="484">
        <v>-3364.07</v>
      </c>
      <c r="I3012" t="str">
        <f t="shared" ref="I3012:I3068" si="172">TEXT(A3012, "mmmm aaaa")</f>
        <v>abril 2026</v>
      </c>
      <c r="J3012">
        <f t="shared" si="167"/>
        <v>2026</v>
      </c>
      <c r="K3012" t="str">
        <f>VLOOKUP(G3012,METRICS!C:D,2,0)</f>
        <v>Secos - Mercearia</v>
      </c>
      <c r="L3012" t="str">
        <f>VLOOKUP(K3012,METRICS!D:E,2,0)</f>
        <v>CUSTOS DOS PRODUTOS VENDIDOS</v>
      </c>
    </row>
    <row r="3013" spans="1:12" ht="15" hidden="1">
      <c r="A3013" t="s">
        <v>2246</v>
      </c>
      <c r="B3013" t="s">
        <v>612</v>
      </c>
      <c r="D3013" t="s">
        <v>2398</v>
      </c>
      <c r="E3013" t="s">
        <v>802</v>
      </c>
      <c r="F3013" t="s">
        <v>1272</v>
      </c>
      <c r="G3013" t="s">
        <v>633</v>
      </c>
      <c r="H3013" s="484">
        <v>-576</v>
      </c>
      <c r="I3013" t="str">
        <f t="shared" si="172"/>
        <v>abril 2026</v>
      </c>
      <c r="J3013">
        <f t="shared" si="167"/>
        <v>2026</v>
      </c>
      <c r="K3013" t="str">
        <f>VLOOKUP(G3013,METRICS!C:D,2,0)</f>
        <v>Paes, Massas e Salgados</v>
      </c>
      <c r="L3013" t="str">
        <f>VLOOKUP(K3013,METRICS!D:E,2,0)</f>
        <v>CUSTOS DOS PRODUTOS VENDIDOS</v>
      </c>
    </row>
    <row r="3014" spans="1:12" ht="15" hidden="1">
      <c r="A3014" t="s">
        <v>2246</v>
      </c>
      <c r="B3014" t="s">
        <v>689</v>
      </c>
      <c r="D3014" t="s">
        <v>2399</v>
      </c>
      <c r="E3014" t="s">
        <v>2588</v>
      </c>
      <c r="F3014" t="s">
        <v>1272</v>
      </c>
      <c r="G3014" t="s">
        <v>2192</v>
      </c>
      <c r="H3014" s="484">
        <v>-36.93</v>
      </c>
      <c r="I3014" t="str">
        <f t="shared" si="172"/>
        <v>abril 2026</v>
      </c>
      <c r="J3014">
        <f t="shared" si="167"/>
        <v>2026</v>
      </c>
      <c r="K3014" t="str">
        <f>VLOOKUP(G3014,METRICS!C:D,2,0)</f>
        <v>Correio/Cartório/Protestos</v>
      </c>
      <c r="L3014" t="str">
        <f>VLOOKUP(K3014,METRICS!D:E,2,0)</f>
        <v>ADMINISTRATIVA</v>
      </c>
    </row>
    <row r="3015" spans="1:12" ht="15" hidden="1">
      <c r="A3015" t="s">
        <v>2246</v>
      </c>
      <c r="B3015" t="s">
        <v>612</v>
      </c>
      <c r="D3015" t="s">
        <v>2400</v>
      </c>
      <c r="E3015" t="s">
        <v>805</v>
      </c>
      <c r="F3015" t="s">
        <v>1272</v>
      </c>
      <c r="G3015" t="s">
        <v>609</v>
      </c>
      <c r="H3015" s="484">
        <v>-16418.560000000001</v>
      </c>
      <c r="I3015" t="str">
        <f t="shared" si="172"/>
        <v>abril 2026</v>
      </c>
      <c r="J3015">
        <f t="shared" ref="J3015:J3071" si="173">YEAR(A3015)</f>
        <v>2026</v>
      </c>
      <c r="K3015" t="str">
        <f>VLOOKUP(G3015,METRICS!C:D,2,0)</f>
        <v>Carnes e Aves</v>
      </c>
      <c r="L3015" t="str">
        <f>VLOOKUP(K3015,METRICS!D:E,2,0)</f>
        <v>CUSTOS DOS PRODUTOS VENDIDOS</v>
      </c>
    </row>
    <row r="3016" spans="1:12" ht="15" hidden="1">
      <c r="A3016" t="s">
        <v>2246</v>
      </c>
      <c r="B3016" t="s">
        <v>612</v>
      </c>
      <c r="D3016" t="s">
        <v>2401</v>
      </c>
      <c r="E3016" t="s">
        <v>990</v>
      </c>
      <c r="F3016" t="s">
        <v>1272</v>
      </c>
      <c r="G3016" t="s">
        <v>608</v>
      </c>
      <c r="H3016" s="484">
        <v>-2935.88</v>
      </c>
      <c r="I3016" t="str">
        <f t="shared" si="172"/>
        <v>abril 2026</v>
      </c>
      <c r="J3016">
        <f t="shared" si="173"/>
        <v>2026</v>
      </c>
      <c r="K3016" t="str">
        <f>VLOOKUP(G3016,METRICS!C:D,2,0)</f>
        <v>Bebidas não Alcoolicas</v>
      </c>
      <c r="L3016" t="str">
        <f>VLOOKUP(K3016,METRICS!D:E,2,0)</f>
        <v>CUSTOS DOS PRODUTOS VENDIDOS</v>
      </c>
    </row>
    <row r="3017" spans="1:12" ht="15" hidden="1">
      <c r="A3017" t="s">
        <v>2246</v>
      </c>
      <c r="B3017" t="s">
        <v>612</v>
      </c>
      <c r="D3017" t="s">
        <v>2402</v>
      </c>
      <c r="E3017" t="s">
        <v>1691</v>
      </c>
      <c r="F3017" t="s">
        <v>1272</v>
      </c>
      <c r="G3017" t="s">
        <v>623</v>
      </c>
      <c r="H3017" s="484">
        <v>-6477.11</v>
      </c>
      <c r="I3017" t="str">
        <f t="shared" si="172"/>
        <v>abril 2026</v>
      </c>
      <c r="J3017">
        <f t="shared" si="173"/>
        <v>2026</v>
      </c>
      <c r="K3017" t="str">
        <f>VLOOKUP(G3017,METRICS!C:D,2,0)</f>
        <v>Secos - Mercearia</v>
      </c>
      <c r="L3017" t="str">
        <f>VLOOKUP(K3017,METRICS!D:E,2,0)</f>
        <v>CUSTOS DOS PRODUTOS VENDIDOS</v>
      </c>
    </row>
    <row r="3018" spans="1:12" ht="15" hidden="1">
      <c r="A3018" t="s">
        <v>2246</v>
      </c>
      <c r="B3018" t="s">
        <v>689</v>
      </c>
      <c r="D3018" t="s">
        <v>2399</v>
      </c>
      <c r="E3018" t="s">
        <v>2588</v>
      </c>
      <c r="F3018" t="s">
        <v>1272</v>
      </c>
      <c r="G3018" t="s">
        <v>2192</v>
      </c>
      <c r="H3018" s="484">
        <v>-36.93</v>
      </c>
      <c r="I3018" t="str">
        <f t="shared" si="172"/>
        <v>abril 2026</v>
      </c>
      <c r="J3018">
        <f t="shared" si="173"/>
        <v>2026</v>
      </c>
      <c r="K3018" t="str">
        <f>VLOOKUP(G3018,METRICS!C:D,2,0)</f>
        <v>Correio/Cartório/Protestos</v>
      </c>
      <c r="L3018" t="str">
        <f>VLOOKUP(K3018,METRICS!D:E,2,0)</f>
        <v>ADMINISTRATIVA</v>
      </c>
    </row>
    <row r="3019" spans="1:12" ht="15" hidden="1">
      <c r="A3019" t="s">
        <v>2246</v>
      </c>
      <c r="B3019" t="s">
        <v>689</v>
      </c>
      <c r="D3019" t="s">
        <v>2648</v>
      </c>
      <c r="E3019" t="s">
        <v>1704</v>
      </c>
      <c r="F3019" t="s">
        <v>1272</v>
      </c>
      <c r="G3019" t="s">
        <v>668</v>
      </c>
      <c r="H3019" s="484">
        <v>-4500</v>
      </c>
      <c r="I3019" t="str">
        <f t="shared" si="172"/>
        <v>abril 2026</v>
      </c>
      <c r="J3019">
        <f t="shared" si="173"/>
        <v>2026</v>
      </c>
      <c r="K3019" t="str">
        <f>VLOOKUP(G3019,METRICS!C:D,2,0)</f>
        <v>Prestação de Serviço Pessoa Jurídica OP</v>
      </c>
      <c r="L3019" t="str">
        <f>VLOOKUP(K3019,METRICS!D:E,2,0)</f>
        <v>OPERAÇÃO</v>
      </c>
    </row>
    <row r="3020" spans="1:12" ht="15" hidden="1">
      <c r="A3020" t="s">
        <v>2246</v>
      </c>
      <c r="B3020" t="s">
        <v>612</v>
      </c>
      <c r="D3020" t="s">
        <v>2403</v>
      </c>
      <c r="E3020" t="s">
        <v>951</v>
      </c>
      <c r="F3020" t="s">
        <v>1272</v>
      </c>
      <c r="G3020" t="s">
        <v>609</v>
      </c>
      <c r="H3020" s="484">
        <v>-3584.25</v>
      </c>
      <c r="I3020" t="str">
        <f t="shared" si="172"/>
        <v>abril 2026</v>
      </c>
      <c r="J3020">
        <f t="shared" si="173"/>
        <v>2026</v>
      </c>
      <c r="K3020" t="str">
        <f>VLOOKUP(G3020,METRICS!C:D,2,0)</f>
        <v>Carnes e Aves</v>
      </c>
      <c r="L3020" t="str">
        <f>VLOOKUP(K3020,METRICS!D:E,2,0)</f>
        <v>CUSTOS DOS PRODUTOS VENDIDOS</v>
      </c>
    </row>
    <row r="3021" spans="1:12" ht="15" hidden="1">
      <c r="A3021" t="s">
        <v>2246</v>
      </c>
      <c r="B3021" t="s">
        <v>612</v>
      </c>
      <c r="D3021" t="s">
        <v>2404</v>
      </c>
      <c r="E3021" t="s">
        <v>979</v>
      </c>
      <c r="F3021" t="s">
        <v>1272</v>
      </c>
      <c r="G3021" t="s">
        <v>641</v>
      </c>
      <c r="H3021" s="484">
        <v>-4343.88</v>
      </c>
      <c r="I3021" t="str">
        <f t="shared" si="172"/>
        <v>abril 2026</v>
      </c>
      <c r="J3021">
        <f t="shared" si="173"/>
        <v>2026</v>
      </c>
      <c r="K3021" t="str">
        <f>VLOOKUP(G3021,METRICS!C:D,2,0)</f>
        <v>Vinhos/Espumantes</v>
      </c>
      <c r="L3021" t="str">
        <f>VLOOKUP(K3021,METRICS!D:E,2,0)</f>
        <v>CUSTOS DOS PRODUTOS VENDIDOS</v>
      </c>
    </row>
    <row r="3022" spans="1:12" ht="15" hidden="1">
      <c r="A3022" t="s">
        <v>2246</v>
      </c>
      <c r="B3022" t="s">
        <v>612</v>
      </c>
      <c r="D3022" t="s">
        <v>2405</v>
      </c>
      <c r="E3022" t="s">
        <v>2589</v>
      </c>
      <c r="F3022" t="s">
        <v>1272</v>
      </c>
      <c r="G3022" t="s">
        <v>607</v>
      </c>
      <c r="H3022" s="484">
        <v>-8799</v>
      </c>
      <c r="I3022" t="str">
        <f t="shared" si="172"/>
        <v>abril 2026</v>
      </c>
      <c r="J3022">
        <f t="shared" si="173"/>
        <v>2026</v>
      </c>
      <c r="K3022" t="str">
        <f>VLOOKUP(G3022,METRICS!C:D,2,0)</f>
        <v>Bebidas Alcoólicas</v>
      </c>
      <c r="L3022" t="str">
        <f>VLOOKUP(K3022,METRICS!D:E,2,0)</f>
        <v>CUSTOS DOS PRODUTOS VENDIDOS</v>
      </c>
    </row>
    <row r="3023" spans="1:12" ht="15" hidden="1">
      <c r="A3023" t="s">
        <v>2246</v>
      </c>
      <c r="B3023" t="s">
        <v>612</v>
      </c>
      <c r="D3023" t="s">
        <v>2406</v>
      </c>
      <c r="E3023" t="s">
        <v>841</v>
      </c>
      <c r="F3023" t="s">
        <v>1272</v>
      </c>
      <c r="G3023" t="s">
        <v>616</v>
      </c>
      <c r="H3023" s="484">
        <v>-400</v>
      </c>
      <c r="I3023" t="str">
        <f t="shared" si="172"/>
        <v>abril 2026</v>
      </c>
      <c r="J3023">
        <f t="shared" si="173"/>
        <v>2026</v>
      </c>
      <c r="K3023" t="str">
        <f>VLOOKUP(G3023,METRICS!C:D,2,0)</f>
        <v>Enlatados e Conservas</v>
      </c>
      <c r="L3023" t="str">
        <f>VLOOKUP(K3023,METRICS!D:E,2,0)</f>
        <v>CUSTOS DOS PRODUTOS VENDIDOS</v>
      </c>
    </row>
    <row r="3024" spans="1:12" ht="15" hidden="1">
      <c r="A3024" t="s">
        <v>2246</v>
      </c>
      <c r="B3024" t="s">
        <v>689</v>
      </c>
      <c r="D3024" t="s">
        <v>756</v>
      </c>
      <c r="E3024" t="s">
        <v>757</v>
      </c>
      <c r="F3024" t="s">
        <v>1272</v>
      </c>
      <c r="G3024" t="s">
        <v>666</v>
      </c>
      <c r="H3024" s="484">
        <v>-27.06</v>
      </c>
      <c r="I3024" t="str">
        <f t="shared" si="172"/>
        <v>abril 2026</v>
      </c>
      <c r="J3024">
        <f t="shared" si="173"/>
        <v>2026</v>
      </c>
      <c r="K3024" t="str">
        <f>VLOOKUP(G3024,METRICS!C:D,2,0)</f>
        <v>Encargos Bancarios</v>
      </c>
      <c r="L3024" t="str">
        <f>VLOOKUP(K3024,METRICS!D:E,2,0)</f>
        <v>DESPESAS FINANCEIRAS</v>
      </c>
    </row>
    <row r="3025" spans="1:14" ht="15" hidden="1">
      <c r="A3025" t="s">
        <v>2246</v>
      </c>
      <c r="B3025" t="s">
        <v>612</v>
      </c>
      <c r="D3025" t="s">
        <v>2407</v>
      </c>
      <c r="E3025" t="s">
        <v>826</v>
      </c>
      <c r="F3025" t="s">
        <v>1272</v>
      </c>
      <c r="G3025" t="s">
        <v>633</v>
      </c>
      <c r="H3025" s="484">
        <v>-5777</v>
      </c>
      <c r="I3025" t="str">
        <f t="shared" si="172"/>
        <v>abril 2026</v>
      </c>
      <c r="J3025">
        <f t="shared" si="173"/>
        <v>2026</v>
      </c>
      <c r="K3025" t="str">
        <f>VLOOKUP(G3025,METRICS!C:D,2,0)</f>
        <v>Paes, Massas e Salgados</v>
      </c>
      <c r="L3025" t="str">
        <f>VLOOKUP(K3025,METRICS!D:E,2,0)</f>
        <v>CUSTOS DOS PRODUTOS VENDIDOS</v>
      </c>
    </row>
    <row r="3026" spans="1:14" ht="15" hidden="1">
      <c r="A3026" t="s">
        <v>2247</v>
      </c>
      <c r="B3026" t="s">
        <v>612</v>
      </c>
      <c r="D3026" t="s">
        <v>2408</v>
      </c>
      <c r="E3026" t="s">
        <v>770</v>
      </c>
      <c r="F3026" t="s">
        <v>1272</v>
      </c>
      <c r="G3026" t="s">
        <v>630</v>
      </c>
      <c r="H3026" s="484">
        <v>-1328.02</v>
      </c>
      <c r="I3026" t="str">
        <f t="shared" si="172"/>
        <v>abril 2026</v>
      </c>
      <c r="J3026">
        <f t="shared" si="173"/>
        <v>2026</v>
      </c>
      <c r="K3026" t="str">
        <f>VLOOKUP(G3026,METRICS!C:D,2,0)</f>
        <v>Material de Copa e Limpeza</v>
      </c>
      <c r="L3026" t="str">
        <f>VLOOKUP(K3026,METRICS!D:E,2,0)</f>
        <v>ADMINISTRATIVA</v>
      </c>
    </row>
    <row r="3027" spans="1:14" ht="15" hidden="1">
      <c r="A3027" t="s">
        <v>2247</v>
      </c>
      <c r="B3027" t="s">
        <v>612</v>
      </c>
      <c r="D3027" t="s">
        <v>2409</v>
      </c>
      <c r="E3027" t="s">
        <v>752</v>
      </c>
      <c r="F3027" t="s">
        <v>1272</v>
      </c>
      <c r="G3027" t="s">
        <v>609</v>
      </c>
      <c r="H3027" s="484">
        <v>-1009.11</v>
      </c>
      <c r="I3027" t="str">
        <f t="shared" si="172"/>
        <v>abril 2026</v>
      </c>
      <c r="J3027">
        <f t="shared" si="173"/>
        <v>2026</v>
      </c>
      <c r="K3027" t="str">
        <f>VLOOKUP(G3027,METRICS!C:D,2,0)</f>
        <v>Carnes e Aves</v>
      </c>
      <c r="L3027" t="str">
        <f>VLOOKUP(K3027,METRICS!D:E,2,0)</f>
        <v>CUSTOS DOS PRODUTOS VENDIDOS</v>
      </c>
    </row>
    <row r="3028" spans="1:14" ht="15" hidden="1">
      <c r="A3028" t="s">
        <v>2247</v>
      </c>
      <c r="B3028" t="s">
        <v>612</v>
      </c>
      <c r="D3028" t="s">
        <v>2410</v>
      </c>
      <c r="E3028" t="s">
        <v>774</v>
      </c>
      <c r="F3028" t="s">
        <v>1272</v>
      </c>
      <c r="G3028" t="s">
        <v>629</v>
      </c>
      <c r="H3028" s="484">
        <v>-1299.8699999999999</v>
      </c>
      <c r="I3028" t="str">
        <f t="shared" si="172"/>
        <v>abril 2026</v>
      </c>
      <c r="J3028">
        <f t="shared" si="173"/>
        <v>2026</v>
      </c>
      <c r="K3028" t="str">
        <f>VLOOKUP(G3028,METRICS!C:D,2,0)</f>
        <v>Material de limpeza</v>
      </c>
      <c r="L3028" t="str">
        <f>VLOOKUP(K3028,METRICS!D:E,2,0)</f>
        <v>OPERAÇÃO</v>
      </c>
    </row>
    <row r="3029" spans="1:14" ht="15" hidden="1">
      <c r="A3029" t="s">
        <v>2247</v>
      </c>
      <c r="B3029" t="s">
        <v>689</v>
      </c>
      <c r="D3029" t="s">
        <v>1808</v>
      </c>
      <c r="E3029" t="s">
        <v>958</v>
      </c>
      <c r="F3029" t="s">
        <v>1272</v>
      </c>
      <c r="G3029" t="s">
        <v>660</v>
      </c>
      <c r="H3029" s="484">
        <v>-205.86</v>
      </c>
      <c r="I3029" t="str">
        <f t="shared" si="172"/>
        <v>abril 2026</v>
      </c>
      <c r="J3029">
        <f t="shared" si="173"/>
        <v>2026</v>
      </c>
      <c r="K3029" t="str">
        <f>VLOOKUP(G3029,METRICS!C:D,2,0)</f>
        <v>Telefone e Internet</v>
      </c>
      <c r="L3029" t="str">
        <f>VLOOKUP(K3029,METRICS!D:E,2,0)</f>
        <v>ADMINISTRATIVA</v>
      </c>
    </row>
    <row r="3030" spans="1:14" ht="15" hidden="1">
      <c r="A3030" t="s">
        <v>2247</v>
      </c>
      <c r="B3030" t="s">
        <v>612</v>
      </c>
      <c r="D3030" t="s">
        <v>2411</v>
      </c>
      <c r="E3030" t="s">
        <v>878</v>
      </c>
      <c r="F3030" t="s">
        <v>1272</v>
      </c>
      <c r="G3030" t="s">
        <v>609</v>
      </c>
      <c r="H3030" s="484">
        <v>-1092.69</v>
      </c>
      <c r="I3030" t="str">
        <f t="shared" si="172"/>
        <v>abril 2026</v>
      </c>
      <c r="J3030">
        <f t="shared" si="173"/>
        <v>2026</v>
      </c>
      <c r="K3030" t="str">
        <f>VLOOKUP(G3030,METRICS!C:D,2,0)</f>
        <v>Carnes e Aves</v>
      </c>
      <c r="L3030" t="str">
        <f>VLOOKUP(K3030,METRICS!D:E,2,0)</f>
        <v>CUSTOS DOS PRODUTOS VENDIDOS</v>
      </c>
    </row>
    <row r="3031" spans="1:14" ht="15" hidden="1">
      <c r="A3031" t="s">
        <v>2247</v>
      </c>
      <c r="B3031" t="s">
        <v>612</v>
      </c>
      <c r="D3031" t="s">
        <v>2412</v>
      </c>
      <c r="E3031" t="s">
        <v>1005</v>
      </c>
      <c r="F3031" t="s">
        <v>1272</v>
      </c>
      <c r="G3031" t="s">
        <v>608</v>
      </c>
      <c r="H3031" s="484">
        <v>-1143.5999999999999</v>
      </c>
      <c r="I3031" t="str">
        <f t="shared" si="172"/>
        <v>abril 2026</v>
      </c>
      <c r="J3031">
        <f t="shared" si="173"/>
        <v>2026</v>
      </c>
      <c r="K3031" t="str">
        <f>VLOOKUP(G3031,METRICS!C:D,2,0)</f>
        <v>Bebidas não Alcoolicas</v>
      </c>
      <c r="L3031" t="str">
        <f>VLOOKUP(K3031,METRICS!D:E,2,0)</f>
        <v>CUSTOS DOS PRODUTOS VENDIDOS</v>
      </c>
    </row>
    <row r="3032" spans="1:14" ht="15">
      <c r="A3032" t="s">
        <v>2247</v>
      </c>
      <c r="B3032" t="s">
        <v>689</v>
      </c>
      <c r="D3032" s="518" t="s">
        <v>2616</v>
      </c>
      <c r="F3032" t="s">
        <v>1272</v>
      </c>
      <c r="G3032" t="s">
        <v>627</v>
      </c>
      <c r="H3032" s="484">
        <v>-2044</v>
      </c>
      <c r="I3032" t="str">
        <f t="shared" si="172"/>
        <v>abril 2026</v>
      </c>
      <c r="J3032">
        <f t="shared" si="173"/>
        <v>2026</v>
      </c>
      <c r="K3032" t="str">
        <f>VLOOKUP(G3032,METRICS!C:D,2,0)</f>
        <v>Manutenção e Conservação</v>
      </c>
      <c r="L3032" t="str">
        <f>VLOOKUP(K3032,METRICS!D:E,2,0)</f>
        <v>OPERAÇÃO</v>
      </c>
      <c r="N3032" s="518" t="s">
        <v>2643</v>
      </c>
    </row>
    <row r="3033" spans="1:14" ht="15" hidden="1">
      <c r="A3033" t="s">
        <v>2247</v>
      </c>
      <c r="B3033" t="s">
        <v>612</v>
      </c>
      <c r="D3033" t="s">
        <v>2413</v>
      </c>
      <c r="E3033" t="s">
        <v>898</v>
      </c>
      <c r="F3033" t="s">
        <v>1272</v>
      </c>
      <c r="G3033" t="s">
        <v>623</v>
      </c>
      <c r="H3033" s="484">
        <v>-813.6</v>
      </c>
      <c r="I3033" t="str">
        <f t="shared" si="172"/>
        <v>abril 2026</v>
      </c>
      <c r="J3033">
        <f t="shared" si="173"/>
        <v>2026</v>
      </c>
      <c r="K3033" t="str">
        <f>VLOOKUP(G3033,METRICS!C:D,2,0)</f>
        <v>Secos - Mercearia</v>
      </c>
      <c r="L3033" t="str">
        <f>VLOOKUP(K3033,METRICS!D:E,2,0)</f>
        <v>CUSTOS DOS PRODUTOS VENDIDOS</v>
      </c>
    </row>
    <row r="3034" spans="1:14" ht="15" hidden="1">
      <c r="A3034" t="s">
        <v>2247</v>
      </c>
      <c r="B3034" t="s">
        <v>689</v>
      </c>
      <c r="D3034" t="s">
        <v>2399</v>
      </c>
      <c r="E3034" t="s">
        <v>2588</v>
      </c>
      <c r="F3034" t="s">
        <v>1272</v>
      </c>
      <c r="G3034" t="s">
        <v>2192</v>
      </c>
      <c r="H3034" s="484">
        <v>-36.93</v>
      </c>
      <c r="I3034" t="str">
        <f t="shared" si="172"/>
        <v>abril 2026</v>
      </c>
      <c r="J3034">
        <f t="shared" si="173"/>
        <v>2026</v>
      </c>
      <c r="K3034" t="str">
        <f>VLOOKUP(G3034,METRICS!C:D,2,0)</f>
        <v>Correio/Cartório/Protestos</v>
      </c>
      <c r="L3034" t="str">
        <f>VLOOKUP(K3034,METRICS!D:E,2,0)</f>
        <v>ADMINISTRATIVA</v>
      </c>
    </row>
    <row r="3035" spans="1:14" ht="15" hidden="1">
      <c r="A3035" t="s">
        <v>2247</v>
      </c>
      <c r="B3035" t="s">
        <v>689</v>
      </c>
      <c r="D3035" t="s">
        <v>756</v>
      </c>
      <c r="E3035" t="s">
        <v>757</v>
      </c>
      <c r="F3035" t="s">
        <v>1272</v>
      </c>
      <c r="G3035" t="s">
        <v>666</v>
      </c>
      <c r="H3035" s="484">
        <v>-69.3</v>
      </c>
      <c r="I3035" t="str">
        <f t="shared" si="172"/>
        <v>abril 2026</v>
      </c>
      <c r="J3035">
        <f t="shared" si="173"/>
        <v>2026</v>
      </c>
      <c r="K3035" t="str">
        <f>VLOOKUP(G3035,METRICS!C:D,2,0)</f>
        <v>Encargos Bancarios</v>
      </c>
      <c r="L3035" t="str">
        <f>VLOOKUP(K3035,METRICS!D:E,2,0)</f>
        <v>DESPESAS FINANCEIRAS</v>
      </c>
    </row>
    <row r="3036" spans="1:14" ht="15" hidden="1">
      <c r="A3036" t="s">
        <v>2247</v>
      </c>
      <c r="B3036" t="s">
        <v>612</v>
      </c>
      <c r="D3036" t="s">
        <v>2414</v>
      </c>
      <c r="E3036" t="s">
        <v>1712</v>
      </c>
      <c r="F3036" t="s">
        <v>1272</v>
      </c>
      <c r="G3036" t="s">
        <v>641</v>
      </c>
      <c r="H3036" s="484">
        <v>-7108.44</v>
      </c>
      <c r="I3036" t="str">
        <f t="shared" si="172"/>
        <v>abril 2026</v>
      </c>
      <c r="J3036">
        <f t="shared" si="173"/>
        <v>2026</v>
      </c>
      <c r="K3036" t="str">
        <f>VLOOKUP(G3036,METRICS!C:D,2,0)</f>
        <v>Vinhos/Espumantes</v>
      </c>
      <c r="L3036" t="str">
        <f>VLOOKUP(K3036,METRICS!D:E,2,0)</f>
        <v>CUSTOS DOS PRODUTOS VENDIDOS</v>
      </c>
    </row>
    <row r="3037" spans="1:14" ht="15" hidden="1">
      <c r="A3037" t="s">
        <v>2247</v>
      </c>
      <c r="B3037" t="s">
        <v>612</v>
      </c>
      <c r="D3037" t="s">
        <v>2415</v>
      </c>
      <c r="E3037" t="s">
        <v>898</v>
      </c>
      <c r="F3037" t="s">
        <v>1272</v>
      </c>
      <c r="G3037" t="s">
        <v>609</v>
      </c>
      <c r="H3037" s="484">
        <v>-3848.74</v>
      </c>
      <c r="I3037" t="str">
        <f t="shared" si="172"/>
        <v>abril 2026</v>
      </c>
      <c r="J3037">
        <f t="shared" si="173"/>
        <v>2026</v>
      </c>
      <c r="K3037" t="str">
        <f>VLOOKUP(G3037,METRICS!C:D,2,0)</f>
        <v>Carnes e Aves</v>
      </c>
      <c r="L3037" t="str">
        <f>VLOOKUP(K3037,METRICS!D:E,2,0)</f>
        <v>CUSTOS DOS PRODUTOS VENDIDOS</v>
      </c>
    </row>
    <row r="3038" spans="1:14" ht="15" hidden="1">
      <c r="A3038" t="s">
        <v>2247</v>
      </c>
      <c r="B3038" t="s">
        <v>612</v>
      </c>
      <c r="D3038" t="s">
        <v>2416</v>
      </c>
      <c r="E3038" t="s">
        <v>979</v>
      </c>
      <c r="F3038" t="s">
        <v>1272</v>
      </c>
      <c r="G3038" t="s">
        <v>641</v>
      </c>
      <c r="H3038" s="484">
        <v>-936</v>
      </c>
      <c r="I3038" t="str">
        <f t="shared" si="172"/>
        <v>abril 2026</v>
      </c>
      <c r="J3038">
        <f t="shared" si="173"/>
        <v>2026</v>
      </c>
      <c r="K3038" t="str">
        <f>VLOOKUP(G3038,METRICS!C:D,2,0)</f>
        <v>Vinhos/Espumantes</v>
      </c>
      <c r="L3038" t="str">
        <f>VLOOKUP(K3038,METRICS!D:E,2,0)</f>
        <v>CUSTOS DOS PRODUTOS VENDIDOS</v>
      </c>
    </row>
    <row r="3039" spans="1:14" ht="15" hidden="1">
      <c r="A3039" t="s">
        <v>2247</v>
      </c>
      <c r="B3039" t="s">
        <v>612</v>
      </c>
      <c r="D3039" t="s">
        <v>2417</v>
      </c>
      <c r="E3039" t="s">
        <v>727</v>
      </c>
      <c r="F3039" t="s">
        <v>1272</v>
      </c>
      <c r="G3039" t="s">
        <v>620</v>
      </c>
      <c r="H3039" s="484">
        <v>-3671.53</v>
      </c>
      <c r="I3039" t="str">
        <f t="shared" si="172"/>
        <v>abril 2026</v>
      </c>
      <c r="J3039">
        <f t="shared" si="173"/>
        <v>2026</v>
      </c>
      <c r="K3039" t="str">
        <f>VLOOKUP(G3039,METRICS!C:D,2,0)</f>
        <v>Hortifruti</v>
      </c>
      <c r="L3039" t="str">
        <f>VLOOKUP(K3039,METRICS!D:E,2,0)</f>
        <v>CUSTOS DOS PRODUTOS VENDIDOS</v>
      </c>
    </row>
    <row r="3040" spans="1:14" ht="15" hidden="1">
      <c r="A3040" t="s">
        <v>2247</v>
      </c>
      <c r="B3040" t="s">
        <v>612</v>
      </c>
      <c r="D3040" t="s">
        <v>2418</v>
      </c>
      <c r="E3040" t="s">
        <v>830</v>
      </c>
      <c r="F3040" t="s">
        <v>1272</v>
      </c>
      <c r="G3040" t="s">
        <v>623</v>
      </c>
      <c r="H3040" s="484">
        <v>-305.25</v>
      </c>
      <c r="I3040" t="str">
        <f t="shared" si="172"/>
        <v>abril 2026</v>
      </c>
      <c r="J3040">
        <f t="shared" si="173"/>
        <v>2026</v>
      </c>
      <c r="K3040" t="str">
        <f>VLOOKUP(G3040,METRICS!C:D,2,0)</f>
        <v>Secos - Mercearia</v>
      </c>
      <c r="L3040" t="str">
        <f>VLOOKUP(K3040,METRICS!D:E,2,0)</f>
        <v>CUSTOS DOS PRODUTOS VENDIDOS</v>
      </c>
    </row>
    <row r="3041" spans="1:12" ht="15" hidden="1">
      <c r="A3041" t="s">
        <v>2247</v>
      </c>
      <c r="B3041" t="s">
        <v>612</v>
      </c>
      <c r="D3041" t="s">
        <v>2419</v>
      </c>
      <c r="E3041" t="s">
        <v>745</v>
      </c>
      <c r="F3041" t="s">
        <v>1272</v>
      </c>
      <c r="G3041" t="s">
        <v>620</v>
      </c>
      <c r="H3041" s="484">
        <v>-445.45</v>
      </c>
      <c r="I3041" t="str">
        <f t="shared" si="172"/>
        <v>abril 2026</v>
      </c>
      <c r="J3041">
        <f t="shared" si="173"/>
        <v>2026</v>
      </c>
      <c r="K3041" t="str">
        <f>VLOOKUP(G3041,METRICS!C:D,2,0)</f>
        <v>Hortifruti</v>
      </c>
      <c r="L3041" t="str">
        <f>VLOOKUP(K3041,METRICS!D:E,2,0)</f>
        <v>CUSTOS DOS PRODUTOS VENDIDOS</v>
      </c>
    </row>
    <row r="3042" spans="1:12" ht="15" hidden="1">
      <c r="A3042" t="s">
        <v>2247</v>
      </c>
      <c r="B3042" t="s">
        <v>612</v>
      </c>
      <c r="D3042" t="s">
        <v>2420</v>
      </c>
      <c r="E3042" t="s">
        <v>820</v>
      </c>
      <c r="F3042" t="s">
        <v>1272</v>
      </c>
      <c r="G3042" t="s">
        <v>611</v>
      </c>
      <c r="H3042" s="484">
        <v>-2247.16</v>
      </c>
      <c r="I3042" t="str">
        <f t="shared" si="172"/>
        <v>abril 2026</v>
      </c>
      <c r="J3042">
        <f t="shared" si="173"/>
        <v>2026</v>
      </c>
      <c r="K3042" t="str">
        <f>VLOOKUP(G3042,METRICS!C:D,2,0)</f>
        <v>Bebidas Alcoólicas</v>
      </c>
      <c r="L3042" t="str">
        <f>VLOOKUP(K3042,METRICS!D:E,2,0)</f>
        <v>CUSTOS DOS PRODUTOS VENDIDOS</v>
      </c>
    </row>
    <row r="3043" spans="1:12" ht="15" hidden="1">
      <c r="A3043" t="s">
        <v>2247</v>
      </c>
      <c r="B3043" t="s">
        <v>612</v>
      </c>
      <c r="D3043" t="s">
        <v>2421</v>
      </c>
      <c r="E3043" t="s">
        <v>878</v>
      </c>
      <c r="F3043" t="s">
        <v>1272</v>
      </c>
      <c r="G3043" t="s">
        <v>609</v>
      </c>
      <c r="H3043" s="484">
        <v>-13247.31</v>
      </c>
      <c r="I3043" t="str">
        <f t="shared" si="172"/>
        <v>abril 2026</v>
      </c>
      <c r="J3043">
        <f t="shared" si="173"/>
        <v>2026</v>
      </c>
      <c r="K3043" t="str">
        <f>VLOOKUP(G3043,METRICS!C:D,2,0)</f>
        <v>Carnes e Aves</v>
      </c>
      <c r="L3043" t="str">
        <f>VLOOKUP(K3043,METRICS!D:E,2,0)</f>
        <v>CUSTOS DOS PRODUTOS VENDIDOS</v>
      </c>
    </row>
    <row r="3044" spans="1:12" ht="15" hidden="1">
      <c r="A3044" t="s">
        <v>2248</v>
      </c>
      <c r="B3044" t="s">
        <v>689</v>
      </c>
      <c r="D3044" t="s">
        <v>2422</v>
      </c>
      <c r="E3044" t="s">
        <v>2590</v>
      </c>
      <c r="F3044" t="s">
        <v>1272</v>
      </c>
      <c r="G3044" t="s">
        <v>615</v>
      </c>
      <c r="H3044" s="484">
        <v>-5094</v>
      </c>
      <c r="I3044" t="str">
        <f t="shared" si="172"/>
        <v>abril 2026</v>
      </c>
      <c r="J3044">
        <f t="shared" si="173"/>
        <v>2026</v>
      </c>
      <c r="K3044" t="str">
        <f>VLOOKUP(G3044,METRICS!C:D,2,0)</f>
        <v>Embalagens</v>
      </c>
      <c r="L3044" t="str">
        <f>VLOOKUP(K3044,METRICS!D:E,2,0)</f>
        <v>OPERAÇÃO</v>
      </c>
    </row>
    <row r="3045" spans="1:12" ht="15" hidden="1">
      <c r="A3045" t="s">
        <v>2248</v>
      </c>
      <c r="B3045" t="s">
        <v>612</v>
      </c>
      <c r="D3045" t="s">
        <v>2423</v>
      </c>
      <c r="E3045" t="s">
        <v>811</v>
      </c>
      <c r="F3045" t="s">
        <v>1272</v>
      </c>
      <c r="G3045" t="s">
        <v>636</v>
      </c>
      <c r="H3045" s="484">
        <v>-985.1</v>
      </c>
      <c r="I3045" t="str">
        <f t="shared" si="172"/>
        <v>abril 2026</v>
      </c>
      <c r="J3045">
        <f t="shared" si="173"/>
        <v>2026</v>
      </c>
      <c r="K3045" t="str">
        <f>VLOOKUP(G3045,METRICS!C:D,2,0)</f>
        <v>Secos - Mercearia</v>
      </c>
      <c r="L3045" t="str">
        <f>VLOOKUP(K3045,METRICS!D:E,2,0)</f>
        <v>CUSTOS DOS PRODUTOS VENDIDOS</v>
      </c>
    </row>
    <row r="3046" spans="1:12" ht="15" hidden="1">
      <c r="A3046" t="s">
        <v>2248</v>
      </c>
      <c r="B3046" t="s">
        <v>612</v>
      </c>
      <c r="D3046" t="s">
        <v>2424</v>
      </c>
      <c r="E3046" t="s">
        <v>780</v>
      </c>
      <c r="F3046" t="s">
        <v>1272</v>
      </c>
      <c r="G3046" t="s">
        <v>611</v>
      </c>
      <c r="H3046" s="484">
        <v>-522.13</v>
      </c>
      <c r="I3046" t="str">
        <f t="shared" si="172"/>
        <v>abril 2026</v>
      </c>
      <c r="J3046">
        <f t="shared" si="173"/>
        <v>2026</v>
      </c>
      <c r="K3046" t="str">
        <f>VLOOKUP(G3046,METRICS!C:D,2,0)</f>
        <v>Bebidas Alcoólicas</v>
      </c>
      <c r="L3046" t="str">
        <f>VLOOKUP(K3046,METRICS!D:E,2,0)</f>
        <v>CUSTOS DOS PRODUTOS VENDIDOS</v>
      </c>
    </row>
    <row r="3047" spans="1:12" ht="15" hidden="1">
      <c r="A3047" t="s">
        <v>2248</v>
      </c>
      <c r="B3047" t="s">
        <v>689</v>
      </c>
      <c r="D3047" t="s">
        <v>2425</v>
      </c>
      <c r="E3047" s="518" t="s">
        <v>1672</v>
      </c>
      <c r="F3047" t="s">
        <v>1272</v>
      </c>
      <c r="G3047" s="518" t="s">
        <v>2231</v>
      </c>
      <c r="H3047" s="595">
        <v>-2097.46</v>
      </c>
      <c r="I3047" t="str">
        <f t="shared" si="172"/>
        <v>abril 2026</v>
      </c>
      <c r="J3047">
        <f t="shared" si="173"/>
        <v>2026</v>
      </c>
      <c r="K3047" t="e">
        <f>VLOOKUP(G3047,METRICS!C:D,2,0)</f>
        <v>#N/A</v>
      </c>
      <c r="L3047" t="e">
        <f>VLOOKUP(K3047,METRICS!D:E,2,0)</f>
        <v>#N/A</v>
      </c>
    </row>
    <row r="3048" spans="1:12" ht="15" hidden="1">
      <c r="A3048" t="s">
        <v>2248</v>
      </c>
      <c r="B3048" t="s">
        <v>612</v>
      </c>
      <c r="D3048" t="s">
        <v>2426</v>
      </c>
      <c r="E3048" t="s">
        <v>784</v>
      </c>
      <c r="F3048" t="s">
        <v>1272</v>
      </c>
      <c r="G3048" t="s">
        <v>636</v>
      </c>
      <c r="H3048" s="484">
        <v>-2870</v>
      </c>
      <c r="I3048" t="str">
        <f t="shared" si="172"/>
        <v>abril 2026</v>
      </c>
      <c r="J3048">
        <f t="shared" si="173"/>
        <v>2026</v>
      </c>
      <c r="K3048" t="str">
        <f>VLOOKUP(G3048,METRICS!C:D,2,0)</f>
        <v>Secos - Mercearia</v>
      </c>
      <c r="L3048" t="str">
        <f>VLOOKUP(K3048,METRICS!D:E,2,0)</f>
        <v>CUSTOS DOS PRODUTOS VENDIDOS</v>
      </c>
    </row>
    <row r="3049" spans="1:12" ht="15" hidden="1">
      <c r="A3049" t="s">
        <v>2248</v>
      </c>
      <c r="B3049" t="s">
        <v>612</v>
      </c>
      <c r="D3049" t="s">
        <v>2427</v>
      </c>
      <c r="E3049" t="s">
        <v>828</v>
      </c>
      <c r="F3049" t="s">
        <v>1272</v>
      </c>
      <c r="G3049" t="s">
        <v>636</v>
      </c>
      <c r="H3049" s="484">
        <v>-718.21</v>
      </c>
      <c r="I3049" t="str">
        <f t="shared" si="172"/>
        <v>abril 2026</v>
      </c>
      <c r="J3049">
        <f t="shared" si="173"/>
        <v>2026</v>
      </c>
      <c r="K3049" t="str">
        <f>VLOOKUP(G3049,METRICS!C:D,2,0)</f>
        <v>Secos - Mercearia</v>
      </c>
      <c r="L3049" t="str">
        <f>VLOOKUP(K3049,METRICS!D:E,2,0)</f>
        <v>CUSTOS DOS PRODUTOS VENDIDOS</v>
      </c>
    </row>
    <row r="3050" spans="1:12" ht="15" hidden="1">
      <c r="A3050" t="s">
        <v>2248</v>
      </c>
      <c r="B3050" t="s">
        <v>612</v>
      </c>
      <c r="D3050" t="s">
        <v>2428</v>
      </c>
      <c r="E3050" t="s">
        <v>921</v>
      </c>
      <c r="F3050" t="s">
        <v>1272</v>
      </c>
      <c r="G3050" t="s">
        <v>636</v>
      </c>
      <c r="H3050" s="484">
        <v>-384.9</v>
      </c>
      <c r="I3050" t="str">
        <f t="shared" si="172"/>
        <v>abril 2026</v>
      </c>
      <c r="J3050">
        <f t="shared" si="173"/>
        <v>2026</v>
      </c>
      <c r="K3050" t="str">
        <f>VLOOKUP(G3050,METRICS!C:D,2,0)</f>
        <v>Secos - Mercearia</v>
      </c>
      <c r="L3050" t="str">
        <f>VLOOKUP(K3050,METRICS!D:E,2,0)</f>
        <v>CUSTOS DOS PRODUTOS VENDIDOS</v>
      </c>
    </row>
    <row r="3051" spans="1:12" ht="15" hidden="1">
      <c r="A3051" t="s">
        <v>2248</v>
      </c>
      <c r="B3051" t="s">
        <v>689</v>
      </c>
      <c r="D3051" t="s">
        <v>1967</v>
      </c>
      <c r="E3051" t="s">
        <v>2591</v>
      </c>
      <c r="F3051" t="s">
        <v>1272</v>
      </c>
      <c r="G3051" t="s">
        <v>651</v>
      </c>
      <c r="H3051" s="484">
        <v>-11678.55</v>
      </c>
      <c r="I3051" t="str">
        <f t="shared" si="172"/>
        <v>abril 2026</v>
      </c>
      <c r="J3051">
        <f t="shared" si="173"/>
        <v>2026</v>
      </c>
      <c r="K3051" t="str">
        <f>VLOOKUP(G3051,METRICS!C:D,2,0)</f>
        <v>Assistência Médica e Social</v>
      </c>
      <c r="L3051" t="str">
        <f>VLOOKUP(K3051,METRICS!D:E,2,0)</f>
        <v>PESSOAL</v>
      </c>
    </row>
    <row r="3052" spans="1:12" ht="15" hidden="1">
      <c r="A3052" t="s">
        <v>2248</v>
      </c>
      <c r="B3052" t="s">
        <v>612</v>
      </c>
      <c r="D3052" t="s">
        <v>2429</v>
      </c>
      <c r="E3052" t="s">
        <v>866</v>
      </c>
      <c r="F3052" t="s">
        <v>1272</v>
      </c>
      <c r="G3052" t="s">
        <v>627</v>
      </c>
      <c r="H3052" s="484">
        <v>-2187.0500000000002</v>
      </c>
      <c r="I3052" t="str">
        <f t="shared" si="172"/>
        <v>abril 2026</v>
      </c>
      <c r="J3052">
        <f t="shared" si="173"/>
        <v>2026</v>
      </c>
      <c r="K3052" t="str">
        <f>VLOOKUP(G3052,METRICS!C:D,2,0)</f>
        <v>Manutenção e Conservação</v>
      </c>
      <c r="L3052" t="str">
        <f>VLOOKUP(K3052,METRICS!D:E,2,0)</f>
        <v>OPERAÇÃO</v>
      </c>
    </row>
    <row r="3053" spans="1:12" ht="15" hidden="1">
      <c r="A3053" t="s">
        <v>2248</v>
      </c>
      <c r="B3053" t="s">
        <v>689</v>
      </c>
      <c r="D3053" t="s">
        <v>2430</v>
      </c>
      <c r="E3053" t="s">
        <v>791</v>
      </c>
      <c r="F3053" t="s">
        <v>1272</v>
      </c>
      <c r="G3053" t="s">
        <v>648</v>
      </c>
      <c r="H3053" s="484">
        <v>-74564.59</v>
      </c>
      <c r="I3053" t="str">
        <f t="shared" si="172"/>
        <v>abril 2026</v>
      </c>
      <c r="J3053">
        <f t="shared" si="173"/>
        <v>2026</v>
      </c>
      <c r="K3053" t="str">
        <f>VLOOKUP(G3053,METRICS!C:D,2,0)</f>
        <v>Salários e Ordenados</v>
      </c>
      <c r="L3053" t="str">
        <f>VLOOKUP(K3053,METRICS!D:E,2,0)</f>
        <v>PESSOAL</v>
      </c>
    </row>
    <row r="3054" spans="1:12" ht="15" hidden="1">
      <c r="A3054" t="s">
        <v>2248</v>
      </c>
      <c r="B3054" t="s">
        <v>612</v>
      </c>
      <c r="D3054" t="s">
        <v>2431</v>
      </c>
      <c r="E3054" t="s">
        <v>1249</v>
      </c>
      <c r="F3054" t="s">
        <v>1272</v>
      </c>
      <c r="G3054" t="s">
        <v>413</v>
      </c>
      <c r="H3054" s="484">
        <v>-1198.5</v>
      </c>
      <c r="I3054" t="str">
        <f t="shared" si="172"/>
        <v>abril 2026</v>
      </c>
      <c r="J3054">
        <f t="shared" si="173"/>
        <v>2026</v>
      </c>
      <c r="K3054" t="str">
        <f>VLOOKUP(G3054,METRICS!C:D,2,0)</f>
        <v>Pescados</v>
      </c>
      <c r="L3054" t="str">
        <f>VLOOKUP(K3054,METRICS!D:E,2,0)</f>
        <v>CUSTOS DOS PRODUTOS VENDIDOS</v>
      </c>
    </row>
    <row r="3055" spans="1:12" ht="15" hidden="1">
      <c r="A3055" t="s">
        <v>2248</v>
      </c>
      <c r="B3055" t="s">
        <v>612</v>
      </c>
      <c r="D3055" t="s">
        <v>2432</v>
      </c>
      <c r="E3055" t="s">
        <v>1153</v>
      </c>
      <c r="F3055" t="s">
        <v>1272</v>
      </c>
      <c r="G3055" t="s">
        <v>607</v>
      </c>
      <c r="H3055" s="484">
        <v>-392</v>
      </c>
      <c r="I3055" t="str">
        <f t="shared" si="172"/>
        <v>abril 2026</v>
      </c>
      <c r="J3055">
        <f t="shared" si="173"/>
        <v>2026</v>
      </c>
      <c r="K3055" t="str">
        <f>VLOOKUP(G3055,METRICS!C:D,2,0)</f>
        <v>Bebidas Alcoólicas</v>
      </c>
      <c r="L3055" t="str">
        <f>VLOOKUP(K3055,METRICS!D:E,2,0)</f>
        <v>CUSTOS DOS PRODUTOS VENDIDOS</v>
      </c>
    </row>
    <row r="3056" spans="1:12" ht="15" hidden="1">
      <c r="A3056" t="s">
        <v>2248</v>
      </c>
      <c r="B3056" t="s">
        <v>612</v>
      </c>
      <c r="D3056" t="s">
        <v>2433</v>
      </c>
      <c r="E3056" t="s">
        <v>1712</v>
      </c>
      <c r="F3056" t="s">
        <v>1272</v>
      </c>
      <c r="G3056" t="s">
        <v>641</v>
      </c>
      <c r="H3056" s="484">
        <v>-1198.3800000000001</v>
      </c>
      <c r="I3056" t="str">
        <f t="shared" si="172"/>
        <v>abril 2026</v>
      </c>
      <c r="J3056">
        <f t="shared" si="173"/>
        <v>2026</v>
      </c>
      <c r="K3056" t="str">
        <f>VLOOKUP(G3056,METRICS!C:D,2,0)</f>
        <v>Vinhos/Espumantes</v>
      </c>
      <c r="L3056" t="str">
        <f>VLOOKUP(K3056,METRICS!D:E,2,0)</f>
        <v>CUSTOS DOS PRODUTOS VENDIDOS</v>
      </c>
    </row>
    <row r="3057" spans="1:12" ht="15" hidden="1">
      <c r="A3057" t="s">
        <v>2248</v>
      </c>
      <c r="B3057" t="s">
        <v>689</v>
      </c>
      <c r="D3057" t="s">
        <v>756</v>
      </c>
      <c r="E3057" t="s">
        <v>757</v>
      </c>
      <c r="F3057" t="s">
        <v>1272</v>
      </c>
      <c r="G3057" t="s">
        <v>666</v>
      </c>
      <c r="H3057" s="484">
        <v>-19.8</v>
      </c>
      <c r="I3057" t="str">
        <f t="shared" si="172"/>
        <v>abril 2026</v>
      </c>
      <c r="J3057">
        <f t="shared" si="173"/>
        <v>2026</v>
      </c>
      <c r="K3057" t="str">
        <f>VLOOKUP(G3057,METRICS!C:D,2,0)</f>
        <v>Encargos Bancarios</v>
      </c>
      <c r="L3057" t="str">
        <f>VLOOKUP(K3057,METRICS!D:E,2,0)</f>
        <v>DESPESAS FINANCEIRAS</v>
      </c>
    </row>
    <row r="3058" spans="1:12" ht="15" hidden="1">
      <c r="A3058" t="s">
        <v>2249</v>
      </c>
      <c r="B3058" t="s">
        <v>612</v>
      </c>
      <c r="D3058" t="s">
        <v>2434</v>
      </c>
      <c r="E3058" t="s">
        <v>804</v>
      </c>
      <c r="F3058" t="s">
        <v>1272</v>
      </c>
      <c r="G3058" t="s">
        <v>607</v>
      </c>
      <c r="H3058" s="484">
        <v>-4989.79</v>
      </c>
      <c r="I3058" t="str">
        <f t="shared" si="172"/>
        <v>abril 2026</v>
      </c>
      <c r="J3058">
        <f t="shared" si="173"/>
        <v>2026</v>
      </c>
      <c r="K3058" t="str">
        <f>VLOOKUP(G3058,METRICS!C:D,2,0)</f>
        <v>Bebidas Alcoólicas</v>
      </c>
      <c r="L3058" t="str">
        <f>VLOOKUP(K3058,METRICS!D:E,2,0)</f>
        <v>CUSTOS DOS PRODUTOS VENDIDOS</v>
      </c>
    </row>
    <row r="3059" spans="1:12" ht="15" hidden="1">
      <c r="A3059" t="s">
        <v>2250</v>
      </c>
      <c r="B3059" t="s">
        <v>612</v>
      </c>
      <c r="D3059" t="s">
        <v>2435</v>
      </c>
      <c r="E3059" t="s">
        <v>1153</v>
      </c>
      <c r="F3059" t="s">
        <v>1272</v>
      </c>
      <c r="G3059" t="s">
        <v>636</v>
      </c>
      <c r="H3059" s="484">
        <v>-430</v>
      </c>
      <c r="I3059" t="str">
        <f t="shared" si="172"/>
        <v>abril 2026</v>
      </c>
      <c r="J3059">
        <f t="shared" si="173"/>
        <v>2026</v>
      </c>
      <c r="K3059" t="str">
        <f>VLOOKUP(G3059,METRICS!C:D,2,0)</f>
        <v>Secos - Mercearia</v>
      </c>
      <c r="L3059" t="str">
        <f>VLOOKUP(K3059,METRICS!D:E,2,0)</f>
        <v>CUSTOS DOS PRODUTOS VENDIDOS</v>
      </c>
    </row>
    <row r="3060" spans="1:12" ht="15" hidden="1">
      <c r="A3060" t="s">
        <v>2250</v>
      </c>
      <c r="B3060" t="s">
        <v>689</v>
      </c>
      <c r="D3060" t="s">
        <v>2436</v>
      </c>
      <c r="E3060" t="s">
        <v>2586</v>
      </c>
      <c r="F3060" t="s">
        <v>1272</v>
      </c>
      <c r="G3060" t="s">
        <v>605</v>
      </c>
      <c r="H3060" s="484">
        <v>-750</v>
      </c>
      <c r="I3060" t="str">
        <f t="shared" si="172"/>
        <v>abril 2026</v>
      </c>
      <c r="J3060">
        <f t="shared" si="173"/>
        <v>2026</v>
      </c>
      <c r="K3060" t="str">
        <f>VLOOKUP(G3060,METRICS!C:D,2,0)</f>
        <v>Beneficios</v>
      </c>
      <c r="L3060" t="str">
        <f>VLOOKUP(K3060,METRICS!D:E,2,0)</f>
        <v>PESSOAL</v>
      </c>
    </row>
    <row r="3061" spans="1:12" ht="15" hidden="1">
      <c r="A3061" t="s">
        <v>2250</v>
      </c>
      <c r="B3061" t="s">
        <v>689</v>
      </c>
      <c r="D3061" t="s">
        <v>2437</v>
      </c>
      <c r="E3061" t="s">
        <v>2437</v>
      </c>
      <c r="F3061" t="s">
        <v>1272</v>
      </c>
      <c r="G3061" t="s">
        <v>1719</v>
      </c>
      <c r="H3061" s="484">
        <v>-1500</v>
      </c>
      <c r="I3061" t="str">
        <f t="shared" si="172"/>
        <v>abril 2026</v>
      </c>
      <c r="J3061">
        <f t="shared" si="173"/>
        <v>2026</v>
      </c>
      <c r="K3061" t="str">
        <f>VLOOKUP(G3061,METRICS!C:D,2,0)</f>
        <v>Propaganda, Publicidade e Patrocínio</v>
      </c>
      <c r="L3061" t="str">
        <f>VLOOKUP(K3061,METRICS!D:E,2,0)</f>
        <v>MARKETING</v>
      </c>
    </row>
    <row r="3062" spans="1:12" ht="15">
      <c r="A3062" t="s">
        <v>2250</v>
      </c>
      <c r="B3062" t="s">
        <v>689</v>
      </c>
      <c r="D3062" t="s">
        <v>2438</v>
      </c>
      <c r="E3062" t="s">
        <v>759</v>
      </c>
      <c r="F3062" t="s">
        <v>1272</v>
      </c>
      <c r="G3062" t="s">
        <v>631</v>
      </c>
      <c r="H3062" s="484">
        <v>-3067.95</v>
      </c>
      <c r="I3062" t="str">
        <f t="shared" si="172"/>
        <v>abril 2026</v>
      </c>
      <c r="J3062">
        <f t="shared" si="173"/>
        <v>2026</v>
      </c>
      <c r="K3062" t="str">
        <f>VLOOKUP(G3062,METRICS!C:D,2,0)</f>
        <v>Midias Sociais</v>
      </c>
      <c r="L3062" t="str">
        <f>VLOOKUP(K3062,METRICS!D:E,2,0)</f>
        <v>MARKETING</v>
      </c>
    </row>
    <row r="3063" spans="1:12" ht="15" hidden="1">
      <c r="A3063" t="s">
        <v>2250</v>
      </c>
      <c r="B3063" t="s">
        <v>689</v>
      </c>
      <c r="D3063" t="s">
        <v>2439</v>
      </c>
      <c r="E3063" t="s">
        <v>2592</v>
      </c>
      <c r="F3063" t="s">
        <v>1272</v>
      </c>
      <c r="G3063" t="s">
        <v>110</v>
      </c>
      <c r="H3063" s="484">
        <v>-31760.48</v>
      </c>
      <c r="I3063" t="str">
        <f t="shared" si="172"/>
        <v>abril 2026</v>
      </c>
      <c r="J3063">
        <f t="shared" si="173"/>
        <v>2026</v>
      </c>
      <c r="K3063" t="str">
        <f>VLOOKUP(G3063,METRICS!C:D,2,0)</f>
        <v>FGTS</v>
      </c>
      <c r="L3063" t="str">
        <f>VLOOKUP(K3063,METRICS!D:E,2,0)</f>
        <v>PESSOAL</v>
      </c>
    </row>
    <row r="3064" spans="1:12" ht="15" hidden="1">
      <c r="A3064" t="s">
        <v>2250</v>
      </c>
      <c r="B3064" t="s">
        <v>612</v>
      </c>
      <c r="D3064" t="s">
        <v>2440</v>
      </c>
      <c r="E3064" t="s">
        <v>765</v>
      </c>
      <c r="F3064" t="s">
        <v>1272</v>
      </c>
      <c r="G3064" t="s">
        <v>619</v>
      </c>
      <c r="H3064" s="484">
        <v>-509.6</v>
      </c>
      <c r="I3064" t="str">
        <f t="shared" si="172"/>
        <v>abril 2026</v>
      </c>
      <c r="J3064">
        <f t="shared" si="173"/>
        <v>2026</v>
      </c>
      <c r="K3064" t="str">
        <f>VLOOKUP(G3064,METRICS!C:D,2,0)</f>
        <v>Gelo</v>
      </c>
      <c r="L3064" t="str">
        <f>VLOOKUP(K3064,METRICS!D:E,2,0)</f>
        <v>CUSTOS DOS PRODUTOS VENDIDOS</v>
      </c>
    </row>
    <row r="3065" spans="1:12" ht="15" hidden="1">
      <c r="A3065" t="s">
        <v>2250</v>
      </c>
      <c r="B3065" t="s">
        <v>612</v>
      </c>
      <c r="D3065" t="s">
        <v>2441</v>
      </c>
      <c r="E3065" t="s">
        <v>878</v>
      </c>
      <c r="F3065" t="s">
        <v>1272</v>
      </c>
      <c r="G3065" t="s">
        <v>609</v>
      </c>
      <c r="H3065" s="484">
        <v>-3550.02</v>
      </c>
      <c r="I3065" t="str">
        <f t="shared" si="172"/>
        <v>abril 2026</v>
      </c>
      <c r="J3065">
        <f t="shared" si="173"/>
        <v>2026</v>
      </c>
      <c r="K3065" t="str">
        <f>VLOOKUP(G3065,METRICS!C:D,2,0)</f>
        <v>Carnes e Aves</v>
      </c>
      <c r="L3065" t="str">
        <f>VLOOKUP(K3065,METRICS!D:E,2,0)</f>
        <v>CUSTOS DOS PRODUTOS VENDIDOS</v>
      </c>
    </row>
    <row r="3066" spans="1:12" ht="15" hidden="1">
      <c r="A3066" t="s">
        <v>2250</v>
      </c>
      <c r="B3066" t="s">
        <v>612</v>
      </c>
      <c r="D3066" t="s">
        <v>2442</v>
      </c>
      <c r="E3066" t="s">
        <v>872</v>
      </c>
      <c r="F3066" t="s">
        <v>1272</v>
      </c>
      <c r="G3066" t="s">
        <v>608</v>
      </c>
      <c r="H3066" s="484">
        <v>-424.5</v>
      </c>
      <c r="I3066" t="str">
        <f t="shared" si="172"/>
        <v>abril 2026</v>
      </c>
      <c r="J3066">
        <f t="shared" si="173"/>
        <v>2026</v>
      </c>
      <c r="K3066" t="str">
        <f>VLOOKUP(G3066,METRICS!C:D,2,0)</f>
        <v>Bebidas não Alcoolicas</v>
      </c>
      <c r="L3066" t="str">
        <f>VLOOKUP(K3066,METRICS!D:E,2,0)</f>
        <v>CUSTOS DOS PRODUTOS VENDIDOS</v>
      </c>
    </row>
    <row r="3067" spans="1:12" ht="15" hidden="1">
      <c r="A3067" t="s">
        <v>2250</v>
      </c>
      <c r="B3067" t="s">
        <v>612</v>
      </c>
      <c r="D3067" t="s">
        <v>2443</v>
      </c>
      <c r="E3067" t="s">
        <v>832</v>
      </c>
      <c r="F3067" t="s">
        <v>1272</v>
      </c>
      <c r="G3067" t="s">
        <v>633</v>
      </c>
      <c r="H3067" s="484">
        <v>-238.3</v>
      </c>
      <c r="I3067" t="str">
        <f t="shared" si="172"/>
        <v>abril 2026</v>
      </c>
      <c r="J3067">
        <f t="shared" si="173"/>
        <v>2026</v>
      </c>
      <c r="K3067" t="str">
        <f>VLOOKUP(G3067,METRICS!C:D,2,0)</f>
        <v>Paes, Massas e Salgados</v>
      </c>
      <c r="L3067" t="str">
        <f>VLOOKUP(K3067,METRICS!D:E,2,0)</f>
        <v>CUSTOS DOS PRODUTOS VENDIDOS</v>
      </c>
    </row>
    <row r="3068" spans="1:12" ht="15" hidden="1">
      <c r="A3068" t="s">
        <v>2250</v>
      </c>
      <c r="B3068" t="s">
        <v>612</v>
      </c>
      <c r="D3068" t="s">
        <v>2444</v>
      </c>
      <c r="E3068" t="s">
        <v>1135</v>
      </c>
      <c r="F3068" t="s">
        <v>1272</v>
      </c>
      <c r="G3068" t="s">
        <v>636</v>
      </c>
      <c r="H3068" s="484">
        <v>-312</v>
      </c>
      <c r="I3068" t="str">
        <f t="shared" si="172"/>
        <v>abril 2026</v>
      </c>
      <c r="J3068">
        <f t="shared" si="173"/>
        <v>2026</v>
      </c>
      <c r="K3068" t="str">
        <f>VLOOKUP(G3068,METRICS!C:D,2,0)</f>
        <v>Secos - Mercearia</v>
      </c>
      <c r="L3068" t="str">
        <f>VLOOKUP(K3068,METRICS!D:E,2,0)</f>
        <v>CUSTOS DOS PRODUTOS VENDIDOS</v>
      </c>
    </row>
    <row r="3069" spans="1:12" ht="15" hidden="1">
      <c r="A3069" t="s">
        <v>2250</v>
      </c>
      <c r="B3069" t="s">
        <v>612</v>
      </c>
      <c r="D3069" t="s">
        <v>2445</v>
      </c>
      <c r="E3069" t="s">
        <v>898</v>
      </c>
      <c r="F3069" t="s">
        <v>1272</v>
      </c>
      <c r="G3069" t="s">
        <v>636</v>
      </c>
      <c r="H3069" s="484">
        <v>-2110.8000000000002</v>
      </c>
      <c r="I3069" t="str">
        <f t="shared" ref="I3069:I3131" si="174">TEXT(A3069, "mmmm aaaa")</f>
        <v>abril 2026</v>
      </c>
      <c r="J3069">
        <f t="shared" si="173"/>
        <v>2026</v>
      </c>
      <c r="K3069" t="str">
        <f>VLOOKUP(G3069,METRICS!C:D,2,0)</f>
        <v>Secos - Mercearia</v>
      </c>
      <c r="L3069" t="str">
        <f>VLOOKUP(K3069,METRICS!D:E,2,0)</f>
        <v>CUSTOS DOS PRODUTOS VENDIDOS</v>
      </c>
    </row>
    <row r="3070" spans="1:12" ht="15">
      <c r="A3070" t="s">
        <v>2250</v>
      </c>
      <c r="B3070" t="s">
        <v>689</v>
      </c>
      <c r="D3070" t="s">
        <v>2438</v>
      </c>
      <c r="E3070" t="s">
        <v>759</v>
      </c>
      <c r="F3070" t="s">
        <v>1272</v>
      </c>
      <c r="G3070" t="s">
        <v>631</v>
      </c>
      <c r="H3070" s="484">
        <v>-5746.16</v>
      </c>
      <c r="I3070" t="str">
        <f t="shared" si="174"/>
        <v>abril 2026</v>
      </c>
      <c r="J3070">
        <f t="shared" si="173"/>
        <v>2026</v>
      </c>
      <c r="K3070" t="str">
        <f>VLOOKUP(G3070,METRICS!C:D,2,0)</f>
        <v>Midias Sociais</v>
      </c>
      <c r="L3070" t="str">
        <f>VLOOKUP(K3070,METRICS!D:E,2,0)</f>
        <v>MARKETING</v>
      </c>
    </row>
    <row r="3071" spans="1:12" ht="15" hidden="1">
      <c r="A3071" t="s">
        <v>2250</v>
      </c>
      <c r="B3071" t="s">
        <v>612</v>
      </c>
      <c r="D3071" t="s">
        <v>2446</v>
      </c>
      <c r="E3071" t="s">
        <v>750</v>
      </c>
      <c r="F3071" t="s">
        <v>1272</v>
      </c>
      <c r="G3071" t="s">
        <v>610</v>
      </c>
      <c r="H3071" s="484">
        <v>-3352</v>
      </c>
      <c r="I3071" t="str">
        <f t="shared" si="174"/>
        <v>abril 2026</v>
      </c>
      <c r="J3071">
        <f t="shared" si="173"/>
        <v>2026</v>
      </c>
      <c r="K3071" t="str">
        <f>VLOOKUP(G3071,METRICS!C:D,2,0)</f>
        <v>Carvão</v>
      </c>
      <c r="L3071" t="str">
        <f>VLOOKUP(K3071,METRICS!D:E,2,0)</f>
        <v>CUSTOS DOS PRODUTOS VENDIDOS</v>
      </c>
    </row>
    <row r="3072" spans="1:12" ht="15" hidden="1">
      <c r="A3072" t="s">
        <v>2250</v>
      </c>
      <c r="B3072" t="s">
        <v>689</v>
      </c>
      <c r="D3072" t="s">
        <v>756</v>
      </c>
      <c r="E3072" t="s">
        <v>757</v>
      </c>
      <c r="F3072" t="s">
        <v>1272</v>
      </c>
      <c r="G3072" t="s">
        <v>666</v>
      </c>
      <c r="H3072" s="484">
        <v>-69.3</v>
      </c>
      <c r="I3072" t="str">
        <f t="shared" si="174"/>
        <v>abril 2026</v>
      </c>
      <c r="J3072">
        <f t="shared" ref="J3072:J3132" si="175">YEAR(A3072)</f>
        <v>2026</v>
      </c>
      <c r="K3072" t="str">
        <f>VLOOKUP(G3072,METRICS!C:D,2,0)</f>
        <v>Encargos Bancarios</v>
      </c>
      <c r="L3072" t="str">
        <f>VLOOKUP(K3072,METRICS!D:E,2,0)</f>
        <v>DESPESAS FINANCEIRAS</v>
      </c>
    </row>
    <row r="3073" spans="1:12" ht="15" hidden="1">
      <c r="A3073" t="s">
        <v>2250</v>
      </c>
      <c r="B3073" t="s">
        <v>612</v>
      </c>
      <c r="D3073" t="s">
        <v>2447</v>
      </c>
      <c r="E3073" t="s">
        <v>727</v>
      </c>
      <c r="F3073" t="s">
        <v>1272</v>
      </c>
      <c r="G3073" t="s">
        <v>620</v>
      </c>
      <c r="H3073" s="484">
        <v>-7292.78</v>
      </c>
      <c r="I3073" t="str">
        <f t="shared" si="174"/>
        <v>abril 2026</v>
      </c>
      <c r="J3073">
        <f t="shared" si="175"/>
        <v>2026</v>
      </c>
      <c r="K3073" t="str">
        <f>VLOOKUP(G3073,METRICS!C:D,2,0)</f>
        <v>Hortifruti</v>
      </c>
      <c r="L3073" t="str">
        <f>VLOOKUP(K3073,METRICS!D:E,2,0)</f>
        <v>CUSTOS DOS PRODUTOS VENDIDOS</v>
      </c>
    </row>
    <row r="3074" spans="1:12" ht="15" hidden="1">
      <c r="A3074" t="s">
        <v>2250</v>
      </c>
      <c r="B3074" t="s">
        <v>612</v>
      </c>
      <c r="D3074" t="s">
        <v>2448</v>
      </c>
      <c r="E3074" t="s">
        <v>770</v>
      </c>
      <c r="F3074" t="s">
        <v>1272</v>
      </c>
      <c r="G3074" t="s">
        <v>630</v>
      </c>
      <c r="H3074" s="484">
        <v>-2344.15</v>
      </c>
      <c r="I3074" t="str">
        <f t="shared" si="174"/>
        <v>abril 2026</v>
      </c>
      <c r="J3074">
        <f t="shared" si="175"/>
        <v>2026</v>
      </c>
      <c r="K3074" t="str">
        <f>VLOOKUP(G3074,METRICS!C:D,2,0)</f>
        <v>Material de Copa e Limpeza</v>
      </c>
      <c r="L3074" t="str">
        <f>VLOOKUP(K3074,METRICS!D:E,2,0)</f>
        <v>ADMINISTRATIVA</v>
      </c>
    </row>
    <row r="3075" spans="1:12" ht="15" hidden="1">
      <c r="A3075" t="s">
        <v>2250</v>
      </c>
      <c r="B3075" t="s">
        <v>612</v>
      </c>
      <c r="D3075" t="s">
        <v>2449</v>
      </c>
      <c r="E3075" t="s">
        <v>1046</v>
      </c>
      <c r="F3075" t="s">
        <v>1272</v>
      </c>
      <c r="G3075" t="s">
        <v>623</v>
      </c>
      <c r="H3075" s="484">
        <v>-606</v>
      </c>
      <c r="I3075" t="str">
        <f t="shared" si="174"/>
        <v>abril 2026</v>
      </c>
      <c r="J3075">
        <f t="shared" si="175"/>
        <v>2026</v>
      </c>
      <c r="K3075" t="str">
        <f>VLOOKUP(G3075,METRICS!C:D,2,0)</f>
        <v>Secos - Mercearia</v>
      </c>
      <c r="L3075" t="str">
        <f>VLOOKUP(K3075,METRICS!D:E,2,0)</f>
        <v>CUSTOS DOS PRODUTOS VENDIDOS</v>
      </c>
    </row>
    <row r="3076" spans="1:12" ht="15" hidden="1">
      <c r="A3076" t="s">
        <v>2250</v>
      </c>
      <c r="B3076" t="s">
        <v>612</v>
      </c>
      <c r="D3076" t="s">
        <v>2450</v>
      </c>
      <c r="E3076" t="s">
        <v>794</v>
      </c>
      <c r="F3076" t="s">
        <v>1272</v>
      </c>
      <c r="G3076" t="s">
        <v>608</v>
      </c>
      <c r="H3076" s="484">
        <v>-237.6</v>
      </c>
      <c r="I3076" t="str">
        <f t="shared" si="174"/>
        <v>abril 2026</v>
      </c>
      <c r="J3076">
        <f t="shared" si="175"/>
        <v>2026</v>
      </c>
      <c r="K3076" t="str">
        <f>VLOOKUP(G3076,METRICS!C:D,2,0)</f>
        <v>Bebidas não Alcoolicas</v>
      </c>
      <c r="L3076" t="str">
        <f>VLOOKUP(K3076,METRICS!D:E,2,0)</f>
        <v>CUSTOS DOS PRODUTOS VENDIDOS</v>
      </c>
    </row>
    <row r="3077" spans="1:12" ht="15" hidden="1">
      <c r="A3077" t="s">
        <v>2250</v>
      </c>
      <c r="B3077" t="s">
        <v>612</v>
      </c>
      <c r="D3077" t="s">
        <v>2451</v>
      </c>
      <c r="E3077" t="s">
        <v>770</v>
      </c>
      <c r="F3077" t="s">
        <v>1272</v>
      </c>
      <c r="G3077" t="s">
        <v>630</v>
      </c>
      <c r="H3077" s="484">
        <v>-914.96</v>
      </c>
      <c r="I3077" t="str">
        <f t="shared" si="174"/>
        <v>abril 2026</v>
      </c>
      <c r="J3077">
        <f t="shared" si="175"/>
        <v>2026</v>
      </c>
      <c r="K3077" t="str">
        <f>VLOOKUP(G3077,METRICS!C:D,2,0)</f>
        <v>Material de Copa e Limpeza</v>
      </c>
      <c r="L3077" t="str">
        <f>VLOOKUP(K3077,METRICS!D:E,2,0)</f>
        <v>ADMINISTRATIVA</v>
      </c>
    </row>
    <row r="3078" spans="1:12" ht="15" hidden="1">
      <c r="A3078" t="s">
        <v>2251</v>
      </c>
      <c r="B3078" t="s">
        <v>612</v>
      </c>
      <c r="D3078" t="s">
        <v>2452</v>
      </c>
      <c r="E3078" t="s">
        <v>804</v>
      </c>
      <c r="F3078" t="s">
        <v>1272</v>
      </c>
      <c r="G3078" t="s">
        <v>608</v>
      </c>
      <c r="H3078" s="484">
        <v>-299.27999999999997</v>
      </c>
      <c r="I3078" t="str">
        <f t="shared" si="174"/>
        <v>abril 2026</v>
      </c>
      <c r="J3078">
        <f t="shared" si="175"/>
        <v>2026</v>
      </c>
      <c r="K3078" t="str">
        <f>VLOOKUP(G3078,METRICS!C:D,2,0)</f>
        <v>Bebidas não Alcoolicas</v>
      </c>
      <c r="L3078" t="str">
        <f>VLOOKUP(K3078,METRICS!D:E,2,0)</f>
        <v>CUSTOS DOS PRODUTOS VENDIDOS</v>
      </c>
    </row>
    <row r="3079" spans="1:12" ht="15" hidden="1">
      <c r="A3079" t="s">
        <v>2251</v>
      </c>
      <c r="B3079" t="s">
        <v>612</v>
      </c>
      <c r="D3079" t="s">
        <v>2453</v>
      </c>
      <c r="E3079" t="s">
        <v>805</v>
      </c>
      <c r="F3079" t="s">
        <v>1272</v>
      </c>
      <c r="G3079" t="s">
        <v>609</v>
      </c>
      <c r="H3079" s="484">
        <v>-6084.65</v>
      </c>
      <c r="I3079" t="str">
        <f t="shared" si="174"/>
        <v>abril 2026</v>
      </c>
      <c r="J3079">
        <f t="shared" si="175"/>
        <v>2026</v>
      </c>
      <c r="K3079" t="str">
        <f>VLOOKUP(G3079,METRICS!C:D,2,0)</f>
        <v>Carnes e Aves</v>
      </c>
      <c r="L3079" t="str">
        <f>VLOOKUP(K3079,METRICS!D:E,2,0)</f>
        <v>CUSTOS DOS PRODUTOS VENDIDOS</v>
      </c>
    </row>
    <row r="3080" spans="1:12" ht="15" hidden="1">
      <c r="A3080" t="s">
        <v>2251</v>
      </c>
      <c r="B3080" t="s">
        <v>612</v>
      </c>
      <c r="D3080" t="s">
        <v>2454</v>
      </c>
      <c r="E3080" t="s">
        <v>990</v>
      </c>
      <c r="F3080" t="s">
        <v>1272</v>
      </c>
      <c r="G3080" t="s">
        <v>608</v>
      </c>
      <c r="H3080" s="484">
        <v>-2727.58</v>
      </c>
      <c r="I3080" t="str">
        <f t="shared" si="174"/>
        <v>abril 2026</v>
      </c>
      <c r="J3080">
        <f t="shared" si="175"/>
        <v>2026</v>
      </c>
      <c r="K3080" t="str">
        <f>VLOOKUP(G3080,METRICS!C:D,2,0)</f>
        <v>Bebidas não Alcoolicas</v>
      </c>
      <c r="L3080" t="str">
        <f>VLOOKUP(K3080,METRICS!D:E,2,0)</f>
        <v>CUSTOS DOS PRODUTOS VENDIDOS</v>
      </c>
    </row>
    <row r="3081" spans="1:12" ht="15" hidden="1">
      <c r="A3081" t="s">
        <v>2251</v>
      </c>
      <c r="B3081" t="s">
        <v>612</v>
      </c>
      <c r="D3081" t="s">
        <v>2455</v>
      </c>
      <c r="E3081" t="s">
        <v>745</v>
      </c>
      <c r="F3081" t="s">
        <v>1272</v>
      </c>
      <c r="G3081" t="s">
        <v>620</v>
      </c>
      <c r="H3081" s="484">
        <v>-463.5</v>
      </c>
      <c r="I3081" t="str">
        <f t="shared" si="174"/>
        <v>abril 2026</v>
      </c>
      <c r="J3081">
        <f t="shared" si="175"/>
        <v>2026</v>
      </c>
      <c r="K3081" t="str">
        <f>VLOOKUP(G3081,METRICS!C:D,2,0)</f>
        <v>Hortifruti</v>
      </c>
      <c r="L3081" t="str">
        <f>VLOOKUP(K3081,METRICS!D:E,2,0)</f>
        <v>CUSTOS DOS PRODUTOS VENDIDOS</v>
      </c>
    </row>
    <row r="3082" spans="1:12" ht="15" hidden="1">
      <c r="A3082" t="s">
        <v>2251</v>
      </c>
      <c r="B3082" t="s">
        <v>612</v>
      </c>
      <c r="D3082" t="s">
        <v>2456</v>
      </c>
      <c r="E3082" t="s">
        <v>826</v>
      </c>
      <c r="F3082" t="s">
        <v>1272</v>
      </c>
      <c r="G3082" t="s">
        <v>633</v>
      </c>
      <c r="H3082" s="484">
        <v>-2430</v>
      </c>
      <c r="I3082" t="str">
        <f t="shared" si="174"/>
        <v>abril 2026</v>
      </c>
      <c r="J3082">
        <f t="shared" si="175"/>
        <v>2026</v>
      </c>
      <c r="K3082" t="str">
        <f>VLOOKUP(G3082,METRICS!C:D,2,0)</f>
        <v>Paes, Massas e Salgados</v>
      </c>
      <c r="L3082" t="str">
        <f>VLOOKUP(K3082,METRICS!D:E,2,0)</f>
        <v>CUSTOS DOS PRODUTOS VENDIDOS</v>
      </c>
    </row>
    <row r="3083" spans="1:12" ht="15" hidden="1">
      <c r="A3083" t="s">
        <v>2251</v>
      </c>
      <c r="B3083" t="s">
        <v>612</v>
      </c>
      <c r="D3083" t="s">
        <v>2457</v>
      </c>
      <c r="E3083" t="s">
        <v>805</v>
      </c>
      <c r="F3083" t="s">
        <v>1272</v>
      </c>
      <c r="G3083" t="s">
        <v>609</v>
      </c>
      <c r="H3083" s="484">
        <v>-7456.25</v>
      </c>
      <c r="I3083" t="str">
        <f t="shared" si="174"/>
        <v>abril 2026</v>
      </c>
      <c r="J3083">
        <f t="shared" si="175"/>
        <v>2026</v>
      </c>
      <c r="K3083" t="str">
        <f>VLOOKUP(G3083,METRICS!C:D,2,0)</f>
        <v>Carnes e Aves</v>
      </c>
      <c r="L3083" t="str">
        <f>VLOOKUP(K3083,METRICS!D:E,2,0)</f>
        <v>CUSTOS DOS PRODUTOS VENDIDOS</v>
      </c>
    </row>
    <row r="3084" spans="1:12" ht="15" hidden="1">
      <c r="A3084" t="s">
        <v>2251</v>
      </c>
      <c r="B3084" t="s">
        <v>612</v>
      </c>
      <c r="D3084" t="s">
        <v>2458</v>
      </c>
      <c r="E3084" t="s">
        <v>828</v>
      </c>
      <c r="F3084" t="s">
        <v>1272</v>
      </c>
      <c r="G3084" t="s">
        <v>636</v>
      </c>
      <c r="H3084" s="484">
        <v>-2607.34</v>
      </c>
      <c r="I3084" t="str">
        <f t="shared" si="174"/>
        <v>abril 2026</v>
      </c>
      <c r="J3084">
        <f t="shared" si="175"/>
        <v>2026</v>
      </c>
      <c r="K3084" t="str">
        <f>VLOOKUP(G3084,METRICS!C:D,2,0)</f>
        <v>Secos - Mercearia</v>
      </c>
      <c r="L3084" t="str">
        <f>VLOOKUP(K3084,METRICS!D:E,2,0)</f>
        <v>CUSTOS DOS PRODUTOS VENDIDOS</v>
      </c>
    </row>
    <row r="3085" spans="1:12" ht="15" hidden="1">
      <c r="A3085" t="s">
        <v>2251</v>
      </c>
      <c r="B3085" t="s">
        <v>612</v>
      </c>
      <c r="D3085" t="s">
        <v>2459</v>
      </c>
      <c r="E3085" t="s">
        <v>752</v>
      </c>
      <c r="F3085" t="s">
        <v>1272</v>
      </c>
      <c r="G3085" t="s">
        <v>609</v>
      </c>
      <c r="H3085" s="484">
        <v>-2780.33</v>
      </c>
      <c r="I3085" t="str">
        <f t="shared" si="174"/>
        <v>abril 2026</v>
      </c>
      <c r="J3085">
        <f t="shared" si="175"/>
        <v>2026</v>
      </c>
      <c r="K3085" t="str">
        <f>VLOOKUP(G3085,METRICS!C:D,2,0)</f>
        <v>Carnes e Aves</v>
      </c>
      <c r="L3085" t="str">
        <f>VLOOKUP(K3085,METRICS!D:E,2,0)</f>
        <v>CUSTOS DOS PRODUTOS VENDIDOS</v>
      </c>
    </row>
    <row r="3086" spans="1:12" ht="15" hidden="1">
      <c r="A3086" t="s">
        <v>2251</v>
      </c>
      <c r="B3086" t="s">
        <v>612</v>
      </c>
      <c r="D3086" t="s">
        <v>2460</v>
      </c>
      <c r="E3086" t="s">
        <v>830</v>
      </c>
      <c r="F3086" t="s">
        <v>1272</v>
      </c>
      <c r="G3086" t="s">
        <v>623</v>
      </c>
      <c r="H3086" s="484">
        <v>-407</v>
      </c>
      <c r="I3086" t="str">
        <f t="shared" si="174"/>
        <v>abril 2026</v>
      </c>
      <c r="J3086">
        <f t="shared" si="175"/>
        <v>2026</v>
      </c>
      <c r="K3086" t="str">
        <f>VLOOKUP(G3086,METRICS!C:D,2,0)</f>
        <v>Secos - Mercearia</v>
      </c>
      <c r="L3086" t="str">
        <f>VLOOKUP(K3086,METRICS!D:E,2,0)</f>
        <v>CUSTOS DOS PRODUTOS VENDIDOS</v>
      </c>
    </row>
    <row r="3087" spans="1:12" ht="15" hidden="1">
      <c r="A3087" t="s">
        <v>2252</v>
      </c>
      <c r="B3087" t="s">
        <v>612</v>
      </c>
      <c r="D3087" t="s">
        <v>2461</v>
      </c>
      <c r="E3087" t="s">
        <v>774</v>
      </c>
      <c r="F3087" t="s">
        <v>1272</v>
      </c>
      <c r="G3087" t="s">
        <v>629</v>
      </c>
      <c r="H3087" s="484">
        <v>-1299.8699999999999</v>
      </c>
      <c r="I3087" t="str">
        <f t="shared" si="174"/>
        <v>abril 2026</v>
      </c>
      <c r="J3087">
        <f t="shared" si="175"/>
        <v>2026</v>
      </c>
      <c r="K3087" t="str">
        <f>VLOOKUP(G3087,METRICS!C:D,2,0)</f>
        <v>Material de limpeza</v>
      </c>
      <c r="L3087" t="str">
        <f>VLOOKUP(K3087,METRICS!D:E,2,0)</f>
        <v>OPERAÇÃO</v>
      </c>
    </row>
    <row r="3088" spans="1:12" ht="15" hidden="1">
      <c r="A3088" t="s">
        <v>2252</v>
      </c>
      <c r="B3088" t="s">
        <v>689</v>
      </c>
      <c r="D3088" t="s">
        <v>2462</v>
      </c>
      <c r="E3088" t="s">
        <v>888</v>
      </c>
      <c r="F3088" t="s">
        <v>1272</v>
      </c>
      <c r="G3088" s="518" t="s">
        <v>1736</v>
      </c>
      <c r="H3088" s="484">
        <v>-400</v>
      </c>
      <c r="I3088" t="str">
        <f t="shared" si="174"/>
        <v>abril 2026</v>
      </c>
      <c r="J3088">
        <f t="shared" si="175"/>
        <v>2026</v>
      </c>
      <c r="K3088" t="str">
        <f>VLOOKUP(G3088,METRICS!C:D,2,0)</f>
        <v>Sistema e Software OP</v>
      </c>
      <c r="L3088" t="str">
        <f>VLOOKUP(K3088,METRICS!D:E,2,0)</f>
        <v>OPERAÇÃO</v>
      </c>
    </row>
    <row r="3089" spans="1:12" ht="15" hidden="1">
      <c r="A3089" t="s">
        <v>2252</v>
      </c>
      <c r="B3089" t="s">
        <v>612</v>
      </c>
      <c r="D3089" t="s">
        <v>2463</v>
      </c>
      <c r="E3089" t="s">
        <v>2593</v>
      </c>
      <c r="F3089" t="s">
        <v>1272</v>
      </c>
      <c r="G3089" t="s">
        <v>609</v>
      </c>
      <c r="H3089" s="484">
        <v>-6179.03</v>
      </c>
      <c r="I3089" t="str">
        <f t="shared" si="174"/>
        <v>abril 2026</v>
      </c>
      <c r="J3089">
        <f t="shared" si="175"/>
        <v>2026</v>
      </c>
      <c r="K3089" t="str">
        <f>VLOOKUP(G3089,METRICS!C:D,2,0)</f>
        <v>Carnes e Aves</v>
      </c>
      <c r="L3089" t="str">
        <f>VLOOKUP(K3089,METRICS!D:E,2,0)</f>
        <v>CUSTOS DOS PRODUTOS VENDIDOS</v>
      </c>
    </row>
    <row r="3090" spans="1:12" ht="15" hidden="1">
      <c r="A3090" t="s">
        <v>2252</v>
      </c>
      <c r="B3090" t="s">
        <v>612</v>
      </c>
      <c r="D3090" t="s">
        <v>2464</v>
      </c>
      <c r="E3090" t="s">
        <v>776</v>
      </c>
      <c r="F3090" t="s">
        <v>1272</v>
      </c>
      <c r="G3090" t="s">
        <v>615</v>
      </c>
      <c r="H3090" s="484">
        <v>-950</v>
      </c>
      <c r="I3090" t="str">
        <f t="shared" si="174"/>
        <v>abril 2026</v>
      </c>
      <c r="J3090">
        <f t="shared" si="175"/>
        <v>2026</v>
      </c>
      <c r="K3090" t="str">
        <f>VLOOKUP(G3090,METRICS!C:D,2,0)</f>
        <v>Embalagens</v>
      </c>
      <c r="L3090" t="str">
        <f>VLOOKUP(K3090,METRICS!D:E,2,0)</f>
        <v>OPERAÇÃO</v>
      </c>
    </row>
    <row r="3091" spans="1:12" ht="15" hidden="1">
      <c r="A3091" t="s">
        <v>2252</v>
      </c>
      <c r="B3091" t="s">
        <v>612</v>
      </c>
      <c r="D3091" t="s">
        <v>2465</v>
      </c>
      <c r="E3091" t="s">
        <v>1670</v>
      </c>
      <c r="F3091" t="s">
        <v>1272</v>
      </c>
      <c r="G3091" t="s">
        <v>640</v>
      </c>
      <c r="H3091" s="484">
        <v>-772.71</v>
      </c>
      <c r="I3091" t="str">
        <f t="shared" si="174"/>
        <v>abril 2026</v>
      </c>
      <c r="J3091">
        <f t="shared" si="175"/>
        <v>2026</v>
      </c>
      <c r="K3091" t="str">
        <f>VLOOKUP(G3091,METRICS!C:D,2,0)</f>
        <v>Uniforme</v>
      </c>
      <c r="L3091" t="str">
        <f>VLOOKUP(K3091,METRICS!D:E,2,0)</f>
        <v>OPERAÇÃO</v>
      </c>
    </row>
    <row r="3092" spans="1:12" ht="15" hidden="1">
      <c r="A3092" t="s">
        <v>2252</v>
      </c>
      <c r="B3092" t="s">
        <v>612</v>
      </c>
      <c r="D3092" t="s">
        <v>2466</v>
      </c>
      <c r="E3092" t="s">
        <v>765</v>
      </c>
      <c r="F3092" t="s">
        <v>1272</v>
      </c>
      <c r="G3092" t="s">
        <v>619</v>
      </c>
      <c r="H3092" s="484">
        <v>-509.6</v>
      </c>
      <c r="I3092" t="str">
        <f t="shared" si="174"/>
        <v>abril 2026</v>
      </c>
      <c r="J3092">
        <f t="shared" si="175"/>
        <v>2026</v>
      </c>
      <c r="K3092" t="str">
        <f>VLOOKUP(G3092,METRICS!C:D,2,0)</f>
        <v>Gelo</v>
      </c>
      <c r="L3092" t="str">
        <f>VLOOKUP(K3092,METRICS!D:E,2,0)</f>
        <v>CUSTOS DOS PRODUTOS VENDIDOS</v>
      </c>
    </row>
    <row r="3093" spans="1:12" ht="15" hidden="1">
      <c r="A3093" t="s">
        <v>2252</v>
      </c>
      <c r="B3093" t="s">
        <v>612</v>
      </c>
      <c r="D3093" t="s">
        <v>2467</v>
      </c>
      <c r="E3093" t="s">
        <v>807</v>
      </c>
      <c r="F3093" t="s">
        <v>1272</v>
      </c>
      <c r="G3093" t="s">
        <v>609</v>
      </c>
      <c r="H3093" s="484">
        <v>-2248.25</v>
      </c>
      <c r="I3093" t="str">
        <f t="shared" si="174"/>
        <v>abril 2026</v>
      </c>
      <c r="J3093">
        <f t="shared" si="175"/>
        <v>2026</v>
      </c>
      <c r="K3093" t="str">
        <f>VLOOKUP(G3093,METRICS!C:D,2,0)</f>
        <v>Carnes e Aves</v>
      </c>
      <c r="L3093" t="str">
        <f>VLOOKUP(K3093,METRICS!D:E,2,0)</f>
        <v>CUSTOS DOS PRODUTOS VENDIDOS</v>
      </c>
    </row>
    <row r="3094" spans="1:12" ht="15" hidden="1">
      <c r="A3094" t="s">
        <v>2252</v>
      </c>
      <c r="B3094" t="s">
        <v>612</v>
      </c>
      <c r="D3094" t="s">
        <v>2468</v>
      </c>
      <c r="E3094" t="s">
        <v>1684</v>
      </c>
      <c r="F3094" t="s">
        <v>1272</v>
      </c>
      <c r="G3094" t="s">
        <v>668</v>
      </c>
      <c r="H3094" s="484">
        <v>-15000</v>
      </c>
      <c r="I3094" t="str">
        <f t="shared" si="174"/>
        <v>abril 2026</v>
      </c>
      <c r="J3094">
        <f t="shared" si="175"/>
        <v>2026</v>
      </c>
      <c r="K3094" t="str">
        <f>VLOOKUP(G3094,METRICS!C:D,2,0)</f>
        <v>Prestação de Serviço Pessoa Jurídica OP</v>
      </c>
      <c r="L3094" t="str">
        <f>VLOOKUP(K3094,METRICS!D:E,2,0)</f>
        <v>OPERAÇÃO</v>
      </c>
    </row>
    <row r="3095" spans="1:12" ht="15" hidden="1">
      <c r="A3095" t="s">
        <v>2252</v>
      </c>
      <c r="B3095" t="s">
        <v>612</v>
      </c>
      <c r="D3095" t="s">
        <v>2469</v>
      </c>
      <c r="E3095" t="s">
        <v>979</v>
      </c>
      <c r="F3095" t="s">
        <v>1272</v>
      </c>
      <c r="G3095" t="s">
        <v>641</v>
      </c>
      <c r="H3095" s="484">
        <v>-3829.8</v>
      </c>
      <c r="I3095" t="str">
        <f t="shared" si="174"/>
        <v>abril 2026</v>
      </c>
      <c r="J3095">
        <f t="shared" si="175"/>
        <v>2026</v>
      </c>
      <c r="K3095" t="str">
        <f>VLOOKUP(G3095,METRICS!C:D,2,0)</f>
        <v>Vinhos/Espumantes</v>
      </c>
      <c r="L3095" t="str">
        <f>VLOOKUP(K3095,METRICS!D:E,2,0)</f>
        <v>CUSTOS DOS PRODUTOS VENDIDOS</v>
      </c>
    </row>
    <row r="3096" spans="1:12" ht="15" hidden="1">
      <c r="A3096" t="s">
        <v>2252</v>
      </c>
      <c r="B3096" t="s">
        <v>612</v>
      </c>
      <c r="D3096" t="s">
        <v>2470</v>
      </c>
      <c r="E3096" t="s">
        <v>767</v>
      </c>
      <c r="F3096" t="s">
        <v>1272</v>
      </c>
      <c r="G3096" t="s">
        <v>623</v>
      </c>
      <c r="H3096" s="484">
        <v>-979.2</v>
      </c>
      <c r="I3096" t="str">
        <f t="shared" si="174"/>
        <v>abril 2026</v>
      </c>
      <c r="J3096">
        <f t="shared" si="175"/>
        <v>2026</v>
      </c>
      <c r="K3096" t="str">
        <f>VLOOKUP(G3096,METRICS!C:D,2,0)</f>
        <v>Secos - Mercearia</v>
      </c>
      <c r="L3096" t="str">
        <f>VLOOKUP(K3096,METRICS!D:E,2,0)</f>
        <v>CUSTOS DOS PRODUTOS VENDIDOS</v>
      </c>
    </row>
    <row r="3097" spans="1:12" ht="15" hidden="1">
      <c r="A3097" t="s">
        <v>2252</v>
      </c>
      <c r="B3097" t="s">
        <v>612</v>
      </c>
      <c r="D3097" t="s">
        <v>2471</v>
      </c>
      <c r="E3097" t="s">
        <v>811</v>
      </c>
      <c r="F3097" t="s">
        <v>1272</v>
      </c>
      <c r="G3097" t="s">
        <v>636</v>
      </c>
      <c r="H3097" s="484">
        <v>-1136.55</v>
      </c>
      <c r="I3097" t="str">
        <f t="shared" si="174"/>
        <v>abril 2026</v>
      </c>
      <c r="J3097">
        <f t="shared" si="175"/>
        <v>2026</v>
      </c>
      <c r="K3097" t="str">
        <f>VLOOKUP(G3097,METRICS!C:D,2,0)</f>
        <v>Secos - Mercearia</v>
      </c>
      <c r="L3097" t="str">
        <f>VLOOKUP(K3097,METRICS!D:E,2,0)</f>
        <v>CUSTOS DOS PRODUTOS VENDIDOS</v>
      </c>
    </row>
    <row r="3098" spans="1:12" ht="15" hidden="1">
      <c r="A3098" t="s">
        <v>2252</v>
      </c>
      <c r="B3098" t="s">
        <v>612</v>
      </c>
      <c r="D3098" t="s">
        <v>2472</v>
      </c>
      <c r="E3098" t="s">
        <v>1691</v>
      </c>
      <c r="F3098" t="s">
        <v>1272</v>
      </c>
      <c r="G3098" t="s">
        <v>623</v>
      </c>
      <c r="H3098" s="484">
        <v>-4883.41</v>
      </c>
      <c r="I3098" t="str">
        <f t="shared" si="174"/>
        <v>abril 2026</v>
      </c>
      <c r="J3098">
        <f t="shared" si="175"/>
        <v>2026</v>
      </c>
      <c r="K3098" t="str">
        <f>VLOOKUP(G3098,METRICS!C:D,2,0)</f>
        <v>Secos - Mercearia</v>
      </c>
      <c r="L3098" t="str">
        <f>VLOOKUP(K3098,METRICS!D:E,2,0)</f>
        <v>CUSTOS DOS PRODUTOS VENDIDOS</v>
      </c>
    </row>
    <row r="3099" spans="1:12" ht="15" hidden="1">
      <c r="A3099" t="s">
        <v>2253</v>
      </c>
      <c r="B3099" t="s">
        <v>612</v>
      </c>
      <c r="D3099" t="s">
        <v>2473</v>
      </c>
      <c r="E3099" t="s">
        <v>805</v>
      </c>
      <c r="F3099" t="s">
        <v>1272</v>
      </c>
      <c r="G3099" t="s">
        <v>609</v>
      </c>
      <c r="H3099" s="484">
        <v>-18183.13</v>
      </c>
      <c r="I3099" t="str">
        <f t="shared" si="174"/>
        <v>abril 2026</v>
      </c>
      <c r="J3099">
        <f t="shared" si="175"/>
        <v>2026</v>
      </c>
      <c r="K3099" t="str">
        <f>VLOOKUP(G3099,METRICS!C:D,2,0)</f>
        <v>Carnes e Aves</v>
      </c>
      <c r="L3099" t="str">
        <f>VLOOKUP(K3099,METRICS!D:E,2,0)</f>
        <v>CUSTOS DOS PRODUTOS VENDIDOS</v>
      </c>
    </row>
    <row r="3100" spans="1:12" ht="15" hidden="1">
      <c r="A3100" t="s">
        <v>2253</v>
      </c>
      <c r="B3100" t="s">
        <v>612</v>
      </c>
      <c r="D3100" t="s">
        <v>2474</v>
      </c>
      <c r="E3100" t="s">
        <v>780</v>
      </c>
      <c r="F3100" t="s">
        <v>1272</v>
      </c>
      <c r="G3100" t="s">
        <v>611</v>
      </c>
      <c r="H3100" s="484">
        <v>-1906.92</v>
      </c>
      <c r="I3100" t="str">
        <f t="shared" si="174"/>
        <v>abril 2026</v>
      </c>
      <c r="J3100">
        <f t="shared" si="175"/>
        <v>2026</v>
      </c>
      <c r="K3100" t="str">
        <f>VLOOKUP(G3100,METRICS!C:D,2,0)</f>
        <v>Bebidas Alcoólicas</v>
      </c>
      <c r="L3100" t="str">
        <f>VLOOKUP(K3100,METRICS!D:E,2,0)</f>
        <v>CUSTOS DOS PRODUTOS VENDIDOS</v>
      </c>
    </row>
    <row r="3101" spans="1:12" ht="15" hidden="1">
      <c r="A3101" t="s">
        <v>2253</v>
      </c>
      <c r="B3101" t="s">
        <v>612</v>
      </c>
      <c r="D3101" t="s">
        <v>2475</v>
      </c>
      <c r="E3101" t="s">
        <v>745</v>
      </c>
      <c r="F3101" t="s">
        <v>1272</v>
      </c>
      <c r="G3101" t="s">
        <v>620</v>
      </c>
      <c r="H3101" s="484">
        <v>-656.3</v>
      </c>
      <c r="I3101" t="str">
        <f t="shared" si="174"/>
        <v>abril 2026</v>
      </c>
      <c r="J3101">
        <f t="shared" si="175"/>
        <v>2026</v>
      </c>
      <c r="K3101" t="str">
        <f>VLOOKUP(G3101,METRICS!C:D,2,0)</f>
        <v>Hortifruti</v>
      </c>
      <c r="L3101" t="str">
        <f>VLOOKUP(K3101,METRICS!D:E,2,0)</f>
        <v>CUSTOS DOS PRODUTOS VENDIDOS</v>
      </c>
    </row>
    <row r="3102" spans="1:12" ht="15" hidden="1">
      <c r="A3102" t="s">
        <v>2253</v>
      </c>
      <c r="B3102" t="s">
        <v>612</v>
      </c>
      <c r="D3102" t="s">
        <v>2476</v>
      </c>
      <c r="E3102" t="s">
        <v>1695</v>
      </c>
      <c r="F3102" t="s">
        <v>1272</v>
      </c>
      <c r="G3102" t="s">
        <v>613</v>
      </c>
      <c r="H3102" s="484">
        <v>-1500</v>
      </c>
      <c r="I3102" t="str">
        <f t="shared" si="174"/>
        <v>abril 2026</v>
      </c>
      <c r="J3102">
        <f t="shared" si="175"/>
        <v>2026</v>
      </c>
      <c r="K3102" t="str">
        <f>VLOOKUP(G3102,METRICS!C:D,2,0)</f>
        <v>Dedetização</v>
      </c>
      <c r="L3102" t="str">
        <f>VLOOKUP(K3102,METRICS!D:E,2,0)</f>
        <v>ADMINISTRATIVA</v>
      </c>
    </row>
    <row r="3103" spans="1:12" ht="15" hidden="1">
      <c r="A3103" t="s">
        <v>2253</v>
      </c>
      <c r="B3103" t="s">
        <v>612</v>
      </c>
      <c r="D3103" t="s">
        <v>2477</v>
      </c>
      <c r="E3103" t="s">
        <v>830</v>
      </c>
      <c r="F3103" t="s">
        <v>1272</v>
      </c>
      <c r="G3103" t="s">
        <v>623</v>
      </c>
      <c r="H3103" s="484">
        <v>-305.25</v>
      </c>
      <c r="I3103" t="str">
        <f t="shared" si="174"/>
        <v>abril 2026</v>
      </c>
      <c r="J3103">
        <f t="shared" si="175"/>
        <v>2026</v>
      </c>
      <c r="K3103" t="str">
        <f>VLOOKUP(G3103,METRICS!C:D,2,0)</f>
        <v>Secos - Mercearia</v>
      </c>
      <c r="L3103" t="str">
        <f>VLOOKUP(K3103,METRICS!D:E,2,0)</f>
        <v>CUSTOS DOS PRODUTOS VENDIDOS</v>
      </c>
    </row>
    <row r="3104" spans="1:12" ht="15" hidden="1">
      <c r="A3104" t="s">
        <v>2253</v>
      </c>
      <c r="B3104" t="s">
        <v>612</v>
      </c>
      <c r="D3104" t="s">
        <v>2478</v>
      </c>
      <c r="E3104" t="s">
        <v>820</v>
      </c>
      <c r="F3104" t="s">
        <v>1272</v>
      </c>
      <c r="G3104" t="s">
        <v>611</v>
      </c>
      <c r="H3104" s="484">
        <v>-3333.28</v>
      </c>
      <c r="I3104" t="str">
        <f t="shared" si="174"/>
        <v>abril 2026</v>
      </c>
      <c r="J3104">
        <f t="shared" si="175"/>
        <v>2026</v>
      </c>
      <c r="K3104" t="str">
        <f>VLOOKUP(G3104,METRICS!C:D,2,0)</f>
        <v>Bebidas Alcoólicas</v>
      </c>
      <c r="L3104" t="str">
        <f>VLOOKUP(K3104,METRICS!D:E,2,0)</f>
        <v>CUSTOS DOS PRODUTOS VENDIDOS</v>
      </c>
    </row>
    <row r="3105" spans="1:12" ht="15" hidden="1">
      <c r="A3105" t="s">
        <v>2253</v>
      </c>
      <c r="B3105" t="s">
        <v>612</v>
      </c>
      <c r="D3105" t="s">
        <v>2479</v>
      </c>
      <c r="E3105" t="s">
        <v>770</v>
      </c>
      <c r="F3105" t="s">
        <v>1272</v>
      </c>
      <c r="G3105" t="s">
        <v>630</v>
      </c>
      <c r="H3105" s="484">
        <v>-1415.47</v>
      </c>
      <c r="I3105" t="str">
        <f t="shared" si="174"/>
        <v>abril 2026</v>
      </c>
      <c r="J3105">
        <f t="shared" si="175"/>
        <v>2026</v>
      </c>
      <c r="K3105" t="str">
        <f>VLOOKUP(G3105,METRICS!C:D,2,0)</f>
        <v>Material de Copa e Limpeza</v>
      </c>
      <c r="L3105" t="str">
        <f>VLOOKUP(K3105,METRICS!D:E,2,0)</f>
        <v>ADMINISTRATIVA</v>
      </c>
    </row>
    <row r="3106" spans="1:12" ht="15" hidden="1">
      <c r="A3106" t="s">
        <v>2253</v>
      </c>
      <c r="B3106" t="s">
        <v>612</v>
      </c>
      <c r="D3106" t="s">
        <v>2480</v>
      </c>
      <c r="E3106" t="s">
        <v>878</v>
      </c>
      <c r="F3106" t="s">
        <v>1272</v>
      </c>
      <c r="G3106" t="s">
        <v>609</v>
      </c>
      <c r="H3106" s="484">
        <v>-8915.7199999999993</v>
      </c>
      <c r="I3106" t="str">
        <f t="shared" si="174"/>
        <v>abril 2026</v>
      </c>
      <c r="J3106">
        <f t="shared" si="175"/>
        <v>2026</v>
      </c>
      <c r="K3106" t="str">
        <f>VLOOKUP(G3106,METRICS!C:D,2,0)</f>
        <v>Carnes e Aves</v>
      </c>
      <c r="L3106" t="str">
        <f>VLOOKUP(K3106,METRICS!D:E,2,0)</f>
        <v>CUSTOS DOS PRODUTOS VENDIDOS</v>
      </c>
    </row>
    <row r="3107" spans="1:12" ht="15" hidden="1">
      <c r="A3107" t="s">
        <v>2253</v>
      </c>
      <c r="B3107" t="s">
        <v>612</v>
      </c>
      <c r="D3107" t="s">
        <v>2481</v>
      </c>
      <c r="E3107" t="s">
        <v>1139</v>
      </c>
      <c r="F3107" t="s">
        <v>1272</v>
      </c>
      <c r="G3107" t="s">
        <v>636</v>
      </c>
      <c r="H3107" s="484">
        <v>-2024.19</v>
      </c>
      <c r="I3107" t="str">
        <f t="shared" si="174"/>
        <v>abril 2026</v>
      </c>
      <c r="J3107">
        <f t="shared" si="175"/>
        <v>2026</v>
      </c>
      <c r="K3107" t="str">
        <f>VLOOKUP(G3107,METRICS!C:D,2,0)</f>
        <v>Secos - Mercearia</v>
      </c>
      <c r="L3107" t="str">
        <f>VLOOKUP(K3107,METRICS!D:E,2,0)</f>
        <v>CUSTOS DOS PRODUTOS VENDIDOS</v>
      </c>
    </row>
    <row r="3108" spans="1:12" ht="15" hidden="1">
      <c r="A3108" t="s">
        <v>2253</v>
      </c>
      <c r="B3108" t="s">
        <v>612</v>
      </c>
      <c r="D3108" t="s">
        <v>2482</v>
      </c>
      <c r="E3108" t="s">
        <v>1153</v>
      </c>
      <c r="F3108" t="s">
        <v>1272</v>
      </c>
      <c r="G3108" t="s">
        <v>607</v>
      </c>
      <c r="H3108" s="484">
        <v>-576</v>
      </c>
      <c r="I3108" t="str">
        <f t="shared" si="174"/>
        <v>abril 2026</v>
      </c>
      <c r="J3108">
        <f t="shared" si="175"/>
        <v>2026</v>
      </c>
      <c r="K3108" t="str">
        <f>VLOOKUP(G3108,METRICS!C:D,2,0)</f>
        <v>Bebidas Alcoólicas</v>
      </c>
      <c r="L3108" t="str">
        <f>VLOOKUP(K3108,METRICS!D:E,2,0)</f>
        <v>CUSTOS DOS PRODUTOS VENDIDOS</v>
      </c>
    </row>
    <row r="3109" spans="1:12" ht="15" hidden="1">
      <c r="A3109" t="s">
        <v>2253</v>
      </c>
      <c r="B3109" t="s">
        <v>612</v>
      </c>
      <c r="D3109" t="s">
        <v>2483</v>
      </c>
      <c r="E3109" t="s">
        <v>1039</v>
      </c>
      <c r="F3109" t="s">
        <v>1272</v>
      </c>
      <c r="G3109" t="s">
        <v>623</v>
      </c>
      <c r="H3109" s="484">
        <v>-495.93</v>
      </c>
      <c r="I3109" t="str">
        <f t="shared" si="174"/>
        <v>abril 2026</v>
      </c>
      <c r="J3109">
        <f t="shared" si="175"/>
        <v>2026</v>
      </c>
      <c r="K3109" t="str">
        <f>VLOOKUP(G3109,METRICS!C:D,2,0)</f>
        <v>Secos - Mercearia</v>
      </c>
      <c r="L3109" t="str">
        <f>VLOOKUP(K3109,METRICS!D:E,2,0)</f>
        <v>CUSTOS DOS PRODUTOS VENDIDOS</v>
      </c>
    </row>
    <row r="3110" spans="1:12" ht="15" hidden="1">
      <c r="A3110" t="s">
        <v>2253</v>
      </c>
      <c r="B3110" t="s">
        <v>612</v>
      </c>
      <c r="D3110" t="s">
        <v>2484</v>
      </c>
      <c r="E3110" t="s">
        <v>752</v>
      </c>
      <c r="F3110" t="s">
        <v>1272</v>
      </c>
      <c r="G3110" t="s">
        <v>609</v>
      </c>
      <c r="H3110" s="484">
        <v>-1441.43</v>
      </c>
      <c r="I3110" t="str">
        <f t="shared" si="174"/>
        <v>abril 2026</v>
      </c>
      <c r="J3110">
        <f t="shared" si="175"/>
        <v>2026</v>
      </c>
      <c r="K3110" t="str">
        <f>VLOOKUP(G3110,METRICS!C:D,2,0)</f>
        <v>Carnes e Aves</v>
      </c>
      <c r="L3110" t="str">
        <f>VLOOKUP(K3110,METRICS!D:E,2,0)</f>
        <v>CUSTOS DOS PRODUTOS VENDIDOS</v>
      </c>
    </row>
    <row r="3111" spans="1:12" ht="15" hidden="1">
      <c r="A3111" t="s">
        <v>2253</v>
      </c>
      <c r="B3111" t="s">
        <v>612</v>
      </c>
      <c r="D3111" t="s">
        <v>2485</v>
      </c>
      <c r="E3111" t="s">
        <v>878</v>
      </c>
      <c r="F3111" t="s">
        <v>1272</v>
      </c>
      <c r="G3111" t="s">
        <v>609</v>
      </c>
      <c r="H3111" s="484">
        <v>-13849.12</v>
      </c>
      <c r="I3111" t="str">
        <f t="shared" si="174"/>
        <v>abril 2026</v>
      </c>
      <c r="J3111">
        <f t="shared" si="175"/>
        <v>2026</v>
      </c>
      <c r="K3111" t="str">
        <f>VLOOKUP(G3111,METRICS!C:D,2,0)</f>
        <v>Carnes e Aves</v>
      </c>
      <c r="L3111" t="str">
        <f>VLOOKUP(K3111,METRICS!D:E,2,0)</f>
        <v>CUSTOS DOS PRODUTOS VENDIDOS</v>
      </c>
    </row>
    <row r="3112" spans="1:12" ht="15" hidden="1">
      <c r="A3112" t="s">
        <v>2253</v>
      </c>
      <c r="B3112" t="s">
        <v>612</v>
      </c>
      <c r="D3112" t="s">
        <v>2486</v>
      </c>
      <c r="E3112" t="s">
        <v>906</v>
      </c>
      <c r="F3112" t="s">
        <v>1272</v>
      </c>
      <c r="G3112" t="s">
        <v>628</v>
      </c>
      <c r="H3112" s="484">
        <v>-375.6</v>
      </c>
      <c r="I3112" t="str">
        <f t="shared" si="174"/>
        <v>abril 2026</v>
      </c>
      <c r="J3112">
        <f t="shared" si="175"/>
        <v>2026</v>
      </c>
      <c r="K3112" t="str">
        <f>VLOOKUP(G3112,METRICS!C:D,2,0)</f>
        <v>Material de Escritório</v>
      </c>
      <c r="L3112" t="str">
        <f>VLOOKUP(K3112,METRICS!D:E,2,0)</f>
        <v>ADMINISTRATIVA</v>
      </c>
    </row>
    <row r="3113" spans="1:12" ht="15" hidden="1">
      <c r="A3113" t="s">
        <v>2253</v>
      </c>
      <c r="B3113" t="s">
        <v>612</v>
      </c>
      <c r="D3113" t="s">
        <v>2487</v>
      </c>
      <c r="E3113" t="s">
        <v>1712</v>
      </c>
      <c r="F3113" t="s">
        <v>1272</v>
      </c>
      <c r="G3113" t="s">
        <v>641</v>
      </c>
      <c r="H3113" s="484">
        <v>-10885.97</v>
      </c>
      <c r="I3113" t="str">
        <f t="shared" si="174"/>
        <v>abril 2026</v>
      </c>
      <c r="J3113">
        <f t="shared" si="175"/>
        <v>2026</v>
      </c>
      <c r="K3113" t="str">
        <f>VLOOKUP(G3113,METRICS!C:D,2,0)</f>
        <v>Vinhos/Espumantes</v>
      </c>
      <c r="L3113" t="str">
        <f>VLOOKUP(K3113,METRICS!D:E,2,0)</f>
        <v>CUSTOS DOS PRODUTOS VENDIDOS</v>
      </c>
    </row>
    <row r="3114" spans="1:12" ht="15" hidden="1">
      <c r="A3114" t="s">
        <v>2253</v>
      </c>
      <c r="B3114" t="s">
        <v>612</v>
      </c>
      <c r="D3114" t="s">
        <v>2488</v>
      </c>
      <c r="E3114" t="s">
        <v>727</v>
      </c>
      <c r="F3114" t="s">
        <v>1272</v>
      </c>
      <c r="G3114" t="s">
        <v>620</v>
      </c>
      <c r="H3114" s="484">
        <v>-6959.5</v>
      </c>
      <c r="I3114" t="str">
        <f t="shared" si="174"/>
        <v>abril 2026</v>
      </c>
      <c r="J3114">
        <f t="shared" si="175"/>
        <v>2026</v>
      </c>
      <c r="K3114" t="str">
        <f>VLOOKUP(G3114,METRICS!C:D,2,0)</f>
        <v>Hortifruti</v>
      </c>
      <c r="L3114" t="str">
        <f>VLOOKUP(K3114,METRICS!D:E,2,0)</f>
        <v>CUSTOS DOS PRODUTOS VENDIDOS</v>
      </c>
    </row>
    <row r="3115" spans="1:12" ht="15" hidden="1">
      <c r="A3115" t="s">
        <v>2253</v>
      </c>
      <c r="B3115" t="s">
        <v>612</v>
      </c>
      <c r="D3115" t="s">
        <v>2489</v>
      </c>
      <c r="E3115" t="s">
        <v>872</v>
      </c>
      <c r="F3115" t="s">
        <v>1272</v>
      </c>
      <c r="G3115" t="s">
        <v>608</v>
      </c>
      <c r="H3115" s="484">
        <v>-1833.84</v>
      </c>
      <c r="I3115" t="str">
        <f t="shared" si="174"/>
        <v>abril 2026</v>
      </c>
      <c r="J3115">
        <f t="shared" si="175"/>
        <v>2026</v>
      </c>
      <c r="K3115" t="str">
        <f>VLOOKUP(G3115,METRICS!C:D,2,0)</f>
        <v>Bebidas não Alcoolicas</v>
      </c>
      <c r="L3115" t="str">
        <f>VLOOKUP(K3115,METRICS!D:E,2,0)</f>
        <v>CUSTOS DOS PRODUTOS VENDIDOS</v>
      </c>
    </row>
    <row r="3116" spans="1:12" ht="15" hidden="1">
      <c r="A3116" t="s">
        <v>2253</v>
      </c>
      <c r="B3116" t="s">
        <v>612</v>
      </c>
      <c r="D3116" t="s">
        <v>2490</v>
      </c>
      <c r="E3116" t="s">
        <v>780</v>
      </c>
      <c r="F3116" t="s">
        <v>1272</v>
      </c>
      <c r="G3116" t="s">
        <v>611</v>
      </c>
      <c r="H3116" s="484">
        <v>-2421.25</v>
      </c>
      <c r="I3116" t="str">
        <f t="shared" si="174"/>
        <v>abril 2026</v>
      </c>
      <c r="J3116">
        <f t="shared" si="175"/>
        <v>2026</v>
      </c>
      <c r="K3116" t="str">
        <f>VLOOKUP(G3116,METRICS!C:D,2,0)</f>
        <v>Bebidas Alcoólicas</v>
      </c>
      <c r="L3116" t="str">
        <f>VLOOKUP(K3116,METRICS!D:E,2,0)</f>
        <v>CUSTOS DOS PRODUTOS VENDIDOS</v>
      </c>
    </row>
    <row r="3117" spans="1:12" ht="15" hidden="1">
      <c r="A3117" t="s">
        <v>2253</v>
      </c>
      <c r="B3117" t="s">
        <v>612</v>
      </c>
      <c r="D3117" t="s">
        <v>2491</v>
      </c>
      <c r="E3117" t="s">
        <v>1695</v>
      </c>
      <c r="F3117" t="s">
        <v>1272</v>
      </c>
      <c r="G3117" t="s">
        <v>613</v>
      </c>
      <c r="H3117" s="484">
        <v>-800</v>
      </c>
      <c r="I3117" t="str">
        <f t="shared" si="174"/>
        <v>abril 2026</v>
      </c>
      <c r="J3117">
        <f t="shared" si="175"/>
        <v>2026</v>
      </c>
      <c r="K3117" t="str">
        <f>VLOOKUP(G3117,METRICS!C:D,2,0)</f>
        <v>Dedetização</v>
      </c>
      <c r="L3117" t="str">
        <f>VLOOKUP(K3117,METRICS!D:E,2,0)</f>
        <v>ADMINISTRATIVA</v>
      </c>
    </row>
    <row r="3118" spans="1:12" ht="15" hidden="1">
      <c r="A3118" t="s">
        <v>2253</v>
      </c>
      <c r="B3118" t="s">
        <v>612</v>
      </c>
      <c r="D3118" t="s">
        <v>2492</v>
      </c>
      <c r="E3118" t="s">
        <v>1005</v>
      </c>
      <c r="F3118" t="s">
        <v>1272</v>
      </c>
      <c r="G3118" t="s">
        <v>608</v>
      </c>
      <c r="H3118" s="484">
        <v>-3049.6</v>
      </c>
      <c r="I3118" t="str">
        <f t="shared" si="174"/>
        <v>abril 2026</v>
      </c>
      <c r="J3118">
        <f t="shared" si="175"/>
        <v>2026</v>
      </c>
      <c r="K3118" t="str">
        <f>VLOOKUP(G3118,METRICS!C:D,2,0)</f>
        <v>Bebidas não Alcoolicas</v>
      </c>
      <c r="L3118" t="str">
        <f>VLOOKUP(K3118,METRICS!D:E,2,0)</f>
        <v>CUSTOS DOS PRODUTOS VENDIDOS</v>
      </c>
    </row>
    <row r="3119" spans="1:12" ht="15" hidden="1">
      <c r="A3119" t="s">
        <v>2253</v>
      </c>
      <c r="B3119" t="s">
        <v>612</v>
      </c>
      <c r="D3119" t="s">
        <v>2493</v>
      </c>
      <c r="E3119" t="s">
        <v>1153</v>
      </c>
      <c r="F3119" t="s">
        <v>1272</v>
      </c>
      <c r="G3119" t="s">
        <v>607</v>
      </c>
      <c r="H3119" s="484">
        <v>-936</v>
      </c>
      <c r="I3119" t="str">
        <f t="shared" si="174"/>
        <v>abril 2026</v>
      </c>
      <c r="J3119">
        <f t="shared" si="175"/>
        <v>2026</v>
      </c>
      <c r="K3119" t="str">
        <f>VLOOKUP(G3119,METRICS!C:D,2,0)</f>
        <v>Bebidas Alcoólicas</v>
      </c>
      <c r="L3119" t="str">
        <f>VLOOKUP(K3119,METRICS!D:E,2,0)</f>
        <v>CUSTOS DOS PRODUTOS VENDIDOS</v>
      </c>
    </row>
    <row r="3120" spans="1:12" ht="15" hidden="1">
      <c r="A3120" t="s">
        <v>2253</v>
      </c>
      <c r="B3120" t="s">
        <v>612</v>
      </c>
      <c r="D3120" t="s">
        <v>2494</v>
      </c>
      <c r="E3120" t="s">
        <v>878</v>
      </c>
      <c r="F3120" t="s">
        <v>1272</v>
      </c>
      <c r="G3120" t="s">
        <v>609</v>
      </c>
      <c r="H3120" s="484">
        <v>-909.4</v>
      </c>
      <c r="I3120" t="str">
        <f t="shared" si="174"/>
        <v>abril 2026</v>
      </c>
      <c r="J3120">
        <f t="shared" si="175"/>
        <v>2026</v>
      </c>
      <c r="K3120" t="str">
        <f>VLOOKUP(G3120,METRICS!C:D,2,0)</f>
        <v>Carnes e Aves</v>
      </c>
      <c r="L3120" t="str">
        <f>VLOOKUP(K3120,METRICS!D:E,2,0)</f>
        <v>CUSTOS DOS PRODUTOS VENDIDOS</v>
      </c>
    </row>
    <row r="3121" spans="1:12" ht="15" hidden="1">
      <c r="A3121" t="s">
        <v>2253</v>
      </c>
      <c r="B3121" t="s">
        <v>612</v>
      </c>
      <c r="D3121" t="s">
        <v>2495</v>
      </c>
      <c r="E3121" t="s">
        <v>939</v>
      </c>
      <c r="F3121" t="s">
        <v>1272</v>
      </c>
      <c r="G3121" t="s">
        <v>636</v>
      </c>
      <c r="H3121" s="484">
        <v>-966.04</v>
      </c>
      <c r="I3121" t="str">
        <f t="shared" si="174"/>
        <v>abril 2026</v>
      </c>
      <c r="J3121">
        <f t="shared" si="175"/>
        <v>2026</v>
      </c>
      <c r="K3121" t="str">
        <f>VLOOKUP(G3121,METRICS!C:D,2,0)</f>
        <v>Secos - Mercearia</v>
      </c>
      <c r="L3121" t="str">
        <f>VLOOKUP(K3121,METRICS!D:E,2,0)</f>
        <v>CUSTOS DOS PRODUTOS VENDIDOS</v>
      </c>
    </row>
    <row r="3122" spans="1:12" ht="15" hidden="1">
      <c r="A3122" t="s">
        <v>2254</v>
      </c>
      <c r="B3122" t="s">
        <v>689</v>
      </c>
      <c r="D3122" t="s">
        <v>2496</v>
      </c>
      <c r="E3122" t="s">
        <v>1145</v>
      </c>
      <c r="F3122" t="s">
        <v>1272</v>
      </c>
      <c r="G3122" t="s">
        <v>676</v>
      </c>
      <c r="H3122" s="484">
        <v>-7200</v>
      </c>
      <c r="I3122" t="str">
        <f t="shared" si="174"/>
        <v>abril 2026</v>
      </c>
      <c r="J3122">
        <f t="shared" si="175"/>
        <v>2026</v>
      </c>
      <c r="K3122" t="str">
        <f>VLOOKUP(G3122,METRICS!C:D,2,0)</f>
        <v>Propaganda, Publicidade e Patrocínio</v>
      </c>
      <c r="L3122" t="str">
        <f>VLOOKUP(K3122,METRICS!D:E,2,0)</f>
        <v>MARKETING</v>
      </c>
    </row>
    <row r="3123" spans="1:12" ht="15" hidden="1">
      <c r="A3123" t="s">
        <v>2254</v>
      </c>
      <c r="B3123" t="s">
        <v>689</v>
      </c>
      <c r="D3123" t="s">
        <v>2648</v>
      </c>
      <c r="E3123" t="s">
        <v>1704</v>
      </c>
      <c r="F3123" t="s">
        <v>1272</v>
      </c>
      <c r="G3123" t="s">
        <v>668</v>
      </c>
      <c r="H3123" s="484">
        <v>-5500</v>
      </c>
      <c r="I3123" t="str">
        <f t="shared" si="174"/>
        <v>abril 2026</v>
      </c>
      <c r="J3123">
        <f t="shared" si="175"/>
        <v>2026</v>
      </c>
      <c r="K3123" t="str">
        <f>VLOOKUP(G3123,METRICS!C:D,2,0)</f>
        <v>Prestação de Serviço Pessoa Jurídica OP</v>
      </c>
      <c r="L3123" t="str">
        <f>VLOOKUP(K3123,METRICS!D:E,2,0)</f>
        <v>OPERAÇÃO</v>
      </c>
    </row>
    <row r="3124" spans="1:12" ht="15" hidden="1">
      <c r="A3124" t="s">
        <v>2254</v>
      </c>
      <c r="B3124" t="s">
        <v>689</v>
      </c>
      <c r="D3124" t="s">
        <v>2497</v>
      </c>
      <c r="E3124" t="s">
        <v>2594</v>
      </c>
      <c r="F3124" t="s">
        <v>1272</v>
      </c>
      <c r="G3124" t="s">
        <v>668</v>
      </c>
      <c r="H3124" s="484">
        <v>-8000</v>
      </c>
      <c r="I3124" t="str">
        <f t="shared" si="174"/>
        <v>abril 2026</v>
      </c>
      <c r="J3124">
        <f t="shared" si="175"/>
        <v>2026</v>
      </c>
      <c r="K3124" t="str">
        <f>VLOOKUP(G3124,METRICS!C:D,2,0)</f>
        <v>Prestação de Serviço Pessoa Jurídica OP</v>
      </c>
      <c r="L3124" t="str">
        <f>VLOOKUP(K3124,METRICS!D:E,2,0)</f>
        <v>OPERAÇÃO</v>
      </c>
    </row>
    <row r="3125" spans="1:12" ht="15" hidden="1">
      <c r="A3125" t="s">
        <v>2254</v>
      </c>
      <c r="B3125" t="s">
        <v>689</v>
      </c>
      <c r="D3125" t="s">
        <v>2498</v>
      </c>
      <c r="E3125" t="s">
        <v>1703</v>
      </c>
      <c r="F3125" t="s">
        <v>1272</v>
      </c>
      <c r="G3125" s="518" t="s">
        <v>1323</v>
      </c>
      <c r="H3125" s="484">
        <v>-16000</v>
      </c>
      <c r="I3125" t="str">
        <f t="shared" si="174"/>
        <v>abril 2026</v>
      </c>
      <c r="J3125">
        <f t="shared" si="175"/>
        <v>2026</v>
      </c>
      <c r="K3125" t="str">
        <f>VLOOKUP(G3125,METRICS!C:D,2,0)</f>
        <v>Prestação de Serviço Pessoa Jurídica ADM</v>
      </c>
      <c r="L3125" t="str">
        <f>VLOOKUP(K3125,METRICS!D:E,2,0)</f>
        <v>ADMINISTRATIVA</v>
      </c>
    </row>
    <row r="3126" spans="1:12" ht="15" hidden="1">
      <c r="A3126" t="s">
        <v>2254</v>
      </c>
      <c r="B3126" t="s">
        <v>612</v>
      </c>
      <c r="D3126" t="s">
        <v>2499</v>
      </c>
      <c r="E3126" t="s">
        <v>2595</v>
      </c>
      <c r="F3126" t="s">
        <v>1272</v>
      </c>
      <c r="G3126" s="518" t="s">
        <v>628</v>
      </c>
      <c r="H3126" s="484">
        <v>-1341</v>
      </c>
      <c r="I3126" t="str">
        <f t="shared" si="174"/>
        <v>abril 2026</v>
      </c>
      <c r="J3126">
        <f t="shared" si="175"/>
        <v>2026</v>
      </c>
      <c r="K3126" t="str">
        <f>VLOOKUP(G3126,METRICS!C:D,2,0)</f>
        <v>Material de Escritório</v>
      </c>
      <c r="L3126" t="str">
        <f>VLOOKUP(K3126,METRICS!D:E,2,0)</f>
        <v>ADMINISTRATIVA</v>
      </c>
    </row>
    <row r="3127" spans="1:12" ht="15" hidden="1">
      <c r="A3127" t="s">
        <v>2254</v>
      </c>
      <c r="B3127" t="s">
        <v>689</v>
      </c>
      <c r="D3127" t="s">
        <v>1200</v>
      </c>
      <c r="E3127" t="s">
        <v>892</v>
      </c>
      <c r="F3127" t="s">
        <v>1272</v>
      </c>
      <c r="G3127" s="518" t="s">
        <v>657</v>
      </c>
      <c r="H3127" s="484">
        <v>-350</v>
      </c>
      <c r="I3127" t="str">
        <f t="shared" si="174"/>
        <v>abril 2026</v>
      </c>
      <c r="J3127">
        <f t="shared" si="175"/>
        <v>2026</v>
      </c>
      <c r="K3127" t="str">
        <f>VLOOKUP(G3127,METRICS!C:D,2,0)</f>
        <v>Aluguel de Maquinas</v>
      </c>
      <c r="L3127" t="str">
        <f>VLOOKUP(K3127,METRICS!D:E,2,0)</f>
        <v>OPERAÇÃO</v>
      </c>
    </row>
    <row r="3128" spans="1:12" ht="15" hidden="1">
      <c r="A3128" t="s">
        <v>2254</v>
      </c>
      <c r="B3128" t="s">
        <v>612</v>
      </c>
      <c r="D3128" t="s">
        <v>2500</v>
      </c>
      <c r="E3128" t="s">
        <v>828</v>
      </c>
      <c r="F3128" t="s">
        <v>1272</v>
      </c>
      <c r="G3128" s="518" t="s">
        <v>636</v>
      </c>
      <c r="H3128" s="484">
        <v>-3080.66</v>
      </c>
      <c r="I3128" t="str">
        <f t="shared" si="174"/>
        <v>abril 2026</v>
      </c>
      <c r="J3128">
        <f t="shared" si="175"/>
        <v>2026</v>
      </c>
      <c r="K3128" t="str">
        <f>VLOOKUP(G3128,METRICS!C:D,2,0)</f>
        <v>Secos - Mercearia</v>
      </c>
      <c r="L3128" t="str">
        <f>VLOOKUP(K3128,METRICS!D:E,2,0)</f>
        <v>CUSTOS DOS PRODUTOS VENDIDOS</v>
      </c>
    </row>
    <row r="3129" spans="1:12" ht="15" hidden="1">
      <c r="A3129" t="s">
        <v>2254</v>
      </c>
      <c r="B3129" t="s">
        <v>612</v>
      </c>
      <c r="D3129" t="s">
        <v>2501</v>
      </c>
      <c r="E3129" t="s">
        <v>866</v>
      </c>
      <c r="F3129" t="s">
        <v>1272</v>
      </c>
      <c r="G3129" s="518" t="s">
        <v>627</v>
      </c>
      <c r="H3129" s="484">
        <v>-2617.17</v>
      </c>
      <c r="I3129" t="str">
        <f t="shared" si="174"/>
        <v>abril 2026</v>
      </c>
      <c r="J3129">
        <f t="shared" si="175"/>
        <v>2026</v>
      </c>
      <c r="K3129" t="str">
        <f>VLOOKUP(G3129,METRICS!C:D,2,0)</f>
        <v>Manutenção e Conservação</v>
      </c>
      <c r="L3129" t="str">
        <f>VLOOKUP(K3129,METRICS!D:E,2,0)</f>
        <v>OPERAÇÃO</v>
      </c>
    </row>
    <row r="3130" spans="1:12" ht="15" hidden="1">
      <c r="A3130" t="s">
        <v>2254</v>
      </c>
      <c r="B3130" t="s">
        <v>689</v>
      </c>
      <c r="D3130" t="s">
        <v>2502</v>
      </c>
      <c r="E3130" t="s">
        <v>700</v>
      </c>
      <c r="F3130" t="s">
        <v>1272</v>
      </c>
      <c r="G3130" s="518" t="s">
        <v>661</v>
      </c>
      <c r="H3130" s="484">
        <v>-5000</v>
      </c>
      <c r="I3130" t="str">
        <f t="shared" si="174"/>
        <v>abril 2026</v>
      </c>
      <c r="J3130">
        <f t="shared" si="175"/>
        <v>2026</v>
      </c>
      <c r="K3130" t="str">
        <f>VLOOKUP(G3130,METRICS!C:D,2,0)</f>
        <v>Consultoria OP</v>
      </c>
      <c r="L3130" t="str">
        <f>VLOOKUP(K3130,METRICS!D:E,2,0)</f>
        <v>OPERAÇÃO</v>
      </c>
    </row>
    <row r="3131" spans="1:12" ht="15" hidden="1">
      <c r="A3131" t="s">
        <v>2254</v>
      </c>
      <c r="B3131" t="s">
        <v>612</v>
      </c>
      <c r="D3131" t="s">
        <v>2503</v>
      </c>
      <c r="E3131" t="s">
        <v>1249</v>
      </c>
      <c r="F3131" t="s">
        <v>1272</v>
      </c>
      <c r="G3131" s="518" t="s">
        <v>413</v>
      </c>
      <c r="H3131" s="484">
        <v>-1198.5</v>
      </c>
      <c r="I3131" t="str">
        <f t="shared" si="174"/>
        <v>abril 2026</v>
      </c>
      <c r="J3131">
        <f t="shared" si="175"/>
        <v>2026</v>
      </c>
      <c r="K3131" t="str">
        <f>VLOOKUP(G3131,METRICS!C:D,2,0)</f>
        <v>Pescados</v>
      </c>
      <c r="L3131" t="str">
        <f>VLOOKUP(K3131,METRICS!D:E,2,0)</f>
        <v>CUSTOS DOS PRODUTOS VENDIDOS</v>
      </c>
    </row>
    <row r="3132" spans="1:12" ht="15" hidden="1">
      <c r="A3132" t="s">
        <v>2254</v>
      </c>
      <c r="B3132" t="s">
        <v>689</v>
      </c>
      <c r="D3132" t="s">
        <v>2505</v>
      </c>
      <c r="E3132" t="s">
        <v>846</v>
      </c>
      <c r="F3132" t="s">
        <v>1272</v>
      </c>
      <c r="G3132" s="518" t="s">
        <v>631</v>
      </c>
      <c r="H3132" s="484">
        <v>-5000</v>
      </c>
      <c r="I3132" t="str">
        <f t="shared" ref="I3132:I3188" si="176">TEXT(A3132, "mmmm aaaa")</f>
        <v>abril 2026</v>
      </c>
      <c r="J3132">
        <f t="shared" si="175"/>
        <v>2026</v>
      </c>
      <c r="K3132" t="str">
        <f>VLOOKUP(G3132,METRICS!C:D,2,0)</f>
        <v>Midias Sociais</v>
      </c>
      <c r="L3132" t="str">
        <f>VLOOKUP(K3132,METRICS!D:E,2,0)</f>
        <v>MARKETING</v>
      </c>
    </row>
    <row r="3133" spans="1:12" ht="15" hidden="1">
      <c r="A3133" t="s">
        <v>2254</v>
      </c>
      <c r="B3133" t="s">
        <v>689</v>
      </c>
      <c r="D3133" t="s">
        <v>2088</v>
      </c>
      <c r="E3133" t="s">
        <v>2218</v>
      </c>
      <c r="F3133" t="s">
        <v>1272</v>
      </c>
      <c r="G3133" s="518" t="s">
        <v>668</v>
      </c>
      <c r="H3133" s="484">
        <v>-2000</v>
      </c>
      <c r="I3133" t="str">
        <f t="shared" si="176"/>
        <v>abril 2026</v>
      </c>
      <c r="J3133">
        <f t="shared" ref="J3133:J3191" si="177">YEAR(A3133)</f>
        <v>2026</v>
      </c>
      <c r="K3133" t="str">
        <f>VLOOKUP(G3133,METRICS!C:D,2,0)</f>
        <v>Prestação de Serviço Pessoa Jurídica OP</v>
      </c>
      <c r="L3133" t="str">
        <f>VLOOKUP(K3133,METRICS!D:E,2,0)</f>
        <v>OPERAÇÃO</v>
      </c>
    </row>
    <row r="3134" spans="1:12" ht="15" hidden="1">
      <c r="A3134" t="s">
        <v>2254</v>
      </c>
      <c r="B3134" t="s">
        <v>689</v>
      </c>
      <c r="D3134" t="s">
        <v>2089</v>
      </c>
      <c r="E3134" t="s">
        <v>1131</v>
      </c>
      <c r="F3134" t="s">
        <v>1272</v>
      </c>
      <c r="G3134" s="518" t="s">
        <v>667</v>
      </c>
      <c r="H3134" s="484">
        <v>-4000</v>
      </c>
      <c r="I3134" t="str">
        <f t="shared" si="176"/>
        <v>abril 2026</v>
      </c>
      <c r="J3134">
        <f t="shared" si="177"/>
        <v>2026</v>
      </c>
      <c r="K3134" t="str">
        <f>VLOOKUP(G3134,METRICS!C:D,2,0)</f>
        <v>Consultoria ADM</v>
      </c>
      <c r="L3134" t="str">
        <f>VLOOKUP(K3134,METRICS!D:E,2,0)</f>
        <v>ADMINISTRATIVA</v>
      </c>
    </row>
    <row r="3135" spans="1:12" ht="15" hidden="1">
      <c r="A3135" t="s">
        <v>2254</v>
      </c>
      <c r="B3135" t="s">
        <v>612</v>
      </c>
      <c r="D3135" t="s">
        <v>2506</v>
      </c>
      <c r="E3135" t="s">
        <v>820</v>
      </c>
      <c r="F3135" t="s">
        <v>1272</v>
      </c>
      <c r="G3135" s="518" t="s">
        <v>611</v>
      </c>
      <c r="H3135" s="484">
        <v>-4381.9399999999996</v>
      </c>
      <c r="I3135" t="str">
        <f t="shared" si="176"/>
        <v>abril 2026</v>
      </c>
      <c r="J3135">
        <f t="shared" si="177"/>
        <v>2026</v>
      </c>
      <c r="K3135" t="str">
        <f>VLOOKUP(G3135,METRICS!C:D,2,0)</f>
        <v>Bebidas Alcoólicas</v>
      </c>
      <c r="L3135" t="str">
        <f>VLOOKUP(K3135,METRICS!D:E,2,0)</f>
        <v>CUSTOS DOS PRODUTOS VENDIDOS</v>
      </c>
    </row>
    <row r="3136" spans="1:12" ht="15" hidden="1">
      <c r="A3136" t="s">
        <v>2254</v>
      </c>
      <c r="B3136" t="s">
        <v>612</v>
      </c>
      <c r="D3136" t="s">
        <v>2507</v>
      </c>
      <c r="E3136" t="s">
        <v>804</v>
      </c>
      <c r="F3136" t="s">
        <v>1272</v>
      </c>
      <c r="G3136" s="518" t="s">
        <v>607</v>
      </c>
      <c r="H3136" s="484">
        <v>-8568.7900000000009</v>
      </c>
      <c r="I3136" t="str">
        <f t="shared" si="176"/>
        <v>abril 2026</v>
      </c>
      <c r="J3136">
        <f t="shared" si="177"/>
        <v>2026</v>
      </c>
      <c r="K3136" t="str">
        <f>VLOOKUP(G3136,METRICS!C:D,2,0)</f>
        <v>Bebidas Alcoólicas</v>
      </c>
      <c r="L3136" t="str">
        <f>VLOOKUP(K3136,METRICS!D:E,2,0)</f>
        <v>CUSTOS DOS PRODUTOS VENDIDOS</v>
      </c>
    </row>
    <row r="3137" spans="1:12" ht="15" hidden="1">
      <c r="A3137" t="s">
        <v>2254</v>
      </c>
      <c r="B3137" t="s">
        <v>689</v>
      </c>
      <c r="D3137" t="s">
        <v>2645</v>
      </c>
      <c r="E3137" t="s">
        <v>2596</v>
      </c>
      <c r="F3137" t="s">
        <v>1272</v>
      </c>
      <c r="G3137" s="518" t="s">
        <v>661</v>
      </c>
      <c r="H3137" s="484">
        <v>-5200</v>
      </c>
      <c r="I3137" t="str">
        <f t="shared" si="176"/>
        <v>abril 2026</v>
      </c>
      <c r="J3137">
        <f t="shared" si="177"/>
        <v>2026</v>
      </c>
      <c r="K3137" t="str">
        <f>VLOOKUP(G3137,METRICS!C:D,2,0)</f>
        <v>Consultoria OP</v>
      </c>
      <c r="L3137" t="str">
        <f>VLOOKUP(K3137,METRICS!D:E,2,0)</f>
        <v>OPERAÇÃO</v>
      </c>
    </row>
    <row r="3138" spans="1:12" ht="15" hidden="1">
      <c r="A3138" t="s">
        <v>2254</v>
      </c>
      <c r="B3138" t="s">
        <v>689</v>
      </c>
      <c r="D3138" t="s">
        <v>1462</v>
      </c>
      <c r="E3138" t="s">
        <v>2597</v>
      </c>
      <c r="F3138" t="s">
        <v>1272</v>
      </c>
      <c r="G3138" s="518" t="s">
        <v>542</v>
      </c>
      <c r="H3138" s="484">
        <v>-26563.19</v>
      </c>
      <c r="I3138" t="str">
        <f t="shared" si="176"/>
        <v>abril 2026</v>
      </c>
      <c r="J3138">
        <f t="shared" si="177"/>
        <v>2026</v>
      </c>
      <c r="K3138" t="str">
        <f>VLOOKUP(G3138,METRICS!C:D,2,0)</f>
        <v>Vale Transporte</v>
      </c>
      <c r="L3138" t="str">
        <f>VLOOKUP(K3138,METRICS!D:E,2,0)</f>
        <v>PESSOAL</v>
      </c>
    </row>
    <row r="3139" spans="1:12" ht="15" hidden="1">
      <c r="A3139" t="s">
        <v>2254</v>
      </c>
      <c r="B3139" t="s">
        <v>689</v>
      </c>
      <c r="D3139" t="s">
        <v>2646</v>
      </c>
      <c r="E3139" t="s">
        <v>1709</v>
      </c>
      <c r="F3139" t="s">
        <v>1272</v>
      </c>
      <c r="G3139" s="518" t="s">
        <v>668</v>
      </c>
      <c r="H3139" s="484">
        <v>-4400</v>
      </c>
      <c r="I3139" t="str">
        <f t="shared" si="176"/>
        <v>abril 2026</v>
      </c>
      <c r="J3139">
        <f t="shared" si="177"/>
        <v>2026</v>
      </c>
      <c r="K3139" t="str">
        <f>VLOOKUP(G3139,METRICS!C:D,2,0)</f>
        <v>Prestação de Serviço Pessoa Jurídica OP</v>
      </c>
      <c r="L3139" t="str">
        <f>VLOOKUP(K3139,METRICS!D:E,2,0)</f>
        <v>OPERAÇÃO</v>
      </c>
    </row>
    <row r="3140" spans="1:12" ht="15" hidden="1">
      <c r="A3140" t="s">
        <v>2254</v>
      </c>
      <c r="B3140" t="s">
        <v>689</v>
      </c>
      <c r="D3140" t="s">
        <v>2645</v>
      </c>
      <c r="E3140" t="s">
        <v>2596</v>
      </c>
      <c r="F3140" t="s">
        <v>1272</v>
      </c>
      <c r="G3140" s="518" t="s">
        <v>661</v>
      </c>
      <c r="H3140" s="484">
        <v>-6800</v>
      </c>
      <c r="I3140" t="str">
        <f t="shared" si="176"/>
        <v>abril 2026</v>
      </c>
      <c r="J3140">
        <f t="shared" si="177"/>
        <v>2026</v>
      </c>
      <c r="K3140" t="str">
        <f>VLOOKUP(G3140,METRICS!C:D,2,0)</f>
        <v>Consultoria OP</v>
      </c>
      <c r="L3140" t="str">
        <f>VLOOKUP(K3140,METRICS!D:E,2,0)</f>
        <v>OPERAÇÃO</v>
      </c>
    </row>
    <row r="3141" spans="1:12" ht="15" hidden="1">
      <c r="A3141" t="s">
        <v>2254</v>
      </c>
      <c r="B3141" t="s">
        <v>612</v>
      </c>
      <c r="D3141" t="s">
        <v>2508</v>
      </c>
      <c r="E3141" t="s">
        <v>774</v>
      </c>
      <c r="F3141" t="s">
        <v>1272</v>
      </c>
      <c r="G3141" s="518" t="s">
        <v>629</v>
      </c>
      <c r="H3141" s="484">
        <v>-892.64</v>
      </c>
      <c r="I3141" t="str">
        <f t="shared" si="176"/>
        <v>abril 2026</v>
      </c>
      <c r="J3141">
        <f t="shared" si="177"/>
        <v>2026</v>
      </c>
      <c r="K3141" t="str">
        <f>VLOOKUP(G3141,METRICS!C:D,2,0)</f>
        <v>Material de limpeza</v>
      </c>
      <c r="L3141" t="str">
        <f>VLOOKUP(K3141,METRICS!D:E,2,0)</f>
        <v>OPERAÇÃO</v>
      </c>
    </row>
    <row r="3142" spans="1:12" ht="15" hidden="1">
      <c r="A3142" t="s">
        <v>2254</v>
      </c>
      <c r="B3142" t="s">
        <v>689</v>
      </c>
      <c r="D3142" t="s">
        <v>2509</v>
      </c>
      <c r="E3142" t="s">
        <v>2183</v>
      </c>
      <c r="F3142" t="s">
        <v>1272</v>
      </c>
      <c r="G3142" s="518" t="s">
        <v>642</v>
      </c>
      <c r="H3142" s="484">
        <v>-3548.03</v>
      </c>
      <c r="I3142" t="str">
        <f t="shared" si="176"/>
        <v>abril 2026</v>
      </c>
      <c r="J3142">
        <f t="shared" si="177"/>
        <v>2026</v>
      </c>
      <c r="K3142" t="str">
        <f>VLOOKUP(G3142,METRICS!C:D,2,0)</f>
        <v>Férias</v>
      </c>
      <c r="L3142" t="str">
        <f>VLOOKUP(K3142,METRICS!D:E,2,0)</f>
        <v>PESSOAL</v>
      </c>
    </row>
    <row r="3143" spans="1:12" ht="15" hidden="1">
      <c r="A3143" t="s">
        <v>2254</v>
      </c>
      <c r="B3143" t="s">
        <v>689</v>
      </c>
      <c r="D3143" t="s">
        <v>2510</v>
      </c>
      <c r="E3143" t="s">
        <v>1217</v>
      </c>
      <c r="F3143" t="s">
        <v>1272</v>
      </c>
      <c r="G3143" s="518" t="s">
        <v>668</v>
      </c>
      <c r="H3143" s="484">
        <v>-10000</v>
      </c>
      <c r="I3143" t="str">
        <f t="shared" si="176"/>
        <v>abril 2026</v>
      </c>
      <c r="J3143">
        <f t="shared" si="177"/>
        <v>2026</v>
      </c>
      <c r="K3143" t="str">
        <f>VLOOKUP(G3143,METRICS!C:D,2,0)</f>
        <v>Prestação de Serviço Pessoa Jurídica OP</v>
      </c>
      <c r="L3143" t="str">
        <f>VLOOKUP(K3143,METRICS!D:E,2,0)</f>
        <v>OPERAÇÃO</v>
      </c>
    </row>
    <row r="3144" spans="1:12" ht="15" hidden="1">
      <c r="A3144" t="s">
        <v>2254</v>
      </c>
      <c r="B3144" t="s">
        <v>689</v>
      </c>
      <c r="D3144" t="s">
        <v>2614</v>
      </c>
      <c r="E3144" t="s">
        <v>1715</v>
      </c>
      <c r="F3144" t="s">
        <v>1272</v>
      </c>
      <c r="G3144" s="518" t="s">
        <v>1323</v>
      </c>
      <c r="H3144" s="484">
        <v>-12000</v>
      </c>
      <c r="I3144" t="str">
        <f>TEXT(A3148, "mmmm aaaa")</f>
        <v>abril 2026</v>
      </c>
      <c r="J3144">
        <f>YEAR(A3148)</f>
        <v>2026</v>
      </c>
      <c r="K3144" t="str">
        <f>VLOOKUP(G3144,METRICS!C:D,2,0)</f>
        <v>Prestação de Serviço Pessoa Jurídica ADM</v>
      </c>
      <c r="L3144" t="str">
        <f>VLOOKUP(K3144,METRICS!D:E,2,0)</f>
        <v>ADMINISTRATIVA</v>
      </c>
    </row>
    <row r="3145" spans="1:12" ht="15" hidden="1">
      <c r="A3145" t="s">
        <v>2254</v>
      </c>
      <c r="B3145" t="s">
        <v>689</v>
      </c>
      <c r="D3145" t="s">
        <v>2511</v>
      </c>
      <c r="E3145" t="s">
        <v>1707</v>
      </c>
      <c r="F3145" t="s">
        <v>1272</v>
      </c>
      <c r="G3145" s="518" t="s">
        <v>668</v>
      </c>
      <c r="H3145" s="484">
        <v>-6250</v>
      </c>
      <c r="I3145" t="str">
        <f t="shared" si="176"/>
        <v>abril 2026</v>
      </c>
      <c r="J3145">
        <f t="shared" si="177"/>
        <v>2026</v>
      </c>
      <c r="K3145" t="str">
        <f>VLOOKUP(G3145,METRICS!C:D,2,0)</f>
        <v>Prestação de Serviço Pessoa Jurídica OP</v>
      </c>
      <c r="L3145" t="str">
        <f>VLOOKUP(K3145,METRICS!D:E,2,0)</f>
        <v>OPERAÇÃO</v>
      </c>
    </row>
    <row r="3146" spans="1:12" ht="15" hidden="1">
      <c r="A3146" t="s">
        <v>2254</v>
      </c>
      <c r="B3146" t="s">
        <v>689</v>
      </c>
      <c r="D3146" t="s">
        <v>1462</v>
      </c>
      <c r="E3146" t="s">
        <v>2598</v>
      </c>
      <c r="F3146" t="s">
        <v>1272</v>
      </c>
      <c r="G3146" s="518" t="s">
        <v>542</v>
      </c>
      <c r="H3146" s="484">
        <v>-1967.6</v>
      </c>
      <c r="I3146" t="str">
        <f t="shared" si="176"/>
        <v>abril 2026</v>
      </c>
      <c r="J3146">
        <f t="shared" si="177"/>
        <v>2026</v>
      </c>
      <c r="K3146" t="str">
        <f>VLOOKUP(G3146,METRICS!C:D,2,0)</f>
        <v>Vale Transporte</v>
      </c>
      <c r="L3146" t="str">
        <f>VLOOKUP(K3146,METRICS!D:E,2,0)</f>
        <v>PESSOAL</v>
      </c>
    </row>
    <row r="3147" spans="1:12" ht="15" hidden="1">
      <c r="A3147" t="s">
        <v>2254</v>
      </c>
      <c r="B3147" t="s">
        <v>689</v>
      </c>
      <c r="D3147" t="s">
        <v>2512</v>
      </c>
      <c r="E3147" t="s">
        <v>330</v>
      </c>
      <c r="F3147" t="s">
        <v>1272</v>
      </c>
      <c r="G3147" s="518" t="s">
        <v>2227</v>
      </c>
      <c r="H3147" s="484">
        <v>-3211.77</v>
      </c>
      <c r="I3147" t="str">
        <f t="shared" si="176"/>
        <v>abril 2026</v>
      </c>
      <c r="J3147">
        <f t="shared" si="177"/>
        <v>2026</v>
      </c>
      <c r="K3147" t="str">
        <f>VLOOKUP(G3147,METRICS!C:D,2,0)</f>
        <v>Coleta de Lixo</v>
      </c>
      <c r="L3147" t="str">
        <f>VLOOKUP(K3147,METRICS!D:E,2,0)</f>
        <v>OPERAÇÃO</v>
      </c>
    </row>
    <row r="3148" spans="1:12" ht="15" hidden="1">
      <c r="A3148" t="s">
        <v>2254</v>
      </c>
      <c r="B3148" t="s">
        <v>689</v>
      </c>
      <c r="C3148" t="s">
        <v>690</v>
      </c>
      <c r="D3148" t="s">
        <v>2215</v>
      </c>
      <c r="E3148" t="s">
        <v>1131</v>
      </c>
      <c r="F3148" t="s">
        <v>1272</v>
      </c>
      <c r="G3148" t="s">
        <v>667</v>
      </c>
      <c r="H3148" s="484">
        <v>-4000</v>
      </c>
      <c r="I3148" t="str">
        <f t="shared" ref="I3148" si="178">TEXT(A3148, "mmmm aaaa")</f>
        <v>abril 2026</v>
      </c>
      <c r="J3148">
        <f t="shared" ref="J3148" si="179">YEAR(A3148)</f>
        <v>2026</v>
      </c>
      <c r="K3148" t="str">
        <f>VLOOKUP(G3148,METRICS!C:D,2,0)</f>
        <v>Consultoria ADM</v>
      </c>
      <c r="L3148" t="str">
        <f>VLOOKUP(K3148,METRICS!D:E,2,0)</f>
        <v>ADMINISTRATIVA</v>
      </c>
    </row>
    <row r="3149" spans="1:12" ht="15" hidden="1">
      <c r="A3149" t="s">
        <v>2254</v>
      </c>
      <c r="B3149" t="s">
        <v>689</v>
      </c>
      <c r="D3149" t="s">
        <v>2613</v>
      </c>
      <c r="E3149" t="s">
        <v>1714</v>
      </c>
      <c r="F3149" t="s">
        <v>1272</v>
      </c>
      <c r="G3149" s="518" t="s">
        <v>1323</v>
      </c>
      <c r="H3149" s="484">
        <v>-5750</v>
      </c>
      <c r="I3149" t="str">
        <f t="shared" si="176"/>
        <v>abril 2026</v>
      </c>
      <c r="J3149">
        <f t="shared" si="177"/>
        <v>2026</v>
      </c>
      <c r="K3149" t="str">
        <f>VLOOKUP(G3149,METRICS!C:D,2,0)</f>
        <v>Prestação de Serviço Pessoa Jurídica ADM</v>
      </c>
      <c r="L3149" t="str">
        <f>VLOOKUP(K3149,METRICS!D:E,2,0)</f>
        <v>ADMINISTRATIVA</v>
      </c>
    </row>
    <row r="3150" spans="1:12" ht="15" hidden="1">
      <c r="A3150" t="s">
        <v>2254</v>
      </c>
      <c r="B3150" t="s">
        <v>689</v>
      </c>
      <c r="D3150" t="s">
        <v>2613</v>
      </c>
      <c r="E3150" t="s">
        <v>1230</v>
      </c>
      <c r="F3150" t="s">
        <v>1272</v>
      </c>
      <c r="G3150" s="518" t="s">
        <v>1323</v>
      </c>
      <c r="H3150" s="484">
        <v>-10000</v>
      </c>
      <c r="I3150" t="str">
        <f t="shared" si="176"/>
        <v>abril 2026</v>
      </c>
      <c r="J3150">
        <f t="shared" si="177"/>
        <v>2026</v>
      </c>
      <c r="K3150" t="str">
        <f>VLOOKUP(G3150,METRICS!C:D,2,0)</f>
        <v>Prestação de Serviço Pessoa Jurídica ADM</v>
      </c>
      <c r="L3150" t="str">
        <f>VLOOKUP(K3150,METRICS!D:E,2,0)</f>
        <v>ADMINISTRATIVA</v>
      </c>
    </row>
    <row r="3151" spans="1:12" ht="15" hidden="1">
      <c r="A3151" t="s">
        <v>2254</v>
      </c>
      <c r="B3151" t="s">
        <v>689</v>
      </c>
      <c r="D3151" t="s">
        <v>2647</v>
      </c>
      <c r="E3151" t="s">
        <v>1710</v>
      </c>
      <c r="F3151" t="s">
        <v>1272</v>
      </c>
      <c r="G3151" s="518" t="s">
        <v>668</v>
      </c>
      <c r="H3151" s="484">
        <v>-7000</v>
      </c>
      <c r="I3151" t="str">
        <f t="shared" si="176"/>
        <v>abril 2026</v>
      </c>
      <c r="J3151">
        <f t="shared" si="177"/>
        <v>2026</v>
      </c>
      <c r="K3151" t="str">
        <f>VLOOKUP(G3151,METRICS!C:D,2,0)</f>
        <v>Prestação de Serviço Pessoa Jurídica OP</v>
      </c>
      <c r="L3151" t="str">
        <f>VLOOKUP(K3151,METRICS!D:E,2,0)</f>
        <v>OPERAÇÃO</v>
      </c>
    </row>
    <row r="3152" spans="1:12" ht="15" hidden="1">
      <c r="A3152" t="s">
        <v>2254</v>
      </c>
      <c r="B3152" t="s">
        <v>612</v>
      </c>
      <c r="D3152" t="s">
        <v>2513</v>
      </c>
      <c r="E3152" t="s">
        <v>1691</v>
      </c>
      <c r="F3152" t="s">
        <v>1272</v>
      </c>
      <c r="G3152" s="518" t="s">
        <v>617</v>
      </c>
      <c r="H3152" s="484">
        <v>-2002.7</v>
      </c>
      <c r="I3152" t="str">
        <f t="shared" si="176"/>
        <v>abril 2026</v>
      </c>
      <c r="J3152">
        <f t="shared" si="177"/>
        <v>2026</v>
      </c>
      <c r="K3152" t="str">
        <f>VLOOKUP(G3152,METRICS!C:D,2,0)</f>
        <v>Secos - Mercearia</v>
      </c>
      <c r="L3152" t="str">
        <f>VLOOKUP(K3152,METRICS!D:E,2,0)</f>
        <v>CUSTOS DOS PRODUTOS VENDIDOS</v>
      </c>
    </row>
    <row r="3153" spans="1:12" ht="15" hidden="1">
      <c r="A3153" t="s">
        <v>2254</v>
      </c>
      <c r="B3153" t="s">
        <v>612</v>
      </c>
      <c r="D3153" t="s">
        <v>2514</v>
      </c>
      <c r="E3153" t="s">
        <v>811</v>
      </c>
      <c r="F3153" t="s">
        <v>1272</v>
      </c>
      <c r="G3153" s="518" t="s">
        <v>636</v>
      </c>
      <c r="H3153" s="484">
        <v>-777.59</v>
      </c>
      <c r="I3153" t="str">
        <f t="shared" si="176"/>
        <v>abril 2026</v>
      </c>
      <c r="J3153">
        <f t="shared" si="177"/>
        <v>2026</v>
      </c>
      <c r="K3153" t="str">
        <f>VLOOKUP(G3153,METRICS!C:D,2,0)</f>
        <v>Secos - Mercearia</v>
      </c>
      <c r="L3153" t="str">
        <f>VLOOKUP(K3153,METRICS!D:E,2,0)</f>
        <v>CUSTOS DOS PRODUTOS VENDIDOS</v>
      </c>
    </row>
    <row r="3154" spans="1:12" ht="15" hidden="1">
      <c r="A3154" t="s">
        <v>2254</v>
      </c>
      <c r="B3154" t="s">
        <v>612</v>
      </c>
      <c r="D3154" t="s">
        <v>2515</v>
      </c>
      <c r="E3154" t="s">
        <v>2599</v>
      </c>
      <c r="F3154" t="s">
        <v>1272</v>
      </c>
      <c r="G3154" s="518" t="s">
        <v>608</v>
      </c>
      <c r="H3154" s="484">
        <v>-692.4</v>
      </c>
      <c r="I3154" t="str">
        <f t="shared" si="176"/>
        <v>abril 2026</v>
      </c>
      <c r="J3154">
        <f t="shared" si="177"/>
        <v>2026</v>
      </c>
      <c r="K3154" t="str">
        <f>VLOOKUP(G3154,METRICS!C:D,2,0)</f>
        <v>Bebidas não Alcoolicas</v>
      </c>
      <c r="L3154" t="str">
        <f>VLOOKUP(K3154,METRICS!D:E,2,0)</f>
        <v>CUSTOS DOS PRODUTOS VENDIDOS</v>
      </c>
    </row>
    <row r="3155" spans="1:12" ht="15" hidden="1">
      <c r="A3155" t="s">
        <v>2254</v>
      </c>
      <c r="B3155" t="s">
        <v>689</v>
      </c>
      <c r="D3155" t="s">
        <v>2094</v>
      </c>
      <c r="E3155" t="s">
        <v>1665</v>
      </c>
      <c r="F3155" t="s">
        <v>1272</v>
      </c>
      <c r="G3155" s="518" t="s">
        <v>661</v>
      </c>
      <c r="H3155" s="484">
        <v>-15000</v>
      </c>
      <c r="I3155" t="str">
        <f t="shared" si="176"/>
        <v>abril 2026</v>
      </c>
      <c r="J3155">
        <f t="shared" si="177"/>
        <v>2026</v>
      </c>
      <c r="K3155" t="str">
        <f>VLOOKUP(G3155,METRICS!C:D,2,0)</f>
        <v>Consultoria OP</v>
      </c>
      <c r="L3155" t="str">
        <f>VLOOKUP(K3155,METRICS!D:E,2,0)</f>
        <v>OPERAÇÃO</v>
      </c>
    </row>
    <row r="3156" spans="1:12" ht="15" hidden="1">
      <c r="A3156" t="s">
        <v>2254</v>
      </c>
      <c r="B3156" t="s">
        <v>689</v>
      </c>
      <c r="D3156" t="s">
        <v>2516</v>
      </c>
      <c r="E3156" t="s">
        <v>2600</v>
      </c>
      <c r="F3156" t="s">
        <v>1272</v>
      </c>
      <c r="G3156" s="518" t="s">
        <v>642</v>
      </c>
      <c r="H3156" s="484">
        <v>-4090.41</v>
      </c>
      <c r="I3156" t="str">
        <f t="shared" si="176"/>
        <v>abril 2026</v>
      </c>
      <c r="J3156">
        <f t="shared" si="177"/>
        <v>2026</v>
      </c>
      <c r="K3156" t="str">
        <f>VLOOKUP(G3156,METRICS!C:D,2,0)</f>
        <v>Férias</v>
      </c>
      <c r="L3156" t="str">
        <f>VLOOKUP(K3156,METRICS!D:E,2,0)</f>
        <v>PESSOAL</v>
      </c>
    </row>
    <row r="3157" spans="1:12" ht="15" hidden="1">
      <c r="A3157" t="s">
        <v>2254</v>
      </c>
      <c r="B3157" t="s">
        <v>689</v>
      </c>
      <c r="D3157" t="s">
        <v>2504</v>
      </c>
      <c r="E3157" t="s">
        <v>1664</v>
      </c>
      <c r="F3157" t="s">
        <v>1272</v>
      </c>
      <c r="G3157" s="518" t="s">
        <v>349</v>
      </c>
      <c r="H3157" s="484">
        <v>-10700</v>
      </c>
      <c r="I3157" t="str">
        <f t="shared" si="176"/>
        <v>abril 2026</v>
      </c>
      <c r="J3157">
        <f t="shared" si="177"/>
        <v>2026</v>
      </c>
      <c r="K3157" t="str">
        <f>VLOOKUP(G3157,METRICS!C:D,2,0)</f>
        <v>Contabilidade</v>
      </c>
      <c r="L3157" t="str">
        <f>VLOOKUP(K3157,METRICS!D:E,2,0)</f>
        <v>ADMINISTRATIVA</v>
      </c>
    </row>
    <row r="3158" spans="1:12" ht="15" hidden="1">
      <c r="A3158" t="s">
        <v>2254</v>
      </c>
      <c r="B3158" t="s">
        <v>689</v>
      </c>
      <c r="D3158" t="s">
        <v>2517</v>
      </c>
      <c r="E3158" t="s">
        <v>1713</v>
      </c>
      <c r="F3158" t="s">
        <v>1272</v>
      </c>
      <c r="G3158" s="518" t="s">
        <v>668</v>
      </c>
      <c r="H3158" s="484">
        <v>-8500</v>
      </c>
      <c r="I3158" t="str">
        <f t="shared" si="176"/>
        <v>abril 2026</v>
      </c>
      <c r="J3158">
        <f t="shared" si="177"/>
        <v>2026</v>
      </c>
      <c r="K3158" t="str">
        <f>VLOOKUP(G3158,METRICS!C:D,2,0)</f>
        <v>Prestação de Serviço Pessoa Jurídica OP</v>
      </c>
      <c r="L3158" t="str">
        <f>VLOOKUP(K3158,METRICS!D:E,2,0)</f>
        <v>OPERAÇÃO</v>
      </c>
    </row>
    <row r="3159" spans="1:12" ht="15" hidden="1">
      <c r="A3159" t="s">
        <v>2254</v>
      </c>
      <c r="B3159" t="s">
        <v>689</v>
      </c>
      <c r="D3159" t="s">
        <v>2615</v>
      </c>
      <c r="E3159" t="s">
        <v>1711</v>
      </c>
      <c r="F3159" t="s">
        <v>1272</v>
      </c>
      <c r="G3159" s="518" t="s">
        <v>1323</v>
      </c>
      <c r="H3159" s="484">
        <v>-13000</v>
      </c>
      <c r="I3159" t="str">
        <f t="shared" si="176"/>
        <v>abril 2026</v>
      </c>
      <c r="J3159">
        <f t="shared" si="177"/>
        <v>2026</v>
      </c>
      <c r="K3159" t="str">
        <f>VLOOKUP(G3159,METRICS!C:D,2,0)</f>
        <v>Prestação de Serviço Pessoa Jurídica ADM</v>
      </c>
      <c r="L3159" t="str">
        <f>VLOOKUP(K3159,METRICS!D:E,2,0)</f>
        <v>ADMINISTRATIVA</v>
      </c>
    </row>
    <row r="3160" spans="1:12" ht="15" hidden="1">
      <c r="A3160" t="s">
        <v>2254</v>
      </c>
      <c r="B3160" t="s">
        <v>689</v>
      </c>
      <c r="D3160" t="s">
        <v>2280</v>
      </c>
      <c r="E3160" t="s">
        <v>1022</v>
      </c>
      <c r="F3160" t="s">
        <v>1272</v>
      </c>
      <c r="G3160" t="s">
        <v>625</v>
      </c>
      <c r="H3160" s="484">
        <v>-1640</v>
      </c>
      <c r="I3160" t="str">
        <f t="shared" si="176"/>
        <v>abril 2026</v>
      </c>
      <c r="J3160">
        <f t="shared" si="177"/>
        <v>2026</v>
      </c>
      <c r="K3160" t="str">
        <f>VLOOKUP(G3160,METRICS!C:D,2,0)</f>
        <v>Manutenção e Conservação</v>
      </c>
      <c r="L3160" t="str">
        <f>VLOOKUP(K3160,METRICS!D:E,2,0)</f>
        <v>OPERAÇÃO</v>
      </c>
    </row>
    <row r="3161" spans="1:12" ht="15" hidden="1">
      <c r="A3161" t="s">
        <v>2254</v>
      </c>
      <c r="B3161" t="s">
        <v>689</v>
      </c>
      <c r="D3161" t="s">
        <v>2518</v>
      </c>
      <c r="E3161" t="s">
        <v>1702</v>
      </c>
      <c r="F3161" t="s">
        <v>1272</v>
      </c>
      <c r="G3161" t="s">
        <v>668</v>
      </c>
      <c r="H3161" s="484">
        <v>-8250</v>
      </c>
      <c r="I3161" t="str">
        <f t="shared" si="176"/>
        <v>abril 2026</v>
      </c>
      <c r="J3161">
        <f t="shared" si="177"/>
        <v>2026</v>
      </c>
      <c r="K3161" t="str">
        <f>VLOOKUP(G3161,METRICS!C:D,2,0)</f>
        <v>Prestação de Serviço Pessoa Jurídica OP</v>
      </c>
      <c r="L3161" t="str">
        <f>VLOOKUP(K3161,METRICS!D:E,2,0)</f>
        <v>OPERAÇÃO</v>
      </c>
    </row>
    <row r="3162" spans="1:12" ht="15" hidden="1">
      <c r="A3162" t="s">
        <v>2255</v>
      </c>
      <c r="B3162" t="s">
        <v>612</v>
      </c>
      <c r="D3162" t="s">
        <v>2519</v>
      </c>
      <c r="E3162" t="s">
        <v>811</v>
      </c>
      <c r="F3162" t="s">
        <v>1272</v>
      </c>
      <c r="G3162" t="s">
        <v>636</v>
      </c>
      <c r="H3162" s="484">
        <v>-760.9</v>
      </c>
      <c r="I3162" t="str">
        <f t="shared" si="176"/>
        <v>abril 2026</v>
      </c>
      <c r="J3162">
        <f t="shared" si="177"/>
        <v>2026</v>
      </c>
      <c r="K3162" t="str">
        <f>VLOOKUP(G3162,METRICS!C:D,2,0)</f>
        <v>Secos - Mercearia</v>
      </c>
      <c r="L3162" t="str">
        <f>VLOOKUP(K3162,METRICS!D:E,2,0)</f>
        <v>CUSTOS DOS PRODUTOS VENDIDOS</v>
      </c>
    </row>
    <row r="3163" spans="1:12" ht="15" hidden="1">
      <c r="A3163" t="s">
        <v>2256</v>
      </c>
      <c r="B3163" t="s">
        <v>689</v>
      </c>
      <c r="D3163" t="s">
        <v>2520</v>
      </c>
      <c r="E3163" t="s">
        <v>757</v>
      </c>
      <c r="F3163" t="s">
        <v>1272</v>
      </c>
      <c r="G3163" t="s">
        <v>658</v>
      </c>
      <c r="H3163" s="484">
        <v>-225.25</v>
      </c>
      <c r="I3163" t="str">
        <f t="shared" si="176"/>
        <v>abril 2026</v>
      </c>
      <c r="J3163">
        <f t="shared" si="177"/>
        <v>2026</v>
      </c>
      <c r="K3163" t="s">
        <v>243</v>
      </c>
      <c r="L3163" t="str">
        <f>VLOOKUP(K3163,METRICS!D:E,2,0)</f>
        <v>DESPESAS FINANCEIRAS</v>
      </c>
    </row>
    <row r="3164" spans="1:12" ht="15" hidden="1">
      <c r="A3164" t="s">
        <v>2256</v>
      </c>
      <c r="B3164" t="s">
        <v>612</v>
      </c>
      <c r="D3164" t="s">
        <v>2521</v>
      </c>
      <c r="E3164" t="s">
        <v>784</v>
      </c>
      <c r="F3164" t="s">
        <v>1272</v>
      </c>
      <c r="G3164" t="s">
        <v>636</v>
      </c>
      <c r="H3164" s="484">
        <v>-1790</v>
      </c>
      <c r="I3164" t="str">
        <f t="shared" si="176"/>
        <v>abril 2026</v>
      </c>
      <c r="J3164">
        <f t="shared" si="177"/>
        <v>2026</v>
      </c>
      <c r="K3164" t="str">
        <f>VLOOKUP(G3164,METRICS!C:D,2,0)</f>
        <v>Secos - Mercearia</v>
      </c>
      <c r="L3164" t="str">
        <f>VLOOKUP(K3164,METRICS!D:E,2,0)</f>
        <v>CUSTOS DOS PRODUTOS VENDIDOS</v>
      </c>
    </row>
    <row r="3165" spans="1:12" ht="15" hidden="1">
      <c r="A3165" t="s">
        <v>2256</v>
      </c>
      <c r="B3165" t="s">
        <v>612</v>
      </c>
      <c r="D3165" t="s">
        <v>2522</v>
      </c>
      <c r="E3165" t="s">
        <v>745</v>
      </c>
      <c r="F3165" t="s">
        <v>1272</v>
      </c>
      <c r="G3165" t="s">
        <v>620</v>
      </c>
      <c r="H3165" s="484">
        <v>-714.95</v>
      </c>
      <c r="I3165" t="str">
        <f t="shared" si="176"/>
        <v>abril 2026</v>
      </c>
      <c r="J3165">
        <f t="shared" si="177"/>
        <v>2026</v>
      </c>
      <c r="K3165" t="str">
        <f>VLOOKUP(G3165,METRICS!C:D,2,0)</f>
        <v>Hortifruti</v>
      </c>
      <c r="L3165" t="str">
        <f>VLOOKUP(K3165,METRICS!D:E,2,0)</f>
        <v>CUSTOS DOS PRODUTOS VENDIDOS</v>
      </c>
    </row>
    <row r="3166" spans="1:12" ht="15" hidden="1">
      <c r="A3166" t="s">
        <v>2256</v>
      </c>
      <c r="B3166" t="s">
        <v>612</v>
      </c>
      <c r="D3166" t="s">
        <v>2523</v>
      </c>
      <c r="E3166" t="s">
        <v>770</v>
      </c>
      <c r="F3166" t="s">
        <v>1272</v>
      </c>
      <c r="G3166" t="s">
        <v>630</v>
      </c>
      <c r="H3166" s="484">
        <v>-1872.98</v>
      </c>
      <c r="I3166" t="str">
        <f t="shared" si="176"/>
        <v>abril 2026</v>
      </c>
      <c r="J3166">
        <f t="shared" si="177"/>
        <v>2026</v>
      </c>
      <c r="K3166" t="str">
        <f>VLOOKUP(G3166,METRICS!C:D,2,0)</f>
        <v>Material de Copa e Limpeza</v>
      </c>
      <c r="L3166" t="str">
        <f>VLOOKUP(K3166,METRICS!D:E,2,0)</f>
        <v>ADMINISTRATIVA</v>
      </c>
    </row>
    <row r="3167" spans="1:12" ht="15" hidden="1">
      <c r="A3167" t="s">
        <v>2256</v>
      </c>
      <c r="B3167" t="s">
        <v>612</v>
      </c>
      <c r="D3167" t="s">
        <v>2524</v>
      </c>
      <c r="E3167" t="s">
        <v>770</v>
      </c>
      <c r="F3167" t="s">
        <v>1272</v>
      </c>
      <c r="G3167" t="s">
        <v>630</v>
      </c>
      <c r="H3167" s="484">
        <v>-109.72</v>
      </c>
      <c r="I3167" t="str">
        <f t="shared" si="176"/>
        <v>abril 2026</v>
      </c>
      <c r="J3167">
        <f t="shared" si="177"/>
        <v>2026</v>
      </c>
      <c r="K3167" t="str">
        <f>VLOOKUP(G3167,METRICS!C:D,2,0)</f>
        <v>Material de Copa e Limpeza</v>
      </c>
      <c r="L3167" t="str">
        <f>VLOOKUP(K3167,METRICS!D:E,2,0)</f>
        <v>ADMINISTRATIVA</v>
      </c>
    </row>
    <row r="3168" spans="1:12" ht="15" hidden="1">
      <c r="A3168" t="s">
        <v>2256</v>
      </c>
      <c r="B3168" t="s">
        <v>612</v>
      </c>
      <c r="D3168" t="s">
        <v>2525</v>
      </c>
      <c r="E3168" t="s">
        <v>765</v>
      </c>
      <c r="F3168" t="s">
        <v>1272</v>
      </c>
      <c r="G3168" t="s">
        <v>619</v>
      </c>
      <c r="H3168" s="484">
        <v>-509.6</v>
      </c>
      <c r="I3168" t="str">
        <f t="shared" si="176"/>
        <v>abril 2026</v>
      </c>
      <c r="J3168">
        <f t="shared" si="177"/>
        <v>2026</v>
      </c>
      <c r="K3168" t="str">
        <f>VLOOKUP(G3168,METRICS!C:D,2,0)</f>
        <v>Gelo</v>
      </c>
      <c r="L3168" t="str">
        <f>VLOOKUP(K3168,METRICS!D:E,2,0)</f>
        <v>CUSTOS DOS PRODUTOS VENDIDOS</v>
      </c>
    </row>
    <row r="3169" spans="1:12" ht="15" hidden="1">
      <c r="A3169" t="s">
        <v>2256</v>
      </c>
      <c r="B3169" t="s">
        <v>689</v>
      </c>
      <c r="D3169" t="s">
        <v>2526</v>
      </c>
      <c r="E3169" t="s">
        <v>2601</v>
      </c>
      <c r="F3169" t="s">
        <v>1272</v>
      </c>
      <c r="G3169" t="s">
        <v>660</v>
      </c>
      <c r="H3169" s="484">
        <v>-69.25</v>
      </c>
      <c r="I3169" t="str">
        <f t="shared" si="176"/>
        <v>abril 2026</v>
      </c>
      <c r="J3169">
        <f t="shared" si="177"/>
        <v>2026</v>
      </c>
      <c r="K3169" t="str">
        <f>VLOOKUP(G3169,METRICS!C:D,2,0)</f>
        <v>Telefone e Internet</v>
      </c>
      <c r="L3169" t="str">
        <f>VLOOKUP(K3169,METRICS!D:E,2,0)</f>
        <v>ADMINISTRATIVA</v>
      </c>
    </row>
    <row r="3170" spans="1:12" ht="15" hidden="1">
      <c r="A3170" t="s">
        <v>2256</v>
      </c>
      <c r="B3170" t="s">
        <v>612</v>
      </c>
      <c r="D3170" t="s">
        <v>2527</v>
      </c>
      <c r="E3170" t="s">
        <v>752</v>
      </c>
      <c r="F3170" t="s">
        <v>1272</v>
      </c>
      <c r="G3170" t="s">
        <v>609</v>
      </c>
      <c r="H3170" s="484">
        <v>-2704.88</v>
      </c>
      <c r="I3170" t="str">
        <f t="shared" si="176"/>
        <v>abril 2026</v>
      </c>
      <c r="J3170">
        <f t="shared" si="177"/>
        <v>2026</v>
      </c>
      <c r="K3170" t="str">
        <f>VLOOKUP(G3170,METRICS!C:D,2,0)</f>
        <v>Carnes e Aves</v>
      </c>
      <c r="L3170" t="str">
        <f>VLOOKUP(K3170,METRICS!D:E,2,0)</f>
        <v>CUSTOS DOS PRODUTOS VENDIDOS</v>
      </c>
    </row>
    <row r="3171" spans="1:12" ht="15" hidden="1">
      <c r="A3171" t="s">
        <v>2256</v>
      </c>
      <c r="B3171" t="s">
        <v>612</v>
      </c>
      <c r="D3171" t="s">
        <v>2528</v>
      </c>
      <c r="E3171" t="s">
        <v>936</v>
      </c>
      <c r="F3171" t="s">
        <v>1272</v>
      </c>
      <c r="G3171" t="s">
        <v>283</v>
      </c>
      <c r="H3171" s="484">
        <v>-3102</v>
      </c>
      <c r="I3171" t="str">
        <f t="shared" si="176"/>
        <v>abril 2026</v>
      </c>
      <c r="J3171">
        <f t="shared" si="177"/>
        <v>2026</v>
      </c>
      <c r="K3171" t="str">
        <f>VLOOKUP(G3171,METRICS!C:D,2,0)</f>
        <v>Hostess</v>
      </c>
      <c r="L3171" t="str">
        <f>VLOOKUP(K3171,METRICS!D:E,2,0)</f>
        <v>OPERAÇÃO</v>
      </c>
    </row>
    <row r="3172" spans="1:12" ht="15" hidden="1">
      <c r="A3172" t="s">
        <v>2256</v>
      </c>
      <c r="B3172" t="s">
        <v>612</v>
      </c>
      <c r="D3172" t="s">
        <v>2529</v>
      </c>
      <c r="E3172" t="s">
        <v>727</v>
      </c>
      <c r="F3172" t="s">
        <v>1272</v>
      </c>
      <c r="G3172" t="s">
        <v>620</v>
      </c>
      <c r="H3172" s="484">
        <v>-6080.3</v>
      </c>
      <c r="I3172" t="str">
        <f t="shared" si="176"/>
        <v>abril 2026</v>
      </c>
      <c r="J3172">
        <f t="shared" si="177"/>
        <v>2026</v>
      </c>
      <c r="K3172" t="str">
        <f>VLOOKUP(G3172,METRICS!C:D,2,0)</f>
        <v>Hortifruti</v>
      </c>
      <c r="L3172" t="str">
        <f>VLOOKUP(K3172,METRICS!D:E,2,0)</f>
        <v>CUSTOS DOS PRODUTOS VENDIDOS</v>
      </c>
    </row>
    <row r="3173" spans="1:12" ht="15" hidden="1">
      <c r="A3173" t="s">
        <v>2256</v>
      </c>
      <c r="B3173" t="s">
        <v>689</v>
      </c>
      <c r="D3173" t="s">
        <v>2530</v>
      </c>
      <c r="E3173" t="s">
        <v>2602</v>
      </c>
      <c r="F3173" t="s">
        <v>1272</v>
      </c>
      <c r="G3173" t="s">
        <v>631</v>
      </c>
      <c r="H3173" s="484">
        <v>-2400</v>
      </c>
      <c r="I3173" t="str">
        <f t="shared" si="176"/>
        <v>abril 2026</v>
      </c>
      <c r="J3173">
        <f t="shared" si="177"/>
        <v>2026</v>
      </c>
      <c r="K3173" t="str">
        <f>VLOOKUP(G3173,METRICS!C:D,2,0)</f>
        <v>Midias Sociais</v>
      </c>
      <c r="L3173" t="str">
        <f>VLOOKUP(K3173,METRICS!D:E,2,0)</f>
        <v>MARKETING</v>
      </c>
    </row>
    <row r="3174" spans="1:12" ht="15" hidden="1">
      <c r="A3174" t="s">
        <v>2256</v>
      </c>
      <c r="B3174" t="s">
        <v>612</v>
      </c>
      <c r="D3174" t="s">
        <v>2531</v>
      </c>
      <c r="E3174" t="s">
        <v>832</v>
      </c>
      <c r="F3174" t="s">
        <v>1272</v>
      </c>
      <c r="G3174" t="s">
        <v>633</v>
      </c>
      <c r="H3174" s="484">
        <v>-238.3</v>
      </c>
      <c r="I3174" t="str">
        <f t="shared" si="176"/>
        <v>abril 2026</v>
      </c>
      <c r="J3174">
        <f t="shared" si="177"/>
        <v>2026</v>
      </c>
      <c r="K3174" t="str">
        <f>VLOOKUP(G3174,METRICS!C:D,2,0)</f>
        <v>Paes, Massas e Salgados</v>
      </c>
      <c r="L3174" t="str">
        <f>VLOOKUP(K3174,METRICS!D:E,2,0)</f>
        <v>CUSTOS DOS PRODUTOS VENDIDOS</v>
      </c>
    </row>
    <row r="3175" spans="1:12" ht="15" hidden="1">
      <c r="A3175" t="s">
        <v>2256</v>
      </c>
      <c r="B3175" t="s">
        <v>612</v>
      </c>
      <c r="D3175" t="s">
        <v>2532</v>
      </c>
      <c r="E3175" t="s">
        <v>1682</v>
      </c>
      <c r="F3175" t="s">
        <v>1272</v>
      </c>
      <c r="G3175" t="s">
        <v>621</v>
      </c>
      <c r="H3175" s="484">
        <v>-3000</v>
      </c>
      <c r="I3175" t="str">
        <f t="shared" si="176"/>
        <v>abril 2026</v>
      </c>
      <c r="J3175">
        <f t="shared" si="177"/>
        <v>2026</v>
      </c>
      <c r="K3175" t="str">
        <f>VLOOKUP(G3175,METRICS!C:D,2,0)</f>
        <v>Influencer</v>
      </c>
      <c r="L3175" t="str">
        <f>VLOOKUP(K3175,METRICS!D:E,2,0)</f>
        <v>MARKETING</v>
      </c>
    </row>
    <row r="3176" spans="1:12" ht="15" hidden="1">
      <c r="A3176" t="s">
        <v>2256</v>
      </c>
      <c r="B3176" t="s">
        <v>612</v>
      </c>
      <c r="D3176" t="s">
        <v>2533</v>
      </c>
      <c r="E3176" t="s">
        <v>774</v>
      </c>
      <c r="F3176" t="s">
        <v>1272</v>
      </c>
      <c r="G3176" t="s">
        <v>629</v>
      </c>
      <c r="H3176" s="484">
        <v>-1584.62</v>
      </c>
      <c r="I3176" t="str">
        <f t="shared" si="176"/>
        <v>abril 2026</v>
      </c>
      <c r="J3176">
        <f t="shared" si="177"/>
        <v>2026</v>
      </c>
      <c r="K3176" t="str">
        <f>VLOOKUP(G3176,METRICS!C:D,2,0)</f>
        <v>Material de limpeza</v>
      </c>
      <c r="L3176" t="str">
        <f>VLOOKUP(K3176,METRICS!D:E,2,0)</f>
        <v>OPERAÇÃO</v>
      </c>
    </row>
    <row r="3177" spans="1:12" ht="15" hidden="1">
      <c r="A3177" t="s">
        <v>2256</v>
      </c>
      <c r="B3177" t="s">
        <v>689</v>
      </c>
      <c r="D3177" t="s">
        <v>2534</v>
      </c>
      <c r="E3177" t="s">
        <v>1020</v>
      </c>
      <c r="F3177" t="s">
        <v>1272</v>
      </c>
      <c r="G3177" t="s">
        <v>643</v>
      </c>
      <c r="H3177" s="484">
        <v>-1500</v>
      </c>
      <c r="I3177" t="str">
        <f t="shared" si="176"/>
        <v>abril 2026</v>
      </c>
      <c r="J3177">
        <f t="shared" si="177"/>
        <v>2026</v>
      </c>
      <c r="K3177" t="str">
        <f>VLOOKUP(G3177,METRICS!C:D,2,0)</f>
        <v>Rescisões Trabalhistas</v>
      </c>
      <c r="L3177" t="str">
        <f>VLOOKUP(K3177,METRICS!D:E,2,0)</f>
        <v>PESSOAL</v>
      </c>
    </row>
    <row r="3178" spans="1:12" ht="15" hidden="1">
      <c r="A3178" t="s">
        <v>2256</v>
      </c>
      <c r="B3178" t="s">
        <v>689</v>
      </c>
      <c r="D3178" t="s">
        <v>2535</v>
      </c>
      <c r="E3178" t="s">
        <v>2603</v>
      </c>
      <c r="F3178" t="s">
        <v>1272</v>
      </c>
      <c r="G3178" t="s">
        <v>659</v>
      </c>
      <c r="H3178" s="484">
        <v>-5000</v>
      </c>
      <c r="I3178" t="str">
        <f t="shared" si="176"/>
        <v>abril 2026</v>
      </c>
      <c r="J3178">
        <f t="shared" si="177"/>
        <v>2026</v>
      </c>
      <c r="K3178" t="str">
        <f>VLOOKUP(G3178,METRICS!C:D,2,0)</f>
        <v>Propaganda, Publicidade e Patrocínio</v>
      </c>
      <c r="L3178" t="str">
        <f>VLOOKUP(K3178,METRICS!D:E,2,0)</f>
        <v>MARKETING</v>
      </c>
    </row>
    <row r="3179" spans="1:12" ht="15" hidden="1">
      <c r="A3179" t="s">
        <v>2256</v>
      </c>
      <c r="B3179" t="s">
        <v>689</v>
      </c>
      <c r="D3179" t="s">
        <v>1261</v>
      </c>
      <c r="E3179" t="s">
        <v>1262</v>
      </c>
      <c r="F3179" t="s">
        <v>1272</v>
      </c>
      <c r="G3179" t="s">
        <v>652</v>
      </c>
      <c r="H3179" s="484">
        <v>-1318.42</v>
      </c>
      <c r="I3179" t="str">
        <f t="shared" si="176"/>
        <v>abril 2026</v>
      </c>
      <c r="J3179">
        <f t="shared" si="177"/>
        <v>2026</v>
      </c>
      <c r="K3179" t="str">
        <f>VLOOKUP(G3179,METRICS!C:D,2,0)</f>
        <v>Assistência Médica e Social</v>
      </c>
      <c r="L3179" t="str">
        <f>VLOOKUP(K3179,METRICS!D:E,2,0)</f>
        <v>PESSOAL</v>
      </c>
    </row>
    <row r="3180" spans="1:12" ht="15" hidden="1">
      <c r="A3180" t="s">
        <v>2256</v>
      </c>
      <c r="B3180" t="s">
        <v>689</v>
      </c>
      <c r="D3180" t="s">
        <v>756</v>
      </c>
      <c r="E3180" t="s">
        <v>757</v>
      </c>
      <c r="F3180" t="s">
        <v>1272</v>
      </c>
      <c r="G3180" t="s">
        <v>666</v>
      </c>
      <c r="H3180" s="484">
        <v>-69.3</v>
      </c>
      <c r="I3180" t="str">
        <f t="shared" si="176"/>
        <v>abril 2026</v>
      </c>
      <c r="J3180">
        <f t="shared" si="177"/>
        <v>2026</v>
      </c>
      <c r="K3180" t="str">
        <f>VLOOKUP(G3180,METRICS!C:D,2,0)</f>
        <v>Encargos Bancarios</v>
      </c>
      <c r="L3180" t="str">
        <f>VLOOKUP(K3180,METRICS!D:E,2,0)</f>
        <v>DESPESAS FINANCEIRAS</v>
      </c>
    </row>
    <row r="3181" spans="1:12" ht="15" hidden="1">
      <c r="A3181" t="s">
        <v>2257</v>
      </c>
      <c r="B3181" t="s">
        <v>612</v>
      </c>
      <c r="D3181" t="s">
        <v>2536</v>
      </c>
      <c r="E3181" t="s">
        <v>805</v>
      </c>
      <c r="F3181" t="s">
        <v>1272</v>
      </c>
      <c r="G3181" t="s">
        <v>609</v>
      </c>
      <c r="H3181" s="484">
        <v>-13971.3</v>
      </c>
      <c r="I3181" t="str">
        <f t="shared" si="176"/>
        <v>abril 2026</v>
      </c>
      <c r="J3181">
        <f t="shared" si="177"/>
        <v>2026</v>
      </c>
      <c r="K3181" t="str">
        <f>VLOOKUP(G3181,METRICS!C:D,2,0)</f>
        <v>Carnes e Aves</v>
      </c>
      <c r="L3181" t="str">
        <f>VLOOKUP(K3181,METRICS!D:E,2,0)</f>
        <v>CUSTOS DOS PRODUTOS VENDIDOS</v>
      </c>
    </row>
    <row r="3182" spans="1:12" ht="15" hidden="1">
      <c r="A3182" t="s">
        <v>2257</v>
      </c>
      <c r="B3182" t="s">
        <v>612</v>
      </c>
      <c r="D3182" t="s">
        <v>2537</v>
      </c>
      <c r="E3182" t="s">
        <v>780</v>
      </c>
      <c r="F3182" t="s">
        <v>1272</v>
      </c>
      <c r="G3182" t="s">
        <v>611</v>
      </c>
      <c r="H3182" s="484">
        <v>-3141.59</v>
      </c>
      <c r="I3182" t="str">
        <f t="shared" si="176"/>
        <v>abril 2026</v>
      </c>
      <c r="J3182">
        <f t="shared" si="177"/>
        <v>2026</v>
      </c>
      <c r="K3182" t="str">
        <f>VLOOKUP(G3182,METRICS!C:D,2,0)</f>
        <v>Bebidas Alcoólicas</v>
      </c>
      <c r="L3182" t="str">
        <f>VLOOKUP(K3182,METRICS!D:E,2,0)</f>
        <v>CUSTOS DOS PRODUTOS VENDIDOS</v>
      </c>
    </row>
    <row r="3183" spans="1:12" ht="15">
      <c r="A3183" t="s">
        <v>2257</v>
      </c>
      <c r="B3183" t="s">
        <v>689</v>
      </c>
      <c r="D3183" t="s">
        <v>2538</v>
      </c>
      <c r="E3183" t="s">
        <v>1241</v>
      </c>
      <c r="F3183" t="s">
        <v>1272</v>
      </c>
      <c r="G3183" t="s">
        <v>606</v>
      </c>
      <c r="H3183" s="484">
        <v>-356.5</v>
      </c>
      <c r="I3183" t="str">
        <f t="shared" si="176"/>
        <v>abril 2026</v>
      </c>
      <c r="J3183">
        <f t="shared" si="177"/>
        <v>2026</v>
      </c>
      <c r="K3183" t="str">
        <f>VLOOKUP(G3183,METRICS!C:D,2,0)</f>
        <v>Propaganda, Publicidade e Patrocínio</v>
      </c>
      <c r="L3183" t="str">
        <f>VLOOKUP(K3183,METRICS!D:E,2,0)</f>
        <v>MARKETING</v>
      </c>
    </row>
    <row r="3184" spans="1:12" ht="15" hidden="1">
      <c r="A3184" t="s">
        <v>2257</v>
      </c>
      <c r="B3184" t="s">
        <v>612</v>
      </c>
      <c r="D3184" t="s">
        <v>2539</v>
      </c>
      <c r="E3184" t="s">
        <v>828</v>
      </c>
      <c r="F3184" t="s">
        <v>1272</v>
      </c>
      <c r="G3184" t="s">
        <v>636</v>
      </c>
      <c r="H3184" s="484">
        <v>-2540.91</v>
      </c>
      <c r="I3184" t="str">
        <f t="shared" si="176"/>
        <v>abril 2026</v>
      </c>
      <c r="J3184">
        <f t="shared" si="177"/>
        <v>2026</v>
      </c>
      <c r="K3184" t="str">
        <f>VLOOKUP(G3184,METRICS!C:D,2,0)</f>
        <v>Secos - Mercearia</v>
      </c>
      <c r="L3184" t="str">
        <f>VLOOKUP(K3184,METRICS!D:E,2,0)</f>
        <v>CUSTOS DOS PRODUTOS VENDIDOS</v>
      </c>
    </row>
    <row r="3185" spans="1:12" ht="15" hidden="1">
      <c r="A3185" t="s">
        <v>2257</v>
      </c>
      <c r="B3185" t="s">
        <v>612</v>
      </c>
      <c r="D3185" t="s">
        <v>2540</v>
      </c>
      <c r="E3185" t="s">
        <v>805</v>
      </c>
      <c r="F3185" t="s">
        <v>1272</v>
      </c>
      <c r="G3185" t="s">
        <v>609</v>
      </c>
      <c r="H3185" s="484">
        <v>-1660.24</v>
      </c>
      <c r="I3185" t="str">
        <f t="shared" si="176"/>
        <v>abril 2026</v>
      </c>
      <c r="J3185">
        <f t="shared" si="177"/>
        <v>2026</v>
      </c>
      <c r="K3185" t="str">
        <f>VLOOKUP(G3185,METRICS!C:D,2,0)</f>
        <v>Carnes e Aves</v>
      </c>
      <c r="L3185" t="str">
        <f>VLOOKUP(K3185,METRICS!D:E,2,0)</f>
        <v>CUSTOS DOS PRODUTOS VENDIDOS</v>
      </c>
    </row>
    <row r="3186" spans="1:12" ht="15" hidden="1">
      <c r="A3186" t="s">
        <v>2257</v>
      </c>
      <c r="B3186" t="s">
        <v>612</v>
      </c>
      <c r="D3186" t="s">
        <v>2541</v>
      </c>
      <c r="E3186" t="s">
        <v>1670</v>
      </c>
      <c r="F3186" t="s">
        <v>1272</v>
      </c>
      <c r="G3186" t="s">
        <v>640</v>
      </c>
      <c r="H3186" s="484">
        <v>-505.92</v>
      </c>
      <c r="I3186" t="str">
        <f t="shared" si="176"/>
        <v>abril 2026</v>
      </c>
      <c r="J3186">
        <f t="shared" si="177"/>
        <v>2026</v>
      </c>
      <c r="K3186" t="str">
        <f>VLOOKUP(G3186,METRICS!C:D,2,0)</f>
        <v>Uniforme</v>
      </c>
      <c r="L3186" t="str">
        <f>VLOOKUP(K3186,METRICS!D:E,2,0)</f>
        <v>OPERAÇÃO</v>
      </c>
    </row>
    <row r="3187" spans="1:12" ht="15" hidden="1">
      <c r="A3187" t="s">
        <v>2257</v>
      </c>
      <c r="B3187" t="s">
        <v>612</v>
      </c>
      <c r="D3187" t="s">
        <v>2542</v>
      </c>
      <c r="E3187" t="s">
        <v>830</v>
      </c>
      <c r="F3187" t="s">
        <v>1272</v>
      </c>
      <c r="G3187" t="s">
        <v>623</v>
      </c>
      <c r="H3187" s="484">
        <v>-407</v>
      </c>
      <c r="I3187" t="str">
        <f t="shared" si="176"/>
        <v>abril 2026</v>
      </c>
      <c r="J3187">
        <f t="shared" si="177"/>
        <v>2026</v>
      </c>
      <c r="K3187" t="str">
        <f>VLOOKUP(G3187,METRICS!C:D,2,0)</f>
        <v>Secos - Mercearia</v>
      </c>
      <c r="L3187" t="str">
        <f>VLOOKUP(K3187,METRICS!D:E,2,0)</f>
        <v>CUSTOS DOS PRODUTOS VENDIDOS</v>
      </c>
    </row>
    <row r="3188" spans="1:12" ht="15" hidden="1">
      <c r="A3188" t="s">
        <v>2257</v>
      </c>
      <c r="B3188" t="s">
        <v>612</v>
      </c>
      <c r="D3188" t="s">
        <v>2543</v>
      </c>
      <c r="E3188" t="s">
        <v>898</v>
      </c>
      <c r="F3188" t="s">
        <v>1272</v>
      </c>
      <c r="G3188" t="s">
        <v>636</v>
      </c>
      <c r="H3188" s="484">
        <v>-869.7</v>
      </c>
      <c r="I3188" t="str">
        <f t="shared" si="176"/>
        <v>abril 2026</v>
      </c>
      <c r="J3188">
        <f t="shared" si="177"/>
        <v>2026</v>
      </c>
      <c r="K3188" t="str">
        <f>VLOOKUP(G3188,METRICS!C:D,2,0)</f>
        <v>Secos - Mercearia</v>
      </c>
      <c r="L3188" t="str">
        <f>VLOOKUP(K3188,METRICS!D:E,2,0)</f>
        <v>CUSTOS DOS PRODUTOS VENDIDOS</v>
      </c>
    </row>
    <row r="3189" spans="1:12" ht="15" hidden="1">
      <c r="A3189" t="s">
        <v>2257</v>
      </c>
      <c r="B3189" t="s">
        <v>612</v>
      </c>
      <c r="D3189" t="s">
        <v>2544</v>
      </c>
      <c r="E3189" t="s">
        <v>804</v>
      </c>
      <c r="F3189" t="s">
        <v>1272</v>
      </c>
      <c r="G3189" t="s">
        <v>607</v>
      </c>
      <c r="H3189" s="484">
        <v>-6010.85</v>
      </c>
      <c r="I3189" t="str">
        <f t="shared" ref="I3189:I3225" si="180">TEXT(A3189, "mmmm aaaa")</f>
        <v>abril 2026</v>
      </c>
      <c r="J3189">
        <f t="shared" si="177"/>
        <v>2026</v>
      </c>
      <c r="K3189" t="str">
        <f>VLOOKUP(G3189,METRICS!C:D,2,0)</f>
        <v>Bebidas Alcoólicas</v>
      </c>
      <c r="L3189" t="str">
        <f>VLOOKUP(K3189,METRICS!D:E,2,0)</f>
        <v>CUSTOS DOS PRODUTOS VENDIDOS</v>
      </c>
    </row>
    <row r="3190" spans="1:12" ht="15" hidden="1">
      <c r="A3190" t="s">
        <v>2257</v>
      </c>
      <c r="B3190" t="s">
        <v>612</v>
      </c>
      <c r="D3190" t="s">
        <v>2545</v>
      </c>
      <c r="E3190" t="s">
        <v>1249</v>
      </c>
      <c r="F3190" t="s">
        <v>1272</v>
      </c>
      <c r="G3190" t="s">
        <v>413</v>
      </c>
      <c r="H3190" s="484">
        <v>-2397</v>
      </c>
      <c r="I3190" t="str">
        <f t="shared" si="180"/>
        <v>abril 2026</v>
      </c>
      <c r="J3190">
        <f t="shared" si="177"/>
        <v>2026</v>
      </c>
      <c r="K3190" t="str">
        <f>VLOOKUP(G3190,METRICS!C:D,2,0)</f>
        <v>Pescados</v>
      </c>
      <c r="L3190" t="str">
        <f>VLOOKUP(K3190,METRICS!D:E,2,0)</f>
        <v>CUSTOS DOS PRODUTOS VENDIDOS</v>
      </c>
    </row>
    <row r="3191" spans="1:12" ht="15" hidden="1">
      <c r="A3191" t="s">
        <v>2257</v>
      </c>
      <c r="B3191" t="s">
        <v>612</v>
      </c>
      <c r="D3191" t="s">
        <v>2546</v>
      </c>
      <c r="E3191" t="s">
        <v>878</v>
      </c>
      <c r="F3191" t="s">
        <v>1272</v>
      </c>
      <c r="G3191" t="s">
        <v>609</v>
      </c>
      <c r="H3191" s="484">
        <v>-6223.57</v>
      </c>
      <c r="I3191" t="str">
        <f t="shared" si="180"/>
        <v>abril 2026</v>
      </c>
      <c r="J3191">
        <f t="shared" si="177"/>
        <v>2026</v>
      </c>
      <c r="K3191" t="str">
        <f>VLOOKUP(G3191,METRICS!C:D,2,0)</f>
        <v>Carnes e Aves</v>
      </c>
      <c r="L3191" t="str">
        <f>VLOOKUP(K3191,METRICS!D:E,2,0)</f>
        <v>CUSTOS DOS PRODUTOS VENDIDOS</v>
      </c>
    </row>
    <row r="3192" spans="1:12" ht="15" hidden="1">
      <c r="A3192" t="s">
        <v>2257</v>
      </c>
      <c r="B3192" t="s">
        <v>612</v>
      </c>
      <c r="D3192" t="s">
        <v>2547</v>
      </c>
      <c r="E3192" t="s">
        <v>811</v>
      </c>
      <c r="F3192" t="s">
        <v>1272</v>
      </c>
      <c r="G3192" t="s">
        <v>636</v>
      </c>
      <c r="H3192" s="484">
        <v>-5506.15</v>
      </c>
      <c r="I3192" t="str">
        <f t="shared" si="180"/>
        <v>abril 2026</v>
      </c>
      <c r="J3192">
        <f t="shared" ref="J3192:J3225" si="181">YEAR(A3192)</f>
        <v>2026</v>
      </c>
      <c r="K3192" t="str">
        <f>VLOOKUP(G3192,METRICS!C:D,2,0)</f>
        <v>Secos - Mercearia</v>
      </c>
      <c r="L3192" t="str">
        <f>VLOOKUP(K3192,METRICS!D:E,2,0)</f>
        <v>CUSTOS DOS PRODUTOS VENDIDOS</v>
      </c>
    </row>
    <row r="3193" spans="1:12" ht="15" hidden="1">
      <c r="A3193" t="s">
        <v>2257</v>
      </c>
      <c r="B3193" t="s">
        <v>612</v>
      </c>
      <c r="D3193" t="s">
        <v>2548</v>
      </c>
      <c r="E3193" t="s">
        <v>1074</v>
      </c>
      <c r="F3193" t="s">
        <v>1272</v>
      </c>
      <c r="G3193" t="s">
        <v>636</v>
      </c>
      <c r="H3193" s="484">
        <v>-268.8</v>
      </c>
      <c r="I3193" t="str">
        <f t="shared" si="180"/>
        <v>abril 2026</v>
      </c>
      <c r="J3193">
        <f t="shared" si="181"/>
        <v>2026</v>
      </c>
      <c r="K3193" t="str">
        <f>VLOOKUP(G3193,METRICS!C:D,2,0)</f>
        <v>Secos - Mercearia</v>
      </c>
      <c r="L3193" t="str">
        <f>VLOOKUP(K3193,METRICS!D:E,2,0)</f>
        <v>CUSTOS DOS PRODUTOS VENDIDOS</v>
      </c>
    </row>
    <row r="3194" spans="1:12" ht="15" hidden="1">
      <c r="A3194" t="s">
        <v>2257</v>
      </c>
      <c r="B3194" t="s">
        <v>612</v>
      </c>
      <c r="D3194" t="s">
        <v>2549</v>
      </c>
      <c r="E3194" t="s">
        <v>841</v>
      </c>
      <c r="F3194" t="s">
        <v>1272</v>
      </c>
      <c r="G3194" t="s">
        <v>616</v>
      </c>
      <c r="H3194" s="484">
        <v>-600</v>
      </c>
      <c r="I3194" t="str">
        <f t="shared" si="180"/>
        <v>abril 2026</v>
      </c>
      <c r="J3194">
        <f t="shared" si="181"/>
        <v>2026</v>
      </c>
      <c r="K3194" t="str">
        <f>VLOOKUP(G3194,METRICS!C:D,2,0)</f>
        <v>Enlatados e Conservas</v>
      </c>
      <c r="L3194" t="str">
        <f>VLOOKUP(K3194,METRICS!D:E,2,0)</f>
        <v>CUSTOS DOS PRODUTOS VENDIDOS</v>
      </c>
    </row>
    <row r="3195" spans="1:12" ht="15" hidden="1">
      <c r="A3195" t="s">
        <v>2257</v>
      </c>
      <c r="B3195" t="s">
        <v>612</v>
      </c>
      <c r="D3195" t="s">
        <v>2550</v>
      </c>
      <c r="E3195" t="s">
        <v>765</v>
      </c>
      <c r="F3195" t="s">
        <v>1272</v>
      </c>
      <c r="G3195" t="s">
        <v>619</v>
      </c>
      <c r="H3195" s="484">
        <v>-509.6</v>
      </c>
      <c r="I3195" t="str">
        <f t="shared" si="180"/>
        <v>abril 2026</v>
      </c>
      <c r="J3195">
        <f t="shared" si="181"/>
        <v>2026</v>
      </c>
      <c r="K3195" t="str">
        <f>VLOOKUP(G3195,METRICS!C:D,2,0)</f>
        <v>Gelo</v>
      </c>
      <c r="L3195" t="str">
        <f>VLOOKUP(K3195,METRICS!D:E,2,0)</f>
        <v>CUSTOS DOS PRODUTOS VENDIDOS</v>
      </c>
    </row>
    <row r="3196" spans="1:12" ht="15" hidden="1">
      <c r="A3196" t="s">
        <v>2257</v>
      </c>
      <c r="B3196" t="s">
        <v>612</v>
      </c>
      <c r="D3196" t="s">
        <v>2551</v>
      </c>
      <c r="E3196" t="s">
        <v>1072</v>
      </c>
      <c r="F3196" t="s">
        <v>1272</v>
      </c>
      <c r="G3196" t="s">
        <v>628</v>
      </c>
      <c r="H3196" s="484">
        <v>-510</v>
      </c>
      <c r="I3196" t="str">
        <f t="shared" si="180"/>
        <v>abril 2026</v>
      </c>
      <c r="J3196">
        <f t="shared" si="181"/>
        <v>2026</v>
      </c>
      <c r="K3196" t="str">
        <f>VLOOKUP(G3196,METRICS!C:D,2,0)</f>
        <v>Material de Escritório</v>
      </c>
      <c r="L3196" t="str">
        <f>VLOOKUP(K3196,METRICS!D:E,2,0)</f>
        <v>ADMINISTRATIVA</v>
      </c>
    </row>
    <row r="3197" spans="1:12" ht="15" hidden="1">
      <c r="A3197" t="s">
        <v>2257</v>
      </c>
      <c r="B3197" t="s">
        <v>612</v>
      </c>
      <c r="D3197" t="s">
        <v>2552</v>
      </c>
      <c r="E3197" t="s">
        <v>2604</v>
      </c>
      <c r="F3197" t="s">
        <v>1272</v>
      </c>
      <c r="G3197" t="s">
        <v>413</v>
      </c>
      <c r="H3197" s="484">
        <v>-6853</v>
      </c>
      <c r="I3197" t="str">
        <f t="shared" si="180"/>
        <v>abril 2026</v>
      </c>
      <c r="J3197">
        <f t="shared" si="181"/>
        <v>2026</v>
      </c>
      <c r="K3197" t="str">
        <f>VLOOKUP(G3197,METRICS!C:D,2,0)</f>
        <v>Pescados</v>
      </c>
      <c r="L3197" t="str">
        <f>VLOOKUP(K3197,METRICS!D:E,2,0)</f>
        <v>CUSTOS DOS PRODUTOS VENDIDOS</v>
      </c>
    </row>
    <row r="3198" spans="1:12" ht="15" hidden="1">
      <c r="A3198" t="s">
        <v>2257</v>
      </c>
      <c r="B3198" t="s">
        <v>612</v>
      </c>
      <c r="D3198" t="s">
        <v>2553</v>
      </c>
      <c r="E3198" t="s">
        <v>750</v>
      </c>
      <c r="F3198" t="s">
        <v>1272</v>
      </c>
      <c r="G3198" t="s">
        <v>610</v>
      </c>
      <c r="H3198" s="484">
        <v>-3352</v>
      </c>
      <c r="I3198" t="str">
        <f t="shared" si="180"/>
        <v>abril 2026</v>
      </c>
      <c r="J3198">
        <f t="shared" si="181"/>
        <v>2026</v>
      </c>
      <c r="K3198" t="str">
        <f>VLOOKUP(G3198,METRICS!C:D,2,0)</f>
        <v>Carvão</v>
      </c>
      <c r="L3198" t="str">
        <f>VLOOKUP(K3198,METRICS!D:E,2,0)</f>
        <v>CUSTOS DOS PRODUTOS VENDIDOS</v>
      </c>
    </row>
    <row r="3199" spans="1:12" ht="15" hidden="1">
      <c r="A3199" t="s">
        <v>2257</v>
      </c>
      <c r="B3199" t="s">
        <v>612</v>
      </c>
      <c r="D3199" t="s">
        <v>2554</v>
      </c>
      <c r="E3199" t="s">
        <v>979</v>
      </c>
      <c r="F3199" t="s">
        <v>1272</v>
      </c>
      <c r="G3199" t="s">
        <v>641</v>
      </c>
      <c r="H3199" s="484">
        <v>-6598.14</v>
      </c>
      <c r="I3199" t="str">
        <f t="shared" si="180"/>
        <v>abril 2026</v>
      </c>
      <c r="J3199">
        <f t="shared" si="181"/>
        <v>2026</v>
      </c>
      <c r="K3199" t="str">
        <f>VLOOKUP(G3199,METRICS!C:D,2,0)</f>
        <v>Vinhos/Espumantes</v>
      </c>
      <c r="L3199" t="str">
        <f>VLOOKUP(K3199,METRICS!D:E,2,0)</f>
        <v>CUSTOS DOS PRODUTOS VENDIDOS</v>
      </c>
    </row>
    <row r="3200" spans="1:12" ht="15" hidden="1">
      <c r="A3200" t="s">
        <v>2258</v>
      </c>
      <c r="B3200" t="s">
        <v>612</v>
      </c>
      <c r="D3200" t="s">
        <v>2555</v>
      </c>
      <c r="E3200" t="s">
        <v>1712</v>
      </c>
      <c r="F3200" t="s">
        <v>1272</v>
      </c>
      <c r="G3200" t="s">
        <v>641</v>
      </c>
      <c r="H3200" s="484">
        <v>-13359.28</v>
      </c>
      <c r="I3200" t="str">
        <f t="shared" si="180"/>
        <v>abril 2026</v>
      </c>
      <c r="J3200">
        <f t="shared" si="181"/>
        <v>2026</v>
      </c>
      <c r="K3200" t="str">
        <f>VLOOKUP(G3200,METRICS!C:D,2,0)</f>
        <v>Vinhos/Espumantes</v>
      </c>
      <c r="L3200" t="str">
        <f>VLOOKUP(K3200,METRICS!D:E,2,0)</f>
        <v>CUSTOS DOS PRODUTOS VENDIDOS</v>
      </c>
    </row>
    <row r="3201" spans="1:12" ht="15" hidden="1">
      <c r="A3201" t="s">
        <v>2258</v>
      </c>
      <c r="B3201" t="s">
        <v>612</v>
      </c>
      <c r="D3201" t="s">
        <v>2556</v>
      </c>
      <c r="E3201" t="s">
        <v>834</v>
      </c>
      <c r="F3201" t="s">
        <v>1272</v>
      </c>
      <c r="G3201" t="s">
        <v>413</v>
      </c>
      <c r="H3201" s="484">
        <v>-2930.35</v>
      </c>
      <c r="I3201" t="str">
        <f t="shared" si="180"/>
        <v>abril 2026</v>
      </c>
      <c r="J3201">
        <f t="shared" si="181"/>
        <v>2026</v>
      </c>
      <c r="K3201" t="str">
        <f>VLOOKUP(G3201,METRICS!C:D,2,0)</f>
        <v>Pescados</v>
      </c>
      <c r="L3201" t="str">
        <f>VLOOKUP(K3201,METRICS!D:E,2,0)</f>
        <v>CUSTOS DOS PRODUTOS VENDIDOS</v>
      </c>
    </row>
    <row r="3202" spans="1:12" ht="15" hidden="1">
      <c r="A3202" t="s">
        <v>2258</v>
      </c>
      <c r="B3202" t="s">
        <v>612</v>
      </c>
      <c r="D3202" t="s">
        <v>2557</v>
      </c>
      <c r="E3202" t="s">
        <v>878</v>
      </c>
      <c r="F3202" t="s">
        <v>1272</v>
      </c>
      <c r="G3202" t="s">
        <v>609</v>
      </c>
      <c r="H3202" s="484">
        <v>-11946.72</v>
      </c>
      <c r="I3202" t="str">
        <f t="shared" si="180"/>
        <v>abril 2026</v>
      </c>
      <c r="J3202">
        <f t="shared" si="181"/>
        <v>2026</v>
      </c>
      <c r="K3202" t="str">
        <f>VLOOKUP(G3202,METRICS!C:D,2,0)</f>
        <v>Carnes e Aves</v>
      </c>
      <c r="L3202" t="str">
        <f>VLOOKUP(K3202,METRICS!D:E,2,0)</f>
        <v>CUSTOS DOS PRODUTOS VENDIDOS</v>
      </c>
    </row>
    <row r="3203" spans="1:12" ht="15" hidden="1">
      <c r="A3203" t="s">
        <v>2258</v>
      </c>
      <c r="B3203" t="s">
        <v>612</v>
      </c>
      <c r="D3203" t="s">
        <v>2558</v>
      </c>
      <c r="E3203" t="s">
        <v>802</v>
      </c>
      <c r="F3203" t="s">
        <v>1272</v>
      </c>
      <c r="G3203" t="s">
        <v>633</v>
      </c>
      <c r="H3203" s="484">
        <v>-576</v>
      </c>
      <c r="I3203" t="str">
        <f t="shared" si="180"/>
        <v>abril 2026</v>
      </c>
      <c r="J3203">
        <f t="shared" si="181"/>
        <v>2026</v>
      </c>
      <c r="K3203" t="str">
        <f>VLOOKUP(G3203,METRICS!C:D,2,0)</f>
        <v>Paes, Massas e Salgados</v>
      </c>
      <c r="L3203" t="str">
        <f>VLOOKUP(K3203,METRICS!D:E,2,0)</f>
        <v>CUSTOS DOS PRODUTOS VENDIDOS</v>
      </c>
    </row>
    <row r="3204" spans="1:12" ht="15" hidden="1">
      <c r="A3204" t="s">
        <v>2258</v>
      </c>
      <c r="B3204" t="s">
        <v>612</v>
      </c>
      <c r="D3204" t="s">
        <v>2559</v>
      </c>
      <c r="E3204" t="s">
        <v>826</v>
      </c>
      <c r="F3204" t="s">
        <v>1272</v>
      </c>
      <c r="G3204" t="s">
        <v>633</v>
      </c>
      <c r="H3204" s="484">
        <v>-3530</v>
      </c>
      <c r="I3204" t="str">
        <f t="shared" si="180"/>
        <v>abril 2026</v>
      </c>
      <c r="J3204">
        <f t="shared" si="181"/>
        <v>2026</v>
      </c>
      <c r="K3204" t="str">
        <f>VLOOKUP(G3204,METRICS!C:D,2,0)</f>
        <v>Paes, Massas e Salgados</v>
      </c>
      <c r="L3204" t="str">
        <f>VLOOKUP(K3204,METRICS!D:E,2,0)</f>
        <v>CUSTOS DOS PRODUTOS VENDIDOS</v>
      </c>
    </row>
    <row r="3205" spans="1:12" ht="15" hidden="1">
      <c r="A3205" t="s">
        <v>2258</v>
      </c>
      <c r="B3205" t="s">
        <v>612</v>
      </c>
      <c r="D3205" t="s">
        <v>2560</v>
      </c>
      <c r="E3205" t="s">
        <v>820</v>
      </c>
      <c r="F3205" t="s">
        <v>1272</v>
      </c>
      <c r="G3205" t="s">
        <v>611</v>
      </c>
      <c r="H3205" s="484">
        <v>-5364.29</v>
      </c>
      <c r="I3205" t="str">
        <f t="shared" si="180"/>
        <v>abril 2026</v>
      </c>
      <c r="J3205">
        <f t="shared" si="181"/>
        <v>2026</v>
      </c>
      <c r="K3205" t="str">
        <f>VLOOKUP(G3205,METRICS!C:D,2,0)</f>
        <v>Bebidas Alcoólicas</v>
      </c>
      <c r="L3205" t="str">
        <f>VLOOKUP(K3205,METRICS!D:E,2,0)</f>
        <v>CUSTOS DOS PRODUTOS VENDIDOS</v>
      </c>
    </row>
    <row r="3206" spans="1:12" ht="15" hidden="1">
      <c r="A3206" t="s">
        <v>2258</v>
      </c>
      <c r="B3206" t="s">
        <v>689</v>
      </c>
      <c r="D3206" t="s">
        <v>756</v>
      </c>
      <c r="E3206" t="s">
        <v>757</v>
      </c>
      <c r="F3206" t="s">
        <v>1272</v>
      </c>
      <c r="G3206" t="s">
        <v>666</v>
      </c>
      <c r="H3206" s="484">
        <v>-59.4</v>
      </c>
      <c r="I3206" t="str">
        <f t="shared" si="180"/>
        <v>abril 2026</v>
      </c>
      <c r="J3206">
        <f t="shared" si="181"/>
        <v>2026</v>
      </c>
      <c r="K3206" t="str">
        <f>VLOOKUP(G3206,METRICS!C:D,2,0)</f>
        <v>Encargos Bancarios</v>
      </c>
      <c r="L3206" t="str">
        <f>VLOOKUP(K3206,METRICS!D:E,2,0)</f>
        <v>DESPESAS FINANCEIRAS</v>
      </c>
    </row>
    <row r="3207" spans="1:12" ht="15" hidden="1">
      <c r="A3207" t="s">
        <v>2258</v>
      </c>
      <c r="B3207" t="s">
        <v>612</v>
      </c>
      <c r="D3207" t="s">
        <v>2561</v>
      </c>
      <c r="E3207" t="s">
        <v>767</v>
      </c>
      <c r="F3207" t="s">
        <v>1272</v>
      </c>
      <c r="G3207" t="s">
        <v>623</v>
      </c>
      <c r="H3207" s="484">
        <v>-768</v>
      </c>
      <c r="I3207" t="str">
        <f t="shared" si="180"/>
        <v>abril 2026</v>
      </c>
      <c r="J3207">
        <f t="shared" si="181"/>
        <v>2026</v>
      </c>
      <c r="K3207" t="str">
        <f>VLOOKUP(G3207,METRICS!C:D,2,0)</f>
        <v>Secos - Mercearia</v>
      </c>
      <c r="L3207" t="str">
        <f>VLOOKUP(K3207,METRICS!D:E,2,0)</f>
        <v>CUSTOS DOS PRODUTOS VENDIDOS</v>
      </c>
    </row>
    <row r="3208" spans="1:12" ht="15" hidden="1">
      <c r="A3208" t="s">
        <v>2259</v>
      </c>
      <c r="B3208" t="s">
        <v>612</v>
      </c>
      <c r="D3208" t="s">
        <v>2562</v>
      </c>
      <c r="E3208" t="s">
        <v>1705</v>
      </c>
      <c r="F3208" t="s">
        <v>1272</v>
      </c>
      <c r="G3208" t="s">
        <v>668</v>
      </c>
      <c r="H3208" s="484">
        <v>-6133.33</v>
      </c>
      <c r="I3208" t="str">
        <f t="shared" si="180"/>
        <v>abril 2026</v>
      </c>
      <c r="J3208">
        <f t="shared" si="181"/>
        <v>2026</v>
      </c>
      <c r="K3208" t="str">
        <f>VLOOKUP(G3208,METRICS!C:D,2,0)</f>
        <v>Prestação de Serviço Pessoa Jurídica OP</v>
      </c>
      <c r="L3208" t="str">
        <f>VLOOKUP(K3208,METRICS!D:E,2,0)</f>
        <v>OPERAÇÃO</v>
      </c>
    </row>
    <row r="3209" spans="1:12" ht="15" hidden="1">
      <c r="A3209" t="s">
        <v>2259</v>
      </c>
      <c r="B3209" t="s">
        <v>689</v>
      </c>
      <c r="D3209" t="s">
        <v>756</v>
      </c>
      <c r="E3209" t="s">
        <v>757</v>
      </c>
      <c r="F3209" t="s">
        <v>1272</v>
      </c>
      <c r="G3209" t="s">
        <v>666</v>
      </c>
      <c r="H3209" s="780">
        <v>-29.7</v>
      </c>
      <c r="I3209" t="str">
        <f t="shared" si="180"/>
        <v>abril 2026</v>
      </c>
      <c r="J3209">
        <f t="shared" si="181"/>
        <v>2026</v>
      </c>
      <c r="K3209" t="str">
        <f>VLOOKUP(G3209,METRICS!C:D,2,0)</f>
        <v>Encargos Bancarios</v>
      </c>
      <c r="L3209" t="str">
        <f>VLOOKUP(K3209,METRICS!D:E,2,0)</f>
        <v>DESPESAS FINANCEIRAS</v>
      </c>
    </row>
    <row r="3210" spans="1:12" ht="15" hidden="1">
      <c r="A3210" t="s">
        <v>2259</v>
      </c>
      <c r="B3210" t="s">
        <v>689</v>
      </c>
      <c r="D3210" t="s">
        <v>1259</v>
      </c>
      <c r="E3210" t="s">
        <v>1260</v>
      </c>
      <c r="F3210" t="s">
        <v>1272</v>
      </c>
      <c r="G3210" t="s">
        <v>663</v>
      </c>
      <c r="H3210" s="780">
        <v>-45000</v>
      </c>
      <c r="I3210" t="str">
        <f t="shared" si="180"/>
        <v>abril 2026</v>
      </c>
      <c r="J3210">
        <f t="shared" si="181"/>
        <v>2026</v>
      </c>
      <c r="K3210" t="str">
        <f>VLOOKUP(G3210,METRICS!C:D,2,0)</f>
        <v>Aluguéis</v>
      </c>
      <c r="L3210" t="str">
        <f>VLOOKUP(K3210,METRICS!D:E,2,0)</f>
        <v>OCUPAÇÃO</v>
      </c>
    </row>
    <row r="3211" spans="1:12" ht="15" hidden="1">
      <c r="A3211" t="s">
        <v>2259</v>
      </c>
      <c r="B3211" t="s">
        <v>689</v>
      </c>
      <c r="D3211" t="s">
        <v>2563</v>
      </c>
      <c r="E3211" t="s">
        <v>902</v>
      </c>
      <c r="F3211" t="s">
        <v>1272</v>
      </c>
      <c r="G3211" t="s">
        <v>1737</v>
      </c>
      <c r="H3211" s="780">
        <v>-233.33</v>
      </c>
      <c r="I3211" t="str">
        <f t="shared" si="180"/>
        <v>abril 2026</v>
      </c>
      <c r="J3211">
        <f t="shared" si="181"/>
        <v>2026</v>
      </c>
      <c r="K3211" t="str">
        <f>VLOOKUP(G3211,METRICS!C:D,2,0)</f>
        <v>Sistema e Software ADM</v>
      </c>
      <c r="L3211" t="str">
        <f>VLOOKUP(K3211,METRICS!D:E,2,0)</f>
        <v>ADMINISTRATIVA</v>
      </c>
    </row>
    <row r="3212" spans="1:12" ht="15" hidden="1">
      <c r="A3212" t="s">
        <v>2259</v>
      </c>
      <c r="B3212" t="s">
        <v>689</v>
      </c>
      <c r="D3212" t="s">
        <v>2564</v>
      </c>
      <c r="E3212" t="s">
        <v>1663</v>
      </c>
      <c r="F3212" t="s">
        <v>1272</v>
      </c>
      <c r="G3212" t="s">
        <v>2199</v>
      </c>
      <c r="H3212" s="780">
        <v>-582.78</v>
      </c>
      <c r="I3212" t="str">
        <f t="shared" si="180"/>
        <v>abril 2026</v>
      </c>
      <c r="J3212">
        <f t="shared" si="181"/>
        <v>2026</v>
      </c>
      <c r="K3212" t="str">
        <f>VLOOKUP(G3212,METRICS!C:D,2,0)</f>
        <v>Locação de Espaço</v>
      </c>
      <c r="L3212" t="str">
        <f>VLOOKUP(K3212,METRICS!D:E,2,0)</f>
        <v>ADMINISTRATIVA</v>
      </c>
    </row>
    <row r="3213" spans="1:12" ht="15" hidden="1">
      <c r="A3213" t="s">
        <v>2259</v>
      </c>
      <c r="B3213" t="s">
        <v>612</v>
      </c>
      <c r="D3213" t="s">
        <v>2565</v>
      </c>
      <c r="E3213" t="s">
        <v>727</v>
      </c>
      <c r="F3213" t="s">
        <v>1272</v>
      </c>
      <c r="G3213" t="s">
        <v>620</v>
      </c>
      <c r="H3213" s="780">
        <v>-6239.67</v>
      </c>
      <c r="I3213" t="str">
        <f t="shared" si="180"/>
        <v>abril 2026</v>
      </c>
      <c r="J3213">
        <f t="shared" si="181"/>
        <v>2026</v>
      </c>
      <c r="K3213" t="str">
        <f>VLOOKUP(G3213,METRICS!C:D,2,0)</f>
        <v>Hortifruti</v>
      </c>
      <c r="L3213" t="str">
        <f>VLOOKUP(K3213,METRICS!D:E,2,0)</f>
        <v>CUSTOS DOS PRODUTOS VENDIDOS</v>
      </c>
    </row>
    <row r="3214" spans="1:12" ht="15" hidden="1">
      <c r="A3214" t="s">
        <v>2259</v>
      </c>
      <c r="B3214" t="s">
        <v>612</v>
      </c>
      <c r="D3214" t="s">
        <v>2566</v>
      </c>
      <c r="E3214" t="s">
        <v>752</v>
      </c>
      <c r="F3214" t="s">
        <v>1272</v>
      </c>
      <c r="G3214" t="s">
        <v>609</v>
      </c>
      <c r="H3214" s="780">
        <v>-2877.2</v>
      </c>
      <c r="I3214" t="str">
        <f t="shared" si="180"/>
        <v>abril 2026</v>
      </c>
      <c r="J3214">
        <f t="shared" si="181"/>
        <v>2026</v>
      </c>
      <c r="K3214" t="str">
        <f>VLOOKUP(G3214,METRICS!C:D,2,0)</f>
        <v>Carnes e Aves</v>
      </c>
      <c r="L3214" t="str">
        <f>VLOOKUP(K3214,METRICS!D:E,2,0)</f>
        <v>CUSTOS DOS PRODUTOS VENDIDOS</v>
      </c>
    </row>
    <row r="3215" spans="1:12" ht="15" hidden="1">
      <c r="A3215" t="s">
        <v>2259</v>
      </c>
      <c r="B3215" t="s">
        <v>612</v>
      </c>
      <c r="D3215" t="s">
        <v>2567</v>
      </c>
      <c r="E3215" t="s">
        <v>774</v>
      </c>
      <c r="F3215" t="s">
        <v>1272</v>
      </c>
      <c r="G3215" t="s">
        <v>629</v>
      </c>
      <c r="H3215" s="780">
        <v>-1390.94</v>
      </c>
      <c r="I3215" t="str">
        <f t="shared" si="180"/>
        <v>abril 2026</v>
      </c>
      <c r="J3215">
        <f t="shared" si="181"/>
        <v>2026</v>
      </c>
      <c r="K3215" t="str">
        <f>VLOOKUP(G3215,METRICS!C:D,2,0)</f>
        <v>Material de limpeza</v>
      </c>
      <c r="L3215" t="str">
        <f>VLOOKUP(K3215,METRICS!D:E,2,0)</f>
        <v>OPERAÇÃO</v>
      </c>
    </row>
    <row r="3216" spans="1:12" ht="15" hidden="1">
      <c r="A3216" t="s">
        <v>2259</v>
      </c>
      <c r="B3216" t="s">
        <v>612</v>
      </c>
      <c r="D3216" t="s">
        <v>2568</v>
      </c>
      <c r="E3216" t="s">
        <v>830</v>
      </c>
      <c r="F3216" t="s">
        <v>1272</v>
      </c>
      <c r="G3216" t="s">
        <v>623</v>
      </c>
      <c r="H3216" s="780">
        <v>-305.25</v>
      </c>
      <c r="I3216" t="str">
        <f t="shared" si="180"/>
        <v>abril 2026</v>
      </c>
      <c r="J3216">
        <f t="shared" si="181"/>
        <v>2026</v>
      </c>
      <c r="K3216" t="str">
        <f>VLOOKUP(G3216,METRICS!C:D,2,0)</f>
        <v>Secos - Mercearia</v>
      </c>
      <c r="L3216" t="str">
        <f>VLOOKUP(K3216,METRICS!D:E,2,0)</f>
        <v>CUSTOS DOS PRODUTOS VENDIDOS</v>
      </c>
    </row>
    <row r="3217" spans="1:12" ht="15" hidden="1">
      <c r="A3217" t="s">
        <v>2259</v>
      </c>
      <c r="B3217" t="s">
        <v>612</v>
      </c>
      <c r="D3217" t="s">
        <v>2569</v>
      </c>
      <c r="E3217" t="s">
        <v>2605</v>
      </c>
      <c r="F3217" t="s">
        <v>1272</v>
      </c>
      <c r="G3217" t="s">
        <v>608</v>
      </c>
      <c r="H3217" s="780">
        <v>-2980.8</v>
      </c>
      <c r="I3217" t="str">
        <f t="shared" si="180"/>
        <v>abril 2026</v>
      </c>
      <c r="J3217">
        <f t="shared" si="181"/>
        <v>2026</v>
      </c>
      <c r="K3217" t="str">
        <f>VLOOKUP(G3217,METRICS!C:D,2,0)</f>
        <v>Bebidas não Alcoolicas</v>
      </c>
      <c r="L3217" t="str">
        <f>VLOOKUP(K3217,METRICS!D:E,2,0)</f>
        <v>CUSTOS DOS PRODUTOS VENDIDOS</v>
      </c>
    </row>
    <row r="3218" spans="1:12" ht="15" hidden="1">
      <c r="A3218" t="s">
        <v>2259</v>
      </c>
      <c r="B3218" t="s">
        <v>689</v>
      </c>
      <c r="D3218" t="s">
        <v>883</v>
      </c>
      <c r="E3218" t="s">
        <v>746</v>
      </c>
      <c r="F3218" t="s">
        <v>1272</v>
      </c>
      <c r="G3218" t="s">
        <v>669</v>
      </c>
      <c r="H3218" s="780">
        <v>-25909.279999999999</v>
      </c>
      <c r="I3218" t="str">
        <f t="shared" si="180"/>
        <v>abril 2026</v>
      </c>
      <c r="J3218">
        <f t="shared" si="181"/>
        <v>2026</v>
      </c>
      <c r="K3218" t="str">
        <f>VLOOKUP(G3218,METRICS!C:D,2,0)</f>
        <v>Taxas Financeiras Diversas</v>
      </c>
      <c r="L3218" t="str">
        <f>VLOOKUP(K3218,METRICS!D:E,2,0)</f>
        <v>TAXAS CARTÃO DE CRÉDITO</v>
      </c>
    </row>
    <row r="3219" spans="1:12" ht="15" hidden="1">
      <c r="A3219" t="s">
        <v>2259</v>
      </c>
      <c r="B3219" t="s">
        <v>612</v>
      </c>
      <c r="D3219" t="s">
        <v>2570</v>
      </c>
      <c r="E3219" t="s">
        <v>745</v>
      </c>
      <c r="F3219" t="s">
        <v>1272</v>
      </c>
      <c r="G3219" t="s">
        <v>620</v>
      </c>
      <c r="H3219" s="780">
        <v>-519.65</v>
      </c>
      <c r="I3219" t="str">
        <f t="shared" si="180"/>
        <v>abril 2026</v>
      </c>
      <c r="J3219">
        <f t="shared" si="181"/>
        <v>2026</v>
      </c>
      <c r="K3219" t="str">
        <f>VLOOKUP(G3219,METRICS!C:D,2,0)</f>
        <v>Hortifruti</v>
      </c>
      <c r="L3219" t="str">
        <f>VLOOKUP(K3219,METRICS!D:E,2,0)</f>
        <v>CUSTOS DOS PRODUTOS VENDIDOS</v>
      </c>
    </row>
    <row r="3220" spans="1:12" ht="15" hidden="1">
      <c r="A3220" t="s">
        <v>2259</v>
      </c>
      <c r="B3220" t="s">
        <v>612</v>
      </c>
      <c r="D3220" t="s">
        <v>2571</v>
      </c>
      <c r="E3220" t="s">
        <v>811</v>
      </c>
      <c r="F3220" t="s">
        <v>1272</v>
      </c>
      <c r="G3220" t="s">
        <v>636</v>
      </c>
      <c r="H3220" s="780">
        <v>-1452.42</v>
      </c>
      <c r="I3220" t="str">
        <f t="shared" si="180"/>
        <v>abril 2026</v>
      </c>
      <c r="J3220">
        <f t="shared" si="181"/>
        <v>2026</v>
      </c>
      <c r="K3220" t="str">
        <f>VLOOKUP(G3220,METRICS!C:D,2,0)</f>
        <v>Secos - Mercearia</v>
      </c>
      <c r="L3220" t="str">
        <f>VLOOKUP(K3220,METRICS!D:E,2,0)</f>
        <v>CUSTOS DOS PRODUTOS VENDIDOS</v>
      </c>
    </row>
    <row r="3221" spans="1:12" ht="15" hidden="1">
      <c r="A3221" t="s">
        <v>2259</v>
      </c>
      <c r="B3221" t="s">
        <v>612</v>
      </c>
      <c r="D3221" t="s">
        <v>2572</v>
      </c>
      <c r="E3221" t="s">
        <v>770</v>
      </c>
      <c r="F3221" t="s">
        <v>1272</v>
      </c>
      <c r="G3221" t="s">
        <v>624</v>
      </c>
      <c r="H3221" s="780">
        <v>-2310.3200000000002</v>
      </c>
      <c r="I3221" t="str">
        <f t="shared" si="180"/>
        <v>abril 2026</v>
      </c>
      <c r="J3221">
        <f t="shared" si="181"/>
        <v>2026</v>
      </c>
      <c r="K3221" t="str">
        <f>VLOOKUP(G3221,METRICS!C:D,2,0)</f>
        <v>Manutenção e Conservação</v>
      </c>
      <c r="L3221" t="str">
        <f>VLOOKUP(K3221,METRICS!D:E,2,0)</f>
        <v>OPERAÇÃO</v>
      </c>
    </row>
    <row r="3222" spans="1:12" ht="15" hidden="1">
      <c r="A3222" t="s">
        <v>2259</v>
      </c>
      <c r="B3222" t="s">
        <v>689</v>
      </c>
      <c r="D3222" t="s">
        <v>2573</v>
      </c>
      <c r="E3222" t="s">
        <v>2584</v>
      </c>
      <c r="F3222" t="s">
        <v>1272</v>
      </c>
      <c r="G3222" t="s">
        <v>631</v>
      </c>
      <c r="H3222" s="780">
        <v>-7000</v>
      </c>
      <c r="I3222" t="str">
        <f t="shared" si="180"/>
        <v>abril 2026</v>
      </c>
      <c r="J3222">
        <f t="shared" si="181"/>
        <v>2026</v>
      </c>
      <c r="K3222" t="str">
        <f>VLOOKUP(G3222,METRICS!C:D,2,0)</f>
        <v>Midias Sociais</v>
      </c>
      <c r="L3222" t="str">
        <f>VLOOKUP(K3222,METRICS!D:E,2,0)</f>
        <v>MARKETING</v>
      </c>
    </row>
    <row r="3223" spans="1:12" ht="15" hidden="1">
      <c r="A3223" t="s">
        <v>2259</v>
      </c>
      <c r="B3223" t="s">
        <v>612</v>
      </c>
      <c r="D3223" t="s">
        <v>2574</v>
      </c>
      <c r="E3223" t="s">
        <v>2606</v>
      </c>
      <c r="F3223" t="s">
        <v>1272</v>
      </c>
      <c r="G3223" t="s">
        <v>1718</v>
      </c>
      <c r="H3223" s="780">
        <v>-4698</v>
      </c>
      <c r="I3223" t="str">
        <f t="shared" si="180"/>
        <v>abril 2026</v>
      </c>
      <c r="J3223">
        <f t="shared" si="181"/>
        <v>2026</v>
      </c>
      <c r="K3223" t="str">
        <f>VLOOKUP(G3223,METRICS!C:D,2,0)</f>
        <v>Utensílios</v>
      </c>
      <c r="L3223" t="str">
        <f>VLOOKUP(K3223,METRICS!D:E,2,0)</f>
        <v>OPERAÇÃO</v>
      </c>
    </row>
    <row r="3224" spans="1:12" ht="15" hidden="1">
      <c r="A3224" s="518" t="s">
        <v>2259</v>
      </c>
      <c r="B3224" t="s">
        <v>689</v>
      </c>
      <c r="D3224" t="s">
        <v>644</v>
      </c>
      <c r="E3224" t="s">
        <v>706</v>
      </c>
      <c r="F3224" t="s">
        <v>1272</v>
      </c>
      <c r="G3224" t="s">
        <v>644</v>
      </c>
      <c r="H3224" s="595">
        <v>-173498.94</v>
      </c>
      <c r="I3224" t="str">
        <f t="shared" si="180"/>
        <v>abril 2026</v>
      </c>
      <c r="J3224">
        <f t="shared" si="181"/>
        <v>2026</v>
      </c>
      <c r="K3224" t="str">
        <f>VLOOKUP(G3224,METRICS!C:D,2,0)</f>
        <v>IR/INSS</v>
      </c>
      <c r="L3224" t="str">
        <f>VLOOKUP(K3224,METRICS!D:E,2,0)</f>
        <v>PESSOAL</v>
      </c>
    </row>
    <row r="3225" spans="1:12" ht="15" hidden="1">
      <c r="A3225" s="518" t="s">
        <v>2259</v>
      </c>
      <c r="B3225" t="s">
        <v>689</v>
      </c>
      <c r="C3225" t="s">
        <v>690</v>
      </c>
      <c r="D3225" t="s">
        <v>817</v>
      </c>
      <c r="E3225" t="s">
        <v>544</v>
      </c>
      <c r="F3225" t="s">
        <v>1272</v>
      </c>
      <c r="G3225" t="s">
        <v>664</v>
      </c>
      <c r="H3225" s="595">
        <v>-8570</v>
      </c>
      <c r="I3225" t="str">
        <f t="shared" si="180"/>
        <v>abril 2026</v>
      </c>
      <c r="J3225">
        <f t="shared" si="181"/>
        <v>2026</v>
      </c>
      <c r="K3225" t="str">
        <f>VLOOKUP(G3225,METRICS!C:D,2,0)</f>
        <v>Colaborador Extra</v>
      </c>
      <c r="L3225" t="str">
        <f>VLOOKUP(K3225,METRICS!D:E,2,0)</f>
        <v>PESSOAL</v>
      </c>
    </row>
    <row r="3226" spans="1:12" ht="15" hidden="1">
      <c r="A3226" s="898" t="s">
        <v>2259</v>
      </c>
      <c r="B3226" t="s">
        <v>689</v>
      </c>
      <c r="C3226" t="s">
        <v>690</v>
      </c>
      <c r="D3226" t="s">
        <v>817</v>
      </c>
      <c r="E3226" s="518" t="s">
        <v>2611</v>
      </c>
      <c r="F3226" t="s">
        <v>1272</v>
      </c>
      <c r="G3226" t="s">
        <v>664</v>
      </c>
      <c r="H3226" s="595">
        <v>-9500</v>
      </c>
      <c r="I3226" t="str">
        <f t="shared" ref="I3226" si="182">TEXT(A3226, "mmmm aaaa")</f>
        <v>abril 2026</v>
      </c>
      <c r="J3226">
        <f t="shared" ref="J3226" si="183">YEAR(A3226)</f>
        <v>2026</v>
      </c>
      <c r="K3226" t="str">
        <f>VLOOKUP(G3226,METRICS!C:D,2,0)</f>
        <v>Colaborador Extra</v>
      </c>
      <c r="L3226" t="str">
        <f>VLOOKUP(K3226,METRICS!D:E,2,0)</f>
        <v>PESSOAL</v>
      </c>
    </row>
    <row r="3227" spans="1:12" ht="15" hidden="1">
      <c r="A3227" s="898" t="s">
        <v>2259</v>
      </c>
      <c r="B3227" t="s">
        <v>689</v>
      </c>
      <c r="D3227" t="s">
        <v>1874</v>
      </c>
      <c r="E3227" t="s">
        <v>1666</v>
      </c>
      <c r="F3227" t="s">
        <v>1272</v>
      </c>
      <c r="G3227" t="s">
        <v>157</v>
      </c>
      <c r="H3227" s="595">
        <v>-8067.66</v>
      </c>
      <c r="I3227" t="str">
        <f>TEXT(A3227, "mmmm aaaa")</f>
        <v>abril 2026</v>
      </c>
      <c r="J3227">
        <f>YEAR(A3227)</f>
        <v>2026</v>
      </c>
      <c r="K3227" t="str">
        <f>VLOOKUP(G3227,METRICS!C:D,2,0)</f>
        <v>IPTU</v>
      </c>
      <c r="L3227" t="str">
        <f>VLOOKUP(K3227,METRICS!D:E,2,0)</f>
        <v>OCUPAÇÃO</v>
      </c>
    </row>
    <row r="3228" spans="1:12" ht="15" hidden="1">
      <c r="A3228" s="512">
        <v>46129</v>
      </c>
      <c r="B3228" t="s">
        <v>689</v>
      </c>
      <c r="D3228" s="518" t="s">
        <v>2612</v>
      </c>
      <c r="E3228" t="str">
        <f>D3228</f>
        <v>LOCACAO DE EXOVAL REF AO PERIODO ABRIL/2026</v>
      </c>
      <c r="F3228" t="s">
        <v>1272</v>
      </c>
      <c r="G3228" t="s">
        <v>662</v>
      </c>
      <c r="H3228" s="484">
        <v>-7390.84</v>
      </c>
      <c r="I3228" t="str">
        <f>TEXT(A3228, "mmmm aaaa")</f>
        <v>abril 2026</v>
      </c>
      <c r="J3228">
        <f>YEAR(A3228)</f>
        <v>2026</v>
      </c>
      <c r="K3228" t="str">
        <f>VLOOKUP(G3228,METRICS!C:D,2,0)</f>
        <v>Lavanderia</v>
      </c>
      <c r="L3228" t="str">
        <f>VLOOKUP(K3228,METRICS!D:E,2,0)</f>
        <v>OPERAÇÃO</v>
      </c>
    </row>
    <row r="3229" spans="1:12" ht="15" hidden="1">
      <c r="A3229" s="752" t="s">
        <v>2233</v>
      </c>
      <c r="B3229" t="s">
        <v>689</v>
      </c>
      <c r="D3229" s="518" t="s">
        <v>2636</v>
      </c>
      <c r="E3229" t="s">
        <v>956</v>
      </c>
      <c r="F3229" t="s">
        <v>1272</v>
      </c>
      <c r="G3229" s="518" t="s">
        <v>1736</v>
      </c>
      <c r="H3229" s="595">
        <v>-1578</v>
      </c>
      <c r="I3229" t="str">
        <f t="shared" ref="I3229:I3240" si="184">TEXT(A3229, "mmmm aaaa")</f>
        <v>abril 2026</v>
      </c>
      <c r="J3229">
        <f t="shared" ref="J3229:J3240" si="185">YEAR(A3229)</f>
        <v>2026</v>
      </c>
      <c r="K3229" t="str">
        <f>VLOOKUP(G3229,METRICS!C:D,2,0)</f>
        <v>Sistema e Software OP</v>
      </c>
      <c r="L3229" t="str">
        <f>VLOOKUP(K3229,METRICS!D:E,2,0)</f>
        <v>OPERAÇÃO</v>
      </c>
    </row>
    <row r="3230" spans="1:12" ht="15" hidden="1">
      <c r="A3230" s="512">
        <v>46066</v>
      </c>
      <c r="B3230" t="s">
        <v>612</v>
      </c>
      <c r="C3230" t="s">
        <v>690</v>
      </c>
      <c r="D3230" s="518" t="s">
        <v>2195</v>
      </c>
      <c r="E3230" t="s">
        <v>970</v>
      </c>
      <c r="F3230" t="s">
        <v>1272</v>
      </c>
      <c r="G3230" t="s">
        <v>1736</v>
      </c>
      <c r="H3230" s="595">
        <v>-249</v>
      </c>
      <c r="I3230" t="str">
        <f t="shared" si="184"/>
        <v>fevereiro 2026</v>
      </c>
      <c r="J3230">
        <f t="shared" si="185"/>
        <v>2026</v>
      </c>
      <c r="K3230" t="str">
        <f>VLOOKUP(G3230,METRICS!C:D,2,0)</f>
        <v>Sistema e Software OP</v>
      </c>
      <c r="L3230" t="str">
        <f>VLOOKUP(K3230,METRICS!D:E,2,0)</f>
        <v>OPERAÇÃO</v>
      </c>
    </row>
    <row r="3231" spans="1:12" ht="15" hidden="1">
      <c r="A3231" s="512">
        <v>46094</v>
      </c>
      <c r="B3231" t="s">
        <v>612</v>
      </c>
      <c r="C3231" t="s">
        <v>690</v>
      </c>
      <c r="D3231" s="518" t="s">
        <v>2641</v>
      </c>
      <c r="E3231" t="s">
        <v>970</v>
      </c>
      <c r="F3231" t="s">
        <v>1272</v>
      </c>
      <c r="G3231" t="s">
        <v>1736</v>
      </c>
      <c r="H3231" s="595">
        <v>-249</v>
      </c>
      <c r="I3231" t="str">
        <f t="shared" si="184"/>
        <v>março 2026</v>
      </c>
      <c r="J3231">
        <f t="shared" si="185"/>
        <v>2026</v>
      </c>
      <c r="K3231" t="str">
        <f>VLOOKUP(G3231,METRICS!C:D,2,0)</f>
        <v>Sistema e Software OP</v>
      </c>
      <c r="L3231" t="str">
        <f>VLOOKUP(K3231,METRICS!D:E,2,0)</f>
        <v>OPERAÇÃO</v>
      </c>
    </row>
    <row r="3232" spans="1:12" ht="15" hidden="1">
      <c r="A3232" s="512">
        <v>46125</v>
      </c>
      <c r="B3232" t="s">
        <v>612</v>
      </c>
      <c r="C3232" t="s">
        <v>690</v>
      </c>
      <c r="D3232" s="518" t="s">
        <v>2641</v>
      </c>
      <c r="E3232" t="s">
        <v>970</v>
      </c>
      <c r="F3232" t="s">
        <v>1272</v>
      </c>
      <c r="G3232" t="s">
        <v>1736</v>
      </c>
      <c r="H3232" s="595">
        <v>-249</v>
      </c>
      <c r="I3232" t="str">
        <f t="shared" si="184"/>
        <v>abril 2026</v>
      </c>
      <c r="J3232">
        <f t="shared" si="185"/>
        <v>2026</v>
      </c>
      <c r="K3232" t="str">
        <f>VLOOKUP(G3232,METRICS!C:D,2,0)</f>
        <v>Sistema e Software OP</v>
      </c>
      <c r="L3232" t="str">
        <f>VLOOKUP(K3232,METRICS!D:E,2,0)</f>
        <v>OPERAÇÃO</v>
      </c>
    </row>
    <row r="3233" spans="1:12" ht="15" hidden="1">
      <c r="A3233" s="512">
        <v>46115</v>
      </c>
      <c r="B3233" t="s">
        <v>689</v>
      </c>
      <c r="D3233" t="s">
        <v>1841</v>
      </c>
      <c r="E3233" s="518" t="s">
        <v>786</v>
      </c>
      <c r="F3233" t="s">
        <v>1272</v>
      </c>
      <c r="G3233" s="518" t="s">
        <v>1736</v>
      </c>
      <c r="H3233" s="595">
        <v>-81.52</v>
      </c>
      <c r="I3233" t="str">
        <f t="shared" si="184"/>
        <v>abril 2026</v>
      </c>
      <c r="J3233">
        <f t="shared" si="185"/>
        <v>2026</v>
      </c>
      <c r="K3233" t="str">
        <f>VLOOKUP(G3233,METRICS!C:D,2,0)</f>
        <v>Sistema e Software OP</v>
      </c>
      <c r="L3233" t="str">
        <f>VLOOKUP(K3233,METRICS!D:E,2,0)</f>
        <v>OPERAÇÃO</v>
      </c>
    </row>
    <row r="3234" spans="1:12" ht="15" hidden="1">
      <c r="A3234" s="752" t="s">
        <v>1781</v>
      </c>
      <c r="B3234" t="s">
        <v>689</v>
      </c>
      <c r="D3234" t="s">
        <v>1842</v>
      </c>
      <c r="E3234" t="s">
        <v>786</v>
      </c>
      <c r="F3234" t="s">
        <v>1272</v>
      </c>
      <c r="G3234" s="518" t="s">
        <v>1736</v>
      </c>
      <c r="H3234" s="595">
        <v>-2503.31</v>
      </c>
      <c r="I3234" t="str">
        <f t="shared" si="184"/>
        <v>março 2026</v>
      </c>
      <c r="J3234">
        <f t="shared" si="185"/>
        <v>2026</v>
      </c>
      <c r="K3234" t="str">
        <f>VLOOKUP(G3234,METRICS!C:D,2,0)</f>
        <v>Sistema e Software OP</v>
      </c>
      <c r="L3234" t="str">
        <f>VLOOKUP(K3234,METRICS!D:E,2,0)</f>
        <v>OPERAÇÃO</v>
      </c>
    </row>
    <row r="3235" spans="1:12" ht="15" hidden="1">
      <c r="A3235" s="752" t="s">
        <v>1779</v>
      </c>
      <c r="B3235" t="s">
        <v>612</v>
      </c>
      <c r="D3235" s="518" t="s">
        <v>2642</v>
      </c>
      <c r="E3235" t="s">
        <v>721</v>
      </c>
      <c r="F3235" t="s">
        <v>1272</v>
      </c>
      <c r="G3235" s="518" t="s">
        <v>1736</v>
      </c>
      <c r="H3235" s="595">
        <v>-817.78</v>
      </c>
      <c r="I3235" t="str">
        <f t="shared" si="184"/>
        <v>março 2026</v>
      </c>
      <c r="J3235">
        <f t="shared" si="185"/>
        <v>2026</v>
      </c>
      <c r="K3235" t="str">
        <f>VLOOKUP(G3235,METRICS!C:D,2,0)</f>
        <v>Sistema e Software OP</v>
      </c>
      <c r="L3235" t="str">
        <f>VLOOKUP(K3235,METRICS!D:E,2,0)</f>
        <v>OPERAÇÃO</v>
      </c>
    </row>
    <row r="3236" spans="1:12" ht="15" hidden="1">
      <c r="A3236" s="512">
        <v>46083</v>
      </c>
      <c r="B3236" t="s">
        <v>612</v>
      </c>
      <c r="D3236" t="s">
        <v>1383</v>
      </c>
      <c r="E3236" t="s">
        <v>731</v>
      </c>
      <c r="F3236" t="s">
        <v>1272</v>
      </c>
      <c r="G3236" t="s">
        <v>637</v>
      </c>
      <c r="H3236" s="595">
        <v>-2097.46</v>
      </c>
      <c r="I3236" t="str">
        <f t="shared" si="184"/>
        <v>março 2026</v>
      </c>
      <c r="J3236">
        <f t="shared" si="185"/>
        <v>2026</v>
      </c>
      <c r="K3236" t="str">
        <f>VLOOKUP(G3236,METRICS!C:D,2,0)</f>
        <v>Prestação de Servço Informatica</v>
      </c>
      <c r="L3236" t="str">
        <f>VLOOKUP(K3236,METRICS!D:E,2,0)</f>
        <v>ADMINISTRATIVA</v>
      </c>
    </row>
    <row r="3237" spans="1:12" ht="15" hidden="1">
      <c r="A3237" s="512">
        <v>46074</v>
      </c>
      <c r="B3237" t="s">
        <v>612</v>
      </c>
      <c r="C3237" t="s">
        <v>690</v>
      </c>
      <c r="D3237" t="s">
        <v>1085</v>
      </c>
      <c r="E3237" t="s">
        <v>1086</v>
      </c>
      <c r="F3237" t="s">
        <v>1272</v>
      </c>
      <c r="G3237" t="s">
        <v>621</v>
      </c>
      <c r="H3237" s="595">
        <v>-5000</v>
      </c>
      <c r="I3237" t="str">
        <f t="shared" si="184"/>
        <v>fevereiro 2026</v>
      </c>
      <c r="J3237">
        <f t="shared" si="185"/>
        <v>2026</v>
      </c>
      <c r="K3237" t="str">
        <f>VLOOKUP(G3237,METRICS!C:D,2,0)</f>
        <v>Influencer</v>
      </c>
      <c r="L3237" t="str">
        <f>VLOOKUP(K3237,METRICS!D:E,2,0)</f>
        <v>MARKETING</v>
      </c>
    </row>
    <row r="3238" spans="1:12" ht="15" hidden="1">
      <c r="A3238" s="512">
        <v>46121</v>
      </c>
      <c r="B3238" t="s">
        <v>612</v>
      </c>
      <c r="C3238" t="s">
        <v>690</v>
      </c>
      <c r="D3238" t="s">
        <v>2195</v>
      </c>
      <c r="E3238" t="s">
        <v>993</v>
      </c>
      <c r="F3238" t="s">
        <v>1272</v>
      </c>
      <c r="G3238" t="s">
        <v>661</v>
      </c>
      <c r="H3238" s="595">
        <v>-9000</v>
      </c>
      <c r="I3238" t="str">
        <f t="shared" si="184"/>
        <v>abril 2026</v>
      </c>
      <c r="J3238">
        <f t="shared" si="185"/>
        <v>2026</v>
      </c>
      <c r="K3238" t="str">
        <f>VLOOKUP(G3238,METRICS!C:D,2,0)</f>
        <v>Consultoria OP</v>
      </c>
      <c r="L3238" t="str">
        <f>VLOOKUP(K3238,METRICS!D:E,2,0)</f>
        <v>OPERAÇÃO</v>
      </c>
    </row>
    <row r="3239" spans="1:12" ht="15" hidden="1">
      <c r="A3239" s="783">
        <v>46133</v>
      </c>
      <c r="B3239" t="s">
        <v>689</v>
      </c>
      <c r="D3239" t="s">
        <v>1418</v>
      </c>
      <c r="E3239" t="s">
        <v>1057</v>
      </c>
      <c r="F3239" t="s">
        <v>1272</v>
      </c>
      <c r="G3239" t="s">
        <v>618</v>
      </c>
      <c r="H3239" s="595">
        <v>-6001.6</v>
      </c>
      <c r="I3239" t="str">
        <f t="shared" si="184"/>
        <v>abril 2026</v>
      </c>
      <c r="J3239">
        <f t="shared" si="185"/>
        <v>2026</v>
      </c>
      <c r="K3239" t="str">
        <f>VLOOKUP(G3239,METRICS!C:D,2,0)</f>
        <v>Gás Encanado</v>
      </c>
      <c r="L3239" t="str">
        <f>VLOOKUP(K3239,METRICS!D:E,2,0)</f>
        <v>OPERAÇÃO</v>
      </c>
    </row>
    <row r="3240" spans="1:12" ht="15" hidden="1">
      <c r="A3240" s="512">
        <v>46115</v>
      </c>
      <c r="B3240" t="s">
        <v>689</v>
      </c>
      <c r="D3240" t="s">
        <v>1844</v>
      </c>
      <c r="E3240" t="s">
        <v>1203</v>
      </c>
      <c r="F3240" t="s">
        <v>1272</v>
      </c>
      <c r="G3240" t="s">
        <v>660</v>
      </c>
      <c r="H3240" s="595">
        <v>-615.12</v>
      </c>
      <c r="I3240" t="str">
        <f t="shared" si="184"/>
        <v>abril 2026</v>
      </c>
      <c r="J3240">
        <f t="shared" si="185"/>
        <v>2026</v>
      </c>
      <c r="K3240" t="str">
        <f>VLOOKUP(G3240,METRICS!C:D,2,0)</f>
        <v>Telefone e Internet</v>
      </c>
      <c r="L3240" t="str">
        <f>VLOOKUP(K3240,METRICS!D:E,2,0)</f>
        <v>ADMINISTRATIVA</v>
      </c>
    </row>
  </sheetData>
  <autoFilter ref="A1:L3240" xr:uid="{35D69DBC-2F25-404A-BB18-5DC9D1370C19}">
    <filterColumn colId="10">
      <filters>
        <filter val="Outras Despesas"/>
      </filters>
    </filterColumn>
  </autoFilter>
  <hyperlinks>
    <hyperlink ref="E2595" r:id="rId1" display="https://pro.contaazul.com/" xr:uid="{0D4B20BC-24CB-4144-A0E9-DB22E6FD6A0C}"/>
    <hyperlink ref="E2714" r:id="rId2" display="https://pro.contaazul.com/" xr:uid="{5FF7CD0B-D0F3-4468-8DD3-D8A09C29D8C2}"/>
  </hyperlinks>
  <pageMargins left="0.511811024" right="0.511811024" top="0.78740157499999996" bottom="0.78740157499999996" header="0.31496062000000002" footer="0.31496062000000002"/>
  <pageSetup paperSize="9" orientation="portrait" r:id="rId3"/>
  <ignoredErrors>
    <ignoredError sqref="I3144:J314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331F-8FDF-4742-B276-837465C6521F}">
  <sheetPr>
    <tabColor rgb="FF0070C0"/>
  </sheetPr>
  <dimension ref="A1:J26"/>
  <sheetViews>
    <sheetView workbookViewId="0">
      <selection activeCell="B16" sqref="B16:C16"/>
    </sheetView>
  </sheetViews>
  <sheetFormatPr defaultRowHeight="12.75"/>
  <cols>
    <col min="1" max="1" width="12.28515625" bestFit="1" customWidth="1"/>
    <col min="2" max="2" width="42.140625" bestFit="1" customWidth="1"/>
    <col min="3" max="3" width="20" bestFit="1" customWidth="1"/>
    <col min="5" max="5" width="42.140625" bestFit="1" customWidth="1"/>
    <col min="6" max="6" width="20.140625" bestFit="1" customWidth="1"/>
    <col min="7" max="7" width="13.85546875" bestFit="1" customWidth="1"/>
    <col min="8" max="8" width="11.28515625" bestFit="1" customWidth="1"/>
    <col min="9" max="9" width="10.28515625" bestFit="1" customWidth="1"/>
    <col min="10" max="11" width="11.28515625" bestFit="1" customWidth="1"/>
  </cols>
  <sheetData>
    <row r="1" spans="1:10" ht="15">
      <c r="A1" s="781" t="s">
        <v>1267</v>
      </c>
      <c r="B1" s="899" t="s">
        <v>687</v>
      </c>
      <c r="C1" s="483" t="s">
        <v>1266</v>
      </c>
      <c r="E1" s="859" t="s">
        <v>2639</v>
      </c>
      <c r="F1" s="859" t="s">
        <v>2640</v>
      </c>
    </row>
    <row r="2" spans="1:10" ht="15">
      <c r="A2" t="s">
        <v>2649</v>
      </c>
      <c r="B2" s="518" t="s">
        <v>1726</v>
      </c>
      <c r="C2" s="595">
        <v>-9000</v>
      </c>
      <c r="E2" s="859" t="s">
        <v>2638</v>
      </c>
      <c r="F2" t="s">
        <v>2649</v>
      </c>
      <c r="G2" t="s">
        <v>2650</v>
      </c>
      <c r="H2" t="s">
        <v>2651</v>
      </c>
      <c r="I2" t="s">
        <v>2652</v>
      </c>
      <c r="J2" t="s">
        <v>2637</v>
      </c>
    </row>
    <row r="3" spans="1:10" ht="15">
      <c r="A3" t="s">
        <v>2649</v>
      </c>
      <c r="B3" s="518" t="s">
        <v>1703</v>
      </c>
      <c r="C3" s="595">
        <v>-16000</v>
      </c>
      <c r="E3" s="752" t="s">
        <v>1703</v>
      </c>
      <c r="F3" s="508">
        <v>-16000</v>
      </c>
      <c r="G3" s="508">
        <v>-16000</v>
      </c>
      <c r="H3" s="508">
        <v>-16000</v>
      </c>
      <c r="I3" s="508">
        <v>-16000</v>
      </c>
      <c r="J3" s="508">
        <v>-64000</v>
      </c>
    </row>
    <row r="4" spans="1:10" ht="15">
      <c r="A4" t="s">
        <v>2649</v>
      </c>
      <c r="B4" s="518" t="s">
        <v>1708</v>
      </c>
      <c r="C4" s="595">
        <v>-5750</v>
      </c>
      <c r="E4" s="752" t="s">
        <v>1726</v>
      </c>
      <c r="F4" s="508">
        <v>-9000</v>
      </c>
      <c r="G4" s="508"/>
      <c r="H4" s="508">
        <v>-12000</v>
      </c>
      <c r="I4" s="508"/>
      <c r="J4" s="508">
        <v>-21000</v>
      </c>
    </row>
    <row r="5" spans="1:10" ht="15">
      <c r="A5" t="s">
        <v>2649</v>
      </c>
      <c r="B5" s="518" t="s">
        <v>1711</v>
      </c>
      <c r="C5" s="595">
        <v>-13000</v>
      </c>
      <c r="E5" s="752" t="s">
        <v>1708</v>
      </c>
      <c r="F5" s="508">
        <v>-5750</v>
      </c>
      <c r="G5" s="508">
        <v>-3641.66</v>
      </c>
      <c r="H5" s="508"/>
      <c r="I5" s="508"/>
      <c r="J5" s="508">
        <v>-9391.66</v>
      </c>
    </row>
    <row r="6" spans="1:10" ht="15">
      <c r="A6" t="s">
        <v>2649</v>
      </c>
      <c r="B6" s="518" t="s">
        <v>1230</v>
      </c>
      <c r="C6" s="595">
        <v>-8000</v>
      </c>
      <c r="E6" s="752" t="s">
        <v>1714</v>
      </c>
      <c r="F6" s="508">
        <v>-5750</v>
      </c>
      <c r="G6" s="508">
        <v>-5750</v>
      </c>
      <c r="H6" s="508">
        <v>-5750</v>
      </c>
      <c r="I6" s="508">
        <v>-5750</v>
      </c>
      <c r="J6" s="508">
        <v>-23000</v>
      </c>
    </row>
    <row r="7" spans="1:10" ht="15">
      <c r="A7" t="s">
        <v>2649</v>
      </c>
      <c r="B7" s="518" t="s">
        <v>1714</v>
      </c>
      <c r="C7" s="595">
        <v>-5750</v>
      </c>
      <c r="E7" s="752" t="s">
        <v>1230</v>
      </c>
      <c r="F7" s="508">
        <v>-8000</v>
      </c>
      <c r="G7" s="508">
        <v>-8000</v>
      </c>
      <c r="H7" s="508">
        <v>-8000</v>
      </c>
      <c r="I7" s="508">
        <v>-10000</v>
      </c>
      <c r="J7" s="508">
        <v>-34000</v>
      </c>
    </row>
    <row r="8" spans="1:10" ht="15">
      <c r="A8" t="s">
        <v>2649</v>
      </c>
      <c r="B8" s="518" t="s">
        <v>1715</v>
      </c>
      <c r="C8" s="595">
        <v>-8750</v>
      </c>
      <c r="E8" s="752" t="s">
        <v>1715</v>
      </c>
      <c r="F8" s="508">
        <v>-12000</v>
      </c>
      <c r="G8" s="508">
        <v>-8750</v>
      </c>
      <c r="H8" s="508">
        <v>-12000</v>
      </c>
      <c r="I8" s="508">
        <v>-12000</v>
      </c>
      <c r="J8" s="508">
        <v>-44750</v>
      </c>
    </row>
    <row r="9" spans="1:10" ht="15">
      <c r="A9" t="s">
        <v>2649</v>
      </c>
      <c r="B9" s="518" t="s">
        <v>1715</v>
      </c>
      <c r="C9" s="595">
        <v>-3250</v>
      </c>
      <c r="E9" s="752" t="s">
        <v>1711</v>
      </c>
      <c r="F9" s="508">
        <v>-13000</v>
      </c>
      <c r="G9" s="508">
        <v>-13000</v>
      </c>
      <c r="H9" s="508">
        <v>-13000</v>
      </c>
      <c r="I9" s="508">
        <v>-13000</v>
      </c>
      <c r="J9" s="508">
        <v>-52000</v>
      </c>
    </row>
    <row r="10" spans="1:10" ht="15">
      <c r="A10" t="s">
        <v>2650</v>
      </c>
      <c r="B10" s="518" t="s">
        <v>1703</v>
      </c>
      <c r="C10" s="595">
        <v>-16000</v>
      </c>
      <c r="E10" s="752" t="s">
        <v>2637</v>
      </c>
      <c r="F10" s="508">
        <v>-69500</v>
      </c>
      <c r="G10" s="508">
        <v>-55141.66</v>
      </c>
      <c r="H10" s="508">
        <v>-66750</v>
      </c>
      <c r="I10" s="508">
        <v>-56750</v>
      </c>
      <c r="J10" s="508">
        <v>-248141.66</v>
      </c>
    </row>
    <row r="11" spans="1:10" ht="15">
      <c r="A11" t="s">
        <v>2650</v>
      </c>
      <c r="B11" s="518" t="s">
        <v>1708</v>
      </c>
      <c r="C11" s="595">
        <v>-3641.66</v>
      </c>
    </row>
    <row r="12" spans="1:10" ht="15">
      <c r="A12" t="s">
        <v>2650</v>
      </c>
      <c r="B12" s="518" t="s">
        <v>1711</v>
      </c>
      <c r="C12" s="595">
        <v>-13000</v>
      </c>
    </row>
    <row r="13" spans="1:10" ht="15">
      <c r="A13" t="s">
        <v>2650</v>
      </c>
      <c r="B13" s="518" t="s">
        <v>1230</v>
      </c>
      <c r="C13" s="595">
        <v>-8000</v>
      </c>
    </row>
    <row r="14" spans="1:10" ht="15">
      <c r="A14" t="s">
        <v>2650</v>
      </c>
      <c r="B14" s="518" t="s">
        <v>1714</v>
      </c>
      <c r="C14" s="595">
        <v>-5750</v>
      </c>
    </row>
    <row r="15" spans="1:10" ht="15">
      <c r="A15" t="s">
        <v>2650</v>
      </c>
      <c r="B15" s="518" t="s">
        <v>1715</v>
      </c>
      <c r="C15" s="595">
        <v>-8750</v>
      </c>
    </row>
    <row r="16" spans="1:10" ht="15">
      <c r="A16" t="s">
        <v>2651</v>
      </c>
      <c r="B16" t="s">
        <v>1726</v>
      </c>
      <c r="C16" s="595">
        <v>-12000</v>
      </c>
    </row>
    <row r="17" spans="1:3" ht="15">
      <c r="A17" t="s">
        <v>2651</v>
      </c>
      <c r="B17" s="518" t="s">
        <v>1703</v>
      </c>
      <c r="C17" s="484">
        <v>-16000</v>
      </c>
    </row>
    <row r="18" spans="1:3" ht="15">
      <c r="A18" t="s">
        <v>2651</v>
      </c>
      <c r="B18" s="518" t="s">
        <v>1711</v>
      </c>
      <c r="C18" s="484">
        <v>-13000</v>
      </c>
    </row>
    <row r="19" spans="1:3" ht="15">
      <c r="A19" t="s">
        <v>2651</v>
      </c>
      <c r="B19" t="s">
        <v>1230</v>
      </c>
      <c r="C19" s="484">
        <v>-8000</v>
      </c>
    </row>
    <row r="20" spans="1:3" ht="15">
      <c r="A20" t="s">
        <v>2651</v>
      </c>
      <c r="B20" s="518" t="s">
        <v>1714</v>
      </c>
      <c r="C20" s="484">
        <v>-5750</v>
      </c>
    </row>
    <row r="21" spans="1:3" ht="15">
      <c r="A21" t="s">
        <v>2651</v>
      </c>
      <c r="B21" t="s">
        <v>1715</v>
      </c>
      <c r="C21" s="484">
        <v>-12000</v>
      </c>
    </row>
    <row r="22" spans="1:3" ht="15">
      <c r="A22" t="s">
        <v>2652</v>
      </c>
      <c r="B22" t="s">
        <v>1703</v>
      </c>
      <c r="C22" s="484">
        <v>-16000</v>
      </c>
    </row>
    <row r="23" spans="1:3" ht="15">
      <c r="A23" t="s">
        <v>2652</v>
      </c>
      <c r="B23" s="518" t="s">
        <v>1715</v>
      </c>
      <c r="C23" s="484">
        <v>-12000</v>
      </c>
    </row>
    <row r="24" spans="1:3" ht="15">
      <c r="A24" t="s">
        <v>2652</v>
      </c>
      <c r="B24" t="s">
        <v>1714</v>
      </c>
      <c r="C24" s="484">
        <v>-5750</v>
      </c>
    </row>
    <row r="25" spans="1:3" ht="15">
      <c r="A25" t="s">
        <v>2652</v>
      </c>
      <c r="B25" t="s">
        <v>1230</v>
      </c>
      <c r="C25" s="484">
        <v>-10000</v>
      </c>
    </row>
    <row r="26" spans="1:3" ht="15">
      <c r="A26" t="s">
        <v>2652</v>
      </c>
      <c r="B26" t="s">
        <v>1711</v>
      </c>
      <c r="C26" s="484">
        <v>-13000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9F9E-66A3-4779-85E9-61149DEBE44A}">
  <sheetPr>
    <tabColor rgb="FF0070C0"/>
  </sheetPr>
  <dimension ref="A1:I43"/>
  <sheetViews>
    <sheetView workbookViewId="0">
      <selection activeCell="F3" sqref="F3"/>
    </sheetView>
  </sheetViews>
  <sheetFormatPr defaultRowHeight="12.75"/>
  <cols>
    <col min="1" max="1" width="12.28515625" bestFit="1" customWidth="1"/>
    <col min="2" max="2" width="92.7109375" bestFit="1" customWidth="1"/>
    <col min="3" max="3" width="20" bestFit="1" customWidth="1"/>
    <col min="5" max="5" width="51.28515625" bestFit="1" customWidth="1"/>
    <col min="6" max="6" width="20.140625" bestFit="1" customWidth="1"/>
    <col min="7" max="7" width="13.85546875" bestFit="1" customWidth="1"/>
    <col min="8" max="8" width="11.28515625" bestFit="1" customWidth="1"/>
    <col min="9" max="9" width="10.28515625" bestFit="1" customWidth="1"/>
    <col min="10" max="10" width="11.28515625" bestFit="1" customWidth="1"/>
  </cols>
  <sheetData>
    <row r="1" spans="1:9" ht="15">
      <c r="A1" s="485" t="s">
        <v>1267</v>
      </c>
      <c r="B1" s="483" t="s">
        <v>687</v>
      </c>
      <c r="C1" s="483" t="s">
        <v>1266</v>
      </c>
      <c r="E1" s="859" t="s">
        <v>2639</v>
      </c>
      <c r="F1" s="859" t="s">
        <v>2640</v>
      </c>
    </row>
    <row r="2" spans="1:9" ht="15">
      <c r="A2" t="s">
        <v>2649</v>
      </c>
      <c r="B2" t="s">
        <v>761</v>
      </c>
      <c r="C2" s="595">
        <v>-6400</v>
      </c>
      <c r="E2" s="859" t="s">
        <v>2638</v>
      </c>
      <c r="F2" t="s">
        <v>2649</v>
      </c>
      <c r="G2" t="s">
        <v>2650</v>
      </c>
      <c r="H2" t="s">
        <v>2651</v>
      </c>
      <c r="I2" t="s">
        <v>2652</v>
      </c>
    </row>
    <row r="3" spans="1:9" ht="15">
      <c r="A3" t="s">
        <v>2649</v>
      </c>
      <c r="B3" s="518" t="s">
        <v>1725</v>
      </c>
      <c r="C3" s="595">
        <v>-5250</v>
      </c>
      <c r="E3" s="752" t="s">
        <v>1725</v>
      </c>
      <c r="F3" s="508">
        <v>-5250</v>
      </c>
      <c r="G3" s="508"/>
      <c r="H3" s="508"/>
      <c r="I3" s="508"/>
    </row>
    <row r="4" spans="1:9" ht="15">
      <c r="A4" t="s">
        <v>2649</v>
      </c>
      <c r="B4" s="518" t="s">
        <v>761</v>
      </c>
      <c r="C4" s="595">
        <v>-7200</v>
      </c>
      <c r="E4" s="752" t="s">
        <v>2594</v>
      </c>
      <c r="F4" s="508"/>
      <c r="G4" s="508"/>
      <c r="H4" s="508"/>
      <c r="I4" s="508">
        <v>-8000</v>
      </c>
    </row>
    <row r="5" spans="1:9" ht="15">
      <c r="A5" t="s">
        <v>2649</v>
      </c>
      <c r="B5" s="518" t="s">
        <v>1702</v>
      </c>
      <c r="C5" s="595">
        <v>-8250</v>
      </c>
      <c r="E5" s="752" t="s">
        <v>1705</v>
      </c>
      <c r="F5" s="508">
        <v>-8250</v>
      </c>
      <c r="G5" s="508">
        <v>-8250</v>
      </c>
      <c r="H5" s="508">
        <v>-8250</v>
      </c>
      <c r="I5" s="508">
        <v>-6133.33</v>
      </c>
    </row>
    <row r="6" spans="1:9" ht="15">
      <c r="A6" t="s">
        <v>2649</v>
      </c>
      <c r="B6" s="518" t="s">
        <v>1684</v>
      </c>
      <c r="C6" s="595">
        <v>-15000</v>
      </c>
      <c r="E6" s="752" t="s">
        <v>1217</v>
      </c>
      <c r="F6" s="508">
        <v>-10000</v>
      </c>
      <c r="G6" s="508">
        <v>-10000</v>
      </c>
      <c r="H6" s="508">
        <v>-10000</v>
      </c>
      <c r="I6" s="508">
        <v>-10000</v>
      </c>
    </row>
    <row r="7" spans="1:9" ht="15">
      <c r="A7" t="s">
        <v>2649</v>
      </c>
      <c r="B7" s="518" t="s">
        <v>1704</v>
      </c>
      <c r="C7" s="595">
        <v>-9250</v>
      </c>
      <c r="E7" s="752" t="s">
        <v>1702</v>
      </c>
      <c r="F7" s="508">
        <v>-8250</v>
      </c>
      <c r="G7" s="508">
        <v>-8250</v>
      </c>
      <c r="H7" s="508">
        <v>-8250</v>
      </c>
      <c r="I7" s="508">
        <v>-8250</v>
      </c>
    </row>
    <row r="8" spans="1:9" ht="15">
      <c r="A8" t="s">
        <v>2649</v>
      </c>
      <c r="B8" s="518" t="s">
        <v>1705</v>
      </c>
      <c r="C8" s="595">
        <v>-8250</v>
      </c>
      <c r="E8" s="752" t="s">
        <v>1713</v>
      </c>
      <c r="F8" s="508">
        <v>-8500</v>
      </c>
      <c r="G8" s="508">
        <v>-8500</v>
      </c>
      <c r="H8" s="508">
        <v>-8500</v>
      </c>
      <c r="I8" s="508">
        <v>-8500</v>
      </c>
    </row>
    <row r="9" spans="1:9" ht="15">
      <c r="A9" t="s">
        <v>2649</v>
      </c>
      <c r="B9" s="518" t="s">
        <v>1707</v>
      </c>
      <c r="C9" s="595">
        <v>-6250</v>
      </c>
      <c r="E9" s="752" t="s">
        <v>1684</v>
      </c>
      <c r="F9" s="508">
        <v>-15000</v>
      </c>
      <c r="G9" s="508">
        <v>-15000</v>
      </c>
      <c r="H9" s="508">
        <v>-15000</v>
      </c>
      <c r="I9" s="508">
        <v>-15000</v>
      </c>
    </row>
    <row r="10" spans="1:9" ht="15">
      <c r="A10" t="s">
        <v>2649</v>
      </c>
      <c r="B10" s="518" t="s">
        <v>1710</v>
      </c>
      <c r="C10" s="595">
        <v>-7000</v>
      </c>
      <c r="E10" s="752" t="s">
        <v>1710</v>
      </c>
      <c r="F10" s="508">
        <v>-7000</v>
      </c>
      <c r="G10" s="508">
        <v>-7000</v>
      </c>
      <c r="H10" s="508">
        <v>-7000</v>
      </c>
      <c r="I10" s="508">
        <v>-7000</v>
      </c>
    </row>
    <row r="11" spans="1:9" ht="15">
      <c r="A11" t="s">
        <v>2649</v>
      </c>
      <c r="B11" s="518" t="s">
        <v>1217</v>
      </c>
      <c r="C11" s="595">
        <v>-10000</v>
      </c>
      <c r="E11" s="752" t="s">
        <v>2218</v>
      </c>
      <c r="F11" s="508"/>
      <c r="G11" s="508"/>
      <c r="H11" s="508">
        <v>-2000</v>
      </c>
      <c r="I11" s="508">
        <v>-2000</v>
      </c>
    </row>
    <row r="12" spans="1:9" ht="15">
      <c r="A12" t="s">
        <v>2649</v>
      </c>
      <c r="B12" s="518" t="s">
        <v>1713</v>
      </c>
      <c r="C12" s="595">
        <v>-8500</v>
      </c>
      <c r="E12" s="752" t="s">
        <v>1707</v>
      </c>
      <c r="F12" s="508">
        <v>-6250</v>
      </c>
      <c r="G12" s="508">
        <v>-6250</v>
      </c>
      <c r="H12" s="508">
        <v>-6250</v>
      </c>
      <c r="I12" s="508">
        <v>-6250</v>
      </c>
    </row>
    <row r="13" spans="1:9" ht="15">
      <c r="A13" t="s">
        <v>2650</v>
      </c>
      <c r="B13" s="518" t="s">
        <v>1702</v>
      </c>
      <c r="C13" s="595">
        <v>-8250</v>
      </c>
      <c r="E13" s="752" t="s">
        <v>1704</v>
      </c>
      <c r="F13" s="508">
        <v>-9250</v>
      </c>
      <c r="G13" s="508">
        <v>-9250</v>
      </c>
      <c r="H13" s="508">
        <v>-9250</v>
      </c>
      <c r="I13" s="508">
        <v>-10000</v>
      </c>
    </row>
    <row r="14" spans="1:9" ht="15">
      <c r="A14" t="s">
        <v>2650</v>
      </c>
      <c r="B14" s="518" t="s">
        <v>1684</v>
      </c>
      <c r="C14" s="595">
        <v>-15000</v>
      </c>
      <c r="E14" s="752" t="s">
        <v>1709</v>
      </c>
      <c r="F14" s="508"/>
      <c r="G14" s="508">
        <v>-4400</v>
      </c>
      <c r="H14" s="508">
        <v>-4400</v>
      </c>
      <c r="I14" s="508">
        <v>-4400</v>
      </c>
    </row>
    <row r="15" spans="1:9" ht="15">
      <c r="A15" t="s">
        <v>2650</v>
      </c>
      <c r="B15" s="518" t="s">
        <v>1704</v>
      </c>
      <c r="C15" s="595">
        <v>-9250</v>
      </c>
      <c r="E15" s="752" t="s">
        <v>761</v>
      </c>
      <c r="F15" s="508">
        <v>-13600</v>
      </c>
      <c r="G15" s="508"/>
      <c r="H15" s="508"/>
      <c r="I15" s="508"/>
    </row>
    <row r="16" spans="1:9" ht="15">
      <c r="A16" t="s">
        <v>2650</v>
      </c>
      <c r="B16" s="518" t="s">
        <v>1705</v>
      </c>
      <c r="C16" s="595">
        <v>-8250</v>
      </c>
      <c r="E16" s="752" t="s">
        <v>2637</v>
      </c>
      <c r="F16" s="508">
        <v>-91350</v>
      </c>
      <c r="G16" s="508">
        <v>-76900</v>
      </c>
      <c r="H16" s="508">
        <v>-78900</v>
      </c>
      <c r="I16" s="508">
        <v>-85533.33</v>
      </c>
    </row>
    <row r="17" spans="1:5" ht="15">
      <c r="A17" t="s">
        <v>2650</v>
      </c>
      <c r="B17" s="518" t="s">
        <v>1707</v>
      </c>
      <c r="C17" s="595">
        <v>-6250</v>
      </c>
      <c r="E17" s="752" t="s">
        <v>2653</v>
      </c>
    </row>
    <row r="18" spans="1:5" ht="15">
      <c r="A18" t="s">
        <v>2650</v>
      </c>
      <c r="B18" s="518" t="s">
        <v>1709</v>
      </c>
      <c r="C18" s="595">
        <v>-4400</v>
      </c>
    </row>
    <row r="19" spans="1:5" ht="15">
      <c r="A19" t="s">
        <v>2650</v>
      </c>
      <c r="B19" s="518" t="s">
        <v>1710</v>
      </c>
      <c r="C19" s="595">
        <v>-7000</v>
      </c>
    </row>
    <row r="20" spans="1:5" ht="15">
      <c r="A20" t="s">
        <v>2650</v>
      </c>
      <c r="B20" s="518" t="s">
        <v>1217</v>
      </c>
      <c r="C20" s="595">
        <v>-10000</v>
      </c>
    </row>
    <row r="21" spans="1:5" ht="15">
      <c r="A21" t="s">
        <v>2650</v>
      </c>
      <c r="B21" s="518" t="s">
        <v>1713</v>
      </c>
      <c r="C21" s="595">
        <v>-8500</v>
      </c>
    </row>
    <row r="22" spans="1:5" ht="15">
      <c r="A22" t="s">
        <v>2651</v>
      </c>
      <c r="B22" t="s">
        <v>2218</v>
      </c>
      <c r="C22" s="484">
        <v>-2000</v>
      </c>
    </row>
    <row r="23" spans="1:5" ht="15">
      <c r="A23" t="s">
        <v>2651</v>
      </c>
      <c r="B23" s="518" t="s">
        <v>1713</v>
      </c>
      <c r="C23" s="484">
        <v>-8500</v>
      </c>
    </row>
    <row r="24" spans="1:5" ht="15">
      <c r="A24" t="s">
        <v>2651</v>
      </c>
      <c r="B24" s="518" t="s">
        <v>1709</v>
      </c>
      <c r="C24" s="484">
        <v>-4400</v>
      </c>
    </row>
    <row r="25" spans="1:5" ht="15">
      <c r="A25" t="s">
        <v>2651</v>
      </c>
      <c r="B25" s="518" t="s">
        <v>1710</v>
      </c>
      <c r="C25" s="484">
        <v>-7000</v>
      </c>
    </row>
    <row r="26" spans="1:5" ht="15">
      <c r="A26" t="s">
        <v>2651</v>
      </c>
      <c r="B26" s="518" t="s">
        <v>1704</v>
      </c>
      <c r="C26" s="484">
        <v>-9250</v>
      </c>
    </row>
    <row r="27" spans="1:5" ht="15">
      <c r="A27" t="s">
        <v>2651</v>
      </c>
      <c r="B27" s="518" t="s">
        <v>1217</v>
      </c>
      <c r="C27" s="484">
        <v>-10000</v>
      </c>
    </row>
    <row r="28" spans="1:5" ht="15">
      <c r="A28" t="s">
        <v>2651</v>
      </c>
      <c r="B28" s="518" t="s">
        <v>1702</v>
      </c>
      <c r="C28" s="484">
        <v>-8250</v>
      </c>
    </row>
    <row r="29" spans="1:5" ht="15">
      <c r="A29" t="s">
        <v>2651</v>
      </c>
      <c r="B29" s="518" t="s">
        <v>1705</v>
      </c>
      <c r="C29" s="484">
        <v>-8250</v>
      </c>
    </row>
    <row r="30" spans="1:5" ht="15">
      <c r="A30" t="s">
        <v>2651</v>
      </c>
      <c r="B30" s="518" t="s">
        <v>1684</v>
      </c>
      <c r="C30" s="484">
        <v>-15000</v>
      </c>
    </row>
    <row r="31" spans="1:5" ht="15">
      <c r="A31" t="s">
        <v>2651</v>
      </c>
      <c r="B31" s="518" t="s">
        <v>1707</v>
      </c>
      <c r="C31" s="484">
        <v>-6250</v>
      </c>
    </row>
    <row r="32" spans="1:5" ht="15">
      <c r="A32" t="s">
        <v>2652</v>
      </c>
      <c r="B32" t="s">
        <v>1704</v>
      </c>
      <c r="C32" s="484">
        <v>-4500</v>
      </c>
    </row>
    <row r="33" spans="1:3" ht="15">
      <c r="A33" t="s">
        <v>2652</v>
      </c>
      <c r="B33" t="s">
        <v>1684</v>
      </c>
      <c r="C33" s="484">
        <v>-15000</v>
      </c>
    </row>
    <row r="34" spans="1:3" ht="15">
      <c r="A34" t="s">
        <v>2652</v>
      </c>
      <c r="B34" t="s">
        <v>1704</v>
      </c>
      <c r="C34" s="484">
        <v>-5500</v>
      </c>
    </row>
    <row r="35" spans="1:3" ht="15">
      <c r="A35" t="s">
        <v>2652</v>
      </c>
      <c r="B35" t="s">
        <v>2594</v>
      </c>
      <c r="C35" s="484">
        <v>-8000</v>
      </c>
    </row>
    <row r="36" spans="1:3" ht="15">
      <c r="A36" t="s">
        <v>2652</v>
      </c>
      <c r="B36" t="s">
        <v>2218</v>
      </c>
      <c r="C36" s="484">
        <v>-2000</v>
      </c>
    </row>
    <row r="37" spans="1:3" ht="15">
      <c r="A37" t="s">
        <v>2652</v>
      </c>
      <c r="B37" t="s">
        <v>1709</v>
      </c>
      <c r="C37" s="484">
        <v>-4400</v>
      </c>
    </row>
    <row r="38" spans="1:3" ht="15">
      <c r="A38" t="s">
        <v>2652</v>
      </c>
      <c r="B38" t="s">
        <v>1217</v>
      </c>
      <c r="C38" s="484">
        <v>-10000</v>
      </c>
    </row>
    <row r="39" spans="1:3" ht="15">
      <c r="A39" t="s">
        <v>2652</v>
      </c>
      <c r="B39" t="s">
        <v>1707</v>
      </c>
      <c r="C39" s="484">
        <v>-6250</v>
      </c>
    </row>
    <row r="40" spans="1:3" ht="15">
      <c r="A40" t="s">
        <v>2652</v>
      </c>
      <c r="B40" t="s">
        <v>1710</v>
      </c>
      <c r="C40" s="484">
        <v>-7000</v>
      </c>
    </row>
    <row r="41" spans="1:3" ht="15">
      <c r="A41" t="s">
        <v>2652</v>
      </c>
      <c r="B41" t="s">
        <v>1713</v>
      </c>
      <c r="C41" s="484">
        <v>-8500</v>
      </c>
    </row>
    <row r="42" spans="1:3" ht="15">
      <c r="A42" t="s">
        <v>2652</v>
      </c>
      <c r="B42" t="s">
        <v>1702</v>
      </c>
      <c r="C42" s="484">
        <v>-8250</v>
      </c>
    </row>
    <row r="43" spans="1:3" ht="15">
      <c r="A43" t="s">
        <v>2652</v>
      </c>
      <c r="B43" t="s">
        <v>1705</v>
      </c>
      <c r="C43" s="484">
        <v>-6133.33</v>
      </c>
    </row>
  </sheetData>
  <hyperlinks>
    <hyperlink ref="B22" r:id="rId2" display="https://pro.contaazul.com/" xr:uid="{5D5D6EBC-0E40-4A38-87B3-2E577CAF531D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EE11-1715-47D5-82D3-7F0771B5A21C}">
  <sheetPr>
    <tabColor rgb="FF0070C0"/>
  </sheetPr>
  <dimension ref="A1:H2142"/>
  <sheetViews>
    <sheetView topLeftCell="C1" workbookViewId="0">
      <selection activeCell="O22" sqref="O22"/>
    </sheetView>
  </sheetViews>
  <sheetFormatPr defaultRowHeight="12.75"/>
  <cols>
    <col min="1" max="1" width="21.28515625" hidden="1" customWidth="1"/>
    <col min="2" max="2" width="13.5703125" hidden="1" customWidth="1"/>
    <col min="3" max="3" width="18.42578125" customWidth="1"/>
    <col min="4" max="4" width="11.28515625" customWidth="1"/>
    <col min="5" max="5" width="15.28515625" customWidth="1"/>
    <col min="6" max="6" width="17.28515625" customWidth="1"/>
    <col min="7" max="7" width="14.42578125" bestFit="1" customWidth="1"/>
    <col min="8" max="8" width="12.85546875" customWidth="1"/>
  </cols>
  <sheetData>
    <row r="1" spans="1:8">
      <c r="A1" s="502" t="s">
        <v>1289</v>
      </c>
      <c r="B1" s="502" t="s">
        <v>1290</v>
      </c>
      <c r="C1" s="502" t="s">
        <v>1291</v>
      </c>
      <c r="D1" s="502" t="s">
        <v>1292</v>
      </c>
      <c r="E1" s="502" t="s">
        <v>1293</v>
      </c>
      <c r="F1" s="503" t="s">
        <v>1295</v>
      </c>
      <c r="G1" s="503" t="s">
        <v>399</v>
      </c>
      <c r="H1" s="503" t="s">
        <v>1267</v>
      </c>
    </row>
    <row r="2" spans="1:8">
      <c r="A2" s="495"/>
      <c r="B2" s="509"/>
      <c r="C2" s="509" t="s">
        <v>1298</v>
      </c>
      <c r="D2" s="511">
        <v>46023</v>
      </c>
      <c r="E2" s="510">
        <v>68893.83</v>
      </c>
      <c r="F2" t="str">
        <f>VLOOKUP(C2,METRICS!C:D,2,0)</f>
        <v>Dinheiro/Pix</v>
      </c>
      <c r="G2" t="str">
        <f>VLOOKUP(F2,METRICS!D:E,2,0)</f>
        <v>FATURAMENTO</v>
      </c>
      <c r="H2" t="str">
        <f>TEXT(D2, "mmmm aaaa")</f>
        <v>janeiro 2026</v>
      </c>
    </row>
    <row r="3" spans="1:8">
      <c r="A3" s="495"/>
      <c r="B3" s="509"/>
      <c r="C3" s="509" t="s">
        <v>1294</v>
      </c>
      <c r="D3" s="511">
        <v>46023</v>
      </c>
      <c r="E3" s="510">
        <v>122326.1</v>
      </c>
      <c r="F3" t="str">
        <f>VLOOKUP(C3,METRICS!C:D,2,0)</f>
        <v>Dinheiro/Pix</v>
      </c>
      <c r="G3" t="str">
        <f>VLOOKUP(F3,METRICS!D:E,2,0)</f>
        <v>FATURAMENTO</v>
      </c>
      <c r="H3" t="str">
        <f t="shared" ref="H3:H19" si="0">TEXT(D3, "mmmm aaaa")</f>
        <v>janeiro 2026</v>
      </c>
    </row>
    <row r="4" spans="1:8">
      <c r="A4" s="495"/>
      <c r="B4" s="509"/>
      <c r="C4" s="509" t="s">
        <v>16</v>
      </c>
      <c r="D4" s="511">
        <v>46023</v>
      </c>
      <c r="E4" s="510">
        <v>213780.01</v>
      </c>
      <c r="F4" t="str">
        <f>VLOOKUP(C4,METRICS!C:D,2,0)</f>
        <v>Cartão de Débito</v>
      </c>
      <c r="G4" t="str">
        <f>VLOOKUP(F4,METRICS!D:E,2,0)</f>
        <v>FATURAMENTO</v>
      </c>
      <c r="H4" t="str">
        <f t="shared" si="0"/>
        <v>janeiro 2026</v>
      </c>
    </row>
    <row r="5" spans="1:8">
      <c r="A5" s="495"/>
      <c r="B5" s="509"/>
      <c r="C5" s="509" t="s">
        <v>17</v>
      </c>
      <c r="D5" s="511">
        <v>46023</v>
      </c>
      <c r="E5" s="510">
        <v>963659.96</v>
      </c>
      <c r="F5" t="str">
        <f>VLOOKUP(C5,METRICS!C:D,2,0)</f>
        <v>Cartão de Crédito</v>
      </c>
      <c r="G5" t="str">
        <f>VLOOKUP(F5,METRICS!D:E,2,0)</f>
        <v>FATURAMENTO</v>
      </c>
      <c r="H5" t="str">
        <f t="shared" si="0"/>
        <v>janeiro 2026</v>
      </c>
    </row>
    <row r="6" spans="1:8">
      <c r="A6" s="495"/>
      <c r="B6" s="495"/>
      <c r="C6" s="495" t="s">
        <v>548</v>
      </c>
      <c r="D6" s="511">
        <v>46023</v>
      </c>
      <c r="E6" s="510">
        <v>10889.07</v>
      </c>
      <c r="F6" t="str">
        <f>VLOOKUP(C6,METRICS!C:D,2,0)</f>
        <v>Voucher</v>
      </c>
      <c r="G6" t="str">
        <f>VLOOKUP(F6,METRICS!D:E,2,0)</f>
        <v>FATURAMENTO</v>
      </c>
      <c r="H6" t="str">
        <f t="shared" si="0"/>
        <v>janeiro 2026</v>
      </c>
    </row>
    <row r="7" spans="1:8">
      <c r="A7" s="495"/>
      <c r="B7" s="495"/>
      <c r="C7" s="495" t="s">
        <v>18</v>
      </c>
      <c r="D7" s="511">
        <v>46023</v>
      </c>
      <c r="E7" s="510">
        <v>10800</v>
      </c>
      <c r="F7" t="str">
        <f>VLOOKUP(C7,METRICS!C:D,2,0)</f>
        <v>Evento Faturado</v>
      </c>
      <c r="G7" t="str">
        <f>VLOOKUP(F7,METRICS!D:E,2,0)</f>
        <v>FATURAMENTO</v>
      </c>
      <c r="H7" t="str">
        <f t="shared" si="0"/>
        <v>janeiro 2026</v>
      </c>
    </row>
    <row r="8" spans="1:8">
      <c r="A8" s="495"/>
      <c r="B8" s="495"/>
      <c r="C8" s="509" t="s">
        <v>1298</v>
      </c>
      <c r="D8" s="511">
        <v>46054</v>
      </c>
      <c r="E8" s="510">
        <v>77572.049999999988</v>
      </c>
      <c r="F8" t="str">
        <f>VLOOKUP(C8,METRICS!C:D,2,0)</f>
        <v>Dinheiro/Pix</v>
      </c>
      <c r="G8" t="str">
        <f>VLOOKUP(F8,METRICS!D:E,2,0)</f>
        <v>FATURAMENTO</v>
      </c>
      <c r="H8" t="str">
        <f t="shared" si="0"/>
        <v>fevereiro 2026</v>
      </c>
    </row>
    <row r="9" spans="1:8">
      <c r="A9" s="495"/>
      <c r="B9" s="495"/>
      <c r="C9" s="509" t="s">
        <v>1294</v>
      </c>
      <c r="D9" s="511">
        <v>46054</v>
      </c>
      <c r="E9" s="510">
        <v>155396.90000000008</v>
      </c>
      <c r="F9" t="str">
        <f>VLOOKUP(C9,METRICS!C:D,2,0)</f>
        <v>Dinheiro/Pix</v>
      </c>
      <c r="G9" t="str">
        <f>VLOOKUP(F9,METRICS!D:E,2,0)</f>
        <v>FATURAMENTO</v>
      </c>
      <c r="H9" t="str">
        <f t="shared" si="0"/>
        <v>fevereiro 2026</v>
      </c>
    </row>
    <row r="10" spans="1:8">
      <c r="A10" s="495"/>
      <c r="B10" s="495"/>
      <c r="C10" s="509" t="s">
        <v>16</v>
      </c>
      <c r="D10" s="511">
        <v>46054</v>
      </c>
      <c r="E10" s="510">
        <v>988071.98000000045</v>
      </c>
      <c r="F10" t="str">
        <f>VLOOKUP(C10,METRICS!C:D,2,0)</f>
        <v>Cartão de Débito</v>
      </c>
      <c r="G10" t="str">
        <f>VLOOKUP(F10,METRICS!D:E,2,0)</f>
        <v>FATURAMENTO</v>
      </c>
      <c r="H10" t="str">
        <f t="shared" si="0"/>
        <v>fevereiro 2026</v>
      </c>
    </row>
    <row r="11" spans="1:8">
      <c r="A11" s="495"/>
      <c r="B11" s="495"/>
      <c r="C11" s="509" t="s">
        <v>17</v>
      </c>
      <c r="D11" s="511">
        <v>46054</v>
      </c>
      <c r="E11" s="510">
        <v>223553.48000000016</v>
      </c>
      <c r="F11" t="str">
        <f>VLOOKUP(C11,METRICS!C:D,2,0)</f>
        <v>Cartão de Crédito</v>
      </c>
      <c r="G11" t="str">
        <f>VLOOKUP(F11,METRICS!D:E,2,0)</f>
        <v>FATURAMENTO</v>
      </c>
      <c r="H11" t="str">
        <f t="shared" si="0"/>
        <v>fevereiro 2026</v>
      </c>
    </row>
    <row r="12" spans="1:8">
      <c r="A12" s="495"/>
      <c r="B12" s="495"/>
      <c r="C12" s="495" t="s">
        <v>548</v>
      </c>
      <c r="D12" s="511">
        <v>46054</v>
      </c>
      <c r="E12" s="510">
        <v>10589.649999999998</v>
      </c>
      <c r="F12" t="str">
        <f>VLOOKUP(C12,METRICS!C:D,2,0)</f>
        <v>Voucher</v>
      </c>
      <c r="G12" t="str">
        <f>VLOOKUP(F12,METRICS!D:E,2,0)</f>
        <v>FATURAMENTO</v>
      </c>
      <c r="H12" t="str">
        <f t="shared" si="0"/>
        <v>fevereiro 2026</v>
      </c>
    </row>
    <row r="13" spans="1:8">
      <c r="A13" s="495"/>
      <c r="B13" s="495"/>
      <c r="C13" s="495" t="s">
        <v>18</v>
      </c>
      <c r="D13" s="511">
        <v>46054</v>
      </c>
      <c r="E13" s="510">
        <v>73370</v>
      </c>
      <c r="F13" t="str">
        <f>VLOOKUP(C13,METRICS!C:D,2,0)</f>
        <v>Evento Faturado</v>
      </c>
      <c r="G13" t="str">
        <f>VLOOKUP(F13,METRICS!D:E,2,0)</f>
        <v>FATURAMENTO</v>
      </c>
      <c r="H13" t="str">
        <f t="shared" si="0"/>
        <v>fevereiro 2026</v>
      </c>
    </row>
    <row r="14" spans="1:8">
      <c r="A14" s="495"/>
      <c r="B14" s="495"/>
      <c r="C14" s="509" t="s">
        <v>1298</v>
      </c>
      <c r="D14" s="511">
        <v>46082</v>
      </c>
      <c r="E14" s="510">
        <v>127739.35</v>
      </c>
      <c r="F14" t="str">
        <f>VLOOKUP(C14,METRICS!C:D,2,0)</f>
        <v>Dinheiro/Pix</v>
      </c>
      <c r="G14" t="str">
        <f>VLOOKUP(F14,METRICS!D:E,2,0)</f>
        <v>FATURAMENTO</v>
      </c>
      <c r="H14" t="str">
        <f t="shared" si="0"/>
        <v>março 2026</v>
      </c>
    </row>
    <row r="15" spans="1:8">
      <c r="A15" s="495"/>
      <c r="B15" s="495"/>
      <c r="C15" s="509" t="s">
        <v>1294</v>
      </c>
      <c r="D15" s="511">
        <v>46082</v>
      </c>
      <c r="E15" s="510">
        <v>212154.08</v>
      </c>
      <c r="F15" t="str">
        <f>VLOOKUP(C15,METRICS!C:D,2,0)</f>
        <v>Dinheiro/Pix</v>
      </c>
      <c r="G15" t="str">
        <f>VLOOKUP(F15,METRICS!D:E,2,0)</f>
        <v>FATURAMENTO</v>
      </c>
      <c r="H15" t="str">
        <f t="shared" si="0"/>
        <v>março 2026</v>
      </c>
    </row>
    <row r="16" spans="1:8">
      <c r="A16" s="498"/>
      <c r="B16" s="498"/>
      <c r="C16" s="509" t="s">
        <v>16</v>
      </c>
      <c r="D16" s="511">
        <v>46082</v>
      </c>
      <c r="E16" s="510">
        <v>289846.25000000006</v>
      </c>
      <c r="F16" t="str">
        <f>VLOOKUP(C16,METRICS!C:D,2,0)</f>
        <v>Cartão de Débito</v>
      </c>
      <c r="G16" t="str">
        <f>VLOOKUP(F16,METRICS!D:E,2,0)</f>
        <v>FATURAMENTO</v>
      </c>
      <c r="H16" t="str">
        <f t="shared" si="0"/>
        <v>março 2026</v>
      </c>
    </row>
    <row r="17" spans="1:8">
      <c r="A17" s="498"/>
      <c r="B17" s="498"/>
      <c r="C17" s="509" t="s">
        <v>17</v>
      </c>
      <c r="D17" s="511">
        <v>46082</v>
      </c>
      <c r="E17" s="510">
        <v>1455192.0699999996</v>
      </c>
      <c r="F17" t="str">
        <f>VLOOKUP(C17,METRICS!C:D,2,0)</f>
        <v>Cartão de Crédito</v>
      </c>
      <c r="G17" t="str">
        <f>VLOOKUP(F17,METRICS!D:E,2,0)</f>
        <v>FATURAMENTO</v>
      </c>
      <c r="H17" t="str">
        <f t="shared" si="0"/>
        <v>março 2026</v>
      </c>
    </row>
    <row r="18" spans="1:8">
      <c r="A18" s="498"/>
      <c r="B18" s="498"/>
      <c r="C18" s="495" t="s">
        <v>548</v>
      </c>
      <c r="D18" s="511">
        <v>46082</v>
      </c>
      <c r="E18" s="510">
        <v>5812.74</v>
      </c>
      <c r="F18" t="str">
        <f>VLOOKUP(C18,METRICS!C:D,2,0)</f>
        <v>Voucher</v>
      </c>
      <c r="G18" t="str">
        <f>VLOOKUP(F18,METRICS!D:E,2,0)</f>
        <v>FATURAMENTO</v>
      </c>
      <c r="H18" t="str">
        <f t="shared" si="0"/>
        <v>março 2026</v>
      </c>
    </row>
    <row r="19" spans="1:8">
      <c r="A19" s="495"/>
      <c r="B19" s="495"/>
      <c r="C19" s="495" t="s">
        <v>18</v>
      </c>
      <c r="D19" s="511">
        <v>46082</v>
      </c>
      <c r="E19" s="510">
        <v>352792.26299999998</v>
      </c>
      <c r="F19" t="str">
        <f>VLOOKUP(C19,METRICS!C:D,2,0)</f>
        <v>Evento Faturado</v>
      </c>
      <c r="G19" t="str">
        <f>VLOOKUP(F19,METRICS!D:E,2,0)</f>
        <v>FATURAMENTO</v>
      </c>
      <c r="H19" t="str">
        <f t="shared" si="0"/>
        <v>março 2026</v>
      </c>
    </row>
    <row r="20" spans="1:8">
      <c r="A20" s="498"/>
      <c r="B20" s="498"/>
      <c r="C20" s="509" t="s">
        <v>1298</v>
      </c>
      <c r="D20" s="511">
        <v>46113</v>
      </c>
      <c r="E20" s="500">
        <v>93092.55</v>
      </c>
      <c r="F20" t="str">
        <f>VLOOKUP(C20,METRICS!C:D,2,0)</f>
        <v>Dinheiro/Pix</v>
      </c>
      <c r="G20" t="str">
        <f>VLOOKUP(F20,METRICS!D:E,2,0)</f>
        <v>FATURAMENTO</v>
      </c>
      <c r="H20" t="str">
        <f t="shared" ref="H20:H25" si="1">TEXT(D20, "mmmm aaaa")</f>
        <v>abril 2026</v>
      </c>
    </row>
    <row r="21" spans="1:8">
      <c r="A21" s="498"/>
      <c r="B21" s="498"/>
      <c r="C21" s="509" t="s">
        <v>1294</v>
      </c>
      <c r="D21" s="511">
        <v>46113</v>
      </c>
      <c r="E21" s="500">
        <v>206002.15</v>
      </c>
      <c r="F21" t="str">
        <f>VLOOKUP(C21,METRICS!C:D,2,0)</f>
        <v>Dinheiro/Pix</v>
      </c>
      <c r="G21" t="str">
        <f>VLOOKUP(F21,METRICS!D:E,2,0)</f>
        <v>FATURAMENTO</v>
      </c>
      <c r="H21" t="str">
        <f t="shared" si="1"/>
        <v>abril 2026</v>
      </c>
    </row>
    <row r="22" spans="1:8">
      <c r="A22" s="495"/>
      <c r="B22" s="495"/>
      <c r="C22" s="509" t="s">
        <v>16</v>
      </c>
      <c r="D22" s="511">
        <v>46113</v>
      </c>
      <c r="E22" s="497">
        <f>100660.09+193860.07+19038.13</f>
        <v>313558.29000000004</v>
      </c>
      <c r="F22" t="str">
        <f>VLOOKUP(C22,METRICS!C:D,2,0)</f>
        <v>Cartão de Débito</v>
      </c>
      <c r="G22" t="str">
        <f>VLOOKUP(F22,METRICS!D:E,2,0)</f>
        <v>FATURAMENTO</v>
      </c>
      <c r="H22" t="str">
        <f t="shared" si="1"/>
        <v>abril 2026</v>
      </c>
    </row>
    <row r="23" spans="1:8">
      <c r="A23" s="495"/>
      <c r="B23" s="495"/>
      <c r="C23" s="509" t="s">
        <v>17</v>
      </c>
      <c r="D23" s="511">
        <v>46113</v>
      </c>
      <c r="E23" s="497">
        <f>609212.38+769631.54+27236.58+118462.8</f>
        <v>1524543.3</v>
      </c>
      <c r="F23" t="str">
        <f>VLOOKUP(C23,METRICS!C:D,2,0)</f>
        <v>Cartão de Crédito</v>
      </c>
      <c r="G23" t="str">
        <f>VLOOKUP(F23,METRICS!D:E,2,0)</f>
        <v>FATURAMENTO</v>
      </c>
      <c r="H23" t="str">
        <f t="shared" si="1"/>
        <v>abril 2026</v>
      </c>
    </row>
    <row r="24" spans="1:8">
      <c r="A24" s="495"/>
      <c r="B24" s="495"/>
      <c r="C24" s="495" t="s">
        <v>548</v>
      </c>
      <c r="D24" s="511">
        <v>46113</v>
      </c>
      <c r="E24" s="497">
        <f>4469.95+1796.62+2157.4</f>
        <v>8423.9699999999993</v>
      </c>
      <c r="F24" t="str">
        <f>VLOOKUP(C24,METRICS!C:D,2,0)</f>
        <v>Voucher</v>
      </c>
      <c r="G24" t="str">
        <f>VLOOKUP(F24,METRICS!D:E,2,0)</f>
        <v>FATURAMENTO</v>
      </c>
      <c r="H24" t="str">
        <f t="shared" si="1"/>
        <v>abril 2026</v>
      </c>
    </row>
    <row r="25" spans="1:8">
      <c r="A25" s="495"/>
      <c r="B25" s="495"/>
      <c r="C25" s="495" t="s">
        <v>18</v>
      </c>
      <c r="D25" s="511">
        <v>46113</v>
      </c>
      <c r="E25" s="497">
        <v>159089.31</v>
      </c>
      <c r="F25" t="str">
        <f>VLOOKUP(C25,METRICS!C:D,2,0)</f>
        <v>Evento Faturado</v>
      </c>
      <c r="G25" t="str">
        <f>VLOOKUP(F25,METRICS!D:E,2,0)</f>
        <v>FATURAMENTO</v>
      </c>
      <c r="H25" t="str">
        <f t="shared" si="1"/>
        <v>abril 2026</v>
      </c>
    </row>
    <row r="26" spans="1:8">
      <c r="A26" s="495"/>
      <c r="B26" s="495"/>
      <c r="C26" s="495"/>
      <c r="D26" s="496"/>
      <c r="E26" s="497"/>
    </row>
    <row r="27" spans="1:8">
      <c r="A27" s="495"/>
      <c r="B27" s="495"/>
      <c r="C27" s="495"/>
      <c r="D27" s="496"/>
      <c r="E27" s="497"/>
    </row>
    <row r="28" spans="1:8">
      <c r="A28" s="495"/>
      <c r="B28" s="495"/>
      <c r="C28" s="495"/>
      <c r="D28" s="496"/>
      <c r="E28" s="497"/>
    </row>
    <row r="29" spans="1:8">
      <c r="A29" s="495"/>
      <c r="B29" s="495"/>
      <c r="C29" s="495"/>
      <c r="D29" s="496"/>
      <c r="E29" s="497"/>
    </row>
    <row r="30" spans="1:8">
      <c r="A30" s="495"/>
      <c r="B30" s="495"/>
      <c r="C30" s="495"/>
      <c r="D30" s="496"/>
      <c r="E30" s="497"/>
    </row>
    <row r="31" spans="1:8">
      <c r="A31" s="495"/>
      <c r="B31" s="495"/>
      <c r="C31" s="495"/>
      <c r="D31" s="496"/>
      <c r="E31" s="497"/>
    </row>
    <row r="32" spans="1:8">
      <c r="A32" s="495"/>
      <c r="B32" s="495"/>
      <c r="C32" s="495"/>
      <c r="D32" s="496"/>
      <c r="E32" s="497"/>
    </row>
    <row r="33" spans="1:5">
      <c r="A33" s="498"/>
      <c r="B33" s="498"/>
      <c r="C33" s="498"/>
      <c r="D33" s="499"/>
      <c r="E33" s="500"/>
    </row>
    <row r="34" spans="1:5">
      <c r="A34" s="498"/>
      <c r="B34" s="498"/>
      <c r="C34" s="498"/>
      <c r="D34" s="499"/>
      <c r="E34" s="500"/>
    </row>
    <row r="35" spans="1:5">
      <c r="A35" s="495"/>
      <c r="B35" s="495"/>
      <c r="C35" s="495"/>
      <c r="D35" s="496"/>
      <c r="E35" s="497"/>
    </row>
    <row r="36" spans="1:5">
      <c r="A36" s="495"/>
      <c r="B36" s="495"/>
      <c r="C36" s="495"/>
      <c r="D36" s="496"/>
      <c r="E36" s="497"/>
    </row>
    <row r="37" spans="1:5">
      <c r="A37" s="495"/>
      <c r="B37" s="495"/>
      <c r="C37" s="495"/>
      <c r="D37" s="496"/>
      <c r="E37" s="497"/>
    </row>
    <row r="38" spans="1:5">
      <c r="A38" s="495"/>
      <c r="B38" s="495"/>
      <c r="C38" s="495"/>
      <c r="D38" s="496"/>
      <c r="E38" s="497"/>
    </row>
    <row r="39" spans="1:5">
      <c r="A39" s="495"/>
      <c r="B39" s="495"/>
      <c r="C39" s="495"/>
      <c r="D39" s="496"/>
      <c r="E39" s="497"/>
    </row>
    <row r="40" spans="1:5">
      <c r="A40" s="495"/>
      <c r="B40" s="495"/>
      <c r="C40" s="495"/>
      <c r="D40" s="496"/>
      <c r="E40" s="497"/>
    </row>
    <row r="41" spans="1:5">
      <c r="A41" s="495"/>
      <c r="B41" s="495"/>
      <c r="C41" s="495"/>
      <c r="D41" s="496"/>
      <c r="E41" s="497"/>
    </row>
    <row r="42" spans="1:5">
      <c r="A42" s="495"/>
      <c r="B42" s="495"/>
      <c r="C42" s="495"/>
      <c r="D42" s="496"/>
      <c r="E42" s="497"/>
    </row>
    <row r="43" spans="1:5">
      <c r="A43" s="495"/>
      <c r="B43" s="495"/>
      <c r="C43" s="495"/>
      <c r="D43" s="496"/>
      <c r="E43" s="497"/>
    </row>
    <row r="44" spans="1:5">
      <c r="A44" s="495"/>
      <c r="B44" s="495"/>
      <c r="C44" s="495"/>
      <c r="D44" s="496"/>
      <c r="E44" s="497"/>
    </row>
    <row r="45" spans="1:5">
      <c r="A45" s="495"/>
      <c r="B45" s="495"/>
      <c r="C45" s="495"/>
      <c r="D45" s="496"/>
      <c r="E45" s="497"/>
    </row>
    <row r="46" spans="1:5">
      <c r="A46" s="498"/>
      <c r="B46" s="498"/>
      <c r="C46" s="498"/>
      <c r="D46" s="499"/>
      <c r="E46" s="500"/>
    </row>
    <row r="47" spans="1:5">
      <c r="A47" s="498"/>
      <c r="B47" s="498"/>
      <c r="C47" s="498"/>
      <c r="D47" s="499"/>
      <c r="E47" s="500"/>
    </row>
    <row r="48" spans="1:5">
      <c r="A48" s="495"/>
      <c r="B48" s="495"/>
      <c r="C48" s="495"/>
      <c r="D48" s="496"/>
      <c r="E48" s="497"/>
    </row>
    <row r="49" spans="1:5">
      <c r="A49" s="495"/>
      <c r="B49" s="495"/>
      <c r="C49" s="495"/>
      <c r="D49" s="496"/>
      <c r="E49" s="497"/>
    </row>
    <row r="50" spans="1:5">
      <c r="A50" s="495"/>
      <c r="B50" s="495"/>
      <c r="C50" s="495"/>
      <c r="D50" s="496"/>
      <c r="E50" s="497"/>
    </row>
    <row r="51" spans="1:5">
      <c r="A51" s="495"/>
      <c r="B51" s="495"/>
      <c r="C51" s="495"/>
      <c r="D51" s="496"/>
      <c r="E51" s="497"/>
    </row>
    <row r="52" spans="1:5">
      <c r="A52" s="495"/>
      <c r="B52" s="495"/>
      <c r="C52" s="495"/>
      <c r="D52" s="496"/>
      <c r="E52" s="497"/>
    </row>
    <row r="53" spans="1:5">
      <c r="A53" s="495"/>
      <c r="B53" s="495"/>
      <c r="C53" s="495"/>
      <c r="D53" s="496"/>
      <c r="E53" s="497"/>
    </row>
    <row r="54" spans="1:5">
      <c r="A54" s="495"/>
      <c r="B54" s="495"/>
      <c r="C54" s="495"/>
      <c r="D54" s="496"/>
      <c r="E54" s="497"/>
    </row>
    <row r="55" spans="1:5">
      <c r="A55" s="495"/>
      <c r="B55" s="495"/>
      <c r="C55" s="495"/>
      <c r="D55" s="496"/>
      <c r="E55" s="497"/>
    </row>
    <row r="56" spans="1:5">
      <c r="A56" s="495"/>
      <c r="B56" s="495"/>
      <c r="C56" s="495"/>
      <c r="D56" s="496"/>
      <c r="E56" s="497"/>
    </row>
    <row r="57" spans="1:5">
      <c r="A57" s="495"/>
      <c r="B57" s="495"/>
      <c r="C57" s="495"/>
      <c r="D57" s="496"/>
      <c r="E57" s="497"/>
    </row>
    <row r="58" spans="1:5">
      <c r="A58" s="495"/>
      <c r="B58" s="495"/>
      <c r="C58" s="495"/>
      <c r="D58" s="496"/>
      <c r="E58" s="497"/>
    </row>
    <row r="59" spans="1:5">
      <c r="A59" s="495"/>
      <c r="B59" s="495"/>
      <c r="C59" s="495"/>
      <c r="D59" s="496"/>
      <c r="E59" s="497"/>
    </row>
    <row r="60" spans="1:5">
      <c r="A60" s="495"/>
      <c r="B60" s="495"/>
      <c r="C60" s="495"/>
      <c r="D60" s="496"/>
      <c r="E60" s="497"/>
    </row>
    <row r="61" spans="1:5">
      <c r="A61" s="495"/>
      <c r="B61" s="495"/>
      <c r="C61" s="495"/>
      <c r="D61" s="496"/>
      <c r="E61" s="497"/>
    </row>
    <row r="62" spans="1:5">
      <c r="A62" s="495"/>
      <c r="B62" s="495"/>
      <c r="C62" s="495"/>
      <c r="D62" s="496"/>
      <c r="E62" s="497"/>
    </row>
    <row r="63" spans="1:5">
      <c r="A63" s="495"/>
      <c r="B63" s="495"/>
      <c r="C63" s="495"/>
      <c r="D63" s="496"/>
      <c r="E63" s="497"/>
    </row>
    <row r="64" spans="1:5">
      <c r="A64" s="495"/>
      <c r="B64" s="495"/>
      <c r="C64" s="495"/>
      <c r="D64" s="496"/>
      <c r="E64" s="497"/>
    </row>
    <row r="65" spans="1:5">
      <c r="A65" s="495"/>
      <c r="B65" s="495"/>
      <c r="C65" s="495"/>
      <c r="D65" s="496"/>
      <c r="E65" s="497"/>
    </row>
    <row r="66" spans="1:5">
      <c r="A66" s="495"/>
      <c r="B66" s="495"/>
      <c r="C66" s="495"/>
      <c r="D66" s="496"/>
      <c r="E66" s="497"/>
    </row>
    <row r="67" spans="1:5">
      <c r="A67" s="495"/>
      <c r="B67" s="495"/>
      <c r="C67" s="495"/>
      <c r="D67" s="496"/>
      <c r="E67" s="497"/>
    </row>
    <row r="68" spans="1:5">
      <c r="A68" s="495"/>
      <c r="B68" s="495"/>
      <c r="C68" s="495"/>
      <c r="D68" s="496"/>
      <c r="E68" s="497"/>
    </row>
    <row r="69" spans="1:5">
      <c r="A69" s="495"/>
      <c r="B69" s="495"/>
      <c r="C69" s="495"/>
      <c r="D69" s="496"/>
      <c r="E69" s="497"/>
    </row>
    <row r="70" spans="1:5">
      <c r="A70" s="495"/>
      <c r="B70" s="495"/>
      <c r="C70" s="495"/>
      <c r="D70" s="496"/>
      <c r="E70" s="497"/>
    </row>
    <row r="71" spans="1:5">
      <c r="A71" s="495"/>
      <c r="B71" s="495"/>
      <c r="C71" s="495"/>
      <c r="D71" s="496"/>
      <c r="E71" s="497"/>
    </row>
    <row r="72" spans="1:5">
      <c r="A72" s="495"/>
      <c r="B72" s="495"/>
      <c r="C72" s="495"/>
      <c r="D72" s="496"/>
      <c r="E72" s="497"/>
    </row>
    <row r="73" spans="1:5">
      <c r="A73" s="495"/>
      <c r="B73" s="495"/>
      <c r="C73" s="495"/>
      <c r="D73" s="496"/>
      <c r="E73" s="497"/>
    </row>
    <row r="74" spans="1:5">
      <c r="A74" s="495"/>
      <c r="B74" s="495"/>
      <c r="C74" s="495"/>
      <c r="D74" s="496"/>
      <c r="E74" s="497"/>
    </row>
    <row r="75" spans="1:5">
      <c r="A75" s="495"/>
      <c r="B75" s="495"/>
      <c r="C75" s="495"/>
      <c r="D75" s="496"/>
      <c r="E75" s="497"/>
    </row>
    <row r="76" spans="1:5">
      <c r="A76" s="495"/>
      <c r="B76" s="495"/>
      <c r="C76" s="495"/>
      <c r="D76" s="496"/>
      <c r="E76" s="497"/>
    </row>
    <row r="77" spans="1:5">
      <c r="A77" s="495"/>
      <c r="B77" s="495"/>
      <c r="C77" s="495"/>
      <c r="D77" s="496"/>
      <c r="E77" s="497"/>
    </row>
    <row r="78" spans="1:5">
      <c r="A78" s="495"/>
      <c r="B78" s="495"/>
      <c r="C78" s="495"/>
      <c r="D78" s="496"/>
      <c r="E78" s="497"/>
    </row>
    <row r="79" spans="1:5">
      <c r="A79" s="495"/>
      <c r="B79" s="495"/>
      <c r="C79" s="495"/>
      <c r="D79" s="496"/>
      <c r="E79" s="497"/>
    </row>
    <row r="80" spans="1:5">
      <c r="A80" s="498"/>
      <c r="B80" s="498"/>
      <c r="C80" s="498"/>
      <c r="D80" s="499"/>
      <c r="E80" s="500"/>
    </row>
    <row r="81" spans="1:5">
      <c r="A81" s="498"/>
      <c r="B81" s="498"/>
      <c r="C81" s="498"/>
      <c r="D81" s="499"/>
      <c r="E81" s="500"/>
    </row>
    <row r="82" spans="1:5">
      <c r="A82" s="495"/>
      <c r="B82" s="495"/>
      <c r="C82" s="495"/>
      <c r="D82" s="496"/>
      <c r="E82" s="497"/>
    </row>
    <row r="83" spans="1:5">
      <c r="A83" s="495"/>
      <c r="B83" s="495"/>
      <c r="C83" s="495"/>
      <c r="D83" s="496"/>
      <c r="E83" s="497"/>
    </row>
    <row r="84" spans="1:5">
      <c r="A84" s="498"/>
      <c r="B84" s="498"/>
      <c r="C84" s="498"/>
      <c r="D84" s="499"/>
      <c r="E84" s="500"/>
    </row>
    <row r="85" spans="1:5">
      <c r="A85" s="498"/>
      <c r="B85" s="498"/>
      <c r="C85" s="498"/>
      <c r="D85" s="499"/>
      <c r="E85" s="500"/>
    </row>
    <row r="86" spans="1:5">
      <c r="A86" s="498"/>
      <c r="B86" s="498"/>
      <c r="C86" s="498"/>
      <c r="D86" s="499"/>
      <c r="E86" s="500"/>
    </row>
    <row r="87" spans="1:5">
      <c r="A87" s="495"/>
      <c r="B87" s="495"/>
      <c r="C87" s="495"/>
      <c r="D87" s="496"/>
      <c r="E87" s="497"/>
    </row>
    <row r="88" spans="1:5">
      <c r="A88" s="495"/>
      <c r="B88" s="495"/>
      <c r="C88" s="495"/>
      <c r="D88" s="496"/>
      <c r="E88" s="497"/>
    </row>
    <row r="89" spans="1:5">
      <c r="A89" s="495"/>
      <c r="B89" s="495"/>
      <c r="C89" s="495"/>
      <c r="D89" s="496"/>
      <c r="E89" s="497"/>
    </row>
    <row r="90" spans="1:5">
      <c r="A90" s="495"/>
      <c r="B90" s="495"/>
      <c r="C90" s="495"/>
      <c r="D90" s="496"/>
      <c r="E90" s="497"/>
    </row>
    <row r="91" spans="1:5">
      <c r="A91" s="495"/>
      <c r="B91" s="495"/>
      <c r="C91" s="495"/>
      <c r="D91" s="496"/>
      <c r="E91" s="497"/>
    </row>
    <row r="92" spans="1:5">
      <c r="A92" s="495"/>
      <c r="B92" s="495"/>
      <c r="C92" s="495"/>
      <c r="D92" s="496"/>
      <c r="E92" s="497"/>
    </row>
    <row r="93" spans="1:5">
      <c r="A93" s="498"/>
      <c r="B93" s="498"/>
      <c r="C93" s="498"/>
      <c r="D93" s="499"/>
      <c r="E93" s="500"/>
    </row>
    <row r="94" spans="1:5">
      <c r="A94" s="498"/>
      <c r="B94" s="498"/>
      <c r="C94" s="498"/>
      <c r="D94" s="499"/>
      <c r="E94" s="500"/>
    </row>
    <row r="95" spans="1:5">
      <c r="A95" s="495"/>
      <c r="B95" s="495"/>
      <c r="C95" s="495"/>
      <c r="D95" s="496"/>
      <c r="E95" s="497"/>
    </row>
    <row r="96" spans="1:5">
      <c r="A96" s="495"/>
      <c r="B96" s="495"/>
      <c r="C96" s="495"/>
      <c r="D96" s="496"/>
      <c r="E96" s="497"/>
    </row>
    <row r="97" spans="1:5">
      <c r="A97" s="495"/>
      <c r="B97" s="495"/>
      <c r="C97" s="495"/>
      <c r="D97" s="496"/>
      <c r="E97" s="497"/>
    </row>
    <row r="98" spans="1:5">
      <c r="A98" s="495"/>
      <c r="B98" s="495"/>
      <c r="C98" s="495"/>
      <c r="D98" s="496"/>
      <c r="E98" s="497"/>
    </row>
    <row r="99" spans="1:5">
      <c r="A99" s="495"/>
      <c r="B99" s="495"/>
      <c r="C99" s="495"/>
      <c r="D99" s="496"/>
      <c r="E99" s="497"/>
    </row>
    <row r="100" spans="1:5">
      <c r="A100" s="495"/>
      <c r="B100" s="495"/>
      <c r="C100" s="495"/>
      <c r="D100" s="496"/>
      <c r="E100" s="497"/>
    </row>
    <row r="101" spans="1:5">
      <c r="A101" s="495"/>
      <c r="B101" s="495"/>
      <c r="C101" s="495"/>
      <c r="D101" s="496"/>
      <c r="E101" s="497"/>
    </row>
    <row r="102" spans="1:5">
      <c r="A102" s="498"/>
      <c r="B102" s="498"/>
      <c r="C102" s="498"/>
      <c r="D102" s="499"/>
      <c r="E102" s="500"/>
    </row>
    <row r="103" spans="1:5">
      <c r="A103" s="498"/>
      <c r="B103" s="498"/>
      <c r="C103" s="498"/>
      <c r="D103" s="499"/>
      <c r="E103" s="500"/>
    </row>
    <row r="104" spans="1:5">
      <c r="A104" s="498"/>
      <c r="B104" s="498"/>
      <c r="C104" s="498"/>
      <c r="D104" s="499"/>
      <c r="E104" s="500"/>
    </row>
    <row r="105" spans="1:5">
      <c r="A105" s="498"/>
      <c r="B105" s="498"/>
      <c r="C105" s="498"/>
      <c r="D105" s="499"/>
      <c r="E105" s="500"/>
    </row>
    <row r="106" spans="1:5">
      <c r="A106" s="498"/>
      <c r="B106" s="498"/>
      <c r="C106" s="498"/>
      <c r="D106" s="499"/>
      <c r="E106" s="500"/>
    </row>
    <row r="107" spans="1:5">
      <c r="A107" s="498"/>
      <c r="B107" s="498"/>
      <c r="C107" s="498"/>
      <c r="D107" s="499"/>
      <c r="E107" s="500"/>
    </row>
    <row r="108" spans="1:5">
      <c r="A108" s="495"/>
      <c r="B108" s="495"/>
      <c r="C108" s="495"/>
      <c r="D108" s="496"/>
      <c r="E108" s="497"/>
    </row>
    <row r="109" spans="1:5">
      <c r="A109" s="495"/>
      <c r="B109" s="495"/>
      <c r="C109" s="495"/>
      <c r="D109" s="496"/>
      <c r="E109" s="497"/>
    </row>
    <row r="110" spans="1:5">
      <c r="A110" s="498"/>
      <c r="B110" s="498"/>
      <c r="C110" s="498"/>
      <c r="D110" s="499"/>
      <c r="E110" s="500"/>
    </row>
    <row r="111" spans="1:5">
      <c r="A111" s="498"/>
      <c r="B111" s="498"/>
      <c r="C111" s="498"/>
      <c r="D111" s="499"/>
      <c r="E111" s="500"/>
    </row>
    <row r="112" spans="1:5">
      <c r="A112" s="498"/>
      <c r="B112" s="498"/>
      <c r="C112" s="498"/>
      <c r="D112" s="499"/>
      <c r="E112" s="500"/>
    </row>
    <row r="113" spans="1:5">
      <c r="A113" s="495"/>
      <c r="B113" s="495"/>
      <c r="C113" s="495"/>
      <c r="D113" s="496"/>
      <c r="E113" s="497"/>
    </row>
    <row r="114" spans="1:5">
      <c r="A114" s="498"/>
      <c r="B114" s="498"/>
      <c r="C114" s="498"/>
      <c r="D114" s="499"/>
      <c r="E114" s="500"/>
    </row>
    <row r="115" spans="1:5">
      <c r="A115" s="498"/>
      <c r="B115" s="498"/>
      <c r="C115" s="498"/>
      <c r="D115" s="499"/>
      <c r="E115" s="500"/>
    </row>
    <row r="116" spans="1:5">
      <c r="A116" s="495"/>
      <c r="B116" s="495"/>
      <c r="C116" s="495"/>
      <c r="D116" s="496"/>
      <c r="E116" s="497"/>
    </row>
    <row r="117" spans="1:5">
      <c r="A117" s="495"/>
      <c r="B117" s="495"/>
      <c r="C117" s="495"/>
      <c r="D117" s="496"/>
      <c r="E117" s="497"/>
    </row>
    <row r="118" spans="1:5">
      <c r="A118" s="495"/>
      <c r="B118" s="495"/>
      <c r="C118" s="495"/>
      <c r="D118" s="496"/>
      <c r="E118" s="497"/>
    </row>
    <row r="119" spans="1:5">
      <c r="A119" s="495"/>
      <c r="B119" s="495"/>
      <c r="C119" s="495"/>
      <c r="D119" s="496"/>
      <c r="E119" s="497"/>
    </row>
    <row r="120" spans="1:5">
      <c r="A120" s="498"/>
      <c r="B120" s="498"/>
      <c r="C120" s="498"/>
      <c r="D120" s="499"/>
      <c r="E120" s="500"/>
    </row>
    <row r="121" spans="1:5">
      <c r="A121" s="495"/>
      <c r="B121" s="495"/>
      <c r="C121" s="495"/>
      <c r="D121" s="496"/>
      <c r="E121" s="497"/>
    </row>
    <row r="122" spans="1:5">
      <c r="A122" s="495"/>
      <c r="B122" s="495"/>
      <c r="C122" s="495"/>
      <c r="D122" s="496"/>
      <c r="E122" s="497"/>
    </row>
    <row r="123" spans="1:5">
      <c r="A123" s="498"/>
      <c r="B123" s="498"/>
      <c r="C123" s="498"/>
      <c r="D123" s="499"/>
      <c r="E123" s="500"/>
    </row>
    <row r="124" spans="1:5">
      <c r="A124" s="498"/>
      <c r="B124" s="498"/>
      <c r="C124" s="498"/>
      <c r="D124" s="499"/>
      <c r="E124" s="500"/>
    </row>
    <row r="125" spans="1:5">
      <c r="A125" s="498"/>
      <c r="B125" s="498"/>
      <c r="C125" s="498"/>
      <c r="D125" s="499"/>
      <c r="E125" s="500"/>
    </row>
    <row r="126" spans="1:5">
      <c r="A126" s="498"/>
      <c r="B126" s="498"/>
      <c r="C126" s="498"/>
      <c r="D126" s="499"/>
      <c r="E126" s="500"/>
    </row>
    <row r="127" spans="1:5">
      <c r="A127" s="498"/>
      <c r="B127" s="498"/>
      <c r="C127" s="498"/>
      <c r="D127" s="499"/>
      <c r="E127" s="500"/>
    </row>
    <row r="128" spans="1:5">
      <c r="A128" s="498"/>
      <c r="B128" s="498"/>
      <c r="C128" s="498"/>
      <c r="D128" s="499"/>
      <c r="E128" s="500"/>
    </row>
    <row r="129" spans="1:5">
      <c r="A129" s="498"/>
      <c r="B129" s="498"/>
      <c r="C129" s="498"/>
      <c r="D129" s="499"/>
      <c r="E129" s="500"/>
    </row>
    <row r="130" spans="1:5">
      <c r="A130" s="495"/>
      <c r="B130" s="495"/>
      <c r="C130" s="495"/>
      <c r="D130" s="496"/>
      <c r="E130" s="497"/>
    </row>
    <row r="131" spans="1:5">
      <c r="A131" s="495"/>
      <c r="B131" s="495"/>
      <c r="C131" s="495"/>
      <c r="D131" s="496"/>
      <c r="E131" s="497"/>
    </row>
    <row r="132" spans="1:5">
      <c r="A132" s="498"/>
      <c r="B132" s="498"/>
      <c r="C132" s="498"/>
      <c r="D132" s="499"/>
      <c r="E132" s="500"/>
    </row>
    <row r="133" spans="1:5">
      <c r="A133" s="498"/>
      <c r="B133" s="498"/>
      <c r="C133" s="498"/>
      <c r="D133" s="499"/>
      <c r="E133" s="500"/>
    </row>
    <row r="134" spans="1:5">
      <c r="A134" s="495"/>
      <c r="B134" s="495"/>
      <c r="C134" s="495"/>
      <c r="D134" s="496"/>
      <c r="E134" s="497"/>
    </row>
    <row r="135" spans="1:5">
      <c r="A135" s="498"/>
      <c r="B135" s="498"/>
      <c r="C135" s="498"/>
      <c r="D135" s="499"/>
      <c r="E135" s="500"/>
    </row>
    <row r="136" spans="1:5">
      <c r="A136" s="498"/>
      <c r="B136" s="498"/>
      <c r="C136" s="498"/>
      <c r="D136" s="499"/>
      <c r="E136" s="500"/>
    </row>
    <row r="137" spans="1:5">
      <c r="A137" s="495"/>
      <c r="B137" s="495"/>
      <c r="C137" s="495"/>
      <c r="D137" s="496"/>
      <c r="E137" s="497"/>
    </row>
    <row r="138" spans="1:5">
      <c r="A138" s="498"/>
      <c r="B138" s="498"/>
      <c r="C138" s="498"/>
      <c r="D138" s="499"/>
      <c r="E138" s="500"/>
    </row>
    <row r="139" spans="1:5">
      <c r="A139" s="498"/>
      <c r="B139" s="498"/>
      <c r="C139" s="498"/>
      <c r="D139" s="499"/>
      <c r="E139" s="500"/>
    </row>
    <row r="140" spans="1:5">
      <c r="A140" s="495"/>
      <c r="B140" s="495"/>
      <c r="C140" s="495"/>
      <c r="D140" s="496"/>
      <c r="E140" s="497"/>
    </row>
    <row r="141" spans="1:5">
      <c r="A141" s="495"/>
      <c r="B141" s="495"/>
      <c r="C141" s="495"/>
      <c r="D141" s="496"/>
      <c r="E141" s="497"/>
    </row>
    <row r="142" spans="1:5">
      <c r="A142" s="498"/>
      <c r="B142" s="498"/>
      <c r="C142" s="498"/>
      <c r="D142" s="499"/>
      <c r="E142" s="500"/>
    </row>
    <row r="143" spans="1:5">
      <c r="A143" s="498"/>
      <c r="B143" s="498"/>
      <c r="C143" s="498"/>
      <c r="D143" s="499"/>
      <c r="E143" s="500"/>
    </row>
    <row r="144" spans="1:5">
      <c r="A144" s="498"/>
      <c r="B144" s="498"/>
      <c r="C144" s="498"/>
      <c r="D144" s="499"/>
      <c r="E144" s="500"/>
    </row>
    <row r="145" spans="1:5">
      <c r="A145" s="498"/>
      <c r="B145" s="498"/>
      <c r="C145" s="498"/>
      <c r="D145" s="499"/>
      <c r="E145" s="500"/>
    </row>
    <row r="146" spans="1:5">
      <c r="A146" s="498"/>
      <c r="B146" s="498"/>
      <c r="C146" s="498"/>
      <c r="D146" s="499"/>
      <c r="E146" s="500"/>
    </row>
    <row r="147" spans="1:5">
      <c r="A147" s="495"/>
      <c r="B147" s="495"/>
      <c r="C147" s="495"/>
      <c r="D147" s="496"/>
      <c r="E147" s="497"/>
    </row>
    <row r="148" spans="1:5">
      <c r="A148" s="498"/>
      <c r="B148" s="498"/>
      <c r="C148" s="498"/>
      <c r="D148" s="499"/>
      <c r="E148" s="500"/>
    </row>
    <row r="149" spans="1:5">
      <c r="A149" s="498"/>
      <c r="B149" s="498"/>
      <c r="C149" s="498"/>
      <c r="D149" s="499"/>
      <c r="E149" s="500"/>
    </row>
    <row r="150" spans="1:5">
      <c r="A150" s="498"/>
      <c r="B150" s="498"/>
      <c r="C150" s="498"/>
      <c r="D150" s="499"/>
      <c r="E150" s="500"/>
    </row>
    <row r="151" spans="1:5">
      <c r="A151" s="498"/>
      <c r="B151" s="498"/>
      <c r="C151" s="498"/>
      <c r="D151" s="499"/>
      <c r="E151" s="500"/>
    </row>
    <row r="152" spans="1:5">
      <c r="A152" s="495"/>
      <c r="B152" s="495"/>
      <c r="C152" s="495"/>
      <c r="D152" s="496"/>
      <c r="E152" s="497"/>
    </row>
    <row r="153" spans="1:5">
      <c r="A153" s="495"/>
      <c r="B153" s="495"/>
      <c r="C153" s="495"/>
      <c r="D153" s="496"/>
      <c r="E153" s="497"/>
    </row>
    <row r="154" spans="1:5">
      <c r="A154" s="498"/>
      <c r="B154" s="498"/>
      <c r="C154" s="498"/>
      <c r="D154" s="499"/>
      <c r="E154" s="500"/>
    </row>
    <row r="155" spans="1:5">
      <c r="A155" s="498"/>
      <c r="B155" s="498"/>
      <c r="C155" s="498"/>
      <c r="D155" s="499"/>
      <c r="E155" s="500"/>
    </row>
    <row r="156" spans="1:5">
      <c r="A156" s="498"/>
      <c r="B156" s="498"/>
      <c r="C156" s="498"/>
      <c r="D156" s="499"/>
      <c r="E156" s="500"/>
    </row>
    <row r="157" spans="1:5">
      <c r="A157" s="498"/>
      <c r="B157" s="498"/>
      <c r="C157" s="498"/>
      <c r="D157" s="499"/>
      <c r="E157" s="500"/>
    </row>
    <row r="158" spans="1:5">
      <c r="A158" s="495"/>
      <c r="B158" s="495"/>
      <c r="C158" s="495"/>
      <c r="D158" s="496"/>
      <c r="E158" s="497"/>
    </row>
    <row r="159" spans="1:5">
      <c r="A159" s="498"/>
      <c r="B159" s="498"/>
      <c r="C159" s="498"/>
      <c r="D159" s="499"/>
      <c r="E159" s="500"/>
    </row>
    <row r="160" spans="1:5">
      <c r="A160" s="498"/>
      <c r="B160" s="498"/>
      <c r="C160" s="498"/>
      <c r="D160" s="499"/>
      <c r="E160" s="500"/>
    </row>
    <row r="161" spans="1:5">
      <c r="A161" s="495"/>
      <c r="B161" s="495"/>
      <c r="C161" s="495"/>
      <c r="D161" s="496"/>
      <c r="E161" s="497"/>
    </row>
    <row r="162" spans="1:5">
      <c r="A162" s="495"/>
      <c r="B162" s="495"/>
      <c r="C162" s="495"/>
      <c r="D162" s="496"/>
      <c r="E162" s="497"/>
    </row>
    <row r="163" spans="1:5">
      <c r="A163" s="498"/>
      <c r="B163" s="498"/>
      <c r="C163" s="498"/>
      <c r="D163" s="499"/>
      <c r="E163" s="500"/>
    </row>
    <row r="164" spans="1:5">
      <c r="A164" s="498"/>
      <c r="B164" s="498"/>
      <c r="C164" s="498"/>
      <c r="D164" s="499"/>
      <c r="E164" s="500"/>
    </row>
    <row r="165" spans="1:5">
      <c r="A165" s="498"/>
      <c r="B165" s="498"/>
      <c r="C165" s="498"/>
      <c r="D165" s="499"/>
      <c r="E165" s="500"/>
    </row>
    <row r="166" spans="1:5">
      <c r="A166" s="498"/>
      <c r="B166" s="498"/>
      <c r="C166" s="498"/>
      <c r="D166" s="499"/>
      <c r="E166" s="500"/>
    </row>
    <row r="167" spans="1:5">
      <c r="A167" s="498"/>
      <c r="B167" s="498"/>
      <c r="C167" s="498"/>
      <c r="D167" s="499"/>
      <c r="E167" s="500"/>
    </row>
    <row r="168" spans="1:5">
      <c r="A168" s="498"/>
      <c r="B168" s="498"/>
      <c r="C168" s="498"/>
      <c r="D168" s="499"/>
      <c r="E168" s="500"/>
    </row>
    <row r="169" spans="1:5">
      <c r="A169" s="498"/>
      <c r="B169" s="498"/>
      <c r="C169" s="498"/>
      <c r="D169" s="499"/>
      <c r="E169" s="500"/>
    </row>
    <row r="170" spans="1:5">
      <c r="A170" s="495"/>
      <c r="B170" s="495"/>
      <c r="C170" s="495"/>
      <c r="D170" s="496"/>
      <c r="E170" s="497"/>
    </row>
    <row r="171" spans="1:5">
      <c r="A171" s="495"/>
      <c r="B171" s="495"/>
      <c r="C171" s="495"/>
      <c r="D171" s="496"/>
      <c r="E171" s="497"/>
    </row>
    <row r="172" spans="1:5">
      <c r="A172" s="495"/>
      <c r="B172" s="495"/>
      <c r="C172" s="495"/>
      <c r="D172" s="496"/>
      <c r="E172" s="497"/>
    </row>
    <row r="173" spans="1:5">
      <c r="A173" s="495"/>
      <c r="B173" s="495"/>
      <c r="C173" s="495"/>
      <c r="D173" s="496"/>
      <c r="E173" s="497"/>
    </row>
    <row r="174" spans="1:5">
      <c r="A174" s="498"/>
      <c r="B174" s="498"/>
      <c r="C174" s="498"/>
      <c r="D174" s="499"/>
      <c r="E174" s="500"/>
    </row>
    <row r="175" spans="1:5">
      <c r="A175" s="498"/>
      <c r="B175" s="498"/>
      <c r="C175" s="498"/>
      <c r="D175" s="499"/>
      <c r="E175" s="500"/>
    </row>
    <row r="176" spans="1:5">
      <c r="A176" s="498"/>
      <c r="B176" s="498"/>
      <c r="C176" s="498"/>
      <c r="D176" s="499"/>
      <c r="E176" s="500"/>
    </row>
    <row r="177" spans="1:5">
      <c r="A177" s="495"/>
      <c r="B177" s="495"/>
      <c r="C177" s="495"/>
      <c r="D177" s="496"/>
      <c r="E177" s="497"/>
    </row>
    <row r="178" spans="1:5">
      <c r="A178" s="495"/>
      <c r="B178" s="495"/>
      <c r="C178" s="495"/>
      <c r="D178" s="496"/>
      <c r="E178" s="497"/>
    </row>
    <row r="179" spans="1:5">
      <c r="A179" s="495"/>
      <c r="B179" s="495"/>
      <c r="C179" s="495"/>
      <c r="D179" s="496"/>
      <c r="E179" s="497"/>
    </row>
    <row r="180" spans="1:5">
      <c r="A180" s="495"/>
      <c r="B180" s="495"/>
      <c r="C180" s="495"/>
      <c r="D180" s="496"/>
      <c r="E180" s="497"/>
    </row>
    <row r="181" spans="1:5">
      <c r="A181" s="495"/>
      <c r="B181" s="495"/>
      <c r="C181" s="495"/>
      <c r="D181" s="496"/>
      <c r="E181" s="497"/>
    </row>
    <row r="182" spans="1:5">
      <c r="A182" s="495"/>
      <c r="B182" s="495"/>
      <c r="C182" s="495"/>
      <c r="D182" s="496"/>
      <c r="E182" s="497"/>
    </row>
    <row r="183" spans="1:5">
      <c r="A183" s="498"/>
      <c r="B183" s="498"/>
      <c r="C183" s="498"/>
      <c r="D183" s="499"/>
      <c r="E183" s="500"/>
    </row>
    <row r="184" spans="1:5">
      <c r="A184" s="498"/>
      <c r="B184" s="498"/>
      <c r="C184" s="498"/>
      <c r="D184" s="499"/>
      <c r="E184" s="500"/>
    </row>
    <row r="185" spans="1:5">
      <c r="A185" s="498"/>
      <c r="B185" s="498"/>
      <c r="C185" s="498"/>
      <c r="D185" s="499"/>
      <c r="E185" s="500"/>
    </row>
    <row r="186" spans="1:5">
      <c r="A186" s="495"/>
      <c r="B186" s="495"/>
      <c r="C186" s="495"/>
      <c r="D186" s="496"/>
      <c r="E186" s="497"/>
    </row>
    <row r="187" spans="1:5">
      <c r="A187" s="495"/>
      <c r="B187" s="495"/>
      <c r="C187" s="495"/>
      <c r="D187" s="496"/>
      <c r="E187" s="497"/>
    </row>
    <row r="188" spans="1:5">
      <c r="A188" s="495"/>
      <c r="B188" s="495"/>
      <c r="C188" s="495"/>
      <c r="D188" s="496"/>
      <c r="E188" s="497"/>
    </row>
    <row r="189" spans="1:5">
      <c r="A189" s="495"/>
      <c r="B189" s="495"/>
      <c r="C189" s="495"/>
      <c r="D189" s="496"/>
      <c r="E189" s="497"/>
    </row>
    <row r="190" spans="1:5">
      <c r="A190" s="495"/>
      <c r="B190" s="495"/>
      <c r="C190" s="495"/>
      <c r="D190" s="496"/>
      <c r="E190" s="497"/>
    </row>
    <row r="191" spans="1:5">
      <c r="A191" s="495"/>
      <c r="B191" s="495"/>
      <c r="C191" s="495"/>
      <c r="D191" s="496"/>
      <c r="E191" s="497"/>
    </row>
    <row r="192" spans="1:5">
      <c r="A192" s="495"/>
      <c r="B192" s="495"/>
      <c r="C192" s="495"/>
      <c r="D192" s="496"/>
      <c r="E192" s="497"/>
    </row>
    <row r="193" spans="1:5">
      <c r="A193" s="498"/>
      <c r="B193" s="498"/>
      <c r="C193" s="498"/>
      <c r="D193" s="499"/>
      <c r="E193" s="500"/>
    </row>
    <row r="194" spans="1:5">
      <c r="A194" s="498"/>
      <c r="B194" s="498"/>
      <c r="C194" s="498"/>
      <c r="D194" s="499"/>
      <c r="E194" s="500"/>
    </row>
    <row r="195" spans="1:5">
      <c r="A195" s="495"/>
      <c r="B195" s="495"/>
      <c r="C195" s="495"/>
      <c r="D195" s="496"/>
      <c r="E195" s="497"/>
    </row>
    <row r="196" spans="1:5">
      <c r="A196" s="495"/>
      <c r="B196" s="495"/>
      <c r="C196" s="495"/>
      <c r="D196" s="496"/>
      <c r="E196" s="497"/>
    </row>
    <row r="197" spans="1:5">
      <c r="A197" s="498"/>
      <c r="B197" s="498"/>
      <c r="C197" s="498"/>
      <c r="D197" s="499"/>
      <c r="E197" s="500"/>
    </row>
    <row r="198" spans="1:5">
      <c r="A198" s="498"/>
      <c r="B198" s="498"/>
      <c r="C198" s="498"/>
      <c r="D198" s="499"/>
      <c r="E198" s="500"/>
    </row>
    <row r="199" spans="1:5">
      <c r="A199" s="495"/>
      <c r="B199" s="495"/>
      <c r="C199" s="495"/>
      <c r="D199" s="496"/>
      <c r="E199" s="497"/>
    </row>
    <row r="200" spans="1:5">
      <c r="A200" s="498"/>
      <c r="B200" s="498"/>
      <c r="C200" s="498"/>
      <c r="D200" s="499"/>
      <c r="E200" s="500"/>
    </row>
    <row r="201" spans="1:5">
      <c r="A201" s="498"/>
      <c r="B201" s="498"/>
      <c r="C201" s="498"/>
      <c r="D201" s="499"/>
      <c r="E201" s="500"/>
    </row>
    <row r="202" spans="1:5">
      <c r="A202" s="498"/>
      <c r="B202" s="498"/>
      <c r="C202" s="498"/>
      <c r="D202" s="499"/>
      <c r="E202" s="500"/>
    </row>
    <row r="203" spans="1:5">
      <c r="A203" s="498"/>
      <c r="B203" s="498"/>
      <c r="C203" s="498"/>
      <c r="D203" s="499"/>
      <c r="E203" s="500"/>
    </row>
    <row r="204" spans="1:5">
      <c r="A204" s="495"/>
      <c r="B204" s="495"/>
      <c r="C204" s="495"/>
      <c r="D204" s="496"/>
      <c r="E204" s="497"/>
    </row>
    <row r="205" spans="1:5">
      <c r="A205" s="498"/>
      <c r="B205" s="498"/>
      <c r="C205" s="498"/>
      <c r="D205" s="499"/>
      <c r="E205" s="500"/>
    </row>
    <row r="206" spans="1:5">
      <c r="A206" s="498"/>
      <c r="B206" s="498"/>
      <c r="C206" s="498"/>
      <c r="D206" s="499"/>
      <c r="E206" s="500"/>
    </row>
    <row r="207" spans="1:5">
      <c r="A207" s="495"/>
      <c r="B207" s="495"/>
      <c r="C207" s="495"/>
      <c r="D207" s="496"/>
      <c r="E207" s="497"/>
    </row>
    <row r="208" spans="1:5">
      <c r="A208" s="495"/>
      <c r="B208" s="495"/>
      <c r="C208" s="495"/>
      <c r="D208" s="496"/>
      <c r="E208" s="497"/>
    </row>
    <row r="209" spans="1:5">
      <c r="A209" s="498"/>
      <c r="B209" s="498"/>
      <c r="C209" s="498"/>
      <c r="D209" s="499"/>
      <c r="E209" s="500"/>
    </row>
    <row r="210" spans="1:5">
      <c r="A210" s="498"/>
      <c r="B210" s="498"/>
      <c r="C210" s="498"/>
      <c r="D210" s="499"/>
      <c r="E210" s="500"/>
    </row>
    <row r="211" spans="1:5">
      <c r="A211" s="495"/>
      <c r="B211" s="495"/>
      <c r="C211" s="495"/>
      <c r="D211" s="496"/>
      <c r="E211" s="497"/>
    </row>
    <row r="212" spans="1:5">
      <c r="A212" s="495"/>
      <c r="B212" s="495"/>
      <c r="C212" s="495"/>
      <c r="D212" s="496"/>
      <c r="E212" s="497"/>
    </row>
    <row r="213" spans="1:5">
      <c r="A213" s="495"/>
      <c r="B213" s="495"/>
      <c r="C213" s="495"/>
      <c r="D213" s="496"/>
      <c r="E213" s="497"/>
    </row>
    <row r="214" spans="1:5">
      <c r="A214" s="495"/>
      <c r="B214" s="495"/>
      <c r="C214" s="495"/>
      <c r="D214" s="496"/>
      <c r="E214" s="497"/>
    </row>
    <row r="215" spans="1:5">
      <c r="A215" s="495"/>
      <c r="B215" s="495"/>
      <c r="C215" s="495"/>
      <c r="D215" s="496"/>
      <c r="E215" s="497"/>
    </row>
    <row r="216" spans="1:5">
      <c r="A216" s="495"/>
      <c r="B216" s="495"/>
      <c r="C216" s="495"/>
      <c r="D216" s="496"/>
      <c r="E216" s="497"/>
    </row>
    <row r="217" spans="1:5">
      <c r="A217" s="495"/>
      <c r="B217" s="495"/>
      <c r="C217" s="495"/>
      <c r="D217" s="496"/>
      <c r="E217" s="497"/>
    </row>
    <row r="218" spans="1:5">
      <c r="A218" s="495"/>
      <c r="B218" s="495"/>
      <c r="C218" s="495"/>
      <c r="D218" s="496"/>
      <c r="E218" s="497"/>
    </row>
    <row r="219" spans="1:5">
      <c r="A219" s="495"/>
      <c r="B219" s="495"/>
      <c r="C219" s="495"/>
      <c r="D219" s="496"/>
      <c r="E219" s="497"/>
    </row>
    <row r="220" spans="1:5">
      <c r="A220" s="495"/>
      <c r="B220" s="495"/>
      <c r="C220" s="495"/>
      <c r="D220" s="496"/>
      <c r="E220" s="497"/>
    </row>
    <row r="221" spans="1:5">
      <c r="A221" s="495"/>
      <c r="B221" s="495"/>
      <c r="C221" s="495"/>
      <c r="D221" s="496"/>
      <c r="E221" s="497"/>
    </row>
    <row r="222" spans="1:5">
      <c r="A222" s="495"/>
      <c r="B222" s="495"/>
      <c r="C222" s="495"/>
      <c r="D222" s="496"/>
      <c r="E222" s="497"/>
    </row>
    <row r="223" spans="1:5">
      <c r="A223" s="495"/>
      <c r="B223" s="495"/>
      <c r="C223" s="495"/>
      <c r="D223" s="496"/>
      <c r="E223" s="497"/>
    </row>
    <row r="224" spans="1:5">
      <c r="A224" s="495"/>
      <c r="B224" s="495"/>
      <c r="C224" s="495"/>
      <c r="D224" s="496"/>
      <c r="E224" s="497"/>
    </row>
    <row r="225" spans="1:5">
      <c r="A225" s="495"/>
      <c r="B225" s="495"/>
      <c r="C225" s="495"/>
      <c r="D225" s="496"/>
      <c r="E225" s="497"/>
    </row>
    <row r="226" spans="1:5">
      <c r="A226" s="495"/>
      <c r="B226" s="495"/>
      <c r="C226" s="495"/>
      <c r="D226" s="496"/>
      <c r="E226" s="497"/>
    </row>
    <row r="227" spans="1:5">
      <c r="A227" s="495"/>
      <c r="B227" s="495"/>
      <c r="C227" s="495"/>
      <c r="D227" s="496"/>
      <c r="E227" s="497"/>
    </row>
    <row r="228" spans="1:5">
      <c r="A228" s="495"/>
      <c r="B228" s="495"/>
      <c r="C228" s="495"/>
      <c r="D228" s="496"/>
      <c r="E228" s="497"/>
    </row>
    <row r="229" spans="1:5">
      <c r="A229" s="495"/>
      <c r="B229" s="495"/>
      <c r="C229" s="495"/>
      <c r="D229" s="496"/>
      <c r="E229" s="497"/>
    </row>
    <row r="230" spans="1:5">
      <c r="A230" s="498"/>
      <c r="B230" s="498"/>
      <c r="C230" s="498"/>
      <c r="D230" s="499"/>
      <c r="E230" s="500"/>
    </row>
    <row r="231" spans="1:5">
      <c r="A231" s="498"/>
      <c r="B231" s="498"/>
      <c r="C231" s="498"/>
      <c r="D231" s="499"/>
      <c r="E231" s="500"/>
    </row>
    <row r="232" spans="1:5">
      <c r="A232" s="495"/>
      <c r="B232" s="495"/>
      <c r="C232" s="495"/>
      <c r="D232" s="496"/>
      <c r="E232" s="497"/>
    </row>
    <row r="233" spans="1:5">
      <c r="A233" s="495"/>
      <c r="B233" s="495"/>
      <c r="C233" s="495"/>
      <c r="D233" s="496"/>
      <c r="E233" s="497"/>
    </row>
    <row r="234" spans="1:5">
      <c r="A234" s="498"/>
      <c r="B234" s="498"/>
      <c r="C234" s="498"/>
      <c r="D234" s="499"/>
      <c r="E234" s="500"/>
    </row>
    <row r="235" spans="1:5">
      <c r="A235" s="498"/>
      <c r="B235" s="498"/>
      <c r="C235" s="498"/>
      <c r="D235" s="499"/>
      <c r="E235" s="500"/>
    </row>
    <row r="236" spans="1:5">
      <c r="A236" s="498"/>
      <c r="B236" s="498"/>
      <c r="C236" s="498"/>
      <c r="D236" s="499"/>
      <c r="E236" s="500"/>
    </row>
    <row r="237" spans="1:5">
      <c r="A237" s="495"/>
      <c r="B237" s="495"/>
      <c r="C237" s="495"/>
      <c r="D237" s="496"/>
      <c r="E237" s="497"/>
    </row>
    <row r="238" spans="1:5">
      <c r="A238" s="495"/>
      <c r="B238" s="495"/>
      <c r="C238" s="495"/>
      <c r="D238" s="496"/>
      <c r="E238" s="497"/>
    </row>
    <row r="239" spans="1:5">
      <c r="A239" s="495"/>
      <c r="B239" s="495"/>
      <c r="C239" s="495"/>
      <c r="D239" s="496"/>
      <c r="E239" s="497"/>
    </row>
    <row r="240" spans="1:5">
      <c r="A240" s="495"/>
      <c r="B240" s="495"/>
      <c r="C240" s="495"/>
      <c r="D240" s="496"/>
      <c r="E240" s="497"/>
    </row>
    <row r="241" spans="1:5">
      <c r="A241" s="495"/>
      <c r="B241" s="495"/>
      <c r="C241" s="495"/>
      <c r="D241" s="496"/>
      <c r="E241" s="497"/>
    </row>
    <row r="242" spans="1:5">
      <c r="A242" s="495"/>
      <c r="B242" s="495"/>
      <c r="C242" s="495"/>
      <c r="D242" s="496"/>
      <c r="E242" s="497"/>
    </row>
    <row r="243" spans="1:5">
      <c r="A243" s="495"/>
      <c r="B243" s="495"/>
      <c r="C243" s="495"/>
      <c r="D243" s="496"/>
      <c r="E243" s="497"/>
    </row>
    <row r="244" spans="1:5">
      <c r="A244" s="495"/>
      <c r="B244" s="495"/>
      <c r="C244" s="495"/>
      <c r="D244" s="496"/>
      <c r="E244" s="497"/>
    </row>
    <row r="245" spans="1:5">
      <c r="A245" s="495"/>
      <c r="B245" s="495"/>
      <c r="C245" s="495"/>
      <c r="D245" s="496"/>
      <c r="E245" s="497"/>
    </row>
    <row r="246" spans="1:5">
      <c r="A246" s="495"/>
      <c r="B246" s="495"/>
      <c r="C246" s="495"/>
      <c r="D246" s="496"/>
      <c r="E246" s="497"/>
    </row>
    <row r="247" spans="1:5">
      <c r="A247" s="498"/>
      <c r="B247" s="498"/>
      <c r="C247" s="498"/>
      <c r="D247" s="499"/>
      <c r="E247" s="500"/>
    </row>
    <row r="248" spans="1:5">
      <c r="A248" s="498"/>
      <c r="B248" s="498"/>
      <c r="C248" s="498"/>
      <c r="D248" s="499"/>
      <c r="E248" s="500"/>
    </row>
    <row r="249" spans="1:5">
      <c r="A249" s="495"/>
      <c r="B249" s="495"/>
      <c r="C249" s="495"/>
      <c r="D249" s="496"/>
      <c r="E249" s="497"/>
    </row>
    <row r="250" spans="1:5">
      <c r="A250" s="495"/>
      <c r="B250" s="495"/>
      <c r="C250" s="495"/>
      <c r="D250" s="496"/>
      <c r="E250" s="497"/>
    </row>
    <row r="251" spans="1:5">
      <c r="A251" s="498"/>
      <c r="B251" s="498"/>
      <c r="C251" s="498"/>
      <c r="D251" s="499"/>
      <c r="E251" s="500"/>
    </row>
    <row r="252" spans="1:5">
      <c r="A252" s="498"/>
      <c r="B252" s="498"/>
      <c r="C252" s="498"/>
      <c r="D252" s="499"/>
      <c r="E252" s="500"/>
    </row>
    <row r="253" spans="1:5">
      <c r="A253" s="498"/>
      <c r="B253" s="498"/>
      <c r="C253" s="498"/>
      <c r="D253" s="499"/>
      <c r="E253" s="500"/>
    </row>
    <row r="254" spans="1:5">
      <c r="A254" s="495"/>
      <c r="B254" s="495"/>
      <c r="C254" s="495"/>
      <c r="D254" s="496"/>
      <c r="E254" s="497"/>
    </row>
    <row r="255" spans="1:5">
      <c r="A255" s="495"/>
      <c r="B255" s="495"/>
      <c r="C255" s="495"/>
      <c r="D255" s="496"/>
      <c r="E255" s="497"/>
    </row>
    <row r="256" spans="1:5">
      <c r="A256" s="495"/>
      <c r="B256" s="495"/>
      <c r="C256" s="495"/>
      <c r="D256" s="496"/>
      <c r="E256" s="497"/>
    </row>
    <row r="257" spans="1:5">
      <c r="A257" s="495"/>
      <c r="B257" s="495"/>
      <c r="C257" s="495"/>
      <c r="D257" s="496"/>
      <c r="E257" s="497"/>
    </row>
    <row r="258" spans="1:5">
      <c r="A258" s="495"/>
      <c r="B258" s="495"/>
      <c r="C258" s="495"/>
      <c r="D258" s="496"/>
      <c r="E258" s="497"/>
    </row>
    <row r="259" spans="1:5">
      <c r="A259" s="495"/>
      <c r="B259" s="495"/>
      <c r="C259" s="495"/>
      <c r="D259" s="496"/>
      <c r="E259" s="497"/>
    </row>
    <row r="260" spans="1:5">
      <c r="A260" s="498"/>
      <c r="B260" s="498"/>
      <c r="C260" s="498"/>
      <c r="D260" s="499"/>
      <c r="E260" s="500"/>
    </row>
    <row r="261" spans="1:5">
      <c r="A261" s="498"/>
      <c r="B261" s="498"/>
      <c r="C261" s="498"/>
      <c r="D261" s="499"/>
      <c r="E261" s="500"/>
    </row>
    <row r="262" spans="1:5">
      <c r="A262" s="495"/>
      <c r="B262" s="495"/>
      <c r="C262" s="495"/>
      <c r="D262" s="496"/>
      <c r="E262" s="497"/>
    </row>
    <row r="263" spans="1:5">
      <c r="A263" s="498"/>
      <c r="B263" s="498"/>
      <c r="C263" s="498"/>
      <c r="D263" s="499"/>
      <c r="E263" s="500"/>
    </row>
    <row r="264" spans="1:5">
      <c r="A264" s="498"/>
      <c r="B264" s="498"/>
      <c r="C264" s="498"/>
      <c r="D264" s="499"/>
      <c r="E264" s="500"/>
    </row>
    <row r="265" spans="1:5">
      <c r="A265" s="498"/>
      <c r="B265" s="498"/>
      <c r="C265" s="498"/>
      <c r="D265" s="499"/>
      <c r="E265" s="500"/>
    </row>
    <row r="266" spans="1:5">
      <c r="A266" s="498"/>
      <c r="B266" s="498"/>
      <c r="C266" s="498"/>
      <c r="D266" s="499"/>
      <c r="E266" s="500"/>
    </row>
    <row r="267" spans="1:5">
      <c r="A267" s="495"/>
      <c r="B267" s="495"/>
      <c r="C267" s="495"/>
      <c r="D267" s="496"/>
      <c r="E267" s="497"/>
    </row>
    <row r="268" spans="1:5">
      <c r="A268" s="495"/>
      <c r="B268" s="495"/>
      <c r="C268" s="495"/>
      <c r="D268" s="496"/>
      <c r="E268" s="497"/>
    </row>
    <row r="269" spans="1:5">
      <c r="A269" s="495"/>
      <c r="B269" s="495"/>
      <c r="C269" s="495"/>
      <c r="D269" s="496"/>
      <c r="E269" s="497"/>
    </row>
    <row r="270" spans="1:5">
      <c r="A270" s="498"/>
      <c r="B270" s="498"/>
      <c r="C270" s="498"/>
      <c r="D270" s="499"/>
      <c r="E270" s="500"/>
    </row>
    <row r="271" spans="1:5">
      <c r="A271" s="498"/>
      <c r="B271" s="498"/>
      <c r="C271" s="498"/>
      <c r="D271" s="499"/>
      <c r="E271" s="500"/>
    </row>
    <row r="272" spans="1:5">
      <c r="A272" s="495"/>
      <c r="B272" s="495"/>
      <c r="C272" s="495"/>
      <c r="D272" s="496"/>
      <c r="E272" s="497"/>
    </row>
    <row r="273" spans="1:5">
      <c r="A273" s="498"/>
      <c r="B273" s="498"/>
      <c r="C273" s="498"/>
      <c r="D273" s="499"/>
      <c r="E273" s="500"/>
    </row>
    <row r="274" spans="1:5">
      <c r="A274" s="498"/>
      <c r="B274" s="498"/>
      <c r="C274" s="498"/>
      <c r="D274" s="499"/>
      <c r="E274" s="500"/>
    </row>
    <row r="275" spans="1:5">
      <c r="A275" s="498"/>
      <c r="B275" s="498"/>
      <c r="C275" s="498"/>
      <c r="D275" s="499"/>
      <c r="E275" s="500"/>
    </row>
    <row r="276" spans="1:5">
      <c r="A276" s="498"/>
      <c r="B276" s="498"/>
      <c r="C276" s="498"/>
      <c r="D276" s="499"/>
      <c r="E276" s="500"/>
    </row>
    <row r="277" spans="1:5">
      <c r="A277" s="498"/>
      <c r="B277" s="498"/>
      <c r="C277" s="498"/>
      <c r="D277" s="499"/>
      <c r="E277" s="500"/>
    </row>
    <row r="278" spans="1:5">
      <c r="A278" s="495"/>
      <c r="B278" s="495"/>
      <c r="C278" s="495"/>
      <c r="D278" s="496"/>
      <c r="E278" s="497"/>
    </row>
    <row r="279" spans="1:5">
      <c r="A279" s="495"/>
      <c r="B279" s="495"/>
      <c r="C279" s="495"/>
      <c r="D279" s="496"/>
      <c r="E279" s="497"/>
    </row>
    <row r="280" spans="1:5">
      <c r="A280" s="498"/>
      <c r="B280" s="498"/>
      <c r="C280" s="498"/>
      <c r="D280" s="499"/>
      <c r="E280" s="500"/>
    </row>
    <row r="281" spans="1:5">
      <c r="A281" s="495"/>
      <c r="B281" s="495"/>
      <c r="C281" s="495"/>
      <c r="D281" s="496"/>
      <c r="E281" s="497"/>
    </row>
    <row r="282" spans="1:5">
      <c r="A282" s="495"/>
      <c r="B282" s="495"/>
      <c r="C282" s="495"/>
      <c r="D282" s="496"/>
      <c r="E282" s="497"/>
    </row>
    <row r="283" spans="1:5">
      <c r="A283" s="495"/>
      <c r="B283" s="495"/>
      <c r="C283" s="495"/>
      <c r="D283" s="496"/>
      <c r="E283" s="497"/>
    </row>
    <row r="284" spans="1:5">
      <c r="A284" s="495"/>
      <c r="B284" s="495"/>
      <c r="C284" s="495"/>
      <c r="D284" s="496"/>
      <c r="E284" s="497"/>
    </row>
    <row r="285" spans="1:5">
      <c r="A285" s="498"/>
      <c r="B285" s="498"/>
      <c r="C285" s="498"/>
      <c r="D285" s="499"/>
      <c r="E285" s="500"/>
    </row>
    <row r="286" spans="1:5">
      <c r="A286" s="495"/>
      <c r="B286" s="495"/>
      <c r="C286" s="495"/>
      <c r="D286" s="496"/>
      <c r="E286" s="497"/>
    </row>
    <row r="287" spans="1:5">
      <c r="A287" s="495"/>
      <c r="B287" s="495"/>
      <c r="C287" s="495"/>
      <c r="D287" s="496"/>
      <c r="E287" s="497"/>
    </row>
    <row r="288" spans="1:5">
      <c r="A288" s="495"/>
      <c r="B288" s="495"/>
      <c r="C288" s="495"/>
      <c r="D288" s="496"/>
      <c r="E288" s="497"/>
    </row>
    <row r="289" spans="1:5">
      <c r="A289" s="495"/>
      <c r="B289" s="495"/>
      <c r="C289" s="495"/>
      <c r="D289" s="496"/>
      <c r="E289" s="497"/>
    </row>
    <row r="290" spans="1:5">
      <c r="A290" s="495"/>
      <c r="B290" s="495"/>
      <c r="C290" s="495"/>
      <c r="D290" s="496"/>
      <c r="E290" s="497"/>
    </row>
    <row r="291" spans="1:5">
      <c r="A291" s="495"/>
      <c r="B291" s="495"/>
      <c r="C291" s="495"/>
      <c r="D291" s="496"/>
      <c r="E291" s="497"/>
    </row>
    <row r="292" spans="1:5">
      <c r="A292" s="495"/>
      <c r="B292" s="495"/>
      <c r="C292" s="495"/>
      <c r="D292" s="496"/>
      <c r="E292" s="497"/>
    </row>
    <row r="293" spans="1:5">
      <c r="A293" s="495"/>
      <c r="B293" s="495"/>
      <c r="C293" s="495"/>
      <c r="D293" s="496"/>
      <c r="E293" s="497"/>
    </row>
    <row r="294" spans="1:5">
      <c r="A294" s="495"/>
      <c r="B294" s="495"/>
      <c r="C294" s="495"/>
      <c r="D294" s="496"/>
      <c r="E294" s="497"/>
    </row>
    <row r="295" spans="1:5">
      <c r="A295" s="495"/>
      <c r="B295" s="495"/>
      <c r="C295" s="495"/>
      <c r="D295" s="496"/>
      <c r="E295" s="497"/>
    </row>
    <row r="296" spans="1:5">
      <c r="A296" s="495"/>
      <c r="B296" s="495"/>
      <c r="C296" s="495"/>
      <c r="D296" s="496"/>
      <c r="E296" s="497"/>
    </row>
    <row r="297" spans="1:5">
      <c r="A297" s="495"/>
      <c r="B297" s="495"/>
      <c r="C297" s="495"/>
      <c r="D297" s="496"/>
      <c r="E297" s="497"/>
    </row>
    <row r="298" spans="1:5">
      <c r="A298" s="495"/>
      <c r="B298" s="495"/>
      <c r="C298" s="495"/>
      <c r="D298" s="496"/>
      <c r="E298" s="497"/>
    </row>
    <row r="299" spans="1:5">
      <c r="A299" s="495"/>
      <c r="B299" s="495"/>
      <c r="C299" s="495"/>
      <c r="D299" s="496"/>
      <c r="E299" s="497"/>
    </row>
    <row r="300" spans="1:5">
      <c r="A300" s="498"/>
      <c r="B300" s="498"/>
      <c r="C300" s="498"/>
      <c r="D300" s="499"/>
      <c r="E300" s="500"/>
    </row>
    <row r="301" spans="1:5">
      <c r="A301" s="498"/>
      <c r="B301" s="498"/>
      <c r="C301" s="498"/>
      <c r="D301" s="499"/>
      <c r="E301" s="500"/>
    </row>
    <row r="302" spans="1:5">
      <c r="A302" s="498"/>
      <c r="B302" s="498"/>
      <c r="C302" s="498"/>
      <c r="D302" s="499"/>
      <c r="E302" s="500"/>
    </row>
    <row r="303" spans="1:5">
      <c r="A303" s="498"/>
      <c r="B303" s="498"/>
      <c r="C303" s="498"/>
      <c r="D303" s="499"/>
      <c r="E303" s="500"/>
    </row>
    <row r="304" spans="1:5">
      <c r="A304" s="495"/>
      <c r="B304" s="495"/>
      <c r="C304" s="495"/>
      <c r="D304" s="496"/>
      <c r="E304" s="497"/>
    </row>
    <row r="305" spans="1:5">
      <c r="A305" s="495"/>
      <c r="B305" s="495"/>
      <c r="C305" s="495"/>
      <c r="D305" s="496"/>
      <c r="E305" s="497"/>
    </row>
    <row r="306" spans="1:5">
      <c r="A306" s="495"/>
      <c r="B306" s="495"/>
      <c r="C306" s="495"/>
      <c r="D306" s="496"/>
      <c r="E306" s="497"/>
    </row>
    <row r="307" spans="1:5">
      <c r="A307" s="498"/>
      <c r="B307" s="498"/>
      <c r="C307" s="498"/>
      <c r="D307" s="499"/>
      <c r="E307" s="500"/>
    </row>
    <row r="308" spans="1:5">
      <c r="A308" s="498"/>
      <c r="B308" s="498"/>
      <c r="C308" s="498"/>
      <c r="D308" s="499"/>
      <c r="E308" s="500"/>
    </row>
    <row r="309" spans="1:5">
      <c r="A309" s="495"/>
      <c r="B309" s="495"/>
      <c r="C309" s="495"/>
      <c r="D309" s="496"/>
      <c r="E309" s="497"/>
    </row>
    <row r="310" spans="1:5">
      <c r="A310" s="498"/>
      <c r="B310" s="498"/>
      <c r="C310" s="498"/>
      <c r="D310" s="499"/>
      <c r="E310" s="500"/>
    </row>
    <row r="311" spans="1:5">
      <c r="A311" s="498"/>
      <c r="B311" s="498"/>
      <c r="C311" s="498"/>
      <c r="D311" s="499"/>
      <c r="E311" s="500"/>
    </row>
    <row r="312" spans="1:5">
      <c r="A312" s="495"/>
      <c r="B312" s="495"/>
      <c r="C312" s="495"/>
      <c r="D312" s="496"/>
      <c r="E312" s="497"/>
    </row>
    <row r="313" spans="1:5">
      <c r="A313" s="495"/>
      <c r="B313" s="495"/>
      <c r="C313" s="495"/>
      <c r="D313" s="496"/>
      <c r="E313" s="497"/>
    </row>
    <row r="314" spans="1:5">
      <c r="A314" s="495"/>
      <c r="B314" s="495"/>
      <c r="C314" s="495"/>
      <c r="D314" s="496"/>
      <c r="E314" s="497"/>
    </row>
    <row r="315" spans="1:5">
      <c r="A315" s="495"/>
      <c r="B315" s="495"/>
      <c r="C315" s="495"/>
      <c r="D315" s="496"/>
      <c r="E315" s="497"/>
    </row>
    <row r="316" spans="1:5">
      <c r="A316" s="495"/>
      <c r="B316" s="495"/>
      <c r="C316" s="495"/>
      <c r="D316" s="496"/>
      <c r="E316" s="497"/>
    </row>
    <row r="317" spans="1:5">
      <c r="A317" s="495"/>
      <c r="B317" s="495"/>
      <c r="C317" s="495"/>
      <c r="D317" s="496"/>
      <c r="E317" s="497"/>
    </row>
    <row r="318" spans="1:5">
      <c r="A318" s="495"/>
      <c r="B318" s="495"/>
      <c r="C318" s="495"/>
      <c r="D318" s="496"/>
      <c r="E318" s="497"/>
    </row>
    <row r="319" spans="1:5">
      <c r="A319" s="495"/>
      <c r="B319" s="495"/>
      <c r="C319" s="495"/>
      <c r="D319" s="496"/>
      <c r="E319" s="497"/>
    </row>
    <row r="320" spans="1:5">
      <c r="A320" s="495"/>
      <c r="B320" s="495"/>
      <c r="C320" s="495"/>
      <c r="D320" s="496"/>
      <c r="E320" s="497"/>
    </row>
    <row r="321" spans="1:5">
      <c r="A321" s="495"/>
      <c r="B321" s="495"/>
      <c r="C321" s="495"/>
      <c r="D321" s="496"/>
      <c r="E321" s="497"/>
    </row>
    <row r="322" spans="1:5">
      <c r="A322" s="498"/>
      <c r="B322" s="498"/>
      <c r="C322" s="498"/>
      <c r="D322" s="499"/>
      <c r="E322" s="500"/>
    </row>
    <row r="323" spans="1:5">
      <c r="A323" s="498"/>
      <c r="B323" s="498"/>
      <c r="C323" s="498"/>
      <c r="D323" s="499"/>
      <c r="E323" s="500"/>
    </row>
    <row r="324" spans="1:5">
      <c r="A324" s="495"/>
      <c r="B324" s="495"/>
      <c r="C324" s="495"/>
      <c r="D324" s="496"/>
      <c r="E324" s="497"/>
    </row>
    <row r="325" spans="1:5">
      <c r="A325" s="495"/>
      <c r="B325" s="495"/>
      <c r="C325" s="495"/>
      <c r="D325" s="496"/>
      <c r="E325" s="497"/>
    </row>
    <row r="326" spans="1:5">
      <c r="A326" s="495"/>
      <c r="B326" s="495"/>
      <c r="C326" s="495"/>
      <c r="D326" s="496"/>
      <c r="E326" s="497"/>
    </row>
    <row r="327" spans="1:5">
      <c r="A327" s="495"/>
      <c r="B327" s="495"/>
      <c r="C327" s="495"/>
      <c r="D327" s="496"/>
      <c r="E327" s="497"/>
    </row>
    <row r="328" spans="1:5">
      <c r="A328" s="495"/>
      <c r="B328" s="495"/>
      <c r="C328" s="495"/>
      <c r="D328" s="496"/>
      <c r="E328" s="497"/>
    </row>
    <row r="329" spans="1:5">
      <c r="A329" s="495"/>
      <c r="B329" s="495"/>
      <c r="C329" s="495"/>
      <c r="D329" s="496"/>
      <c r="E329" s="497"/>
    </row>
    <row r="330" spans="1:5">
      <c r="A330" s="495"/>
      <c r="B330" s="495"/>
      <c r="C330" s="495"/>
      <c r="D330" s="496"/>
      <c r="E330" s="497"/>
    </row>
    <row r="331" spans="1:5">
      <c r="A331" s="495"/>
      <c r="B331" s="495"/>
      <c r="C331" s="495"/>
      <c r="D331" s="496"/>
      <c r="E331" s="497"/>
    </row>
    <row r="332" spans="1:5">
      <c r="A332" s="495"/>
      <c r="B332" s="495"/>
      <c r="C332" s="495"/>
      <c r="D332" s="496"/>
      <c r="E332" s="497"/>
    </row>
    <row r="333" spans="1:5">
      <c r="A333" s="495"/>
      <c r="B333" s="495"/>
      <c r="C333" s="495"/>
      <c r="D333" s="496"/>
      <c r="E333" s="497"/>
    </row>
    <row r="334" spans="1:5">
      <c r="A334" s="495"/>
      <c r="B334" s="495"/>
      <c r="C334" s="495"/>
      <c r="D334" s="496"/>
      <c r="E334" s="497"/>
    </row>
    <row r="335" spans="1:5">
      <c r="A335" s="495"/>
      <c r="B335" s="495"/>
      <c r="C335" s="495"/>
      <c r="D335" s="496"/>
      <c r="E335" s="497"/>
    </row>
    <row r="336" spans="1:5">
      <c r="A336" s="495"/>
      <c r="B336" s="495"/>
      <c r="C336" s="495"/>
      <c r="D336" s="496"/>
      <c r="E336" s="497"/>
    </row>
    <row r="337" spans="1:5">
      <c r="A337" s="495"/>
      <c r="B337" s="495"/>
      <c r="C337" s="495"/>
      <c r="D337" s="496"/>
      <c r="E337" s="497"/>
    </row>
    <row r="338" spans="1:5">
      <c r="A338" s="498"/>
      <c r="B338" s="498"/>
      <c r="C338" s="498"/>
      <c r="D338" s="499"/>
      <c r="E338" s="500"/>
    </row>
    <row r="339" spans="1:5">
      <c r="A339" s="498"/>
      <c r="B339" s="498"/>
      <c r="C339" s="498"/>
      <c r="D339" s="499"/>
      <c r="E339" s="500"/>
    </row>
    <row r="340" spans="1:5">
      <c r="A340" s="495"/>
      <c r="B340" s="495"/>
      <c r="C340" s="495"/>
      <c r="D340" s="496"/>
      <c r="E340" s="497"/>
    </row>
    <row r="341" spans="1:5">
      <c r="A341" s="498"/>
      <c r="B341" s="498"/>
      <c r="C341" s="498"/>
      <c r="D341" s="499"/>
      <c r="E341" s="500"/>
    </row>
    <row r="342" spans="1:5">
      <c r="A342" s="498"/>
      <c r="B342" s="498"/>
      <c r="C342" s="498"/>
      <c r="D342" s="499"/>
      <c r="E342" s="500"/>
    </row>
    <row r="343" spans="1:5">
      <c r="A343" s="495"/>
      <c r="B343" s="495"/>
      <c r="C343" s="495"/>
      <c r="D343" s="496"/>
      <c r="E343" s="497"/>
    </row>
    <row r="344" spans="1:5">
      <c r="A344" s="495"/>
      <c r="B344" s="495"/>
      <c r="C344" s="495"/>
      <c r="D344" s="496"/>
      <c r="E344" s="497"/>
    </row>
    <row r="345" spans="1:5">
      <c r="A345" s="495"/>
      <c r="B345" s="495"/>
      <c r="C345" s="495"/>
      <c r="D345" s="496"/>
      <c r="E345" s="497"/>
    </row>
    <row r="346" spans="1:5">
      <c r="A346" s="495"/>
      <c r="B346" s="495"/>
      <c r="C346" s="495"/>
      <c r="D346" s="496"/>
      <c r="E346" s="497"/>
    </row>
    <row r="347" spans="1:5">
      <c r="A347" s="495"/>
      <c r="B347" s="495"/>
      <c r="C347" s="495"/>
      <c r="D347" s="496"/>
      <c r="E347" s="497"/>
    </row>
    <row r="348" spans="1:5">
      <c r="A348" s="495"/>
      <c r="B348" s="495"/>
      <c r="C348" s="495"/>
      <c r="D348" s="496"/>
      <c r="E348" s="497"/>
    </row>
    <row r="349" spans="1:5">
      <c r="A349" s="498"/>
      <c r="B349" s="498"/>
      <c r="C349" s="498"/>
      <c r="D349" s="499"/>
      <c r="E349" s="500"/>
    </row>
    <row r="350" spans="1:5">
      <c r="A350" s="498"/>
      <c r="B350" s="498"/>
      <c r="C350" s="498"/>
      <c r="D350" s="499"/>
      <c r="E350" s="500"/>
    </row>
    <row r="351" spans="1:5">
      <c r="A351" s="495"/>
      <c r="B351" s="495"/>
      <c r="C351" s="495"/>
      <c r="D351" s="496"/>
      <c r="E351" s="497"/>
    </row>
    <row r="352" spans="1:5">
      <c r="A352" s="495"/>
      <c r="B352" s="495"/>
      <c r="C352" s="495"/>
      <c r="D352" s="496"/>
      <c r="E352" s="497"/>
    </row>
    <row r="353" spans="1:5">
      <c r="A353" s="498"/>
      <c r="B353" s="498"/>
      <c r="C353" s="498"/>
      <c r="D353" s="499"/>
      <c r="E353" s="500"/>
    </row>
    <row r="354" spans="1:5">
      <c r="A354" s="498"/>
      <c r="B354" s="498"/>
      <c r="C354" s="498"/>
      <c r="D354" s="499"/>
      <c r="E354" s="500"/>
    </row>
    <row r="355" spans="1:5">
      <c r="A355" s="498"/>
      <c r="B355" s="498"/>
      <c r="C355" s="498"/>
      <c r="D355" s="499"/>
      <c r="E355" s="500"/>
    </row>
    <row r="356" spans="1:5">
      <c r="A356" s="498"/>
      <c r="B356" s="498"/>
      <c r="C356" s="498"/>
      <c r="D356" s="499"/>
      <c r="E356" s="500"/>
    </row>
    <row r="357" spans="1:5">
      <c r="A357" s="498"/>
      <c r="B357" s="498"/>
      <c r="C357" s="498"/>
      <c r="D357" s="499"/>
      <c r="E357" s="500"/>
    </row>
    <row r="358" spans="1:5">
      <c r="A358" s="495"/>
      <c r="B358" s="495"/>
      <c r="C358" s="495"/>
      <c r="D358" s="496"/>
      <c r="E358" s="497"/>
    </row>
    <row r="359" spans="1:5">
      <c r="A359" s="495"/>
      <c r="B359" s="495"/>
      <c r="C359" s="495"/>
      <c r="D359" s="496"/>
      <c r="E359" s="497"/>
    </row>
    <row r="360" spans="1:5">
      <c r="A360" s="495"/>
      <c r="B360" s="495"/>
      <c r="C360" s="495"/>
      <c r="D360" s="496"/>
      <c r="E360" s="497"/>
    </row>
    <row r="361" spans="1:5">
      <c r="A361" s="498"/>
      <c r="B361" s="498"/>
      <c r="C361" s="498"/>
      <c r="D361" s="499"/>
      <c r="E361" s="500"/>
    </row>
    <row r="362" spans="1:5">
      <c r="A362" s="498"/>
      <c r="B362" s="498"/>
      <c r="C362" s="498"/>
      <c r="D362" s="499"/>
      <c r="E362" s="500"/>
    </row>
    <row r="363" spans="1:5">
      <c r="A363" s="495"/>
      <c r="B363" s="495"/>
      <c r="C363" s="495"/>
      <c r="D363" s="496"/>
      <c r="E363" s="497"/>
    </row>
    <row r="364" spans="1:5">
      <c r="A364" s="495"/>
      <c r="B364" s="495"/>
      <c r="C364" s="495"/>
      <c r="D364" s="496"/>
      <c r="E364" s="497"/>
    </row>
    <row r="365" spans="1:5">
      <c r="A365" s="495"/>
      <c r="B365" s="495"/>
      <c r="C365" s="495"/>
      <c r="D365" s="496"/>
      <c r="E365" s="497"/>
    </row>
    <row r="366" spans="1:5">
      <c r="A366" s="495"/>
      <c r="B366" s="495"/>
      <c r="C366" s="495"/>
      <c r="D366" s="496"/>
      <c r="E366" s="497"/>
    </row>
    <row r="367" spans="1:5">
      <c r="A367" s="495"/>
      <c r="B367" s="495"/>
      <c r="C367" s="495"/>
      <c r="D367" s="496"/>
      <c r="E367" s="497"/>
    </row>
    <row r="368" spans="1:5">
      <c r="A368" s="495"/>
      <c r="B368" s="495"/>
      <c r="C368" s="495"/>
      <c r="D368" s="496"/>
      <c r="E368" s="497"/>
    </row>
    <row r="369" spans="1:5">
      <c r="A369" s="498"/>
      <c r="B369" s="498"/>
      <c r="C369" s="498"/>
      <c r="D369" s="499"/>
      <c r="E369" s="500"/>
    </row>
    <row r="370" spans="1:5">
      <c r="A370" s="498"/>
      <c r="B370" s="498"/>
      <c r="C370" s="498"/>
      <c r="D370" s="499"/>
      <c r="E370" s="500"/>
    </row>
    <row r="371" spans="1:5">
      <c r="A371" s="495"/>
      <c r="B371" s="495"/>
      <c r="C371" s="495"/>
      <c r="D371" s="496"/>
      <c r="E371" s="497"/>
    </row>
    <row r="372" spans="1:5">
      <c r="A372" s="495"/>
      <c r="B372" s="495"/>
      <c r="C372" s="495"/>
      <c r="D372" s="496"/>
      <c r="E372" s="497"/>
    </row>
    <row r="373" spans="1:5">
      <c r="A373" s="495"/>
      <c r="B373" s="495"/>
      <c r="C373" s="495"/>
      <c r="D373" s="496"/>
      <c r="E373" s="497"/>
    </row>
    <row r="374" spans="1:5">
      <c r="A374" s="495"/>
      <c r="B374" s="495"/>
      <c r="C374" s="495"/>
      <c r="D374" s="496"/>
      <c r="E374" s="497"/>
    </row>
    <row r="375" spans="1:5">
      <c r="A375" s="495"/>
      <c r="B375" s="495"/>
      <c r="C375" s="495"/>
      <c r="D375" s="496"/>
      <c r="E375" s="497"/>
    </row>
    <row r="376" spans="1:5">
      <c r="A376" s="495"/>
      <c r="B376" s="495"/>
      <c r="C376" s="495"/>
      <c r="D376" s="496"/>
      <c r="E376" s="497"/>
    </row>
    <row r="377" spans="1:5">
      <c r="A377" s="495"/>
      <c r="B377" s="495"/>
      <c r="C377" s="495"/>
      <c r="D377" s="496"/>
      <c r="E377" s="497"/>
    </row>
    <row r="378" spans="1:5">
      <c r="A378" s="495"/>
      <c r="B378" s="495"/>
      <c r="C378" s="495"/>
      <c r="D378" s="496"/>
      <c r="E378" s="497"/>
    </row>
    <row r="379" spans="1:5">
      <c r="A379" s="498"/>
      <c r="B379" s="498"/>
      <c r="C379" s="498"/>
      <c r="D379" s="499"/>
      <c r="E379" s="500"/>
    </row>
    <row r="380" spans="1:5">
      <c r="A380" s="498"/>
      <c r="B380" s="498"/>
      <c r="C380" s="498"/>
      <c r="D380" s="499"/>
      <c r="E380" s="500"/>
    </row>
    <row r="381" spans="1:5">
      <c r="A381" s="498"/>
      <c r="B381" s="498"/>
      <c r="C381" s="498"/>
      <c r="D381" s="499"/>
      <c r="E381" s="500"/>
    </row>
    <row r="382" spans="1:5">
      <c r="A382" s="495"/>
      <c r="B382" s="495"/>
      <c r="C382" s="495"/>
      <c r="D382" s="496"/>
      <c r="E382" s="497"/>
    </row>
    <row r="383" spans="1:5">
      <c r="A383" s="495"/>
      <c r="B383" s="495"/>
      <c r="C383" s="495"/>
      <c r="D383" s="496"/>
      <c r="E383" s="497"/>
    </row>
    <row r="384" spans="1:5">
      <c r="A384" s="495"/>
      <c r="B384" s="495"/>
      <c r="C384" s="495"/>
      <c r="D384" s="496"/>
      <c r="E384" s="497"/>
    </row>
    <row r="385" spans="1:5">
      <c r="A385" s="498"/>
      <c r="B385" s="498"/>
      <c r="C385" s="498"/>
      <c r="D385" s="499"/>
      <c r="E385" s="500"/>
    </row>
    <row r="386" spans="1:5">
      <c r="A386" s="498"/>
      <c r="B386" s="498"/>
      <c r="C386" s="498"/>
      <c r="D386" s="499"/>
      <c r="E386" s="500"/>
    </row>
    <row r="387" spans="1:5">
      <c r="A387" s="495"/>
      <c r="B387" s="495"/>
      <c r="C387" s="495"/>
      <c r="D387" s="496"/>
      <c r="E387" s="497"/>
    </row>
    <row r="388" spans="1:5">
      <c r="A388" s="495"/>
      <c r="B388" s="495"/>
      <c r="C388" s="495"/>
      <c r="D388" s="496"/>
      <c r="E388" s="497"/>
    </row>
    <row r="389" spans="1:5">
      <c r="A389" s="495"/>
      <c r="B389" s="495"/>
      <c r="C389" s="495"/>
      <c r="D389" s="496"/>
      <c r="E389" s="497"/>
    </row>
    <row r="390" spans="1:5">
      <c r="A390" s="495"/>
      <c r="B390" s="495"/>
      <c r="C390" s="495"/>
      <c r="D390" s="496"/>
      <c r="E390" s="497"/>
    </row>
    <row r="391" spans="1:5">
      <c r="A391" s="495"/>
      <c r="B391" s="495"/>
      <c r="C391" s="495"/>
      <c r="D391" s="496"/>
      <c r="E391" s="497"/>
    </row>
    <row r="392" spans="1:5">
      <c r="A392" s="495"/>
      <c r="B392" s="495"/>
      <c r="C392" s="495"/>
      <c r="D392" s="496"/>
      <c r="E392" s="497"/>
    </row>
    <row r="393" spans="1:5">
      <c r="A393" s="495"/>
      <c r="B393" s="495"/>
      <c r="C393" s="495"/>
      <c r="D393" s="496"/>
      <c r="E393" s="497"/>
    </row>
    <row r="394" spans="1:5">
      <c r="A394" s="495"/>
      <c r="B394" s="495"/>
      <c r="C394" s="495"/>
      <c r="D394" s="496"/>
      <c r="E394" s="497"/>
    </row>
    <row r="395" spans="1:5">
      <c r="A395" s="495"/>
      <c r="B395" s="495"/>
      <c r="C395" s="495"/>
      <c r="D395" s="496"/>
      <c r="E395" s="497"/>
    </row>
    <row r="396" spans="1:5">
      <c r="A396" s="495"/>
      <c r="B396" s="495"/>
      <c r="C396" s="495"/>
      <c r="D396" s="496"/>
      <c r="E396" s="497"/>
    </row>
    <row r="397" spans="1:5">
      <c r="A397" s="495"/>
      <c r="B397" s="495"/>
      <c r="C397" s="495"/>
      <c r="D397" s="496"/>
      <c r="E397" s="497"/>
    </row>
    <row r="398" spans="1:5">
      <c r="A398" s="498"/>
      <c r="B398" s="498"/>
      <c r="C398" s="498"/>
      <c r="D398" s="499"/>
      <c r="E398" s="500"/>
    </row>
    <row r="399" spans="1:5">
      <c r="A399" s="498"/>
      <c r="B399" s="498"/>
      <c r="C399" s="498"/>
      <c r="D399" s="499"/>
      <c r="E399" s="500"/>
    </row>
    <row r="400" spans="1:5">
      <c r="A400" s="495"/>
      <c r="B400" s="495"/>
      <c r="C400" s="495"/>
      <c r="D400" s="496"/>
      <c r="E400" s="497"/>
    </row>
    <row r="401" spans="1:5">
      <c r="A401" s="495"/>
      <c r="B401" s="495"/>
      <c r="C401" s="495"/>
      <c r="D401" s="496"/>
      <c r="E401" s="497"/>
    </row>
    <row r="402" spans="1:5">
      <c r="A402" s="495"/>
      <c r="B402" s="495"/>
      <c r="C402" s="495"/>
      <c r="D402" s="496"/>
      <c r="E402" s="497"/>
    </row>
    <row r="403" spans="1:5">
      <c r="A403" s="495"/>
      <c r="B403" s="495"/>
      <c r="C403" s="495"/>
      <c r="D403" s="496"/>
      <c r="E403" s="497"/>
    </row>
    <row r="404" spans="1:5">
      <c r="A404" s="498"/>
      <c r="B404" s="498"/>
      <c r="C404" s="498"/>
      <c r="D404" s="499"/>
      <c r="E404" s="500"/>
    </row>
    <row r="405" spans="1:5">
      <c r="A405" s="498"/>
      <c r="B405" s="498"/>
      <c r="C405" s="498"/>
      <c r="D405" s="499"/>
      <c r="E405" s="500"/>
    </row>
    <row r="406" spans="1:5">
      <c r="A406" s="495"/>
      <c r="B406" s="495"/>
      <c r="C406" s="495"/>
      <c r="D406" s="496"/>
      <c r="E406" s="497"/>
    </row>
    <row r="407" spans="1:5">
      <c r="A407" s="495"/>
      <c r="B407" s="495"/>
      <c r="C407" s="495"/>
      <c r="D407" s="496"/>
      <c r="E407" s="497"/>
    </row>
    <row r="408" spans="1:5">
      <c r="A408" s="498"/>
      <c r="B408" s="498"/>
      <c r="C408" s="498"/>
      <c r="D408" s="499"/>
      <c r="E408" s="500"/>
    </row>
    <row r="409" spans="1:5">
      <c r="A409" s="498"/>
      <c r="B409" s="498"/>
      <c r="C409" s="498"/>
      <c r="D409" s="499"/>
      <c r="E409" s="500"/>
    </row>
    <row r="410" spans="1:5">
      <c r="A410" s="495"/>
      <c r="B410" s="495"/>
      <c r="C410" s="495"/>
      <c r="D410" s="496"/>
      <c r="E410" s="497"/>
    </row>
    <row r="411" spans="1:5">
      <c r="A411" s="498"/>
      <c r="B411" s="498"/>
      <c r="C411" s="498"/>
      <c r="D411" s="499"/>
      <c r="E411" s="500"/>
    </row>
    <row r="412" spans="1:5">
      <c r="A412" s="498"/>
      <c r="B412" s="498"/>
      <c r="C412" s="498"/>
      <c r="D412" s="499"/>
      <c r="E412" s="500"/>
    </row>
    <row r="413" spans="1:5">
      <c r="A413" s="495"/>
      <c r="B413" s="495"/>
      <c r="C413" s="495"/>
      <c r="D413" s="496"/>
      <c r="E413" s="497"/>
    </row>
    <row r="414" spans="1:5">
      <c r="A414" s="495"/>
      <c r="B414" s="495"/>
      <c r="C414" s="495"/>
      <c r="D414" s="496"/>
      <c r="E414" s="497"/>
    </row>
    <row r="415" spans="1:5">
      <c r="A415" s="495"/>
      <c r="B415" s="495"/>
      <c r="C415" s="495"/>
      <c r="D415" s="496"/>
      <c r="E415" s="497"/>
    </row>
    <row r="416" spans="1:5">
      <c r="A416" s="495"/>
      <c r="B416" s="495"/>
      <c r="C416" s="495"/>
      <c r="D416" s="496"/>
      <c r="E416" s="497"/>
    </row>
    <row r="417" spans="1:5">
      <c r="A417" s="495"/>
      <c r="B417" s="495"/>
      <c r="C417" s="495"/>
      <c r="D417" s="496"/>
      <c r="E417" s="497"/>
    </row>
    <row r="418" spans="1:5">
      <c r="A418" s="498"/>
      <c r="B418" s="498"/>
      <c r="C418" s="498"/>
      <c r="D418" s="499"/>
      <c r="E418" s="500"/>
    </row>
    <row r="419" spans="1:5">
      <c r="A419" s="498"/>
      <c r="B419" s="498"/>
      <c r="C419" s="498"/>
      <c r="D419" s="499"/>
      <c r="E419" s="500"/>
    </row>
    <row r="420" spans="1:5">
      <c r="A420" s="495"/>
      <c r="B420" s="495"/>
      <c r="C420" s="495"/>
      <c r="D420" s="496"/>
      <c r="E420" s="497"/>
    </row>
    <row r="421" spans="1:5">
      <c r="A421" s="495"/>
      <c r="B421" s="495"/>
      <c r="C421" s="495"/>
      <c r="D421" s="496"/>
      <c r="E421" s="497"/>
    </row>
    <row r="422" spans="1:5">
      <c r="A422" s="495"/>
      <c r="B422" s="495"/>
      <c r="C422" s="495"/>
      <c r="D422" s="496"/>
      <c r="E422" s="497"/>
    </row>
    <row r="423" spans="1:5">
      <c r="A423" s="495"/>
      <c r="B423" s="495"/>
      <c r="C423" s="495"/>
      <c r="D423" s="496"/>
      <c r="E423" s="497"/>
    </row>
    <row r="424" spans="1:5">
      <c r="A424" s="495"/>
      <c r="B424" s="495"/>
      <c r="C424" s="495"/>
      <c r="D424" s="496"/>
      <c r="E424" s="497"/>
    </row>
    <row r="425" spans="1:5">
      <c r="A425" s="495"/>
      <c r="B425" s="495"/>
      <c r="C425" s="495"/>
      <c r="D425" s="496"/>
      <c r="E425" s="497"/>
    </row>
    <row r="426" spans="1:5">
      <c r="A426" s="495"/>
      <c r="B426" s="495"/>
      <c r="C426" s="495"/>
      <c r="D426" s="496"/>
      <c r="E426" s="497"/>
    </row>
    <row r="427" spans="1:5">
      <c r="A427" s="495"/>
      <c r="B427" s="495"/>
      <c r="C427" s="495"/>
      <c r="D427" s="496"/>
      <c r="E427" s="497"/>
    </row>
    <row r="428" spans="1:5">
      <c r="A428" s="495"/>
      <c r="B428" s="495"/>
      <c r="C428" s="495"/>
      <c r="D428" s="496"/>
      <c r="E428" s="497"/>
    </row>
    <row r="429" spans="1:5">
      <c r="A429" s="495"/>
      <c r="B429" s="495"/>
      <c r="C429" s="495"/>
      <c r="D429" s="496"/>
      <c r="E429" s="497"/>
    </row>
    <row r="430" spans="1:5">
      <c r="A430" s="495"/>
      <c r="B430" s="495"/>
      <c r="C430" s="495"/>
      <c r="D430" s="496"/>
      <c r="E430" s="497"/>
    </row>
    <row r="431" spans="1:5">
      <c r="A431" s="495"/>
      <c r="B431" s="495"/>
      <c r="C431" s="495"/>
      <c r="D431" s="496"/>
      <c r="E431" s="497"/>
    </row>
    <row r="432" spans="1:5">
      <c r="A432" s="495"/>
      <c r="B432" s="495"/>
      <c r="C432" s="495"/>
      <c r="D432" s="496"/>
      <c r="E432" s="497"/>
    </row>
    <row r="433" spans="1:5">
      <c r="A433" s="495"/>
      <c r="B433" s="495"/>
      <c r="C433" s="495"/>
      <c r="D433" s="496"/>
      <c r="E433" s="497"/>
    </row>
    <row r="434" spans="1:5">
      <c r="A434" s="495"/>
      <c r="B434" s="495"/>
      <c r="C434" s="495"/>
      <c r="D434" s="496"/>
      <c r="E434" s="497"/>
    </row>
    <row r="435" spans="1:5">
      <c r="A435" s="495"/>
      <c r="B435" s="495"/>
      <c r="C435" s="495"/>
      <c r="D435" s="496"/>
      <c r="E435" s="497"/>
    </row>
    <row r="436" spans="1:5">
      <c r="A436" s="498"/>
      <c r="B436" s="498"/>
      <c r="C436" s="498"/>
      <c r="D436" s="499"/>
      <c r="E436" s="500"/>
    </row>
    <row r="437" spans="1:5">
      <c r="A437" s="498"/>
      <c r="B437" s="498"/>
      <c r="C437" s="498"/>
      <c r="D437" s="499"/>
      <c r="E437" s="500"/>
    </row>
    <row r="438" spans="1:5">
      <c r="A438" s="498"/>
      <c r="B438" s="498"/>
      <c r="C438" s="498"/>
      <c r="D438" s="499"/>
      <c r="E438" s="500"/>
    </row>
    <row r="439" spans="1:5">
      <c r="A439" s="498"/>
      <c r="B439" s="498"/>
      <c r="C439" s="498"/>
      <c r="D439" s="499"/>
      <c r="E439" s="500"/>
    </row>
    <row r="440" spans="1:5">
      <c r="A440" s="495"/>
      <c r="B440" s="495"/>
      <c r="C440" s="495"/>
      <c r="D440" s="496"/>
      <c r="E440" s="497"/>
    </row>
    <row r="441" spans="1:5">
      <c r="A441" s="495"/>
      <c r="B441" s="495"/>
      <c r="C441" s="495"/>
      <c r="D441" s="496"/>
      <c r="E441" s="497"/>
    </row>
    <row r="442" spans="1:5">
      <c r="A442" s="495"/>
      <c r="B442" s="495"/>
      <c r="C442" s="495"/>
      <c r="D442" s="496"/>
      <c r="E442" s="497"/>
    </row>
    <row r="443" spans="1:5">
      <c r="A443" s="495"/>
      <c r="B443" s="495"/>
      <c r="C443" s="495"/>
      <c r="D443" s="496"/>
      <c r="E443" s="497"/>
    </row>
    <row r="444" spans="1:5">
      <c r="A444" s="495"/>
      <c r="B444" s="495"/>
      <c r="C444" s="495"/>
      <c r="D444" s="496"/>
      <c r="E444" s="497"/>
    </row>
    <row r="445" spans="1:5">
      <c r="A445" s="495"/>
      <c r="B445" s="495"/>
      <c r="C445" s="495"/>
      <c r="D445" s="496"/>
      <c r="E445" s="497"/>
    </row>
    <row r="446" spans="1:5">
      <c r="A446" s="495"/>
      <c r="B446" s="495"/>
      <c r="C446" s="495"/>
      <c r="D446" s="496"/>
      <c r="E446" s="497"/>
    </row>
    <row r="447" spans="1:5">
      <c r="A447" s="495"/>
      <c r="B447" s="495"/>
      <c r="C447" s="495"/>
      <c r="D447" s="496"/>
      <c r="E447" s="497"/>
    </row>
    <row r="448" spans="1:5">
      <c r="A448" s="495"/>
      <c r="B448" s="495"/>
      <c r="C448" s="495"/>
      <c r="D448" s="496"/>
      <c r="E448" s="497"/>
    </row>
    <row r="449" spans="1:5">
      <c r="A449" s="495"/>
      <c r="B449" s="495"/>
      <c r="C449" s="495"/>
      <c r="D449" s="496"/>
      <c r="E449" s="497"/>
    </row>
    <row r="450" spans="1:5">
      <c r="A450" s="495"/>
      <c r="B450" s="495"/>
      <c r="C450" s="495"/>
      <c r="D450" s="496"/>
      <c r="E450" s="497"/>
    </row>
    <row r="451" spans="1:5">
      <c r="A451" s="495"/>
      <c r="B451" s="495"/>
      <c r="C451" s="495"/>
      <c r="D451" s="496"/>
      <c r="E451" s="497"/>
    </row>
    <row r="452" spans="1:5">
      <c r="A452" s="495"/>
      <c r="B452" s="495"/>
      <c r="C452" s="495"/>
      <c r="D452" s="496"/>
      <c r="E452" s="497"/>
    </row>
    <row r="453" spans="1:5">
      <c r="A453" s="495"/>
      <c r="B453" s="495"/>
      <c r="C453" s="495"/>
      <c r="D453" s="496"/>
      <c r="E453" s="497"/>
    </row>
    <row r="454" spans="1:5">
      <c r="A454" s="495"/>
      <c r="B454" s="495"/>
      <c r="C454" s="495"/>
      <c r="D454" s="496"/>
      <c r="E454" s="497"/>
    </row>
    <row r="455" spans="1:5">
      <c r="A455" s="495"/>
      <c r="B455" s="495"/>
      <c r="C455" s="495"/>
      <c r="D455" s="496"/>
      <c r="E455" s="497"/>
    </row>
    <row r="456" spans="1:5">
      <c r="A456" s="498"/>
      <c r="B456" s="498"/>
      <c r="C456" s="498"/>
      <c r="D456" s="499"/>
      <c r="E456" s="500"/>
    </row>
    <row r="457" spans="1:5">
      <c r="A457" s="498"/>
      <c r="B457" s="498"/>
      <c r="C457" s="498"/>
      <c r="D457" s="499"/>
      <c r="E457" s="500"/>
    </row>
    <row r="458" spans="1:5">
      <c r="A458" s="498"/>
      <c r="B458" s="498"/>
      <c r="C458" s="498"/>
      <c r="D458" s="499"/>
      <c r="E458" s="500"/>
    </row>
    <row r="459" spans="1:5">
      <c r="A459" s="498"/>
      <c r="B459" s="498"/>
      <c r="C459" s="498"/>
      <c r="D459" s="499"/>
      <c r="E459" s="500"/>
    </row>
    <row r="460" spans="1:5">
      <c r="A460" s="498"/>
      <c r="B460" s="498"/>
      <c r="C460" s="498"/>
      <c r="D460" s="499"/>
      <c r="E460" s="500"/>
    </row>
    <row r="461" spans="1:5">
      <c r="A461" s="498"/>
      <c r="B461" s="498"/>
      <c r="C461" s="498"/>
      <c r="D461" s="499"/>
      <c r="E461" s="500"/>
    </row>
    <row r="462" spans="1:5">
      <c r="A462" s="495"/>
      <c r="B462" s="495"/>
      <c r="C462" s="495"/>
      <c r="D462" s="496"/>
      <c r="E462" s="497"/>
    </row>
    <row r="463" spans="1:5">
      <c r="A463" s="495"/>
      <c r="B463" s="495"/>
      <c r="C463" s="495"/>
      <c r="D463" s="496"/>
      <c r="E463" s="497"/>
    </row>
    <row r="464" spans="1:5">
      <c r="A464" s="495"/>
      <c r="B464" s="495"/>
      <c r="C464" s="495"/>
      <c r="D464" s="496"/>
      <c r="E464" s="497"/>
    </row>
    <row r="465" spans="1:5">
      <c r="A465" s="495"/>
      <c r="B465" s="495"/>
      <c r="C465" s="495"/>
      <c r="D465" s="496"/>
      <c r="E465" s="497"/>
    </row>
    <row r="466" spans="1:5">
      <c r="A466" s="495"/>
      <c r="B466" s="495"/>
      <c r="C466" s="495"/>
      <c r="D466" s="496"/>
      <c r="E466" s="497"/>
    </row>
    <row r="467" spans="1:5">
      <c r="A467" s="498"/>
      <c r="B467" s="498"/>
      <c r="C467" s="498"/>
      <c r="D467" s="499"/>
      <c r="E467" s="500"/>
    </row>
    <row r="468" spans="1:5">
      <c r="A468" s="498"/>
      <c r="B468" s="498"/>
      <c r="C468" s="498"/>
      <c r="D468" s="499"/>
      <c r="E468" s="500"/>
    </row>
    <row r="469" spans="1:5">
      <c r="A469" s="498"/>
      <c r="B469" s="498"/>
      <c r="C469" s="498"/>
      <c r="D469" s="499"/>
      <c r="E469" s="500"/>
    </row>
    <row r="470" spans="1:5">
      <c r="A470" s="498"/>
      <c r="B470" s="498"/>
      <c r="C470" s="498"/>
      <c r="D470" s="499"/>
      <c r="E470" s="500"/>
    </row>
    <row r="471" spans="1:5">
      <c r="A471" s="498"/>
      <c r="B471" s="498"/>
      <c r="C471" s="498"/>
      <c r="D471" s="499"/>
      <c r="E471" s="500"/>
    </row>
    <row r="472" spans="1:5">
      <c r="A472" s="495"/>
      <c r="B472" s="495"/>
      <c r="C472" s="495"/>
      <c r="D472" s="496"/>
      <c r="E472" s="497"/>
    </row>
    <row r="473" spans="1:5">
      <c r="A473" s="498"/>
      <c r="B473" s="498"/>
      <c r="C473" s="498"/>
      <c r="D473" s="499"/>
      <c r="E473" s="500"/>
    </row>
    <row r="474" spans="1:5">
      <c r="A474" s="498"/>
      <c r="B474" s="498"/>
      <c r="C474" s="498"/>
      <c r="D474" s="499"/>
      <c r="E474" s="500"/>
    </row>
    <row r="475" spans="1:5">
      <c r="A475" s="495"/>
      <c r="B475" s="495"/>
      <c r="C475" s="495"/>
      <c r="D475" s="496"/>
      <c r="E475" s="497"/>
    </row>
    <row r="476" spans="1:5">
      <c r="A476" s="495"/>
      <c r="B476" s="495"/>
      <c r="C476" s="495"/>
      <c r="D476" s="496"/>
      <c r="E476" s="497"/>
    </row>
    <row r="477" spans="1:5">
      <c r="A477" s="498"/>
      <c r="B477" s="498"/>
      <c r="C477" s="498"/>
      <c r="D477" s="499"/>
      <c r="E477" s="500"/>
    </row>
    <row r="478" spans="1:5">
      <c r="A478" s="498"/>
      <c r="B478" s="498"/>
      <c r="C478" s="498"/>
      <c r="D478" s="499"/>
      <c r="E478" s="500"/>
    </row>
    <row r="479" spans="1:5">
      <c r="A479" s="498"/>
      <c r="B479" s="498"/>
      <c r="C479" s="498"/>
      <c r="D479" s="499"/>
      <c r="E479" s="500"/>
    </row>
    <row r="480" spans="1:5">
      <c r="A480" s="498"/>
      <c r="B480" s="498"/>
      <c r="C480" s="498"/>
      <c r="D480" s="499"/>
      <c r="E480" s="500"/>
    </row>
    <row r="481" spans="1:5">
      <c r="A481" s="498"/>
      <c r="B481" s="498"/>
      <c r="C481" s="498"/>
      <c r="D481" s="499"/>
      <c r="E481" s="500"/>
    </row>
    <row r="482" spans="1:5">
      <c r="A482" s="495"/>
      <c r="B482" s="495"/>
      <c r="C482" s="495"/>
      <c r="D482" s="496"/>
      <c r="E482" s="497"/>
    </row>
    <row r="483" spans="1:5">
      <c r="A483" s="495"/>
      <c r="B483" s="495"/>
      <c r="C483" s="495"/>
      <c r="D483" s="496"/>
      <c r="E483" s="497"/>
    </row>
    <row r="484" spans="1:5">
      <c r="A484" s="498"/>
      <c r="B484" s="498"/>
      <c r="C484" s="498"/>
      <c r="D484" s="499"/>
      <c r="E484" s="500"/>
    </row>
    <row r="485" spans="1:5">
      <c r="A485" s="498"/>
      <c r="B485" s="498"/>
      <c r="C485" s="498"/>
      <c r="D485" s="499"/>
      <c r="E485" s="500"/>
    </row>
    <row r="486" spans="1:5">
      <c r="A486" s="495"/>
      <c r="B486" s="495"/>
      <c r="C486" s="495"/>
      <c r="D486" s="496"/>
      <c r="E486" s="497"/>
    </row>
    <row r="487" spans="1:5">
      <c r="A487" s="495"/>
      <c r="B487" s="495"/>
      <c r="C487" s="495"/>
      <c r="D487" s="496"/>
      <c r="E487" s="497"/>
    </row>
    <row r="488" spans="1:5">
      <c r="A488" s="498"/>
      <c r="B488" s="498"/>
      <c r="C488" s="498"/>
      <c r="D488" s="499"/>
      <c r="E488" s="500"/>
    </row>
    <row r="489" spans="1:5">
      <c r="A489" s="498"/>
      <c r="B489" s="498"/>
      <c r="C489" s="498"/>
      <c r="D489" s="499"/>
      <c r="E489" s="500"/>
    </row>
    <row r="490" spans="1:5">
      <c r="A490" s="498"/>
      <c r="B490" s="498"/>
      <c r="C490" s="498"/>
      <c r="D490" s="499"/>
      <c r="E490" s="500"/>
    </row>
    <row r="491" spans="1:5">
      <c r="A491" s="495"/>
      <c r="B491" s="495"/>
      <c r="C491" s="495"/>
      <c r="D491" s="496"/>
      <c r="E491" s="497"/>
    </row>
    <row r="492" spans="1:5">
      <c r="A492" s="495"/>
      <c r="B492" s="495"/>
      <c r="C492" s="495"/>
      <c r="D492" s="496"/>
      <c r="E492" s="497"/>
    </row>
    <row r="493" spans="1:5">
      <c r="A493" s="495"/>
      <c r="B493" s="495"/>
      <c r="C493" s="495"/>
      <c r="D493" s="496"/>
      <c r="E493" s="497"/>
    </row>
    <row r="494" spans="1:5">
      <c r="A494" s="495"/>
      <c r="B494" s="495"/>
      <c r="C494" s="495"/>
      <c r="D494" s="496"/>
      <c r="E494" s="497"/>
    </row>
    <row r="495" spans="1:5">
      <c r="A495" s="498"/>
      <c r="B495" s="498"/>
      <c r="C495" s="498"/>
      <c r="D495" s="499"/>
      <c r="E495" s="500"/>
    </row>
    <row r="496" spans="1:5">
      <c r="A496" s="498"/>
      <c r="B496" s="498"/>
      <c r="C496" s="498"/>
      <c r="D496" s="499"/>
      <c r="E496" s="500"/>
    </row>
    <row r="497" spans="1:5">
      <c r="A497" s="498"/>
      <c r="B497" s="498"/>
      <c r="C497" s="498"/>
      <c r="D497" s="499"/>
      <c r="E497" s="500"/>
    </row>
    <row r="498" spans="1:5">
      <c r="A498" s="495"/>
      <c r="B498" s="495"/>
      <c r="C498" s="495"/>
      <c r="D498" s="496"/>
      <c r="E498" s="497"/>
    </row>
    <row r="499" spans="1:5">
      <c r="A499" s="495"/>
      <c r="B499" s="495"/>
      <c r="C499" s="495"/>
      <c r="D499" s="496"/>
      <c r="E499" s="497"/>
    </row>
    <row r="500" spans="1:5">
      <c r="A500" s="495"/>
      <c r="B500" s="495"/>
      <c r="C500" s="495"/>
      <c r="D500" s="496"/>
      <c r="E500" s="497"/>
    </row>
    <row r="501" spans="1:5">
      <c r="A501" s="495"/>
      <c r="B501" s="495"/>
      <c r="C501" s="495"/>
      <c r="D501" s="496"/>
      <c r="E501" s="497"/>
    </row>
    <row r="502" spans="1:5">
      <c r="A502" s="498"/>
      <c r="B502" s="498"/>
      <c r="C502" s="498"/>
      <c r="D502" s="499"/>
      <c r="E502" s="500"/>
    </row>
    <row r="503" spans="1:5">
      <c r="A503" s="498"/>
      <c r="B503" s="498"/>
      <c r="C503" s="498"/>
      <c r="D503" s="499"/>
      <c r="E503" s="500"/>
    </row>
    <row r="504" spans="1:5">
      <c r="A504" s="498"/>
      <c r="B504" s="498"/>
      <c r="C504" s="498"/>
      <c r="D504" s="499"/>
      <c r="E504" s="500"/>
    </row>
    <row r="505" spans="1:5">
      <c r="A505" s="495"/>
      <c r="B505" s="495"/>
      <c r="C505" s="495"/>
      <c r="D505" s="496"/>
      <c r="E505" s="497"/>
    </row>
    <row r="506" spans="1:5">
      <c r="A506" s="495"/>
      <c r="B506" s="495"/>
      <c r="C506" s="495"/>
      <c r="D506" s="496"/>
      <c r="E506" s="497"/>
    </row>
    <row r="507" spans="1:5">
      <c r="A507" s="498"/>
      <c r="B507" s="498"/>
      <c r="C507" s="498"/>
      <c r="D507" s="499"/>
      <c r="E507" s="500"/>
    </row>
    <row r="508" spans="1:5">
      <c r="A508" s="498"/>
      <c r="B508" s="498"/>
      <c r="C508" s="498"/>
      <c r="D508" s="499"/>
      <c r="E508" s="500"/>
    </row>
    <row r="509" spans="1:5">
      <c r="A509" s="495"/>
      <c r="B509" s="495"/>
      <c r="C509" s="495"/>
      <c r="D509" s="496"/>
      <c r="E509" s="497"/>
    </row>
    <row r="510" spans="1:5">
      <c r="A510" s="498"/>
      <c r="B510" s="498"/>
      <c r="C510" s="498"/>
      <c r="D510" s="499"/>
      <c r="E510" s="500"/>
    </row>
    <row r="511" spans="1:5">
      <c r="A511" s="498"/>
      <c r="B511" s="498"/>
      <c r="C511" s="498"/>
      <c r="D511" s="499"/>
      <c r="E511" s="500"/>
    </row>
    <row r="512" spans="1:5">
      <c r="A512" s="495"/>
      <c r="B512" s="495"/>
      <c r="C512" s="495"/>
      <c r="D512" s="496"/>
      <c r="E512" s="497"/>
    </row>
    <row r="513" spans="1:5">
      <c r="A513" s="495"/>
      <c r="B513" s="495"/>
      <c r="C513" s="495"/>
      <c r="D513" s="496"/>
      <c r="E513" s="497"/>
    </row>
    <row r="514" spans="1:5">
      <c r="A514" s="495"/>
      <c r="B514" s="495"/>
      <c r="C514" s="495"/>
      <c r="D514" s="496"/>
      <c r="E514" s="497"/>
    </row>
    <row r="515" spans="1:5">
      <c r="A515" s="495"/>
      <c r="B515" s="495"/>
      <c r="C515" s="495"/>
      <c r="D515" s="496"/>
      <c r="E515" s="497"/>
    </row>
    <row r="516" spans="1:5">
      <c r="A516" s="495"/>
      <c r="B516" s="495"/>
      <c r="C516" s="495"/>
      <c r="D516" s="496"/>
      <c r="E516" s="497"/>
    </row>
    <row r="517" spans="1:5">
      <c r="A517" s="495"/>
      <c r="B517" s="495"/>
      <c r="C517" s="495"/>
      <c r="D517" s="496"/>
      <c r="E517" s="497"/>
    </row>
    <row r="518" spans="1:5">
      <c r="A518" s="495"/>
      <c r="B518" s="495"/>
      <c r="C518" s="495"/>
      <c r="D518" s="496"/>
      <c r="E518" s="497"/>
    </row>
    <row r="519" spans="1:5">
      <c r="A519" s="495"/>
      <c r="B519" s="495"/>
      <c r="C519" s="495"/>
      <c r="D519" s="496"/>
      <c r="E519" s="497"/>
    </row>
    <row r="520" spans="1:5">
      <c r="A520" s="495"/>
      <c r="B520" s="495"/>
      <c r="C520" s="495"/>
      <c r="D520" s="496"/>
      <c r="E520" s="497"/>
    </row>
    <row r="521" spans="1:5">
      <c r="A521" s="495"/>
      <c r="B521" s="495"/>
      <c r="C521" s="495"/>
      <c r="D521" s="496"/>
      <c r="E521" s="497"/>
    </row>
    <row r="522" spans="1:5">
      <c r="A522" s="495"/>
      <c r="B522" s="495"/>
      <c r="C522" s="495"/>
      <c r="D522" s="496"/>
      <c r="E522" s="497"/>
    </row>
    <row r="523" spans="1:5">
      <c r="A523" s="495"/>
      <c r="B523" s="495"/>
      <c r="C523" s="495"/>
      <c r="D523" s="496"/>
      <c r="E523" s="497"/>
    </row>
    <row r="524" spans="1:5">
      <c r="A524" s="495"/>
      <c r="B524" s="495"/>
      <c r="C524" s="495"/>
      <c r="D524" s="496"/>
      <c r="E524" s="497"/>
    </row>
    <row r="525" spans="1:5">
      <c r="A525" s="495"/>
      <c r="B525" s="495"/>
      <c r="C525" s="495"/>
      <c r="D525" s="496"/>
      <c r="E525" s="497"/>
    </row>
    <row r="526" spans="1:5">
      <c r="A526" s="495"/>
      <c r="B526" s="495"/>
      <c r="C526" s="495"/>
      <c r="D526" s="496"/>
      <c r="E526" s="497"/>
    </row>
    <row r="527" spans="1:5">
      <c r="A527" s="495"/>
      <c r="B527" s="495"/>
      <c r="C527" s="495"/>
      <c r="D527" s="496"/>
      <c r="E527" s="497"/>
    </row>
    <row r="528" spans="1:5">
      <c r="A528" s="495"/>
      <c r="B528" s="495"/>
      <c r="C528" s="495"/>
      <c r="D528" s="496"/>
      <c r="E528" s="497"/>
    </row>
    <row r="529" spans="1:5">
      <c r="A529" s="495"/>
      <c r="B529" s="495"/>
      <c r="C529" s="495"/>
      <c r="D529" s="496"/>
      <c r="E529" s="497"/>
    </row>
    <row r="530" spans="1:5">
      <c r="A530" s="495"/>
      <c r="B530" s="495"/>
      <c r="C530" s="495"/>
      <c r="D530" s="496"/>
      <c r="E530" s="497"/>
    </row>
    <row r="531" spans="1:5">
      <c r="A531" s="495"/>
      <c r="B531" s="495"/>
      <c r="C531" s="495"/>
      <c r="D531" s="496"/>
      <c r="E531" s="497"/>
    </row>
    <row r="532" spans="1:5">
      <c r="A532" s="495"/>
      <c r="B532" s="495"/>
      <c r="C532" s="495"/>
      <c r="D532" s="496"/>
      <c r="E532" s="497"/>
    </row>
    <row r="533" spans="1:5">
      <c r="A533" s="495"/>
      <c r="B533" s="495"/>
      <c r="C533" s="495"/>
      <c r="D533" s="496"/>
      <c r="E533" s="497"/>
    </row>
    <row r="534" spans="1:5">
      <c r="A534" s="495"/>
      <c r="B534" s="495"/>
      <c r="C534" s="495"/>
      <c r="D534" s="496"/>
      <c r="E534" s="497"/>
    </row>
    <row r="535" spans="1:5">
      <c r="A535" s="495"/>
      <c r="B535" s="495"/>
      <c r="C535" s="495"/>
      <c r="D535" s="496"/>
      <c r="E535" s="497"/>
    </row>
    <row r="536" spans="1:5">
      <c r="A536" s="498"/>
      <c r="B536" s="498"/>
      <c r="C536" s="498"/>
      <c r="D536" s="499"/>
      <c r="E536" s="500"/>
    </row>
    <row r="537" spans="1:5">
      <c r="A537" s="498"/>
      <c r="B537" s="498"/>
      <c r="C537" s="498"/>
      <c r="D537" s="499"/>
      <c r="E537" s="500"/>
    </row>
    <row r="538" spans="1:5">
      <c r="A538" s="498"/>
      <c r="B538" s="498"/>
      <c r="C538" s="498"/>
      <c r="D538" s="499"/>
      <c r="E538" s="500"/>
    </row>
    <row r="539" spans="1:5">
      <c r="A539" s="498"/>
      <c r="B539" s="498"/>
      <c r="C539" s="498"/>
      <c r="D539" s="499"/>
      <c r="E539" s="500"/>
    </row>
    <row r="540" spans="1:5">
      <c r="A540" s="495"/>
      <c r="B540" s="495"/>
      <c r="C540" s="495"/>
      <c r="D540" s="496"/>
      <c r="E540" s="497"/>
    </row>
    <row r="541" spans="1:5">
      <c r="A541" s="498"/>
      <c r="B541" s="498"/>
      <c r="C541" s="498"/>
      <c r="D541" s="499"/>
      <c r="E541" s="500"/>
    </row>
    <row r="542" spans="1:5">
      <c r="A542" s="495"/>
      <c r="B542" s="495"/>
      <c r="C542" s="495"/>
      <c r="D542" s="496"/>
      <c r="E542" s="497"/>
    </row>
    <row r="543" spans="1:5">
      <c r="A543" s="495"/>
      <c r="B543" s="495"/>
      <c r="C543" s="495"/>
      <c r="D543" s="496"/>
      <c r="E543" s="497"/>
    </row>
    <row r="544" spans="1:5">
      <c r="A544" s="495"/>
      <c r="B544" s="495"/>
      <c r="C544" s="495"/>
      <c r="D544" s="496"/>
      <c r="E544" s="497"/>
    </row>
    <row r="545" spans="1:5">
      <c r="A545" s="495"/>
      <c r="B545" s="495"/>
      <c r="C545" s="495"/>
      <c r="D545" s="496"/>
      <c r="E545" s="497"/>
    </row>
    <row r="546" spans="1:5">
      <c r="A546" s="495"/>
      <c r="B546" s="495"/>
      <c r="C546" s="495"/>
      <c r="D546" s="496"/>
      <c r="E546" s="497"/>
    </row>
    <row r="547" spans="1:5">
      <c r="A547" s="495"/>
      <c r="B547" s="495"/>
      <c r="C547" s="495"/>
      <c r="D547" s="496"/>
      <c r="E547" s="497"/>
    </row>
    <row r="548" spans="1:5">
      <c r="A548" s="498"/>
      <c r="B548" s="498"/>
      <c r="C548" s="498"/>
      <c r="D548" s="499"/>
      <c r="E548" s="500"/>
    </row>
    <row r="549" spans="1:5">
      <c r="A549" s="498"/>
      <c r="B549" s="498"/>
      <c r="C549" s="498"/>
      <c r="D549" s="499"/>
      <c r="E549" s="500"/>
    </row>
    <row r="550" spans="1:5">
      <c r="A550" s="495"/>
      <c r="B550" s="495"/>
      <c r="C550" s="495"/>
      <c r="D550" s="496"/>
      <c r="E550" s="497"/>
    </row>
    <row r="551" spans="1:5">
      <c r="A551" s="495"/>
      <c r="B551" s="495"/>
      <c r="C551" s="495"/>
      <c r="D551" s="496"/>
      <c r="E551" s="497"/>
    </row>
    <row r="552" spans="1:5">
      <c r="A552" s="495"/>
      <c r="B552" s="495"/>
      <c r="C552" s="495"/>
      <c r="D552" s="496"/>
      <c r="E552" s="497"/>
    </row>
    <row r="553" spans="1:5">
      <c r="A553" s="495"/>
      <c r="B553" s="495"/>
      <c r="C553" s="495"/>
      <c r="D553" s="496"/>
      <c r="E553" s="497"/>
    </row>
    <row r="554" spans="1:5">
      <c r="A554" s="495"/>
      <c r="B554" s="495"/>
      <c r="C554" s="495"/>
      <c r="D554" s="496"/>
      <c r="E554" s="497"/>
    </row>
    <row r="555" spans="1:5">
      <c r="A555" s="495"/>
      <c r="B555" s="495"/>
      <c r="C555" s="495"/>
      <c r="D555" s="496"/>
      <c r="E555" s="497"/>
    </row>
    <row r="556" spans="1:5">
      <c r="A556" s="495"/>
      <c r="B556" s="495"/>
      <c r="C556" s="495"/>
      <c r="D556" s="496"/>
      <c r="E556" s="497"/>
    </row>
    <row r="557" spans="1:5">
      <c r="A557" s="495"/>
      <c r="B557" s="495"/>
      <c r="C557" s="495"/>
      <c r="D557" s="496"/>
      <c r="E557" s="497"/>
    </row>
    <row r="558" spans="1:5">
      <c r="A558" s="498"/>
      <c r="B558" s="498"/>
      <c r="C558" s="498"/>
      <c r="D558" s="499"/>
      <c r="E558" s="500"/>
    </row>
    <row r="559" spans="1:5">
      <c r="A559" s="498"/>
      <c r="B559" s="498"/>
      <c r="C559" s="498"/>
      <c r="D559" s="499"/>
      <c r="E559" s="500"/>
    </row>
    <row r="560" spans="1:5">
      <c r="A560" s="498"/>
      <c r="B560" s="498"/>
      <c r="C560" s="498"/>
      <c r="D560" s="499"/>
      <c r="E560" s="500"/>
    </row>
    <row r="561" spans="1:5">
      <c r="A561" s="498"/>
      <c r="B561" s="498"/>
      <c r="C561" s="498"/>
      <c r="D561" s="499"/>
      <c r="E561" s="500"/>
    </row>
    <row r="562" spans="1:5">
      <c r="A562" s="498"/>
      <c r="B562" s="498"/>
      <c r="C562" s="498"/>
      <c r="D562" s="499"/>
      <c r="E562" s="500"/>
    </row>
    <row r="563" spans="1:5">
      <c r="A563" s="498"/>
      <c r="B563" s="498"/>
      <c r="C563" s="498"/>
      <c r="D563" s="499"/>
      <c r="E563" s="500"/>
    </row>
    <row r="564" spans="1:5">
      <c r="A564" s="498"/>
      <c r="B564" s="498"/>
      <c r="C564" s="498"/>
      <c r="D564" s="499"/>
      <c r="E564" s="500"/>
    </row>
    <row r="565" spans="1:5">
      <c r="A565" s="498"/>
      <c r="B565" s="498"/>
      <c r="C565" s="498"/>
      <c r="D565" s="499"/>
      <c r="E565" s="500"/>
    </row>
    <row r="566" spans="1:5">
      <c r="A566" s="495"/>
      <c r="B566" s="495"/>
      <c r="C566" s="495"/>
      <c r="D566" s="496"/>
      <c r="E566" s="497"/>
    </row>
    <row r="567" spans="1:5">
      <c r="A567" s="495"/>
      <c r="B567" s="495"/>
      <c r="C567" s="495"/>
      <c r="D567" s="496"/>
      <c r="E567" s="497"/>
    </row>
    <row r="568" spans="1:5">
      <c r="A568" s="495"/>
      <c r="B568" s="495"/>
      <c r="C568" s="495"/>
      <c r="D568" s="496"/>
      <c r="E568" s="497"/>
    </row>
    <row r="569" spans="1:5">
      <c r="A569" s="495"/>
      <c r="B569" s="495"/>
      <c r="C569" s="495"/>
      <c r="D569" s="496"/>
      <c r="E569" s="497"/>
    </row>
    <row r="570" spans="1:5">
      <c r="A570" s="495"/>
      <c r="B570" s="495"/>
      <c r="C570" s="495"/>
      <c r="D570" s="496"/>
      <c r="E570" s="497"/>
    </row>
    <row r="571" spans="1:5">
      <c r="A571" s="495"/>
      <c r="B571" s="495"/>
      <c r="C571" s="495"/>
      <c r="D571" s="496"/>
      <c r="E571" s="497"/>
    </row>
    <row r="572" spans="1:5">
      <c r="A572" s="495"/>
      <c r="B572" s="495"/>
      <c r="C572" s="495"/>
      <c r="D572" s="496"/>
      <c r="E572" s="497"/>
    </row>
    <row r="573" spans="1:5">
      <c r="A573" s="495"/>
      <c r="B573" s="495"/>
      <c r="C573" s="495"/>
      <c r="D573" s="496"/>
      <c r="E573" s="497"/>
    </row>
    <row r="574" spans="1:5">
      <c r="A574" s="495"/>
      <c r="B574" s="495"/>
      <c r="C574" s="495"/>
      <c r="D574" s="496"/>
      <c r="E574" s="497"/>
    </row>
    <row r="575" spans="1:5">
      <c r="A575" s="495"/>
      <c r="B575" s="495"/>
      <c r="C575" s="495"/>
      <c r="D575" s="496"/>
      <c r="E575" s="497"/>
    </row>
    <row r="576" spans="1:5">
      <c r="A576" s="495"/>
      <c r="B576" s="495"/>
      <c r="C576" s="495"/>
      <c r="D576" s="496"/>
      <c r="E576" s="497"/>
    </row>
    <row r="577" spans="1:5">
      <c r="A577" s="498"/>
      <c r="B577" s="498"/>
      <c r="C577" s="498"/>
      <c r="D577" s="499"/>
      <c r="E577" s="500"/>
    </row>
    <row r="578" spans="1:5">
      <c r="A578" s="495"/>
      <c r="B578" s="495"/>
      <c r="C578" s="495"/>
      <c r="D578" s="496"/>
      <c r="E578" s="497"/>
    </row>
    <row r="579" spans="1:5">
      <c r="A579" s="495"/>
      <c r="B579" s="495"/>
      <c r="C579" s="495"/>
      <c r="D579" s="496"/>
      <c r="E579" s="497"/>
    </row>
    <row r="580" spans="1:5">
      <c r="A580" s="495"/>
      <c r="B580" s="495"/>
      <c r="C580" s="495"/>
      <c r="D580" s="496"/>
      <c r="E580" s="497"/>
    </row>
    <row r="581" spans="1:5">
      <c r="A581" s="495"/>
      <c r="B581" s="495"/>
      <c r="C581" s="495"/>
      <c r="D581" s="496"/>
      <c r="E581" s="497"/>
    </row>
    <row r="582" spans="1:5">
      <c r="A582" s="495"/>
      <c r="B582" s="495"/>
      <c r="C582" s="495"/>
      <c r="D582" s="496"/>
      <c r="E582" s="497"/>
    </row>
    <row r="583" spans="1:5">
      <c r="A583" s="495"/>
      <c r="B583" s="495"/>
      <c r="C583" s="495"/>
      <c r="D583" s="496"/>
      <c r="E583" s="497"/>
    </row>
    <row r="584" spans="1:5">
      <c r="A584" s="498"/>
      <c r="B584" s="498"/>
      <c r="C584" s="498"/>
      <c r="D584" s="499"/>
      <c r="E584" s="500"/>
    </row>
    <row r="585" spans="1:5">
      <c r="A585" s="498"/>
      <c r="B585" s="498"/>
      <c r="C585" s="498"/>
      <c r="D585" s="499"/>
      <c r="E585" s="500"/>
    </row>
    <row r="586" spans="1:5">
      <c r="A586" s="495"/>
      <c r="B586" s="495"/>
      <c r="C586" s="495"/>
      <c r="D586" s="496"/>
      <c r="E586" s="497"/>
    </row>
    <row r="587" spans="1:5">
      <c r="A587" s="495"/>
      <c r="B587" s="495"/>
      <c r="C587" s="495"/>
      <c r="D587" s="496"/>
      <c r="E587" s="497"/>
    </row>
    <row r="588" spans="1:5">
      <c r="A588" s="495"/>
      <c r="B588" s="495"/>
      <c r="C588" s="495"/>
      <c r="D588" s="496"/>
      <c r="E588" s="497"/>
    </row>
    <row r="589" spans="1:5">
      <c r="A589" s="495"/>
      <c r="B589" s="495"/>
      <c r="C589" s="495"/>
      <c r="D589" s="496"/>
      <c r="E589" s="497"/>
    </row>
    <row r="590" spans="1:5">
      <c r="A590" s="495"/>
      <c r="B590" s="495"/>
      <c r="C590" s="495"/>
      <c r="D590" s="496"/>
      <c r="E590" s="497"/>
    </row>
    <row r="591" spans="1:5">
      <c r="A591" s="495"/>
      <c r="B591" s="495"/>
      <c r="C591" s="495"/>
      <c r="D591" s="496"/>
      <c r="E591" s="497"/>
    </row>
    <row r="592" spans="1:5">
      <c r="A592" s="498"/>
      <c r="B592" s="498"/>
      <c r="C592" s="498"/>
      <c r="D592" s="499"/>
      <c r="E592" s="500"/>
    </row>
    <row r="593" spans="1:5">
      <c r="A593" s="498"/>
      <c r="B593" s="498"/>
      <c r="C593" s="498"/>
      <c r="D593" s="499"/>
      <c r="E593" s="500"/>
    </row>
    <row r="594" spans="1:5">
      <c r="A594" s="495"/>
      <c r="B594" s="495"/>
      <c r="C594" s="495"/>
      <c r="D594" s="496"/>
      <c r="E594" s="497"/>
    </row>
    <row r="595" spans="1:5">
      <c r="A595" s="495"/>
      <c r="B595" s="495"/>
      <c r="C595" s="495"/>
      <c r="D595" s="496"/>
      <c r="E595" s="497"/>
    </row>
    <row r="596" spans="1:5">
      <c r="A596" s="498"/>
      <c r="B596" s="498"/>
      <c r="C596" s="498"/>
      <c r="D596" s="499"/>
      <c r="E596" s="500"/>
    </row>
    <row r="597" spans="1:5">
      <c r="A597" s="498"/>
      <c r="B597" s="498"/>
      <c r="C597" s="498"/>
      <c r="D597" s="499"/>
      <c r="E597" s="500"/>
    </row>
    <row r="598" spans="1:5">
      <c r="A598" s="498"/>
      <c r="B598" s="498"/>
      <c r="C598" s="498"/>
      <c r="D598" s="499"/>
      <c r="E598" s="500"/>
    </row>
    <row r="599" spans="1:5">
      <c r="A599" s="498"/>
      <c r="B599" s="498"/>
      <c r="C599" s="498"/>
      <c r="D599" s="499"/>
      <c r="E599" s="500"/>
    </row>
    <row r="600" spans="1:5">
      <c r="A600" s="495"/>
      <c r="B600" s="495"/>
      <c r="C600" s="495"/>
      <c r="D600" s="496"/>
      <c r="E600" s="497"/>
    </row>
    <row r="601" spans="1:5">
      <c r="A601" s="495"/>
      <c r="B601" s="495"/>
      <c r="C601" s="495"/>
      <c r="D601" s="496"/>
      <c r="E601" s="497"/>
    </row>
    <row r="602" spans="1:5">
      <c r="A602" s="495"/>
      <c r="B602" s="495"/>
      <c r="C602" s="495"/>
      <c r="D602" s="496"/>
      <c r="E602" s="497"/>
    </row>
    <row r="603" spans="1:5">
      <c r="A603" s="495"/>
      <c r="B603" s="495"/>
      <c r="C603" s="495"/>
      <c r="D603" s="496"/>
      <c r="E603" s="497"/>
    </row>
    <row r="604" spans="1:5">
      <c r="A604" s="498"/>
      <c r="B604" s="498"/>
      <c r="C604" s="498"/>
      <c r="D604" s="499"/>
      <c r="E604" s="500"/>
    </row>
    <row r="605" spans="1:5">
      <c r="A605" s="498"/>
      <c r="B605" s="498"/>
      <c r="C605" s="498"/>
      <c r="D605" s="499"/>
      <c r="E605" s="500"/>
    </row>
    <row r="606" spans="1:5">
      <c r="A606" s="495"/>
      <c r="B606" s="495"/>
      <c r="C606" s="495"/>
      <c r="D606" s="496"/>
      <c r="E606" s="497"/>
    </row>
    <row r="607" spans="1:5">
      <c r="A607" s="495"/>
      <c r="B607" s="495"/>
      <c r="C607" s="495"/>
      <c r="D607" s="496"/>
      <c r="E607" s="497"/>
    </row>
    <row r="608" spans="1:5">
      <c r="A608" s="495"/>
      <c r="B608" s="495"/>
      <c r="C608" s="495"/>
      <c r="D608" s="496"/>
      <c r="E608" s="497"/>
    </row>
    <row r="609" spans="1:5">
      <c r="A609" s="495"/>
      <c r="B609" s="495"/>
      <c r="C609" s="495"/>
      <c r="D609" s="496"/>
      <c r="E609" s="497"/>
    </row>
    <row r="610" spans="1:5">
      <c r="A610" s="495"/>
      <c r="B610" s="495"/>
      <c r="C610" s="495"/>
      <c r="D610" s="496"/>
      <c r="E610" s="497"/>
    </row>
    <row r="611" spans="1:5">
      <c r="A611" s="495"/>
      <c r="B611" s="495"/>
      <c r="C611" s="495"/>
      <c r="D611" s="496"/>
      <c r="E611" s="497"/>
    </row>
    <row r="612" spans="1:5">
      <c r="A612" s="495"/>
      <c r="B612" s="495"/>
      <c r="C612" s="495"/>
      <c r="D612" s="496"/>
      <c r="E612" s="497"/>
    </row>
    <row r="613" spans="1:5">
      <c r="A613" s="495"/>
      <c r="B613" s="495"/>
      <c r="C613" s="495"/>
      <c r="D613" s="496"/>
      <c r="E613" s="497"/>
    </row>
    <row r="614" spans="1:5">
      <c r="A614" s="495"/>
      <c r="B614" s="495"/>
      <c r="C614" s="495"/>
      <c r="D614" s="496"/>
      <c r="E614" s="497"/>
    </row>
    <row r="615" spans="1:5">
      <c r="A615" s="498"/>
      <c r="B615" s="498"/>
      <c r="C615" s="498"/>
      <c r="D615" s="499"/>
      <c r="E615" s="500"/>
    </row>
    <row r="616" spans="1:5">
      <c r="A616" s="498"/>
      <c r="B616" s="498"/>
      <c r="C616" s="498"/>
      <c r="D616" s="499"/>
      <c r="E616" s="500"/>
    </row>
    <row r="617" spans="1:5">
      <c r="A617" s="495"/>
      <c r="B617" s="495"/>
      <c r="C617" s="495"/>
      <c r="D617" s="496"/>
      <c r="E617" s="497"/>
    </row>
    <row r="618" spans="1:5">
      <c r="A618" s="498"/>
      <c r="B618" s="498"/>
      <c r="C618" s="498"/>
      <c r="D618" s="499"/>
      <c r="E618" s="500"/>
    </row>
    <row r="619" spans="1:5">
      <c r="A619" s="498"/>
      <c r="B619" s="498"/>
      <c r="C619" s="498"/>
      <c r="D619" s="499"/>
      <c r="E619" s="500"/>
    </row>
    <row r="620" spans="1:5">
      <c r="A620" s="495"/>
      <c r="B620" s="495"/>
      <c r="C620" s="495"/>
      <c r="D620" s="496"/>
      <c r="E620" s="497"/>
    </row>
    <row r="621" spans="1:5">
      <c r="A621" s="495"/>
      <c r="B621" s="495"/>
      <c r="C621" s="495"/>
      <c r="D621" s="496"/>
      <c r="E621" s="497"/>
    </row>
    <row r="622" spans="1:5">
      <c r="A622" s="495"/>
      <c r="B622" s="495"/>
      <c r="C622" s="495"/>
      <c r="D622" s="496"/>
      <c r="E622" s="497"/>
    </row>
    <row r="623" spans="1:5">
      <c r="A623" s="498"/>
      <c r="B623" s="498"/>
      <c r="C623" s="498"/>
      <c r="D623" s="499"/>
      <c r="E623" s="500"/>
    </row>
    <row r="624" spans="1:5">
      <c r="A624" s="498"/>
      <c r="B624" s="498"/>
      <c r="C624" s="498"/>
      <c r="D624" s="499"/>
      <c r="E624" s="500"/>
    </row>
    <row r="625" spans="1:5">
      <c r="A625" s="498"/>
      <c r="B625" s="498"/>
      <c r="C625" s="498"/>
      <c r="D625" s="499"/>
      <c r="E625" s="500"/>
    </row>
    <row r="626" spans="1:5">
      <c r="A626" s="498"/>
      <c r="B626" s="498"/>
      <c r="C626" s="498"/>
      <c r="D626" s="499"/>
      <c r="E626" s="500"/>
    </row>
    <row r="627" spans="1:5">
      <c r="A627" s="495"/>
      <c r="B627" s="495"/>
      <c r="C627" s="495"/>
      <c r="D627" s="496"/>
      <c r="E627" s="497"/>
    </row>
    <row r="628" spans="1:5">
      <c r="A628" s="495"/>
      <c r="B628" s="495"/>
      <c r="C628" s="495"/>
      <c r="D628" s="496"/>
      <c r="E628" s="497"/>
    </row>
    <row r="629" spans="1:5">
      <c r="A629" s="495"/>
      <c r="B629" s="495"/>
      <c r="C629" s="495"/>
      <c r="D629" s="496"/>
      <c r="E629" s="497"/>
    </row>
    <row r="630" spans="1:5">
      <c r="A630" s="495"/>
      <c r="B630" s="495"/>
      <c r="C630" s="495"/>
      <c r="D630" s="496"/>
      <c r="E630" s="497"/>
    </row>
    <row r="631" spans="1:5">
      <c r="A631" s="495"/>
      <c r="B631" s="495"/>
      <c r="C631" s="495"/>
      <c r="D631" s="496"/>
      <c r="E631" s="497"/>
    </row>
    <row r="632" spans="1:5">
      <c r="A632" s="495"/>
      <c r="B632" s="495"/>
      <c r="C632" s="495"/>
      <c r="D632" s="496"/>
      <c r="E632" s="497"/>
    </row>
    <row r="633" spans="1:5">
      <c r="A633" s="498"/>
      <c r="B633" s="498"/>
      <c r="C633" s="498"/>
      <c r="D633" s="499"/>
      <c r="E633" s="500"/>
    </row>
    <row r="634" spans="1:5">
      <c r="A634" s="498"/>
      <c r="B634" s="498"/>
      <c r="C634" s="498"/>
      <c r="D634" s="499"/>
      <c r="E634" s="500"/>
    </row>
    <row r="635" spans="1:5">
      <c r="A635" s="495"/>
      <c r="B635" s="495"/>
      <c r="C635" s="495"/>
      <c r="D635" s="496"/>
      <c r="E635" s="497"/>
    </row>
    <row r="636" spans="1:5">
      <c r="A636" s="495"/>
      <c r="B636" s="495"/>
      <c r="C636" s="495"/>
      <c r="D636" s="496"/>
      <c r="E636" s="497"/>
    </row>
    <row r="637" spans="1:5">
      <c r="A637" s="495"/>
      <c r="B637" s="495"/>
      <c r="C637" s="495"/>
      <c r="D637" s="496"/>
      <c r="E637" s="497"/>
    </row>
    <row r="638" spans="1:5">
      <c r="A638" s="495"/>
      <c r="B638" s="495"/>
      <c r="C638" s="495"/>
      <c r="D638" s="496"/>
      <c r="E638" s="497"/>
    </row>
    <row r="639" spans="1:5">
      <c r="A639" s="498"/>
      <c r="B639" s="498"/>
      <c r="C639" s="498"/>
      <c r="D639" s="499"/>
      <c r="E639" s="500"/>
    </row>
    <row r="640" spans="1:5">
      <c r="A640" s="498"/>
      <c r="B640" s="498"/>
      <c r="C640" s="498"/>
      <c r="D640" s="499"/>
      <c r="E640" s="500"/>
    </row>
    <row r="641" spans="1:5">
      <c r="A641" s="498"/>
      <c r="B641" s="498"/>
      <c r="C641" s="498"/>
      <c r="D641" s="499"/>
      <c r="E641" s="500"/>
    </row>
    <row r="642" spans="1:5">
      <c r="A642" s="498"/>
      <c r="B642" s="498"/>
      <c r="C642" s="498"/>
      <c r="D642" s="499"/>
      <c r="E642" s="500"/>
    </row>
    <row r="643" spans="1:5">
      <c r="A643" s="495"/>
      <c r="B643" s="495"/>
      <c r="C643" s="495"/>
      <c r="D643" s="496"/>
      <c r="E643" s="497"/>
    </row>
    <row r="644" spans="1:5">
      <c r="A644" s="495"/>
      <c r="B644" s="495"/>
      <c r="C644" s="495"/>
      <c r="D644" s="496"/>
      <c r="E644" s="497"/>
    </row>
    <row r="645" spans="1:5">
      <c r="A645" s="495"/>
      <c r="B645" s="495"/>
      <c r="C645" s="495"/>
      <c r="D645" s="496"/>
      <c r="E645" s="497"/>
    </row>
    <row r="646" spans="1:5">
      <c r="A646" s="495"/>
      <c r="B646" s="495"/>
      <c r="C646" s="495"/>
      <c r="D646" s="496"/>
      <c r="E646" s="497"/>
    </row>
    <row r="647" spans="1:5">
      <c r="A647" s="495"/>
      <c r="B647" s="495"/>
      <c r="C647" s="495"/>
      <c r="D647" s="496"/>
      <c r="E647" s="497"/>
    </row>
    <row r="648" spans="1:5">
      <c r="A648" s="495"/>
      <c r="B648" s="495"/>
      <c r="C648" s="495"/>
      <c r="D648" s="496"/>
      <c r="E648" s="497"/>
    </row>
    <row r="649" spans="1:5">
      <c r="A649" s="495"/>
      <c r="B649" s="495"/>
      <c r="C649" s="495"/>
      <c r="D649" s="496"/>
      <c r="E649" s="497"/>
    </row>
    <row r="650" spans="1:5">
      <c r="A650" s="495"/>
      <c r="B650" s="495"/>
      <c r="C650" s="495"/>
      <c r="D650" s="496"/>
      <c r="E650" s="497"/>
    </row>
    <row r="651" spans="1:5">
      <c r="A651" s="495"/>
      <c r="B651" s="495"/>
      <c r="C651" s="495"/>
      <c r="D651" s="496"/>
      <c r="E651" s="497"/>
    </row>
    <row r="652" spans="1:5">
      <c r="A652" s="495"/>
      <c r="B652" s="495"/>
      <c r="C652" s="495"/>
      <c r="D652" s="496"/>
      <c r="E652" s="497"/>
    </row>
    <row r="653" spans="1:5">
      <c r="A653" s="495"/>
      <c r="B653" s="495"/>
      <c r="C653" s="495"/>
      <c r="D653" s="496"/>
      <c r="E653" s="497"/>
    </row>
    <row r="654" spans="1:5">
      <c r="A654" s="498"/>
      <c r="B654" s="498"/>
      <c r="C654" s="498"/>
      <c r="D654" s="499"/>
      <c r="E654" s="500"/>
    </row>
    <row r="655" spans="1:5">
      <c r="A655" s="498"/>
      <c r="B655" s="498"/>
      <c r="C655" s="498"/>
      <c r="D655" s="499"/>
      <c r="E655" s="500"/>
    </row>
    <row r="656" spans="1:5">
      <c r="A656" s="495"/>
      <c r="B656" s="495"/>
      <c r="C656" s="495"/>
      <c r="D656" s="496"/>
      <c r="E656" s="497"/>
    </row>
    <row r="657" spans="1:5">
      <c r="A657" s="495"/>
      <c r="B657" s="495"/>
      <c r="C657" s="495"/>
      <c r="D657" s="496"/>
      <c r="E657" s="497"/>
    </row>
    <row r="658" spans="1:5">
      <c r="A658" s="495"/>
      <c r="B658" s="495"/>
      <c r="C658" s="495"/>
      <c r="D658" s="496"/>
      <c r="E658" s="497"/>
    </row>
    <row r="659" spans="1:5">
      <c r="A659" s="495"/>
      <c r="B659" s="495"/>
      <c r="C659" s="495"/>
      <c r="D659" s="496"/>
      <c r="E659" s="497"/>
    </row>
    <row r="660" spans="1:5">
      <c r="A660" s="495"/>
      <c r="B660" s="495"/>
      <c r="C660" s="495"/>
      <c r="D660" s="496"/>
      <c r="E660" s="497"/>
    </row>
    <row r="661" spans="1:5">
      <c r="A661" s="495"/>
      <c r="B661" s="495"/>
      <c r="C661" s="495"/>
      <c r="D661" s="496"/>
      <c r="E661" s="497"/>
    </row>
    <row r="662" spans="1:5">
      <c r="A662" s="495"/>
      <c r="B662" s="495"/>
      <c r="C662" s="495"/>
      <c r="D662" s="496"/>
      <c r="E662" s="497"/>
    </row>
    <row r="663" spans="1:5">
      <c r="A663" s="495"/>
      <c r="B663" s="495"/>
      <c r="C663" s="495"/>
      <c r="D663" s="496"/>
      <c r="E663" s="497"/>
    </row>
    <row r="664" spans="1:5">
      <c r="A664" s="495"/>
      <c r="B664" s="495"/>
      <c r="C664" s="495"/>
      <c r="D664" s="496"/>
      <c r="E664" s="497"/>
    </row>
    <row r="665" spans="1:5">
      <c r="A665" s="498"/>
      <c r="B665" s="498"/>
      <c r="C665" s="498"/>
      <c r="D665" s="499"/>
      <c r="E665" s="500"/>
    </row>
    <row r="666" spans="1:5">
      <c r="A666" s="498"/>
      <c r="B666" s="498"/>
      <c r="C666" s="498"/>
      <c r="D666" s="499"/>
      <c r="E666" s="500"/>
    </row>
    <row r="667" spans="1:5">
      <c r="A667" s="495"/>
      <c r="B667" s="495"/>
      <c r="C667" s="495"/>
      <c r="D667" s="496"/>
      <c r="E667" s="497"/>
    </row>
    <row r="668" spans="1:5">
      <c r="A668" s="495"/>
      <c r="B668" s="495"/>
      <c r="C668" s="495"/>
      <c r="D668" s="496"/>
      <c r="E668" s="497"/>
    </row>
    <row r="669" spans="1:5">
      <c r="A669" s="495"/>
      <c r="B669" s="495"/>
      <c r="C669" s="495"/>
      <c r="D669" s="496"/>
      <c r="E669" s="497"/>
    </row>
    <row r="670" spans="1:5">
      <c r="A670" s="495"/>
      <c r="B670" s="495"/>
      <c r="C670" s="495"/>
      <c r="D670" s="496"/>
      <c r="E670" s="497"/>
    </row>
    <row r="671" spans="1:5">
      <c r="A671" s="495"/>
      <c r="B671" s="495"/>
      <c r="C671" s="495"/>
      <c r="D671" s="496"/>
      <c r="E671" s="497"/>
    </row>
    <row r="672" spans="1:5">
      <c r="A672" s="498"/>
      <c r="B672" s="498"/>
      <c r="C672" s="498"/>
      <c r="D672" s="499"/>
      <c r="E672" s="500"/>
    </row>
    <row r="673" spans="1:5">
      <c r="A673" s="498"/>
      <c r="B673" s="498"/>
      <c r="C673" s="498"/>
      <c r="D673" s="499"/>
      <c r="E673" s="500"/>
    </row>
    <row r="674" spans="1:5">
      <c r="A674" s="495"/>
      <c r="B674" s="495"/>
      <c r="C674" s="495"/>
      <c r="D674" s="496"/>
      <c r="E674" s="497"/>
    </row>
    <row r="675" spans="1:5">
      <c r="A675" s="498"/>
      <c r="B675" s="498"/>
      <c r="C675" s="498"/>
      <c r="D675" s="499"/>
      <c r="E675" s="500"/>
    </row>
    <row r="676" spans="1:5">
      <c r="A676" s="498"/>
      <c r="B676" s="498"/>
      <c r="C676" s="498"/>
      <c r="D676" s="499"/>
      <c r="E676" s="500"/>
    </row>
    <row r="677" spans="1:5">
      <c r="A677" s="495"/>
      <c r="B677" s="495"/>
      <c r="C677" s="495"/>
      <c r="D677" s="496"/>
      <c r="E677" s="497"/>
    </row>
    <row r="678" spans="1:5">
      <c r="A678" s="495"/>
      <c r="B678" s="495"/>
      <c r="C678" s="495"/>
      <c r="D678" s="496"/>
      <c r="E678" s="497"/>
    </row>
    <row r="679" spans="1:5">
      <c r="A679" s="495"/>
      <c r="B679" s="495"/>
      <c r="C679" s="495"/>
      <c r="D679" s="496"/>
      <c r="E679" s="497"/>
    </row>
    <row r="680" spans="1:5">
      <c r="A680" s="495"/>
      <c r="B680" s="495"/>
      <c r="C680" s="495"/>
      <c r="D680" s="496"/>
      <c r="E680" s="497"/>
    </row>
    <row r="681" spans="1:5">
      <c r="A681" s="495"/>
      <c r="B681" s="495"/>
      <c r="C681" s="495"/>
      <c r="D681" s="496"/>
      <c r="E681" s="497"/>
    </row>
    <row r="682" spans="1:5">
      <c r="A682" s="495"/>
      <c r="B682" s="495"/>
      <c r="C682" s="495"/>
      <c r="D682" s="496"/>
      <c r="E682" s="497"/>
    </row>
    <row r="683" spans="1:5">
      <c r="A683" s="495"/>
      <c r="B683" s="495"/>
      <c r="C683" s="495"/>
      <c r="D683" s="496"/>
      <c r="E683" s="497"/>
    </row>
    <row r="684" spans="1:5">
      <c r="A684" s="495"/>
      <c r="B684" s="495"/>
      <c r="C684" s="495"/>
      <c r="D684" s="496"/>
      <c r="E684" s="497"/>
    </row>
    <row r="685" spans="1:5">
      <c r="A685" s="495"/>
      <c r="B685" s="495"/>
      <c r="C685" s="495"/>
      <c r="D685" s="496"/>
      <c r="E685" s="497"/>
    </row>
    <row r="686" spans="1:5">
      <c r="A686" s="495"/>
      <c r="B686" s="495"/>
      <c r="C686" s="495"/>
      <c r="D686" s="496"/>
      <c r="E686" s="497"/>
    </row>
    <row r="687" spans="1:5">
      <c r="A687" s="495"/>
      <c r="B687" s="495"/>
      <c r="C687" s="495"/>
      <c r="D687" s="496"/>
      <c r="E687" s="497"/>
    </row>
    <row r="688" spans="1:5">
      <c r="A688" s="495"/>
      <c r="B688" s="495"/>
      <c r="C688" s="495"/>
      <c r="D688" s="496"/>
      <c r="E688" s="497"/>
    </row>
    <row r="689" spans="1:5">
      <c r="A689" s="498"/>
      <c r="B689" s="498"/>
      <c r="C689" s="498"/>
      <c r="D689" s="499"/>
      <c r="E689" s="500"/>
    </row>
    <row r="690" spans="1:5">
      <c r="A690" s="498"/>
      <c r="B690" s="498"/>
      <c r="C690" s="498"/>
      <c r="D690" s="499"/>
      <c r="E690" s="500"/>
    </row>
    <row r="691" spans="1:5">
      <c r="A691" s="498"/>
      <c r="B691" s="498"/>
      <c r="C691" s="498"/>
      <c r="D691" s="499"/>
      <c r="E691" s="500"/>
    </row>
    <row r="692" spans="1:5">
      <c r="A692" s="498"/>
      <c r="B692" s="498"/>
      <c r="C692" s="498"/>
      <c r="D692" s="499"/>
      <c r="E692" s="500"/>
    </row>
    <row r="693" spans="1:5">
      <c r="A693" s="495"/>
      <c r="B693" s="495"/>
      <c r="C693" s="495"/>
      <c r="D693" s="496"/>
      <c r="E693" s="497"/>
    </row>
    <row r="694" spans="1:5">
      <c r="A694" s="498"/>
      <c r="B694" s="498"/>
      <c r="C694" s="498"/>
      <c r="D694" s="499"/>
      <c r="E694" s="500"/>
    </row>
    <row r="695" spans="1:5">
      <c r="A695" s="498"/>
      <c r="B695" s="498"/>
      <c r="C695" s="498"/>
      <c r="D695" s="499"/>
      <c r="E695" s="500"/>
    </row>
    <row r="696" spans="1:5">
      <c r="A696" s="495"/>
      <c r="B696" s="495"/>
      <c r="C696" s="495"/>
      <c r="D696" s="496"/>
      <c r="E696" s="497"/>
    </row>
    <row r="697" spans="1:5">
      <c r="A697" s="495"/>
      <c r="B697" s="495"/>
      <c r="C697" s="495"/>
      <c r="D697" s="496"/>
      <c r="E697" s="497"/>
    </row>
    <row r="698" spans="1:5">
      <c r="A698" s="495"/>
      <c r="B698" s="495"/>
      <c r="C698" s="495"/>
      <c r="D698" s="496"/>
      <c r="E698" s="497"/>
    </row>
    <row r="699" spans="1:5">
      <c r="A699" s="495"/>
      <c r="B699" s="495"/>
      <c r="C699" s="495"/>
      <c r="D699" s="496"/>
      <c r="E699" s="497"/>
    </row>
    <row r="700" spans="1:5">
      <c r="A700" s="498"/>
      <c r="B700" s="498"/>
      <c r="C700" s="498"/>
      <c r="D700" s="499"/>
      <c r="E700" s="500"/>
    </row>
    <row r="701" spans="1:5">
      <c r="A701" s="498"/>
      <c r="B701" s="498"/>
      <c r="C701" s="498"/>
      <c r="D701" s="499"/>
      <c r="E701" s="500"/>
    </row>
    <row r="702" spans="1:5">
      <c r="A702" s="495"/>
      <c r="B702" s="495"/>
      <c r="C702" s="495"/>
      <c r="D702" s="496"/>
      <c r="E702" s="497"/>
    </row>
    <row r="703" spans="1:5">
      <c r="A703" s="495"/>
      <c r="B703" s="495"/>
      <c r="C703" s="495"/>
      <c r="D703" s="496"/>
      <c r="E703" s="497"/>
    </row>
    <row r="704" spans="1:5">
      <c r="A704" s="495"/>
      <c r="B704" s="495"/>
      <c r="C704" s="495"/>
      <c r="D704" s="496"/>
      <c r="E704" s="497"/>
    </row>
    <row r="705" spans="1:5">
      <c r="A705" s="498"/>
      <c r="B705" s="498"/>
      <c r="C705" s="498"/>
      <c r="D705" s="499"/>
      <c r="E705" s="500"/>
    </row>
    <row r="706" spans="1:5">
      <c r="A706" s="498"/>
      <c r="B706" s="498"/>
      <c r="C706" s="498"/>
      <c r="D706" s="499"/>
      <c r="E706" s="500"/>
    </row>
    <row r="707" spans="1:5">
      <c r="A707" s="498"/>
      <c r="B707" s="498"/>
      <c r="C707" s="498"/>
      <c r="D707" s="499"/>
      <c r="E707" s="500"/>
    </row>
    <row r="708" spans="1:5">
      <c r="A708" s="498"/>
      <c r="B708" s="498"/>
      <c r="C708" s="498"/>
      <c r="D708" s="499"/>
      <c r="E708" s="500"/>
    </row>
    <row r="709" spans="1:5">
      <c r="A709" s="495"/>
      <c r="B709" s="495"/>
      <c r="C709" s="495"/>
      <c r="D709" s="496"/>
      <c r="E709" s="497"/>
    </row>
    <row r="710" spans="1:5">
      <c r="A710" s="495"/>
      <c r="B710" s="495"/>
      <c r="C710" s="495"/>
      <c r="D710" s="496"/>
      <c r="E710" s="497"/>
    </row>
    <row r="711" spans="1:5">
      <c r="A711" s="495"/>
      <c r="B711" s="495"/>
      <c r="C711" s="495"/>
      <c r="D711" s="496"/>
      <c r="E711" s="497"/>
    </row>
    <row r="712" spans="1:5">
      <c r="A712" s="495"/>
      <c r="B712" s="495"/>
      <c r="C712" s="495"/>
      <c r="D712" s="496"/>
      <c r="E712" s="497"/>
    </row>
    <row r="713" spans="1:5">
      <c r="A713" s="495"/>
      <c r="B713" s="495"/>
      <c r="C713" s="495"/>
      <c r="D713" s="496"/>
      <c r="E713" s="497"/>
    </row>
    <row r="714" spans="1:5">
      <c r="A714" s="498"/>
      <c r="B714" s="498"/>
      <c r="C714" s="498"/>
      <c r="D714" s="499"/>
      <c r="E714" s="500"/>
    </row>
    <row r="715" spans="1:5">
      <c r="A715" s="498"/>
      <c r="B715" s="498"/>
      <c r="C715" s="498"/>
      <c r="D715" s="499"/>
      <c r="E715" s="500"/>
    </row>
    <row r="716" spans="1:5">
      <c r="A716" s="495"/>
      <c r="B716" s="495"/>
      <c r="C716" s="495"/>
      <c r="D716" s="496"/>
      <c r="E716" s="497"/>
    </row>
    <row r="717" spans="1:5">
      <c r="A717" s="498"/>
      <c r="B717" s="498"/>
      <c r="C717" s="498"/>
      <c r="D717" s="499"/>
      <c r="E717" s="500"/>
    </row>
    <row r="718" spans="1:5">
      <c r="A718" s="498"/>
      <c r="B718" s="498"/>
      <c r="C718" s="498"/>
      <c r="D718" s="499"/>
      <c r="E718" s="500"/>
    </row>
    <row r="719" spans="1:5">
      <c r="A719" s="495"/>
      <c r="B719" s="495"/>
      <c r="C719" s="495"/>
      <c r="D719" s="496"/>
      <c r="E719" s="497"/>
    </row>
    <row r="720" spans="1:5">
      <c r="A720" s="495"/>
      <c r="B720" s="495"/>
      <c r="C720" s="495"/>
      <c r="D720" s="496"/>
      <c r="E720" s="497"/>
    </row>
    <row r="721" spans="1:5">
      <c r="A721" s="495"/>
      <c r="B721" s="495"/>
      <c r="C721" s="495"/>
      <c r="D721" s="496"/>
      <c r="E721" s="497"/>
    </row>
    <row r="722" spans="1:5">
      <c r="A722" s="498"/>
      <c r="B722" s="498"/>
      <c r="C722" s="498"/>
      <c r="D722" s="499"/>
      <c r="E722" s="500"/>
    </row>
    <row r="723" spans="1:5">
      <c r="A723" s="498"/>
      <c r="B723" s="498"/>
      <c r="C723" s="498"/>
      <c r="D723" s="499"/>
      <c r="E723" s="500"/>
    </row>
    <row r="724" spans="1:5">
      <c r="A724" s="498"/>
      <c r="B724" s="498"/>
      <c r="C724" s="498"/>
      <c r="D724" s="499"/>
      <c r="E724" s="500"/>
    </row>
    <row r="725" spans="1:5">
      <c r="A725" s="495"/>
      <c r="B725" s="495"/>
      <c r="C725" s="495"/>
      <c r="D725" s="496"/>
      <c r="E725" s="497"/>
    </row>
    <row r="726" spans="1:5">
      <c r="A726" s="495"/>
      <c r="B726" s="495"/>
      <c r="C726" s="495"/>
      <c r="D726" s="496"/>
      <c r="E726" s="497"/>
    </row>
    <row r="727" spans="1:5">
      <c r="A727" s="495"/>
      <c r="B727" s="495"/>
      <c r="C727" s="495"/>
      <c r="D727" s="496"/>
      <c r="E727" s="497"/>
    </row>
    <row r="728" spans="1:5">
      <c r="A728" s="495"/>
      <c r="B728" s="495"/>
      <c r="C728" s="495"/>
      <c r="D728" s="496"/>
      <c r="E728" s="497"/>
    </row>
    <row r="729" spans="1:5">
      <c r="A729" s="495"/>
      <c r="B729" s="495"/>
      <c r="C729" s="495"/>
      <c r="D729" s="496"/>
      <c r="E729" s="497"/>
    </row>
    <row r="730" spans="1:5">
      <c r="A730" s="498"/>
      <c r="B730" s="498"/>
      <c r="C730" s="498"/>
      <c r="D730" s="499"/>
      <c r="E730" s="500"/>
    </row>
    <row r="731" spans="1:5">
      <c r="A731" s="498"/>
      <c r="B731" s="498"/>
      <c r="C731" s="498"/>
      <c r="D731" s="499"/>
      <c r="E731" s="500"/>
    </row>
    <row r="732" spans="1:5">
      <c r="A732" s="495"/>
      <c r="B732" s="495"/>
      <c r="C732" s="495"/>
      <c r="D732" s="496"/>
      <c r="E732" s="497"/>
    </row>
    <row r="733" spans="1:5">
      <c r="A733" s="495"/>
      <c r="B733" s="495"/>
      <c r="C733" s="495"/>
      <c r="D733" s="496"/>
      <c r="E733" s="497"/>
    </row>
    <row r="734" spans="1:5">
      <c r="A734" s="498"/>
      <c r="B734" s="498"/>
      <c r="C734" s="498"/>
      <c r="D734" s="499"/>
      <c r="E734" s="500"/>
    </row>
    <row r="735" spans="1:5">
      <c r="A735" s="498"/>
      <c r="B735" s="498"/>
      <c r="C735" s="498"/>
      <c r="D735" s="499"/>
      <c r="E735" s="500"/>
    </row>
    <row r="736" spans="1:5">
      <c r="A736" s="498"/>
      <c r="B736" s="498"/>
      <c r="C736" s="498"/>
      <c r="D736" s="499"/>
      <c r="E736" s="500"/>
    </row>
    <row r="737" spans="1:5">
      <c r="A737" s="498"/>
      <c r="B737" s="498"/>
      <c r="C737" s="498"/>
      <c r="D737" s="499"/>
      <c r="E737" s="500"/>
    </row>
    <row r="738" spans="1:5">
      <c r="A738" s="495"/>
      <c r="B738" s="495"/>
      <c r="C738" s="495"/>
      <c r="D738" s="496"/>
      <c r="E738" s="497"/>
    </row>
    <row r="739" spans="1:5">
      <c r="A739" s="495"/>
      <c r="B739" s="495"/>
      <c r="C739" s="495"/>
      <c r="D739" s="496"/>
      <c r="E739" s="497"/>
    </row>
    <row r="740" spans="1:5">
      <c r="A740" s="495"/>
      <c r="B740" s="495"/>
      <c r="C740" s="495"/>
      <c r="D740" s="496"/>
      <c r="E740" s="497"/>
    </row>
    <row r="741" spans="1:5">
      <c r="A741" s="498"/>
      <c r="B741" s="498"/>
      <c r="C741" s="498"/>
      <c r="D741" s="499"/>
      <c r="E741" s="500"/>
    </row>
    <row r="742" spans="1:5">
      <c r="A742" s="498"/>
      <c r="B742" s="498"/>
      <c r="C742" s="498"/>
      <c r="D742" s="499"/>
      <c r="E742" s="500"/>
    </row>
    <row r="743" spans="1:5">
      <c r="A743" s="495"/>
      <c r="B743" s="495"/>
      <c r="C743" s="495"/>
      <c r="D743" s="496"/>
      <c r="E743" s="497"/>
    </row>
    <row r="744" spans="1:5">
      <c r="A744" s="495"/>
      <c r="B744" s="495"/>
      <c r="C744" s="495"/>
      <c r="D744" s="496"/>
      <c r="E744" s="497"/>
    </row>
    <row r="745" spans="1:5">
      <c r="A745" s="495"/>
      <c r="B745" s="495"/>
      <c r="C745" s="495"/>
      <c r="D745" s="496"/>
      <c r="E745" s="497"/>
    </row>
    <row r="746" spans="1:5">
      <c r="A746" s="495"/>
      <c r="B746" s="495"/>
      <c r="C746" s="495"/>
      <c r="D746" s="496"/>
      <c r="E746" s="497"/>
    </row>
    <row r="747" spans="1:5">
      <c r="A747" s="495"/>
      <c r="B747" s="495"/>
      <c r="C747" s="495"/>
      <c r="D747" s="496"/>
      <c r="E747" s="497"/>
    </row>
    <row r="748" spans="1:5">
      <c r="A748" s="495"/>
      <c r="B748" s="495"/>
      <c r="C748" s="495"/>
      <c r="D748" s="496"/>
      <c r="E748" s="497"/>
    </row>
    <row r="749" spans="1:5">
      <c r="A749" s="495"/>
      <c r="B749" s="495"/>
      <c r="C749" s="495"/>
      <c r="D749" s="496"/>
      <c r="E749" s="497"/>
    </row>
    <row r="750" spans="1:5">
      <c r="A750" s="495"/>
      <c r="B750" s="495"/>
      <c r="C750" s="495"/>
      <c r="D750" s="496"/>
      <c r="E750" s="497"/>
    </row>
    <row r="751" spans="1:5">
      <c r="A751" s="495"/>
      <c r="B751" s="495"/>
      <c r="C751" s="495"/>
      <c r="D751" s="496"/>
      <c r="E751" s="497"/>
    </row>
    <row r="752" spans="1:5">
      <c r="A752" s="495"/>
      <c r="B752" s="495"/>
      <c r="C752" s="495"/>
      <c r="D752" s="496"/>
      <c r="E752" s="497"/>
    </row>
    <row r="753" spans="1:5">
      <c r="A753" s="495"/>
      <c r="B753" s="495"/>
      <c r="C753" s="495"/>
      <c r="D753" s="496"/>
      <c r="E753" s="497"/>
    </row>
    <row r="754" spans="1:5">
      <c r="A754" s="495"/>
      <c r="B754" s="495"/>
      <c r="C754" s="495"/>
      <c r="D754" s="496"/>
      <c r="E754" s="497"/>
    </row>
    <row r="755" spans="1:5">
      <c r="A755" s="495"/>
      <c r="B755" s="495"/>
      <c r="C755" s="495"/>
      <c r="D755" s="496"/>
      <c r="E755" s="497"/>
    </row>
    <row r="756" spans="1:5">
      <c r="A756" s="495"/>
      <c r="B756" s="495"/>
      <c r="C756" s="495"/>
      <c r="D756" s="496"/>
      <c r="E756" s="497"/>
    </row>
    <row r="757" spans="1:5">
      <c r="A757" s="495"/>
      <c r="B757" s="495"/>
      <c r="C757" s="495"/>
      <c r="D757" s="496"/>
      <c r="E757" s="497"/>
    </row>
    <row r="758" spans="1:5">
      <c r="A758" s="495"/>
      <c r="B758" s="495"/>
      <c r="C758" s="495"/>
      <c r="D758" s="496"/>
      <c r="E758" s="497"/>
    </row>
    <row r="759" spans="1:5">
      <c r="A759" s="495"/>
      <c r="B759" s="495"/>
      <c r="C759" s="495"/>
      <c r="D759" s="496"/>
      <c r="E759" s="497"/>
    </row>
    <row r="760" spans="1:5">
      <c r="A760" s="495"/>
      <c r="B760" s="495"/>
      <c r="C760" s="495"/>
      <c r="D760" s="496"/>
      <c r="E760" s="497"/>
    </row>
    <row r="761" spans="1:5">
      <c r="A761" s="495"/>
      <c r="B761" s="495"/>
      <c r="C761" s="495"/>
      <c r="D761" s="496"/>
      <c r="E761" s="497"/>
    </row>
    <row r="762" spans="1:5">
      <c r="A762" s="495"/>
      <c r="B762" s="495"/>
      <c r="C762" s="495"/>
      <c r="D762" s="496"/>
      <c r="E762" s="497"/>
    </row>
    <row r="763" spans="1:5">
      <c r="A763" s="495"/>
      <c r="B763" s="495"/>
      <c r="C763" s="495"/>
      <c r="D763" s="496"/>
      <c r="E763" s="497"/>
    </row>
    <row r="764" spans="1:5">
      <c r="A764" s="495"/>
      <c r="B764" s="495"/>
      <c r="C764" s="495"/>
      <c r="D764" s="496"/>
      <c r="E764" s="497"/>
    </row>
    <row r="765" spans="1:5">
      <c r="A765" s="495"/>
      <c r="B765" s="495"/>
      <c r="C765" s="495"/>
      <c r="D765" s="496"/>
      <c r="E765" s="497"/>
    </row>
    <row r="766" spans="1:5">
      <c r="A766" s="495"/>
      <c r="B766" s="495"/>
      <c r="C766" s="495"/>
      <c r="D766" s="496"/>
      <c r="E766" s="497"/>
    </row>
    <row r="767" spans="1:5">
      <c r="A767" s="498"/>
      <c r="B767" s="498"/>
      <c r="C767" s="498"/>
      <c r="D767" s="499"/>
      <c r="E767" s="500"/>
    </row>
    <row r="768" spans="1:5">
      <c r="A768" s="498"/>
      <c r="B768" s="498"/>
      <c r="C768" s="498"/>
      <c r="D768" s="499"/>
      <c r="E768" s="500"/>
    </row>
    <row r="769" spans="1:5">
      <c r="A769" s="495"/>
      <c r="B769" s="495"/>
      <c r="C769" s="495"/>
      <c r="D769" s="496"/>
      <c r="E769" s="497"/>
    </row>
    <row r="770" spans="1:5">
      <c r="A770" s="495"/>
      <c r="B770" s="495"/>
      <c r="C770" s="495"/>
      <c r="D770" s="496"/>
      <c r="E770" s="497"/>
    </row>
    <row r="771" spans="1:5">
      <c r="A771" s="495"/>
      <c r="B771" s="495"/>
      <c r="C771" s="495"/>
      <c r="D771" s="496"/>
      <c r="E771" s="497"/>
    </row>
    <row r="772" spans="1:5">
      <c r="A772" s="495"/>
      <c r="B772" s="495"/>
      <c r="C772" s="495"/>
      <c r="D772" s="496"/>
      <c r="E772" s="497"/>
    </row>
    <row r="773" spans="1:5">
      <c r="A773" s="495"/>
      <c r="B773" s="495"/>
      <c r="C773" s="495"/>
      <c r="D773" s="496"/>
      <c r="E773" s="497"/>
    </row>
    <row r="774" spans="1:5">
      <c r="A774" s="495"/>
      <c r="B774" s="495"/>
      <c r="C774" s="495"/>
      <c r="D774" s="496"/>
      <c r="E774" s="497"/>
    </row>
    <row r="775" spans="1:5">
      <c r="A775" s="495"/>
      <c r="B775" s="495"/>
      <c r="C775" s="495"/>
      <c r="D775" s="496"/>
      <c r="E775" s="497"/>
    </row>
    <row r="776" spans="1:5">
      <c r="A776" s="495"/>
      <c r="B776" s="495"/>
      <c r="C776" s="495"/>
      <c r="D776" s="496"/>
      <c r="E776" s="497"/>
    </row>
    <row r="777" spans="1:5">
      <c r="A777" s="495"/>
      <c r="B777" s="495"/>
      <c r="C777" s="495"/>
      <c r="D777" s="496"/>
      <c r="E777" s="497"/>
    </row>
    <row r="778" spans="1:5">
      <c r="A778" s="495"/>
      <c r="B778" s="495"/>
      <c r="C778" s="495"/>
      <c r="D778" s="496"/>
      <c r="E778" s="497"/>
    </row>
    <row r="779" spans="1:5">
      <c r="A779" s="495"/>
      <c r="B779" s="495"/>
      <c r="C779" s="495"/>
      <c r="D779" s="496"/>
      <c r="E779" s="497"/>
    </row>
    <row r="780" spans="1:5">
      <c r="A780" s="498"/>
      <c r="B780" s="498"/>
      <c r="C780" s="498"/>
      <c r="D780" s="499"/>
      <c r="E780" s="500"/>
    </row>
    <row r="781" spans="1:5">
      <c r="A781" s="498"/>
      <c r="B781" s="498"/>
      <c r="C781" s="498"/>
      <c r="D781" s="499"/>
      <c r="E781" s="500"/>
    </row>
    <row r="782" spans="1:5">
      <c r="A782" s="495"/>
      <c r="B782" s="495"/>
      <c r="C782" s="495"/>
      <c r="D782" s="496"/>
      <c r="E782" s="497"/>
    </row>
    <row r="783" spans="1:5">
      <c r="A783" s="498"/>
      <c r="B783" s="498"/>
      <c r="C783" s="498"/>
      <c r="D783" s="499"/>
      <c r="E783" s="500"/>
    </row>
    <row r="784" spans="1:5">
      <c r="A784" s="498"/>
      <c r="B784" s="498"/>
      <c r="C784" s="498"/>
      <c r="D784" s="499"/>
      <c r="E784" s="500"/>
    </row>
    <row r="785" spans="1:5">
      <c r="A785" s="498"/>
      <c r="B785" s="498"/>
      <c r="C785" s="498"/>
      <c r="D785" s="499"/>
      <c r="E785" s="500"/>
    </row>
    <row r="786" spans="1:5">
      <c r="A786" s="498"/>
      <c r="B786" s="498"/>
      <c r="C786" s="498"/>
      <c r="D786" s="499"/>
      <c r="E786" s="500"/>
    </row>
    <row r="787" spans="1:5">
      <c r="A787" s="495"/>
      <c r="B787" s="495"/>
      <c r="C787" s="495"/>
      <c r="D787" s="496"/>
      <c r="E787" s="497"/>
    </row>
    <row r="788" spans="1:5">
      <c r="A788" s="495"/>
      <c r="B788" s="495"/>
      <c r="C788" s="495"/>
      <c r="D788" s="496"/>
      <c r="E788" s="497"/>
    </row>
    <row r="789" spans="1:5">
      <c r="A789" s="495"/>
      <c r="B789" s="495"/>
      <c r="C789" s="495"/>
      <c r="D789" s="496"/>
      <c r="E789" s="497"/>
    </row>
    <row r="790" spans="1:5">
      <c r="A790" s="495"/>
      <c r="B790" s="495"/>
      <c r="C790" s="495"/>
      <c r="D790" s="496"/>
      <c r="E790" s="497"/>
    </row>
    <row r="791" spans="1:5">
      <c r="A791" s="495"/>
      <c r="B791" s="495"/>
      <c r="C791" s="495"/>
      <c r="D791" s="496"/>
      <c r="E791" s="497"/>
    </row>
    <row r="792" spans="1:5">
      <c r="A792" s="498"/>
      <c r="B792" s="498"/>
      <c r="C792" s="498"/>
      <c r="D792" s="499"/>
      <c r="E792" s="500"/>
    </row>
    <row r="793" spans="1:5">
      <c r="A793" s="498"/>
      <c r="B793" s="498"/>
      <c r="C793" s="498"/>
      <c r="D793" s="499"/>
      <c r="E793" s="500"/>
    </row>
    <row r="794" spans="1:5">
      <c r="A794" s="498"/>
      <c r="B794" s="498"/>
      <c r="C794" s="498"/>
      <c r="D794" s="499"/>
      <c r="E794" s="500"/>
    </row>
    <row r="795" spans="1:5">
      <c r="A795" s="498"/>
      <c r="B795" s="498"/>
      <c r="C795" s="498"/>
      <c r="D795" s="499"/>
      <c r="E795" s="500"/>
    </row>
    <row r="796" spans="1:5">
      <c r="A796" s="498"/>
      <c r="B796" s="498"/>
      <c r="C796" s="498"/>
      <c r="D796" s="499"/>
      <c r="E796" s="500"/>
    </row>
    <row r="797" spans="1:5">
      <c r="A797" s="498"/>
      <c r="B797" s="498"/>
      <c r="C797" s="498"/>
      <c r="D797" s="499"/>
      <c r="E797" s="500"/>
    </row>
    <row r="798" spans="1:5">
      <c r="A798" s="498"/>
      <c r="B798" s="498"/>
      <c r="C798" s="498"/>
      <c r="D798" s="499"/>
      <c r="E798" s="500"/>
    </row>
    <row r="799" spans="1:5">
      <c r="A799" s="498"/>
      <c r="B799" s="498"/>
      <c r="C799" s="498"/>
      <c r="D799" s="499"/>
      <c r="E799" s="500"/>
    </row>
    <row r="800" spans="1:5">
      <c r="A800" s="498"/>
      <c r="B800" s="498"/>
      <c r="C800" s="498"/>
      <c r="D800" s="499"/>
      <c r="E800" s="500"/>
    </row>
    <row r="801" spans="1:5">
      <c r="A801" s="498"/>
      <c r="B801" s="498"/>
      <c r="C801" s="498"/>
      <c r="D801" s="499"/>
      <c r="E801" s="500"/>
    </row>
    <row r="802" spans="1:5">
      <c r="A802" s="498"/>
      <c r="B802" s="498"/>
      <c r="C802" s="498"/>
      <c r="D802" s="499"/>
      <c r="E802" s="500"/>
    </row>
    <row r="803" spans="1:5">
      <c r="A803" s="498"/>
      <c r="B803" s="498"/>
      <c r="C803" s="498"/>
      <c r="D803" s="499"/>
      <c r="E803" s="500"/>
    </row>
    <row r="804" spans="1:5">
      <c r="A804" s="498"/>
      <c r="B804" s="498"/>
      <c r="C804" s="498"/>
      <c r="D804" s="499"/>
      <c r="E804" s="500"/>
    </row>
    <row r="805" spans="1:5">
      <c r="A805" s="498"/>
      <c r="B805" s="498"/>
      <c r="C805" s="498"/>
      <c r="D805" s="499"/>
      <c r="E805" s="500"/>
    </row>
    <row r="806" spans="1:5">
      <c r="A806" s="498"/>
      <c r="B806" s="498"/>
      <c r="C806" s="498"/>
      <c r="D806" s="499"/>
      <c r="E806" s="500"/>
    </row>
    <row r="807" spans="1:5">
      <c r="A807" s="498"/>
      <c r="B807" s="498"/>
      <c r="C807" s="498"/>
      <c r="D807" s="499"/>
      <c r="E807" s="500"/>
    </row>
    <row r="808" spans="1:5">
      <c r="A808" s="498"/>
      <c r="B808" s="498"/>
      <c r="C808" s="498"/>
      <c r="D808" s="499"/>
      <c r="E808" s="500"/>
    </row>
    <row r="809" spans="1:5">
      <c r="A809" s="498"/>
      <c r="B809" s="498"/>
      <c r="C809" s="498"/>
      <c r="D809" s="499"/>
      <c r="E809" s="500"/>
    </row>
    <row r="810" spans="1:5">
      <c r="A810" s="498"/>
      <c r="B810" s="498"/>
      <c r="C810" s="498"/>
      <c r="D810" s="499"/>
      <c r="E810" s="500"/>
    </row>
    <row r="811" spans="1:5">
      <c r="A811" s="498"/>
      <c r="B811" s="498"/>
      <c r="C811" s="498"/>
      <c r="D811" s="499"/>
      <c r="E811" s="500"/>
    </row>
    <row r="812" spans="1:5">
      <c r="A812" s="495"/>
      <c r="B812" s="495"/>
      <c r="C812" s="495"/>
      <c r="D812" s="496"/>
      <c r="E812" s="497"/>
    </row>
    <row r="813" spans="1:5">
      <c r="A813" s="495"/>
      <c r="B813" s="495"/>
      <c r="C813" s="495"/>
      <c r="D813" s="496"/>
      <c r="E813" s="497"/>
    </row>
    <row r="814" spans="1:5">
      <c r="A814" s="495"/>
      <c r="B814" s="495"/>
      <c r="C814" s="495"/>
      <c r="D814" s="496"/>
      <c r="E814" s="497"/>
    </row>
    <row r="815" spans="1:5">
      <c r="A815" s="495"/>
      <c r="B815" s="495"/>
      <c r="C815" s="495"/>
      <c r="D815" s="496"/>
      <c r="E815" s="497"/>
    </row>
    <row r="816" spans="1:5">
      <c r="A816" s="495"/>
      <c r="B816" s="495"/>
      <c r="C816" s="495"/>
      <c r="D816" s="496"/>
      <c r="E816" s="497"/>
    </row>
    <row r="817" spans="1:5">
      <c r="A817" s="498"/>
      <c r="B817" s="498"/>
      <c r="C817" s="498"/>
      <c r="D817" s="499"/>
      <c r="E817" s="500"/>
    </row>
    <row r="818" spans="1:5">
      <c r="A818" s="498"/>
      <c r="B818" s="498"/>
      <c r="C818" s="498"/>
      <c r="D818" s="499"/>
      <c r="E818" s="500"/>
    </row>
    <row r="819" spans="1:5">
      <c r="A819" s="498"/>
      <c r="B819" s="498"/>
      <c r="C819" s="498"/>
      <c r="D819" s="499"/>
      <c r="E819" s="500"/>
    </row>
    <row r="820" spans="1:5">
      <c r="A820" s="498"/>
      <c r="B820" s="498"/>
      <c r="C820" s="498"/>
      <c r="D820" s="499"/>
      <c r="E820" s="500"/>
    </row>
    <row r="821" spans="1:5">
      <c r="A821" s="498"/>
      <c r="B821" s="498"/>
      <c r="C821" s="498"/>
      <c r="D821" s="499"/>
      <c r="E821" s="500"/>
    </row>
    <row r="822" spans="1:5">
      <c r="A822" s="498"/>
      <c r="B822" s="498"/>
      <c r="C822" s="498"/>
      <c r="D822" s="499"/>
      <c r="E822" s="500"/>
    </row>
    <row r="823" spans="1:5">
      <c r="A823" s="498"/>
      <c r="B823" s="498"/>
      <c r="C823" s="498"/>
      <c r="D823" s="499"/>
      <c r="E823" s="500"/>
    </row>
    <row r="824" spans="1:5">
      <c r="A824" s="495"/>
      <c r="B824" s="495"/>
      <c r="C824" s="495"/>
      <c r="D824" s="496"/>
      <c r="E824" s="497"/>
    </row>
    <row r="825" spans="1:5">
      <c r="A825" s="498"/>
      <c r="B825" s="498"/>
      <c r="C825" s="498"/>
      <c r="D825" s="499"/>
      <c r="E825" s="500"/>
    </row>
    <row r="826" spans="1:5">
      <c r="A826" s="498"/>
      <c r="B826" s="498"/>
      <c r="C826" s="498"/>
      <c r="D826" s="499"/>
      <c r="E826" s="500"/>
    </row>
    <row r="827" spans="1:5">
      <c r="A827" s="495"/>
      <c r="B827" s="495"/>
      <c r="C827" s="495"/>
      <c r="D827" s="496"/>
      <c r="E827" s="497"/>
    </row>
    <row r="828" spans="1:5">
      <c r="A828" s="495"/>
      <c r="B828" s="495"/>
      <c r="C828" s="495"/>
      <c r="D828" s="496"/>
      <c r="E828" s="497"/>
    </row>
    <row r="829" spans="1:5">
      <c r="A829" s="495"/>
      <c r="B829" s="495"/>
      <c r="C829" s="495"/>
      <c r="D829" s="496"/>
      <c r="E829" s="497"/>
    </row>
    <row r="830" spans="1:5">
      <c r="A830" s="498"/>
      <c r="B830" s="498"/>
      <c r="C830" s="498"/>
      <c r="D830" s="499"/>
      <c r="E830" s="500"/>
    </row>
    <row r="831" spans="1:5">
      <c r="A831" s="498"/>
      <c r="B831" s="498"/>
      <c r="C831" s="498"/>
      <c r="D831" s="499"/>
      <c r="E831" s="500"/>
    </row>
    <row r="832" spans="1:5">
      <c r="A832" s="495"/>
      <c r="B832" s="495"/>
      <c r="C832" s="495"/>
      <c r="D832" s="496"/>
      <c r="E832" s="497"/>
    </row>
    <row r="833" spans="1:5">
      <c r="A833" s="498"/>
      <c r="B833" s="498"/>
      <c r="C833" s="498"/>
      <c r="D833" s="499"/>
      <c r="E833" s="500"/>
    </row>
    <row r="834" spans="1:5">
      <c r="A834" s="498"/>
      <c r="B834" s="498"/>
      <c r="C834" s="498"/>
      <c r="D834" s="499"/>
      <c r="E834" s="500"/>
    </row>
    <row r="835" spans="1:5">
      <c r="A835" s="495"/>
      <c r="B835" s="495"/>
      <c r="C835" s="495"/>
      <c r="D835" s="496"/>
      <c r="E835" s="497"/>
    </row>
    <row r="836" spans="1:5">
      <c r="A836" s="495"/>
      <c r="B836" s="495"/>
      <c r="C836" s="495"/>
      <c r="D836" s="496"/>
      <c r="E836" s="497"/>
    </row>
    <row r="837" spans="1:5">
      <c r="A837" s="495"/>
      <c r="B837" s="495"/>
      <c r="C837" s="495"/>
      <c r="D837" s="496"/>
      <c r="E837" s="497"/>
    </row>
    <row r="838" spans="1:5">
      <c r="A838" s="495"/>
      <c r="B838" s="495"/>
      <c r="C838" s="495"/>
      <c r="D838" s="496"/>
      <c r="E838" s="497"/>
    </row>
    <row r="839" spans="1:5">
      <c r="A839" s="495"/>
      <c r="B839" s="495"/>
      <c r="C839" s="495"/>
      <c r="D839" s="496"/>
      <c r="E839" s="497"/>
    </row>
    <row r="840" spans="1:5">
      <c r="A840" s="498"/>
      <c r="B840" s="498"/>
      <c r="C840" s="498"/>
      <c r="D840" s="499"/>
      <c r="E840" s="500"/>
    </row>
    <row r="841" spans="1:5">
      <c r="A841" s="498"/>
      <c r="B841" s="498"/>
      <c r="C841" s="498"/>
      <c r="D841" s="499"/>
      <c r="E841" s="500"/>
    </row>
    <row r="842" spans="1:5">
      <c r="A842" s="498"/>
      <c r="B842" s="498"/>
      <c r="C842" s="498"/>
      <c r="D842" s="499"/>
      <c r="E842" s="500"/>
    </row>
    <row r="843" spans="1:5">
      <c r="A843" s="495"/>
      <c r="B843" s="495"/>
      <c r="C843" s="495"/>
      <c r="D843" s="496"/>
      <c r="E843" s="497"/>
    </row>
    <row r="844" spans="1:5">
      <c r="A844" s="495"/>
      <c r="B844" s="495"/>
      <c r="C844" s="495"/>
      <c r="D844" s="496"/>
      <c r="E844" s="497"/>
    </row>
    <row r="845" spans="1:5">
      <c r="A845" s="495"/>
      <c r="B845" s="495"/>
      <c r="C845" s="495"/>
      <c r="D845" s="496"/>
      <c r="E845" s="497"/>
    </row>
    <row r="846" spans="1:5">
      <c r="A846" s="495"/>
      <c r="B846" s="495"/>
      <c r="C846" s="495"/>
      <c r="D846" s="496"/>
      <c r="E846" s="497"/>
    </row>
    <row r="847" spans="1:5">
      <c r="A847" s="495"/>
      <c r="B847" s="495"/>
      <c r="C847" s="495"/>
      <c r="D847" s="496"/>
      <c r="E847" s="497"/>
    </row>
    <row r="848" spans="1:5">
      <c r="A848" s="495"/>
      <c r="B848" s="495"/>
      <c r="C848" s="495"/>
      <c r="D848" s="496"/>
      <c r="E848" s="497"/>
    </row>
    <row r="849" spans="1:5">
      <c r="A849" s="495"/>
      <c r="B849" s="495"/>
      <c r="C849" s="495"/>
      <c r="D849" s="496"/>
      <c r="E849" s="497"/>
    </row>
    <row r="850" spans="1:5">
      <c r="A850" s="495"/>
      <c r="B850" s="495"/>
      <c r="C850" s="495"/>
      <c r="D850" s="496"/>
      <c r="E850" s="497"/>
    </row>
    <row r="851" spans="1:5">
      <c r="A851" s="495"/>
      <c r="B851" s="495"/>
      <c r="C851" s="495"/>
      <c r="D851" s="496"/>
      <c r="E851" s="497"/>
    </row>
    <row r="852" spans="1:5">
      <c r="A852" s="495"/>
      <c r="B852" s="495"/>
      <c r="C852" s="495"/>
      <c r="D852" s="496"/>
      <c r="E852" s="497"/>
    </row>
    <row r="853" spans="1:5">
      <c r="A853" s="495"/>
      <c r="B853" s="495"/>
      <c r="C853" s="495"/>
      <c r="D853" s="496"/>
      <c r="E853" s="497"/>
    </row>
    <row r="854" spans="1:5">
      <c r="A854" s="495"/>
      <c r="B854" s="495"/>
      <c r="C854" s="495"/>
      <c r="D854" s="496"/>
      <c r="E854" s="497"/>
    </row>
    <row r="855" spans="1:5">
      <c r="A855" s="495"/>
      <c r="B855" s="495"/>
      <c r="C855" s="495"/>
      <c r="D855" s="496"/>
      <c r="E855" s="497"/>
    </row>
    <row r="856" spans="1:5">
      <c r="A856" s="495"/>
      <c r="B856" s="495"/>
      <c r="C856" s="495"/>
      <c r="D856" s="496"/>
      <c r="E856" s="497"/>
    </row>
    <row r="857" spans="1:5">
      <c r="A857" s="495"/>
      <c r="B857" s="495"/>
      <c r="C857" s="495"/>
      <c r="D857" s="496"/>
      <c r="E857" s="497"/>
    </row>
    <row r="858" spans="1:5">
      <c r="A858" s="495"/>
      <c r="B858" s="495"/>
      <c r="C858" s="495"/>
      <c r="D858" s="496"/>
      <c r="E858" s="497"/>
    </row>
    <row r="859" spans="1:5">
      <c r="A859" s="495"/>
      <c r="B859" s="495"/>
      <c r="C859" s="495"/>
      <c r="D859" s="496"/>
      <c r="E859" s="497"/>
    </row>
    <row r="860" spans="1:5">
      <c r="A860" s="495"/>
      <c r="B860" s="495"/>
      <c r="C860" s="495"/>
      <c r="D860" s="496"/>
      <c r="E860" s="497"/>
    </row>
    <row r="861" spans="1:5">
      <c r="A861" s="495"/>
      <c r="B861" s="495"/>
      <c r="C861" s="495"/>
      <c r="D861" s="496"/>
      <c r="E861" s="497"/>
    </row>
    <row r="862" spans="1:5">
      <c r="A862" s="495"/>
      <c r="B862" s="495"/>
      <c r="C862" s="495"/>
      <c r="D862" s="496"/>
      <c r="E862" s="497"/>
    </row>
    <row r="863" spans="1:5">
      <c r="A863" s="495"/>
      <c r="B863" s="495"/>
      <c r="C863" s="495"/>
      <c r="D863" s="496"/>
      <c r="E863" s="497"/>
    </row>
    <row r="864" spans="1:5">
      <c r="A864" s="495"/>
      <c r="B864" s="495"/>
      <c r="C864" s="495"/>
      <c r="D864" s="496"/>
      <c r="E864" s="497"/>
    </row>
    <row r="865" spans="1:5">
      <c r="A865" s="495"/>
      <c r="B865" s="495"/>
      <c r="C865" s="495"/>
      <c r="D865" s="496"/>
      <c r="E865" s="497"/>
    </row>
    <row r="866" spans="1:5">
      <c r="A866" s="495"/>
      <c r="B866" s="495"/>
      <c r="C866" s="495"/>
      <c r="D866" s="496"/>
      <c r="E866" s="497"/>
    </row>
    <row r="867" spans="1:5">
      <c r="A867" s="495"/>
      <c r="B867" s="495"/>
      <c r="C867" s="495"/>
      <c r="D867" s="496"/>
      <c r="E867" s="497"/>
    </row>
    <row r="868" spans="1:5">
      <c r="A868" s="495"/>
      <c r="B868" s="495"/>
      <c r="C868" s="495"/>
      <c r="D868" s="496"/>
      <c r="E868" s="497"/>
    </row>
    <row r="869" spans="1:5">
      <c r="A869" s="495"/>
      <c r="B869" s="495"/>
      <c r="C869" s="495"/>
      <c r="D869" s="496"/>
      <c r="E869" s="497"/>
    </row>
    <row r="870" spans="1:5">
      <c r="A870" s="495"/>
      <c r="B870" s="495"/>
      <c r="C870" s="495"/>
      <c r="D870" s="496"/>
      <c r="E870" s="497"/>
    </row>
    <row r="871" spans="1:5">
      <c r="A871" s="495"/>
      <c r="B871" s="495"/>
      <c r="C871" s="495"/>
      <c r="D871" s="496"/>
      <c r="E871" s="497"/>
    </row>
    <row r="872" spans="1:5">
      <c r="A872" s="495"/>
      <c r="B872" s="495"/>
      <c r="C872" s="495"/>
      <c r="D872" s="496"/>
      <c r="E872" s="497"/>
    </row>
    <row r="873" spans="1:5">
      <c r="A873" s="495"/>
      <c r="B873" s="495"/>
      <c r="C873" s="495"/>
      <c r="D873" s="496"/>
      <c r="E873" s="497"/>
    </row>
    <row r="874" spans="1:5">
      <c r="A874" s="495"/>
      <c r="B874" s="495"/>
      <c r="C874" s="495"/>
      <c r="D874" s="496"/>
      <c r="E874" s="497"/>
    </row>
    <row r="875" spans="1:5">
      <c r="A875" s="495"/>
      <c r="B875" s="495"/>
      <c r="C875" s="495"/>
      <c r="D875" s="496"/>
      <c r="E875" s="497"/>
    </row>
    <row r="876" spans="1:5">
      <c r="A876" s="495"/>
      <c r="B876" s="495"/>
      <c r="C876" s="495"/>
      <c r="D876" s="496"/>
      <c r="E876" s="497"/>
    </row>
    <row r="877" spans="1:5">
      <c r="A877" s="495"/>
      <c r="B877" s="495"/>
      <c r="C877" s="495"/>
      <c r="D877" s="496"/>
      <c r="E877" s="497"/>
    </row>
    <row r="878" spans="1:5">
      <c r="A878" s="495"/>
      <c r="B878" s="495"/>
      <c r="C878" s="495"/>
      <c r="D878" s="496"/>
      <c r="E878" s="497"/>
    </row>
    <row r="879" spans="1:5">
      <c r="A879" s="495"/>
      <c r="B879" s="495"/>
      <c r="C879" s="495"/>
      <c r="D879" s="496"/>
      <c r="E879" s="497"/>
    </row>
    <row r="880" spans="1:5">
      <c r="A880" s="495"/>
      <c r="B880" s="495"/>
      <c r="C880" s="495"/>
      <c r="D880" s="496"/>
      <c r="E880" s="497"/>
    </row>
    <row r="881" spans="1:5">
      <c r="A881" s="495"/>
      <c r="B881" s="495"/>
      <c r="C881" s="495"/>
      <c r="D881" s="496"/>
      <c r="E881" s="497"/>
    </row>
    <row r="882" spans="1:5">
      <c r="A882" s="495"/>
      <c r="B882" s="495"/>
      <c r="C882" s="495"/>
      <c r="D882" s="496"/>
      <c r="E882" s="497"/>
    </row>
    <row r="883" spans="1:5">
      <c r="A883" s="495"/>
      <c r="B883" s="495"/>
      <c r="C883" s="495"/>
      <c r="D883" s="496"/>
      <c r="E883" s="497"/>
    </row>
    <row r="884" spans="1:5">
      <c r="A884" s="495"/>
      <c r="B884" s="495"/>
      <c r="C884" s="495"/>
      <c r="D884" s="496"/>
      <c r="E884" s="497"/>
    </row>
    <row r="885" spans="1:5">
      <c r="A885" s="495"/>
      <c r="B885" s="495"/>
      <c r="C885" s="495"/>
      <c r="D885" s="496"/>
      <c r="E885" s="497"/>
    </row>
    <row r="886" spans="1:5">
      <c r="A886" s="498"/>
      <c r="B886" s="498"/>
      <c r="C886" s="498"/>
      <c r="D886" s="499"/>
      <c r="E886" s="500"/>
    </row>
    <row r="887" spans="1:5">
      <c r="A887" s="498"/>
      <c r="B887" s="498"/>
      <c r="C887" s="498"/>
      <c r="D887" s="499"/>
      <c r="E887" s="500"/>
    </row>
    <row r="888" spans="1:5">
      <c r="A888" s="495"/>
      <c r="B888" s="495"/>
      <c r="C888" s="495"/>
      <c r="D888" s="496"/>
      <c r="E888" s="497"/>
    </row>
    <row r="889" spans="1:5">
      <c r="A889" s="495"/>
      <c r="B889" s="495"/>
      <c r="C889" s="495"/>
      <c r="D889" s="496"/>
      <c r="E889" s="497"/>
    </row>
    <row r="890" spans="1:5">
      <c r="A890" s="498"/>
      <c r="B890" s="498"/>
      <c r="C890" s="498"/>
      <c r="D890" s="499"/>
      <c r="E890" s="500"/>
    </row>
    <row r="891" spans="1:5">
      <c r="A891" s="498"/>
      <c r="B891" s="498"/>
      <c r="C891" s="498"/>
      <c r="D891" s="499"/>
      <c r="E891" s="500"/>
    </row>
    <row r="892" spans="1:5">
      <c r="A892" s="495"/>
      <c r="B892" s="495"/>
      <c r="C892" s="495"/>
      <c r="D892" s="496"/>
      <c r="E892" s="497"/>
    </row>
    <row r="893" spans="1:5">
      <c r="A893" s="498"/>
      <c r="B893" s="498"/>
      <c r="C893" s="498"/>
      <c r="D893" s="499"/>
      <c r="E893" s="500"/>
    </row>
    <row r="894" spans="1:5">
      <c r="A894" s="498"/>
      <c r="B894" s="498"/>
      <c r="C894" s="498"/>
      <c r="D894" s="499"/>
      <c r="E894" s="500"/>
    </row>
    <row r="895" spans="1:5">
      <c r="A895" s="495"/>
      <c r="B895" s="495"/>
      <c r="C895" s="495"/>
      <c r="D895" s="496"/>
      <c r="E895" s="497"/>
    </row>
    <row r="896" spans="1:5">
      <c r="A896" s="495"/>
      <c r="B896" s="495"/>
      <c r="C896" s="495"/>
      <c r="D896" s="496"/>
      <c r="E896" s="497"/>
    </row>
    <row r="897" spans="1:5">
      <c r="A897" s="495"/>
      <c r="B897" s="495"/>
      <c r="C897" s="495"/>
      <c r="D897" s="496"/>
      <c r="E897" s="497"/>
    </row>
    <row r="898" spans="1:5">
      <c r="A898" s="495"/>
      <c r="B898" s="495"/>
      <c r="C898" s="495"/>
      <c r="D898" s="496"/>
      <c r="E898" s="497"/>
    </row>
    <row r="899" spans="1:5">
      <c r="A899" s="498"/>
      <c r="B899" s="498"/>
      <c r="C899" s="498"/>
      <c r="D899" s="499"/>
      <c r="E899" s="500"/>
    </row>
    <row r="900" spans="1:5">
      <c r="A900" s="498"/>
      <c r="B900" s="498"/>
      <c r="C900" s="498"/>
      <c r="D900" s="499"/>
      <c r="E900" s="500"/>
    </row>
    <row r="901" spans="1:5">
      <c r="A901" s="495"/>
      <c r="B901" s="495"/>
      <c r="C901" s="495"/>
      <c r="D901" s="496"/>
      <c r="E901" s="497"/>
    </row>
    <row r="902" spans="1:5">
      <c r="A902" s="498"/>
      <c r="B902" s="498"/>
      <c r="C902" s="498"/>
      <c r="D902" s="499"/>
      <c r="E902" s="500"/>
    </row>
    <row r="903" spans="1:5">
      <c r="A903" s="498"/>
      <c r="B903" s="498"/>
      <c r="C903" s="498"/>
      <c r="D903" s="499"/>
      <c r="E903" s="500"/>
    </row>
    <row r="904" spans="1:5">
      <c r="A904" s="498"/>
      <c r="B904" s="498"/>
      <c r="C904" s="498"/>
      <c r="D904" s="499"/>
      <c r="E904" s="500"/>
    </row>
    <row r="905" spans="1:5">
      <c r="A905" s="498"/>
      <c r="B905" s="498"/>
      <c r="C905" s="498"/>
      <c r="D905" s="499"/>
      <c r="E905" s="500"/>
    </row>
    <row r="906" spans="1:5">
      <c r="A906" s="498"/>
      <c r="B906" s="498"/>
      <c r="C906" s="498"/>
      <c r="D906" s="499"/>
      <c r="E906" s="500"/>
    </row>
    <row r="907" spans="1:5">
      <c r="A907" s="495"/>
      <c r="B907" s="495"/>
      <c r="C907" s="495"/>
      <c r="D907" s="496"/>
      <c r="E907" s="497"/>
    </row>
    <row r="908" spans="1:5">
      <c r="A908" s="495"/>
      <c r="B908" s="495"/>
      <c r="C908" s="495"/>
      <c r="D908" s="496"/>
      <c r="E908" s="497"/>
    </row>
    <row r="909" spans="1:5">
      <c r="A909" s="495"/>
      <c r="B909" s="495"/>
      <c r="C909" s="495"/>
      <c r="D909" s="496"/>
      <c r="E909" s="497"/>
    </row>
    <row r="910" spans="1:5">
      <c r="A910" s="495"/>
      <c r="B910" s="495"/>
      <c r="C910" s="495"/>
      <c r="D910" s="496"/>
      <c r="E910" s="497"/>
    </row>
    <row r="911" spans="1:5">
      <c r="A911" s="495"/>
      <c r="B911" s="495"/>
      <c r="C911" s="495"/>
      <c r="D911" s="496"/>
      <c r="E911" s="497"/>
    </row>
    <row r="912" spans="1:5">
      <c r="A912" s="495"/>
      <c r="B912" s="495"/>
      <c r="C912" s="495"/>
      <c r="D912" s="496"/>
      <c r="E912" s="497"/>
    </row>
    <row r="913" spans="1:5">
      <c r="A913" s="495"/>
      <c r="B913" s="495"/>
      <c r="C913" s="495"/>
      <c r="D913" s="496"/>
      <c r="E913" s="497"/>
    </row>
    <row r="914" spans="1:5">
      <c r="A914" s="495"/>
      <c r="B914" s="495"/>
      <c r="C914" s="495"/>
      <c r="D914" s="496"/>
      <c r="E914" s="497"/>
    </row>
    <row r="915" spans="1:5">
      <c r="A915" s="495"/>
      <c r="B915" s="495"/>
      <c r="C915" s="495"/>
      <c r="D915" s="496"/>
      <c r="E915" s="497"/>
    </row>
    <row r="916" spans="1:5">
      <c r="A916" s="495"/>
      <c r="B916" s="495"/>
      <c r="C916" s="495"/>
      <c r="D916" s="496"/>
      <c r="E916" s="497"/>
    </row>
    <row r="917" spans="1:5">
      <c r="A917" s="498"/>
      <c r="B917" s="498"/>
      <c r="C917" s="498"/>
      <c r="D917" s="499"/>
      <c r="E917" s="500"/>
    </row>
    <row r="918" spans="1:5">
      <c r="A918" s="498"/>
      <c r="B918" s="498"/>
      <c r="C918" s="498"/>
      <c r="D918" s="499"/>
      <c r="E918" s="500"/>
    </row>
    <row r="919" spans="1:5">
      <c r="A919" s="495"/>
      <c r="B919" s="495"/>
      <c r="C919" s="495"/>
      <c r="D919" s="496"/>
      <c r="E919" s="497"/>
    </row>
    <row r="920" spans="1:5">
      <c r="A920" s="498"/>
      <c r="B920" s="498"/>
      <c r="C920" s="498"/>
      <c r="D920" s="499"/>
      <c r="E920" s="500"/>
    </row>
    <row r="921" spans="1:5">
      <c r="A921" s="498"/>
      <c r="B921" s="498"/>
      <c r="C921" s="498"/>
      <c r="D921" s="499"/>
      <c r="E921" s="500"/>
    </row>
    <row r="922" spans="1:5">
      <c r="A922" s="498"/>
      <c r="B922" s="498"/>
      <c r="C922" s="498"/>
      <c r="D922" s="499"/>
      <c r="E922" s="500"/>
    </row>
    <row r="923" spans="1:5">
      <c r="A923" s="498"/>
      <c r="B923" s="498"/>
      <c r="C923" s="498"/>
      <c r="D923" s="499"/>
      <c r="E923" s="500"/>
    </row>
    <row r="924" spans="1:5">
      <c r="A924" s="498"/>
      <c r="B924" s="498"/>
      <c r="C924" s="498"/>
      <c r="D924" s="499"/>
      <c r="E924" s="500"/>
    </row>
    <row r="925" spans="1:5">
      <c r="A925" s="498"/>
      <c r="B925" s="498"/>
      <c r="C925" s="498"/>
      <c r="D925" s="499"/>
      <c r="E925" s="500"/>
    </row>
    <row r="926" spans="1:5">
      <c r="A926" s="498"/>
      <c r="B926" s="498"/>
      <c r="C926" s="498"/>
      <c r="D926" s="499"/>
      <c r="E926" s="500"/>
    </row>
    <row r="927" spans="1:5">
      <c r="A927" s="498"/>
      <c r="B927" s="498"/>
      <c r="C927" s="498"/>
      <c r="D927" s="499"/>
      <c r="E927" s="500"/>
    </row>
    <row r="928" spans="1:5">
      <c r="A928" s="495"/>
      <c r="B928" s="495"/>
      <c r="C928" s="495"/>
      <c r="D928" s="496"/>
      <c r="E928" s="497"/>
    </row>
    <row r="929" spans="1:5">
      <c r="A929" s="495"/>
      <c r="B929" s="495"/>
      <c r="C929" s="495"/>
      <c r="D929" s="496"/>
      <c r="E929" s="497"/>
    </row>
    <row r="930" spans="1:5">
      <c r="A930" s="498"/>
      <c r="B930" s="498"/>
      <c r="C930" s="498"/>
      <c r="D930" s="499"/>
      <c r="E930" s="500"/>
    </row>
    <row r="931" spans="1:5">
      <c r="A931" s="498"/>
      <c r="B931" s="498"/>
      <c r="C931" s="498"/>
      <c r="D931" s="499"/>
      <c r="E931" s="500"/>
    </row>
    <row r="932" spans="1:5">
      <c r="A932" s="495"/>
      <c r="B932" s="495"/>
      <c r="C932" s="495"/>
      <c r="D932" s="496"/>
      <c r="E932" s="497"/>
    </row>
    <row r="933" spans="1:5">
      <c r="A933" s="495"/>
      <c r="B933" s="495"/>
      <c r="C933" s="495"/>
      <c r="D933" s="496"/>
      <c r="E933" s="497"/>
    </row>
    <row r="934" spans="1:5">
      <c r="A934" s="495"/>
      <c r="B934" s="495"/>
      <c r="C934" s="495"/>
      <c r="D934" s="496"/>
      <c r="E934" s="497"/>
    </row>
    <row r="935" spans="1:5">
      <c r="A935" s="495"/>
      <c r="B935" s="495"/>
      <c r="C935" s="495"/>
      <c r="D935" s="496"/>
      <c r="E935" s="497"/>
    </row>
    <row r="936" spans="1:5">
      <c r="A936" s="498"/>
      <c r="B936" s="498"/>
      <c r="C936" s="498"/>
      <c r="D936" s="499"/>
      <c r="E936" s="500"/>
    </row>
    <row r="937" spans="1:5">
      <c r="A937" s="498"/>
      <c r="B937" s="498"/>
      <c r="C937" s="498"/>
      <c r="D937" s="499"/>
      <c r="E937" s="500"/>
    </row>
    <row r="938" spans="1:5">
      <c r="A938" s="495"/>
      <c r="B938" s="495"/>
      <c r="C938" s="495"/>
      <c r="D938" s="496"/>
      <c r="E938" s="497"/>
    </row>
    <row r="939" spans="1:5">
      <c r="A939" s="495"/>
      <c r="B939" s="495"/>
      <c r="C939" s="495"/>
      <c r="D939" s="496"/>
      <c r="E939" s="497"/>
    </row>
    <row r="940" spans="1:5">
      <c r="A940" s="495"/>
      <c r="B940" s="495"/>
      <c r="C940" s="495"/>
      <c r="D940" s="496"/>
      <c r="E940" s="497"/>
    </row>
    <row r="941" spans="1:5">
      <c r="A941" s="495"/>
      <c r="B941" s="495"/>
      <c r="C941" s="495"/>
      <c r="D941" s="496"/>
      <c r="E941" s="497"/>
    </row>
    <row r="942" spans="1:5">
      <c r="A942" s="495"/>
      <c r="B942" s="495"/>
      <c r="C942" s="495"/>
      <c r="D942" s="496"/>
      <c r="E942" s="497"/>
    </row>
    <row r="943" spans="1:5">
      <c r="A943" s="495"/>
      <c r="B943" s="495"/>
      <c r="C943" s="495"/>
      <c r="D943" s="496"/>
      <c r="E943" s="497"/>
    </row>
    <row r="944" spans="1:5">
      <c r="A944" s="495"/>
      <c r="B944" s="495"/>
      <c r="C944" s="495"/>
      <c r="D944" s="496"/>
      <c r="E944" s="497"/>
    </row>
    <row r="945" spans="1:5">
      <c r="A945" s="495"/>
      <c r="B945" s="495"/>
      <c r="C945" s="495"/>
      <c r="D945" s="496"/>
      <c r="E945" s="497"/>
    </row>
    <row r="946" spans="1:5">
      <c r="A946" s="495"/>
      <c r="B946" s="495"/>
      <c r="C946" s="495"/>
      <c r="D946" s="496"/>
      <c r="E946" s="497"/>
    </row>
    <row r="947" spans="1:5">
      <c r="A947" s="495"/>
      <c r="B947" s="495"/>
      <c r="C947" s="495"/>
      <c r="D947" s="496"/>
      <c r="E947" s="497"/>
    </row>
    <row r="948" spans="1:5">
      <c r="A948" s="495"/>
      <c r="B948" s="495"/>
      <c r="C948" s="495"/>
      <c r="D948" s="496"/>
      <c r="E948" s="497"/>
    </row>
    <row r="949" spans="1:5">
      <c r="A949" s="495"/>
      <c r="B949" s="495"/>
      <c r="C949" s="495"/>
      <c r="D949" s="496"/>
      <c r="E949" s="497"/>
    </row>
    <row r="950" spans="1:5">
      <c r="A950" s="498"/>
      <c r="B950" s="498"/>
      <c r="C950" s="498"/>
      <c r="D950" s="499"/>
      <c r="E950" s="500"/>
    </row>
    <row r="951" spans="1:5">
      <c r="A951" s="498"/>
      <c r="B951" s="498"/>
      <c r="C951" s="498"/>
      <c r="D951" s="499"/>
      <c r="E951" s="500"/>
    </row>
    <row r="952" spans="1:5">
      <c r="A952" s="495"/>
      <c r="B952" s="495"/>
      <c r="C952" s="495"/>
      <c r="D952" s="496"/>
      <c r="E952" s="497"/>
    </row>
    <row r="953" spans="1:5">
      <c r="A953" s="495"/>
      <c r="B953" s="495"/>
      <c r="C953" s="495"/>
      <c r="D953" s="496"/>
      <c r="E953" s="497"/>
    </row>
    <row r="954" spans="1:5">
      <c r="A954" s="495"/>
      <c r="B954" s="495"/>
      <c r="C954" s="495"/>
      <c r="D954" s="496"/>
      <c r="E954" s="497"/>
    </row>
    <row r="955" spans="1:5">
      <c r="A955" s="495"/>
      <c r="B955" s="495"/>
      <c r="C955" s="495"/>
      <c r="D955" s="496"/>
      <c r="E955" s="497"/>
    </row>
    <row r="956" spans="1:5">
      <c r="A956" s="495"/>
      <c r="B956" s="495"/>
      <c r="C956" s="495"/>
      <c r="D956" s="496"/>
      <c r="E956" s="497"/>
    </row>
    <row r="957" spans="1:5">
      <c r="A957" s="495"/>
      <c r="B957" s="495"/>
      <c r="C957" s="495"/>
      <c r="D957" s="496"/>
      <c r="E957" s="497"/>
    </row>
    <row r="958" spans="1:5">
      <c r="A958" s="495"/>
      <c r="B958" s="495"/>
      <c r="C958" s="495"/>
      <c r="D958" s="496"/>
      <c r="E958" s="497"/>
    </row>
    <row r="959" spans="1:5">
      <c r="A959" s="495"/>
      <c r="B959" s="495"/>
      <c r="C959" s="495"/>
      <c r="D959" s="496"/>
      <c r="E959" s="497"/>
    </row>
    <row r="960" spans="1:5">
      <c r="A960" s="495"/>
      <c r="B960" s="495"/>
      <c r="C960" s="495"/>
      <c r="D960" s="496"/>
      <c r="E960" s="497"/>
    </row>
    <row r="961" spans="1:5">
      <c r="A961" s="495"/>
      <c r="B961" s="495"/>
      <c r="C961" s="495"/>
      <c r="D961" s="496"/>
      <c r="E961" s="497"/>
    </row>
    <row r="962" spans="1:5">
      <c r="A962" s="495"/>
      <c r="B962" s="495"/>
      <c r="C962" s="495"/>
      <c r="D962" s="496"/>
      <c r="E962" s="497"/>
    </row>
    <row r="963" spans="1:5">
      <c r="A963" s="498"/>
      <c r="B963" s="498"/>
      <c r="C963" s="498"/>
      <c r="D963" s="499"/>
      <c r="E963" s="500"/>
    </row>
    <row r="964" spans="1:5">
      <c r="A964" s="498"/>
      <c r="B964" s="498"/>
      <c r="C964" s="498"/>
      <c r="D964" s="499"/>
      <c r="E964" s="500"/>
    </row>
    <row r="965" spans="1:5">
      <c r="A965" s="498"/>
      <c r="B965" s="498"/>
      <c r="C965" s="498"/>
      <c r="D965" s="499"/>
      <c r="E965" s="500"/>
    </row>
    <row r="966" spans="1:5">
      <c r="A966" s="498"/>
      <c r="B966" s="498"/>
      <c r="C966" s="498"/>
      <c r="D966" s="499"/>
      <c r="E966" s="500"/>
    </row>
    <row r="967" spans="1:5">
      <c r="A967" s="495"/>
      <c r="B967" s="495"/>
      <c r="C967" s="495"/>
      <c r="D967" s="496"/>
      <c r="E967" s="497"/>
    </row>
    <row r="968" spans="1:5">
      <c r="A968" s="495"/>
      <c r="B968" s="495"/>
      <c r="C968" s="495"/>
      <c r="D968" s="496"/>
      <c r="E968" s="497"/>
    </row>
    <row r="969" spans="1:5">
      <c r="A969" s="495"/>
      <c r="B969" s="495"/>
      <c r="C969" s="495"/>
      <c r="D969" s="496"/>
      <c r="E969" s="497"/>
    </row>
    <row r="970" spans="1:5">
      <c r="A970" s="498"/>
      <c r="B970" s="498"/>
      <c r="C970" s="498"/>
      <c r="D970" s="499"/>
      <c r="E970" s="500"/>
    </row>
    <row r="971" spans="1:5">
      <c r="A971" s="498"/>
      <c r="B971" s="498"/>
      <c r="C971" s="498"/>
      <c r="D971" s="499"/>
      <c r="E971" s="500"/>
    </row>
    <row r="972" spans="1:5">
      <c r="A972" s="495"/>
      <c r="B972" s="495"/>
      <c r="C972" s="495"/>
      <c r="D972" s="496"/>
      <c r="E972" s="497"/>
    </row>
    <row r="973" spans="1:5">
      <c r="A973" s="495"/>
      <c r="B973" s="495"/>
      <c r="C973" s="495"/>
      <c r="D973" s="496"/>
      <c r="E973" s="497"/>
    </row>
    <row r="974" spans="1:5">
      <c r="A974" s="495"/>
      <c r="B974" s="495"/>
      <c r="C974" s="495"/>
      <c r="D974" s="496"/>
      <c r="E974" s="497"/>
    </row>
    <row r="975" spans="1:5">
      <c r="A975" s="495"/>
      <c r="B975" s="495"/>
      <c r="C975" s="495"/>
      <c r="D975" s="496"/>
      <c r="E975" s="497"/>
    </row>
    <row r="976" spans="1:5">
      <c r="A976" s="495"/>
      <c r="B976" s="495"/>
      <c r="C976" s="495"/>
      <c r="D976" s="496"/>
      <c r="E976" s="497"/>
    </row>
    <row r="977" spans="1:5">
      <c r="A977" s="495"/>
      <c r="B977" s="495"/>
      <c r="C977" s="495"/>
      <c r="D977" s="496"/>
      <c r="E977" s="497"/>
    </row>
    <row r="978" spans="1:5">
      <c r="A978" s="495"/>
      <c r="B978" s="495"/>
      <c r="C978" s="495"/>
      <c r="D978" s="496"/>
      <c r="E978" s="497"/>
    </row>
    <row r="979" spans="1:5">
      <c r="A979" s="495"/>
      <c r="B979" s="495"/>
      <c r="C979" s="495"/>
      <c r="D979" s="496"/>
      <c r="E979" s="497"/>
    </row>
    <row r="980" spans="1:5">
      <c r="A980" s="495"/>
      <c r="B980" s="495"/>
      <c r="C980" s="495"/>
      <c r="D980" s="496"/>
      <c r="E980" s="497"/>
    </row>
    <row r="981" spans="1:5">
      <c r="A981" s="498"/>
      <c r="B981" s="498"/>
      <c r="C981" s="498"/>
      <c r="D981" s="499"/>
      <c r="E981" s="500"/>
    </row>
    <row r="982" spans="1:5">
      <c r="A982" s="498"/>
      <c r="B982" s="498"/>
      <c r="C982" s="498"/>
      <c r="D982" s="499"/>
      <c r="E982" s="500"/>
    </row>
    <row r="983" spans="1:5">
      <c r="A983" s="498"/>
      <c r="B983" s="498"/>
      <c r="C983" s="498"/>
      <c r="D983" s="499"/>
      <c r="E983" s="500"/>
    </row>
    <row r="984" spans="1:5">
      <c r="A984" s="498"/>
      <c r="B984" s="498"/>
      <c r="C984" s="498"/>
      <c r="D984" s="499"/>
      <c r="E984" s="500"/>
    </row>
    <row r="985" spans="1:5">
      <c r="A985" s="495"/>
      <c r="B985" s="495"/>
      <c r="C985" s="495"/>
      <c r="D985" s="496"/>
      <c r="E985" s="497"/>
    </row>
    <row r="986" spans="1:5">
      <c r="A986" s="498"/>
      <c r="B986" s="498"/>
      <c r="C986" s="498"/>
      <c r="D986" s="499"/>
      <c r="E986" s="500"/>
    </row>
    <row r="987" spans="1:5">
      <c r="A987" s="498"/>
      <c r="B987" s="498"/>
      <c r="C987" s="498"/>
      <c r="D987" s="499"/>
      <c r="E987" s="500"/>
    </row>
    <row r="988" spans="1:5">
      <c r="A988" s="495"/>
      <c r="B988" s="495"/>
      <c r="C988" s="495"/>
      <c r="D988" s="496"/>
      <c r="E988" s="497"/>
    </row>
    <row r="989" spans="1:5">
      <c r="A989" s="495"/>
      <c r="B989" s="495"/>
      <c r="C989" s="495"/>
      <c r="D989" s="496"/>
      <c r="E989" s="497"/>
    </row>
    <row r="990" spans="1:5">
      <c r="A990" s="495"/>
      <c r="B990" s="495"/>
      <c r="C990" s="495"/>
      <c r="D990" s="496"/>
      <c r="E990" s="497"/>
    </row>
    <row r="991" spans="1:5">
      <c r="A991" s="495"/>
      <c r="B991" s="495"/>
      <c r="C991" s="495"/>
      <c r="D991" s="496"/>
      <c r="E991" s="497"/>
    </row>
    <row r="992" spans="1:5">
      <c r="A992" s="495"/>
      <c r="B992" s="495"/>
      <c r="C992" s="495"/>
      <c r="D992" s="496"/>
      <c r="E992" s="497"/>
    </row>
    <row r="993" spans="1:5">
      <c r="A993" s="495"/>
      <c r="B993" s="495"/>
      <c r="C993" s="495"/>
      <c r="D993" s="496"/>
      <c r="E993" s="497"/>
    </row>
    <row r="994" spans="1:5">
      <c r="A994" s="495"/>
      <c r="B994" s="495"/>
      <c r="C994" s="495"/>
      <c r="D994" s="496"/>
      <c r="E994" s="497"/>
    </row>
    <row r="995" spans="1:5">
      <c r="A995" s="498"/>
      <c r="B995" s="498"/>
      <c r="C995" s="498"/>
      <c r="D995" s="499"/>
      <c r="E995" s="500"/>
    </row>
    <row r="996" spans="1:5">
      <c r="A996" s="498"/>
      <c r="B996" s="498"/>
      <c r="C996" s="498"/>
      <c r="D996" s="499"/>
      <c r="E996" s="500"/>
    </row>
    <row r="997" spans="1:5">
      <c r="A997" s="495"/>
      <c r="B997" s="495"/>
      <c r="C997" s="495"/>
      <c r="D997" s="496"/>
      <c r="E997" s="497"/>
    </row>
    <row r="998" spans="1:5">
      <c r="A998" s="495"/>
      <c r="B998" s="495"/>
      <c r="C998" s="495"/>
      <c r="D998" s="496"/>
      <c r="E998" s="497"/>
    </row>
    <row r="999" spans="1:5">
      <c r="A999" s="495"/>
      <c r="B999" s="495"/>
      <c r="C999" s="495"/>
      <c r="D999" s="496"/>
      <c r="E999" s="497"/>
    </row>
    <row r="1000" spans="1:5">
      <c r="A1000" s="495"/>
      <c r="B1000" s="495"/>
      <c r="C1000" s="495"/>
      <c r="D1000" s="496"/>
      <c r="E1000" s="497"/>
    </row>
    <row r="1001" spans="1:5">
      <c r="A1001" s="495"/>
      <c r="B1001" s="495"/>
      <c r="C1001" s="495"/>
      <c r="D1001" s="496"/>
      <c r="E1001" s="497"/>
    </row>
    <row r="1002" spans="1:5">
      <c r="A1002" s="495"/>
      <c r="B1002" s="495"/>
      <c r="C1002" s="495"/>
      <c r="D1002" s="496"/>
      <c r="E1002" s="497"/>
    </row>
    <row r="1003" spans="1:5">
      <c r="A1003" s="495"/>
      <c r="B1003" s="495"/>
      <c r="C1003" s="495"/>
      <c r="D1003" s="496"/>
      <c r="E1003" s="497"/>
    </row>
    <row r="1004" spans="1:5">
      <c r="A1004" s="495"/>
      <c r="B1004" s="495"/>
      <c r="C1004" s="495"/>
      <c r="D1004" s="496"/>
      <c r="E1004" s="497"/>
    </row>
    <row r="1005" spans="1:5">
      <c r="A1005" s="495"/>
      <c r="B1005" s="495"/>
      <c r="C1005" s="495"/>
      <c r="D1005" s="496"/>
      <c r="E1005" s="497"/>
    </row>
    <row r="1006" spans="1:5">
      <c r="A1006" s="495"/>
      <c r="B1006" s="495"/>
      <c r="C1006" s="495"/>
      <c r="D1006" s="496"/>
      <c r="E1006" s="497"/>
    </row>
    <row r="1007" spans="1:5">
      <c r="A1007" s="495"/>
      <c r="B1007" s="495"/>
      <c r="C1007" s="495"/>
      <c r="D1007" s="496"/>
      <c r="E1007" s="497"/>
    </row>
    <row r="1008" spans="1:5">
      <c r="A1008" s="495"/>
      <c r="B1008" s="495"/>
      <c r="C1008" s="495"/>
      <c r="D1008" s="496"/>
      <c r="E1008" s="497"/>
    </row>
    <row r="1009" spans="1:5">
      <c r="A1009" s="498"/>
      <c r="B1009" s="498"/>
      <c r="C1009" s="498"/>
      <c r="D1009" s="499"/>
      <c r="E1009" s="500"/>
    </row>
    <row r="1010" spans="1:5">
      <c r="A1010" s="498"/>
      <c r="B1010" s="498"/>
      <c r="C1010" s="498"/>
      <c r="D1010" s="499"/>
      <c r="E1010" s="500"/>
    </row>
    <row r="1011" spans="1:5">
      <c r="A1011" s="495"/>
      <c r="B1011" s="495"/>
      <c r="C1011" s="495"/>
      <c r="D1011" s="496"/>
      <c r="E1011" s="497"/>
    </row>
    <row r="1012" spans="1:5">
      <c r="A1012" s="495"/>
      <c r="B1012" s="495"/>
      <c r="C1012" s="495"/>
      <c r="D1012" s="496"/>
      <c r="E1012" s="497"/>
    </row>
    <row r="1013" spans="1:5">
      <c r="A1013" s="495"/>
      <c r="B1013" s="495"/>
      <c r="C1013" s="495"/>
      <c r="D1013" s="496"/>
      <c r="E1013" s="497"/>
    </row>
    <row r="1014" spans="1:5">
      <c r="A1014" s="495"/>
      <c r="B1014" s="495"/>
      <c r="C1014" s="495"/>
      <c r="D1014" s="496"/>
      <c r="E1014" s="497"/>
    </row>
    <row r="1015" spans="1:5">
      <c r="A1015" s="495"/>
      <c r="B1015" s="495"/>
      <c r="C1015" s="495"/>
      <c r="D1015" s="496"/>
      <c r="E1015" s="497"/>
    </row>
    <row r="1016" spans="1:5">
      <c r="A1016" s="495"/>
      <c r="B1016" s="495"/>
      <c r="C1016" s="495"/>
      <c r="D1016" s="496"/>
      <c r="E1016" s="497"/>
    </row>
    <row r="1017" spans="1:5">
      <c r="A1017" s="495"/>
      <c r="B1017" s="495"/>
      <c r="C1017" s="495"/>
      <c r="D1017" s="496"/>
      <c r="E1017" s="497"/>
    </row>
    <row r="1018" spans="1:5">
      <c r="A1018" s="495"/>
      <c r="B1018" s="495"/>
      <c r="C1018" s="495"/>
      <c r="D1018" s="496"/>
      <c r="E1018" s="497"/>
    </row>
    <row r="1019" spans="1:5">
      <c r="A1019" s="495"/>
      <c r="B1019" s="495"/>
      <c r="C1019" s="495"/>
      <c r="D1019" s="496"/>
      <c r="E1019" s="497"/>
    </row>
    <row r="1020" spans="1:5">
      <c r="A1020" s="495"/>
      <c r="B1020" s="495"/>
      <c r="C1020" s="495"/>
      <c r="D1020" s="496"/>
      <c r="E1020" s="497"/>
    </row>
    <row r="1021" spans="1:5">
      <c r="A1021" s="495"/>
      <c r="B1021" s="495"/>
      <c r="C1021" s="495"/>
      <c r="D1021" s="496"/>
      <c r="E1021" s="497"/>
    </row>
    <row r="1022" spans="1:5">
      <c r="A1022" s="495"/>
      <c r="B1022" s="495"/>
      <c r="C1022" s="495"/>
      <c r="D1022" s="496"/>
      <c r="E1022" s="497"/>
    </row>
    <row r="1023" spans="1:5">
      <c r="A1023" s="495"/>
      <c r="B1023" s="495"/>
      <c r="C1023" s="495"/>
      <c r="D1023" s="496"/>
      <c r="E1023" s="497"/>
    </row>
    <row r="1024" spans="1:5">
      <c r="A1024" s="495"/>
      <c r="B1024" s="495"/>
      <c r="C1024" s="495"/>
      <c r="D1024" s="496"/>
      <c r="E1024" s="497"/>
    </row>
    <row r="1025" spans="1:5">
      <c r="A1025" s="495"/>
      <c r="B1025" s="495"/>
      <c r="C1025" s="495"/>
      <c r="D1025" s="496"/>
      <c r="E1025" s="497"/>
    </row>
    <row r="1026" spans="1:5">
      <c r="A1026" s="495"/>
      <c r="B1026" s="495"/>
      <c r="C1026" s="495"/>
      <c r="D1026" s="496"/>
      <c r="E1026" s="497"/>
    </row>
    <row r="1027" spans="1:5">
      <c r="A1027" s="495"/>
      <c r="B1027" s="495"/>
      <c r="C1027" s="495"/>
      <c r="D1027" s="496"/>
      <c r="E1027" s="497"/>
    </row>
    <row r="1028" spans="1:5">
      <c r="A1028" s="495"/>
      <c r="B1028" s="495"/>
      <c r="C1028" s="495"/>
      <c r="D1028" s="496"/>
      <c r="E1028" s="497"/>
    </row>
    <row r="1029" spans="1:5">
      <c r="A1029" s="495"/>
      <c r="B1029" s="495"/>
      <c r="C1029" s="495"/>
      <c r="D1029" s="496"/>
      <c r="E1029" s="497"/>
    </row>
    <row r="1030" spans="1:5">
      <c r="A1030" s="495"/>
      <c r="B1030" s="495"/>
      <c r="C1030" s="495"/>
      <c r="D1030" s="496"/>
      <c r="E1030" s="497"/>
    </row>
    <row r="1031" spans="1:5">
      <c r="A1031" s="498"/>
      <c r="B1031" s="498"/>
      <c r="C1031" s="498"/>
      <c r="D1031" s="499"/>
      <c r="E1031" s="500"/>
    </row>
    <row r="1032" spans="1:5">
      <c r="A1032" s="498"/>
      <c r="B1032" s="498"/>
      <c r="C1032" s="498"/>
      <c r="D1032" s="499"/>
      <c r="E1032" s="500"/>
    </row>
    <row r="1033" spans="1:5">
      <c r="A1033" s="495"/>
      <c r="B1033" s="495"/>
      <c r="C1033" s="495"/>
      <c r="D1033" s="496"/>
      <c r="E1033" s="497"/>
    </row>
    <row r="1034" spans="1:5">
      <c r="A1034" s="495"/>
      <c r="B1034" s="495"/>
      <c r="C1034" s="495"/>
      <c r="D1034" s="496"/>
      <c r="E1034" s="497"/>
    </row>
    <row r="1035" spans="1:5">
      <c r="A1035" s="495"/>
      <c r="B1035" s="495"/>
      <c r="C1035" s="495"/>
      <c r="D1035" s="496"/>
      <c r="E1035" s="497"/>
    </row>
    <row r="1036" spans="1:5">
      <c r="A1036" s="495"/>
      <c r="B1036" s="495"/>
      <c r="C1036" s="495"/>
      <c r="D1036" s="496"/>
      <c r="E1036" s="497"/>
    </row>
    <row r="1037" spans="1:5">
      <c r="A1037" s="495"/>
      <c r="B1037" s="495"/>
      <c r="C1037" s="495"/>
      <c r="D1037" s="496"/>
      <c r="E1037" s="497"/>
    </row>
    <row r="1038" spans="1:5">
      <c r="A1038" s="495"/>
      <c r="B1038" s="495"/>
      <c r="C1038" s="495"/>
      <c r="D1038" s="496"/>
      <c r="E1038" s="497"/>
    </row>
    <row r="1039" spans="1:5">
      <c r="A1039" s="498"/>
      <c r="B1039" s="498"/>
      <c r="C1039" s="498"/>
      <c r="D1039" s="499"/>
      <c r="E1039" s="500"/>
    </row>
    <row r="1040" spans="1:5">
      <c r="A1040" s="498"/>
      <c r="B1040" s="498"/>
      <c r="C1040" s="498"/>
      <c r="D1040" s="499"/>
      <c r="E1040" s="500"/>
    </row>
    <row r="1041" spans="1:5">
      <c r="A1041" s="498"/>
      <c r="B1041" s="498"/>
      <c r="C1041" s="498"/>
      <c r="D1041" s="499"/>
      <c r="E1041" s="500"/>
    </row>
    <row r="1042" spans="1:5">
      <c r="A1042" s="498"/>
      <c r="B1042" s="498"/>
      <c r="C1042" s="498"/>
      <c r="D1042" s="499"/>
      <c r="E1042" s="500"/>
    </row>
    <row r="1043" spans="1:5">
      <c r="A1043" s="495"/>
      <c r="B1043" s="495"/>
      <c r="C1043" s="495"/>
      <c r="D1043" s="496"/>
      <c r="E1043" s="497"/>
    </row>
    <row r="1044" spans="1:5">
      <c r="A1044" s="495"/>
      <c r="B1044" s="495"/>
      <c r="C1044" s="495"/>
      <c r="D1044" s="496"/>
      <c r="E1044" s="497"/>
    </row>
    <row r="1045" spans="1:5">
      <c r="A1045" s="495"/>
      <c r="B1045" s="495"/>
      <c r="C1045" s="495"/>
      <c r="D1045" s="496"/>
      <c r="E1045" s="497"/>
    </row>
    <row r="1046" spans="1:5">
      <c r="A1046" s="495"/>
      <c r="B1046" s="495"/>
      <c r="C1046" s="495"/>
      <c r="D1046" s="496"/>
      <c r="E1046" s="497"/>
    </row>
    <row r="1047" spans="1:5">
      <c r="A1047" s="495"/>
      <c r="B1047" s="495"/>
      <c r="C1047" s="495"/>
      <c r="D1047" s="496"/>
      <c r="E1047" s="497"/>
    </row>
    <row r="1048" spans="1:5">
      <c r="A1048" s="495"/>
      <c r="B1048" s="495"/>
      <c r="C1048" s="495"/>
      <c r="D1048" s="496"/>
      <c r="E1048" s="497"/>
    </row>
    <row r="1049" spans="1:5">
      <c r="A1049" s="495"/>
      <c r="B1049" s="495"/>
      <c r="C1049" s="495"/>
      <c r="D1049" s="496"/>
      <c r="E1049" s="497"/>
    </row>
    <row r="1050" spans="1:5">
      <c r="A1050" s="495"/>
      <c r="B1050" s="495"/>
      <c r="C1050" s="495"/>
      <c r="D1050" s="496"/>
      <c r="E1050" s="497"/>
    </row>
    <row r="1051" spans="1:5">
      <c r="A1051" s="498"/>
      <c r="B1051" s="498"/>
      <c r="C1051" s="498"/>
      <c r="D1051" s="499"/>
      <c r="E1051" s="500"/>
    </row>
    <row r="1052" spans="1:5">
      <c r="A1052" s="498"/>
      <c r="B1052" s="498"/>
      <c r="C1052" s="498"/>
      <c r="D1052" s="499"/>
      <c r="E1052" s="500"/>
    </row>
    <row r="1053" spans="1:5">
      <c r="A1053" s="498"/>
      <c r="B1053" s="498"/>
      <c r="C1053" s="498"/>
      <c r="D1053" s="499"/>
      <c r="E1053" s="500"/>
    </row>
    <row r="1054" spans="1:5">
      <c r="A1054" s="498"/>
      <c r="B1054" s="498"/>
      <c r="C1054" s="498"/>
      <c r="D1054" s="499"/>
      <c r="E1054" s="500"/>
    </row>
    <row r="1055" spans="1:5">
      <c r="A1055" s="495"/>
      <c r="B1055" s="495"/>
      <c r="C1055" s="495"/>
      <c r="D1055" s="496"/>
      <c r="E1055" s="497"/>
    </row>
    <row r="1056" spans="1:5">
      <c r="A1056" s="495"/>
      <c r="B1056" s="495"/>
      <c r="C1056" s="495"/>
      <c r="D1056" s="496"/>
      <c r="E1056" s="497"/>
    </row>
    <row r="1057" spans="1:5">
      <c r="A1057" s="495"/>
      <c r="B1057" s="495"/>
      <c r="C1057" s="495"/>
      <c r="D1057" s="496"/>
      <c r="E1057" s="497"/>
    </row>
    <row r="1058" spans="1:5">
      <c r="A1058" s="498"/>
      <c r="B1058" s="498"/>
      <c r="C1058" s="498"/>
      <c r="D1058" s="499"/>
      <c r="E1058" s="500"/>
    </row>
    <row r="1059" spans="1:5">
      <c r="A1059" s="498"/>
      <c r="B1059" s="498"/>
      <c r="C1059" s="498"/>
      <c r="D1059" s="499"/>
      <c r="E1059" s="500"/>
    </row>
    <row r="1060" spans="1:5">
      <c r="A1060" s="495"/>
      <c r="B1060" s="495"/>
      <c r="C1060" s="495"/>
      <c r="D1060" s="496"/>
      <c r="E1060" s="497"/>
    </row>
    <row r="1061" spans="1:5">
      <c r="A1061" s="498"/>
      <c r="B1061" s="498"/>
      <c r="C1061" s="498"/>
      <c r="D1061" s="499"/>
      <c r="E1061" s="500"/>
    </row>
    <row r="1062" spans="1:5">
      <c r="A1062" s="498"/>
      <c r="B1062" s="498"/>
      <c r="C1062" s="498"/>
      <c r="D1062" s="499"/>
      <c r="E1062" s="500"/>
    </row>
    <row r="1063" spans="1:5">
      <c r="A1063" s="498"/>
      <c r="B1063" s="498"/>
      <c r="C1063" s="498"/>
      <c r="D1063" s="499"/>
      <c r="E1063" s="500"/>
    </row>
    <row r="1064" spans="1:5">
      <c r="A1064" s="498"/>
      <c r="B1064" s="498"/>
      <c r="C1064" s="498"/>
      <c r="D1064" s="499"/>
      <c r="E1064" s="500"/>
    </row>
    <row r="1065" spans="1:5">
      <c r="A1065" s="498"/>
      <c r="B1065" s="498"/>
      <c r="C1065" s="498"/>
      <c r="D1065" s="499"/>
      <c r="E1065" s="500"/>
    </row>
    <row r="1066" spans="1:5">
      <c r="A1066" s="498"/>
      <c r="B1066" s="498"/>
      <c r="C1066" s="498"/>
      <c r="D1066" s="499"/>
      <c r="E1066" s="500"/>
    </row>
    <row r="1067" spans="1:5">
      <c r="A1067" s="498"/>
      <c r="B1067" s="498"/>
      <c r="C1067" s="498"/>
      <c r="D1067" s="499"/>
      <c r="E1067" s="500"/>
    </row>
    <row r="1068" spans="1:5">
      <c r="A1068" s="498"/>
      <c r="B1068" s="498"/>
      <c r="C1068" s="498"/>
      <c r="D1068" s="499"/>
      <c r="E1068" s="500"/>
    </row>
    <row r="1069" spans="1:5">
      <c r="A1069" s="495"/>
      <c r="B1069" s="495"/>
      <c r="C1069" s="495"/>
      <c r="D1069" s="496"/>
      <c r="E1069" s="497"/>
    </row>
    <row r="1070" spans="1:5">
      <c r="A1070" s="498"/>
      <c r="B1070" s="498"/>
      <c r="C1070" s="498"/>
      <c r="D1070" s="499"/>
      <c r="E1070" s="500"/>
    </row>
    <row r="1071" spans="1:5">
      <c r="A1071" s="498"/>
      <c r="B1071" s="498"/>
      <c r="C1071" s="498"/>
      <c r="D1071" s="499"/>
      <c r="E1071" s="500"/>
    </row>
    <row r="1072" spans="1:5">
      <c r="A1072" s="498"/>
      <c r="B1072" s="498"/>
      <c r="C1072" s="498"/>
      <c r="D1072" s="499"/>
      <c r="E1072" s="500"/>
    </row>
    <row r="1073" spans="1:5">
      <c r="A1073" s="498"/>
      <c r="B1073" s="498"/>
      <c r="C1073" s="498"/>
      <c r="D1073" s="499"/>
      <c r="E1073" s="500"/>
    </row>
    <row r="1074" spans="1:5">
      <c r="A1074" s="495"/>
      <c r="B1074" s="495"/>
      <c r="C1074" s="495"/>
      <c r="D1074" s="496"/>
      <c r="E1074" s="497"/>
    </row>
    <row r="1075" spans="1:5">
      <c r="A1075" s="495"/>
      <c r="B1075" s="495"/>
      <c r="C1075" s="495"/>
      <c r="D1075" s="496"/>
      <c r="E1075" s="497"/>
    </row>
    <row r="1076" spans="1:5">
      <c r="A1076" s="495"/>
      <c r="B1076" s="495"/>
      <c r="C1076" s="495"/>
      <c r="D1076" s="496"/>
      <c r="E1076" s="497"/>
    </row>
    <row r="1077" spans="1:5">
      <c r="A1077" s="498"/>
      <c r="B1077" s="498"/>
      <c r="C1077" s="498"/>
      <c r="D1077" s="499"/>
      <c r="E1077" s="500"/>
    </row>
    <row r="1078" spans="1:5">
      <c r="A1078" s="498"/>
      <c r="B1078" s="498"/>
      <c r="C1078" s="498"/>
      <c r="D1078" s="499"/>
      <c r="E1078" s="500"/>
    </row>
    <row r="1079" spans="1:5">
      <c r="A1079" s="495"/>
      <c r="B1079" s="495"/>
      <c r="C1079" s="495"/>
      <c r="D1079" s="496"/>
      <c r="E1079" s="497"/>
    </row>
    <row r="1080" spans="1:5">
      <c r="A1080" s="498"/>
      <c r="B1080" s="498"/>
      <c r="C1080" s="498"/>
      <c r="D1080" s="499"/>
      <c r="E1080" s="500"/>
    </row>
    <row r="1081" spans="1:5">
      <c r="A1081" s="498"/>
      <c r="B1081" s="498"/>
      <c r="C1081" s="498"/>
      <c r="D1081" s="499"/>
      <c r="E1081" s="500"/>
    </row>
    <row r="1082" spans="1:5">
      <c r="A1082" s="495"/>
      <c r="B1082" s="495"/>
      <c r="C1082" s="495"/>
      <c r="D1082" s="496"/>
      <c r="E1082" s="497"/>
    </row>
    <row r="1083" spans="1:5">
      <c r="A1083" s="495"/>
      <c r="B1083" s="495"/>
      <c r="C1083" s="495"/>
      <c r="D1083" s="496"/>
      <c r="E1083" s="497"/>
    </row>
    <row r="1084" spans="1:5">
      <c r="A1084" s="495"/>
      <c r="B1084" s="495"/>
      <c r="C1084" s="495"/>
      <c r="D1084" s="496"/>
      <c r="E1084" s="497"/>
    </row>
    <row r="1085" spans="1:5">
      <c r="A1085" s="495"/>
      <c r="B1085" s="495"/>
      <c r="C1085" s="495"/>
      <c r="D1085" s="496"/>
      <c r="E1085" s="497"/>
    </row>
    <row r="1086" spans="1:5">
      <c r="A1086" s="495"/>
      <c r="B1086" s="495"/>
      <c r="C1086" s="495"/>
      <c r="D1086" s="496"/>
      <c r="E1086" s="497"/>
    </row>
    <row r="1087" spans="1:5">
      <c r="A1087" s="495"/>
      <c r="B1087" s="495"/>
      <c r="C1087" s="495"/>
      <c r="D1087" s="496"/>
      <c r="E1087" s="497"/>
    </row>
    <row r="1088" spans="1:5">
      <c r="A1088" s="495"/>
      <c r="B1088" s="495"/>
      <c r="C1088" s="495"/>
      <c r="D1088" s="496"/>
      <c r="E1088" s="497"/>
    </row>
    <row r="1089" spans="1:5">
      <c r="A1089" s="495"/>
      <c r="B1089" s="495"/>
      <c r="C1089" s="495"/>
      <c r="D1089" s="496"/>
      <c r="E1089" s="497"/>
    </row>
    <row r="1090" spans="1:5">
      <c r="A1090" s="498"/>
      <c r="B1090" s="498"/>
      <c r="C1090" s="498"/>
      <c r="D1090" s="499"/>
      <c r="E1090" s="500"/>
    </row>
    <row r="1091" spans="1:5">
      <c r="A1091" s="498"/>
      <c r="B1091" s="498"/>
      <c r="C1091" s="498"/>
      <c r="D1091" s="499"/>
      <c r="E1091" s="500"/>
    </row>
    <row r="1092" spans="1:5">
      <c r="A1092" s="495"/>
      <c r="B1092" s="495"/>
      <c r="C1092" s="495"/>
      <c r="D1092" s="496"/>
      <c r="E1092" s="497"/>
    </row>
    <row r="1093" spans="1:5">
      <c r="A1093" s="495"/>
      <c r="B1093" s="495"/>
      <c r="C1093" s="495"/>
      <c r="D1093" s="496"/>
      <c r="E1093" s="497"/>
    </row>
    <row r="1094" spans="1:5">
      <c r="A1094" s="495"/>
      <c r="B1094" s="495"/>
      <c r="C1094" s="495"/>
      <c r="D1094" s="496"/>
      <c r="E1094" s="497"/>
    </row>
    <row r="1095" spans="1:5">
      <c r="A1095" s="495"/>
      <c r="B1095" s="495"/>
      <c r="C1095" s="495"/>
      <c r="D1095" s="496"/>
      <c r="E1095" s="497"/>
    </row>
    <row r="1096" spans="1:5">
      <c r="A1096" s="495"/>
      <c r="B1096" s="495"/>
      <c r="C1096" s="495"/>
      <c r="D1096" s="496"/>
      <c r="E1096" s="497"/>
    </row>
    <row r="1097" spans="1:5">
      <c r="A1097" s="495"/>
      <c r="B1097" s="495"/>
      <c r="C1097" s="495"/>
      <c r="D1097" s="496"/>
      <c r="E1097" s="497"/>
    </row>
    <row r="1098" spans="1:5">
      <c r="A1098" s="495"/>
      <c r="B1098" s="495"/>
      <c r="C1098" s="495"/>
      <c r="D1098" s="496"/>
      <c r="E1098" s="497"/>
    </row>
    <row r="1099" spans="1:5">
      <c r="A1099" s="495"/>
      <c r="B1099" s="495"/>
      <c r="C1099" s="495"/>
      <c r="D1099" s="496"/>
      <c r="E1099" s="497"/>
    </row>
    <row r="1100" spans="1:5">
      <c r="A1100" s="495"/>
      <c r="B1100" s="495"/>
      <c r="C1100" s="495"/>
      <c r="D1100" s="496"/>
      <c r="E1100" s="497"/>
    </row>
    <row r="1101" spans="1:5">
      <c r="A1101" s="495"/>
      <c r="B1101" s="495"/>
      <c r="C1101" s="495"/>
      <c r="D1101" s="496"/>
      <c r="E1101" s="497"/>
    </row>
    <row r="1102" spans="1:5">
      <c r="A1102" s="498"/>
      <c r="B1102" s="498"/>
      <c r="C1102" s="498"/>
      <c r="D1102" s="499"/>
      <c r="E1102" s="500"/>
    </row>
    <row r="1103" spans="1:5">
      <c r="A1103" s="498"/>
      <c r="B1103" s="498"/>
      <c r="C1103" s="498"/>
      <c r="D1103" s="499"/>
      <c r="E1103" s="500"/>
    </row>
    <row r="1104" spans="1:5">
      <c r="A1104" s="495"/>
      <c r="B1104" s="495"/>
      <c r="C1104" s="495"/>
      <c r="D1104" s="496"/>
      <c r="E1104" s="497"/>
    </row>
    <row r="1105" spans="1:5">
      <c r="A1105" s="495"/>
      <c r="B1105" s="495"/>
      <c r="C1105" s="495"/>
      <c r="D1105" s="496"/>
      <c r="E1105" s="497"/>
    </row>
    <row r="1106" spans="1:5">
      <c r="A1106" s="495"/>
      <c r="B1106" s="495"/>
      <c r="C1106" s="495"/>
      <c r="D1106" s="496"/>
      <c r="E1106" s="497"/>
    </row>
    <row r="1107" spans="1:5">
      <c r="A1107" s="495"/>
      <c r="B1107" s="495"/>
      <c r="C1107" s="495"/>
      <c r="D1107" s="496"/>
      <c r="E1107" s="497"/>
    </row>
    <row r="1108" spans="1:5">
      <c r="A1108" s="495"/>
      <c r="B1108" s="495"/>
      <c r="C1108" s="495"/>
      <c r="D1108" s="496"/>
      <c r="E1108" s="497"/>
    </row>
    <row r="1109" spans="1:5">
      <c r="A1109" s="498"/>
      <c r="B1109" s="498"/>
      <c r="C1109" s="498"/>
      <c r="D1109" s="499"/>
      <c r="E1109" s="500"/>
    </row>
    <row r="1110" spans="1:5">
      <c r="A1110" s="498"/>
      <c r="B1110" s="498"/>
      <c r="C1110" s="498"/>
      <c r="D1110" s="499"/>
      <c r="E1110" s="500"/>
    </row>
    <row r="1111" spans="1:5">
      <c r="A1111" s="495"/>
      <c r="B1111" s="495"/>
      <c r="C1111" s="495"/>
      <c r="D1111" s="496"/>
      <c r="E1111" s="497"/>
    </row>
    <row r="1112" spans="1:5">
      <c r="A1112" s="495"/>
      <c r="B1112" s="495"/>
      <c r="C1112" s="495"/>
      <c r="D1112" s="496"/>
      <c r="E1112" s="497"/>
    </row>
    <row r="1113" spans="1:5">
      <c r="A1113" s="498"/>
      <c r="B1113" s="498"/>
      <c r="C1113" s="498"/>
      <c r="D1113" s="499"/>
      <c r="E1113" s="500"/>
    </row>
    <row r="1114" spans="1:5">
      <c r="A1114" s="498"/>
      <c r="B1114" s="498"/>
      <c r="C1114" s="498"/>
      <c r="D1114" s="499"/>
      <c r="E1114" s="500"/>
    </row>
    <row r="1115" spans="1:5">
      <c r="A1115" s="495"/>
      <c r="B1115" s="495"/>
      <c r="C1115" s="495"/>
      <c r="D1115" s="496"/>
      <c r="E1115" s="497"/>
    </row>
    <row r="1116" spans="1:5">
      <c r="A1116" s="495"/>
      <c r="B1116" s="495"/>
      <c r="C1116" s="495"/>
      <c r="D1116" s="496"/>
      <c r="E1116" s="497"/>
    </row>
    <row r="1117" spans="1:5">
      <c r="A1117" s="495"/>
      <c r="B1117" s="495"/>
      <c r="C1117" s="495"/>
      <c r="D1117" s="496"/>
      <c r="E1117" s="497"/>
    </row>
    <row r="1118" spans="1:5">
      <c r="A1118" s="495"/>
      <c r="B1118" s="495"/>
      <c r="C1118" s="495"/>
      <c r="D1118" s="496"/>
      <c r="E1118" s="497"/>
    </row>
    <row r="1119" spans="1:5">
      <c r="A1119" s="495"/>
      <c r="B1119" s="495"/>
      <c r="C1119" s="495"/>
      <c r="D1119" s="496"/>
      <c r="E1119" s="497"/>
    </row>
    <row r="1120" spans="1:5">
      <c r="A1120" s="495"/>
      <c r="B1120" s="495"/>
      <c r="C1120" s="495"/>
      <c r="D1120" s="496"/>
      <c r="E1120" s="497"/>
    </row>
    <row r="1121" spans="1:5">
      <c r="A1121" s="498"/>
      <c r="B1121" s="498"/>
      <c r="C1121" s="498"/>
      <c r="D1121" s="499"/>
      <c r="E1121" s="500"/>
    </row>
    <row r="1122" spans="1:5">
      <c r="A1122" s="498"/>
      <c r="B1122" s="498"/>
      <c r="C1122" s="498"/>
      <c r="D1122" s="499"/>
      <c r="E1122" s="500"/>
    </row>
    <row r="1123" spans="1:5">
      <c r="A1123" s="495"/>
      <c r="B1123" s="495"/>
      <c r="C1123" s="495"/>
      <c r="D1123" s="496"/>
      <c r="E1123" s="497"/>
    </row>
    <row r="1124" spans="1:5">
      <c r="A1124" s="498"/>
      <c r="B1124" s="498"/>
      <c r="C1124" s="498"/>
      <c r="D1124" s="499"/>
      <c r="E1124" s="500"/>
    </row>
    <row r="1125" spans="1:5">
      <c r="A1125" s="498"/>
      <c r="B1125" s="498"/>
      <c r="C1125" s="498"/>
      <c r="D1125" s="499"/>
      <c r="E1125" s="500"/>
    </row>
    <row r="1126" spans="1:5">
      <c r="A1126" s="495"/>
      <c r="B1126" s="495"/>
      <c r="C1126" s="495"/>
      <c r="D1126" s="496"/>
      <c r="E1126" s="497"/>
    </row>
    <row r="1127" spans="1:5">
      <c r="A1127" s="495"/>
      <c r="B1127" s="495"/>
      <c r="C1127" s="495"/>
      <c r="D1127" s="496"/>
      <c r="E1127" s="497"/>
    </row>
    <row r="1128" spans="1:5">
      <c r="A1128" s="495"/>
      <c r="B1128" s="495"/>
      <c r="C1128" s="495"/>
      <c r="D1128" s="496"/>
      <c r="E1128" s="497"/>
    </row>
    <row r="1129" spans="1:5">
      <c r="A1129" s="495"/>
      <c r="B1129" s="495"/>
      <c r="C1129" s="495"/>
      <c r="D1129" s="496"/>
      <c r="E1129" s="497"/>
    </row>
    <row r="1130" spans="1:5">
      <c r="A1130" s="495"/>
      <c r="B1130" s="495"/>
      <c r="C1130" s="495"/>
      <c r="D1130" s="496"/>
      <c r="E1130" s="497"/>
    </row>
    <row r="1131" spans="1:5">
      <c r="A1131" s="495"/>
      <c r="B1131" s="495"/>
      <c r="C1131" s="495"/>
      <c r="D1131" s="496"/>
      <c r="E1131" s="497"/>
    </row>
    <row r="1132" spans="1:5">
      <c r="A1132" s="498"/>
      <c r="B1132" s="498"/>
      <c r="C1132" s="498"/>
      <c r="D1132" s="499"/>
      <c r="E1132" s="500"/>
    </row>
    <row r="1133" spans="1:5">
      <c r="A1133" s="498"/>
      <c r="B1133" s="498"/>
      <c r="C1133" s="498"/>
      <c r="D1133" s="499"/>
      <c r="E1133" s="500"/>
    </row>
    <row r="1134" spans="1:5">
      <c r="A1134" s="495"/>
      <c r="B1134" s="495"/>
      <c r="C1134" s="495"/>
      <c r="D1134" s="496"/>
      <c r="E1134" s="497"/>
    </row>
    <row r="1135" spans="1:5">
      <c r="A1135" s="495"/>
      <c r="B1135" s="495"/>
      <c r="C1135" s="495"/>
      <c r="D1135" s="496"/>
      <c r="E1135" s="497"/>
    </row>
    <row r="1136" spans="1:5">
      <c r="A1136" s="495"/>
      <c r="B1136" s="495"/>
      <c r="C1136" s="495"/>
      <c r="D1136" s="496"/>
      <c r="E1136" s="497"/>
    </row>
    <row r="1137" spans="1:5">
      <c r="A1137" s="495"/>
      <c r="B1137" s="495"/>
      <c r="C1137" s="495"/>
      <c r="D1137" s="496"/>
      <c r="E1137" s="497"/>
    </row>
    <row r="1138" spans="1:5">
      <c r="A1138" s="495"/>
      <c r="B1138" s="495"/>
      <c r="C1138" s="495"/>
      <c r="D1138" s="496"/>
      <c r="E1138" s="497"/>
    </row>
    <row r="1139" spans="1:5">
      <c r="A1139" s="495"/>
      <c r="B1139" s="495"/>
      <c r="C1139" s="495"/>
      <c r="D1139" s="496"/>
      <c r="E1139" s="497"/>
    </row>
    <row r="1140" spans="1:5">
      <c r="A1140" s="495"/>
      <c r="B1140" s="495"/>
      <c r="C1140" s="495"/>
      <c r="D1140" s="496"/>
      <c r="E1140" s="497"/>
    </row>
    <row r="1141" spans="1:5">
      <c r="A1141" s="498"/>
      <c r="B1141" s="498"/>
      <c r="C1141" s="498"/>
      <c r="D1141" s="499"/>
      <c r="E1141" s="500"/>
    </row>
    <row r="1142" spans="1:5">
      <c r="A1142" s="498"/>
      <c r="B1142" s="498"/>
      <c r="C1142" s="498"/>
      <c r="D1142" s="499"/>
      <c r="E1142" s="500"/>
    </row>
    <row r="1143" spans="1:5">
      <c r="A1143" s="495"/>
      <c r="B1143" s="495"/>
      <c r="C1143" s="495"/>
      <c r="D1143" s="496"/>
      <c r="E1143" s="497"/>
    </row>
    <row r="1144" spans="1:5">
      <c r="A1144" s="495"/>
      <c r="B1144" s="495"/>
      <c r="C1144" s="495"/>
      <c r="D1144" s="496"/>
      <c r="E1144" s="497"/>
    </row>
    <row r="1145" spans="1:5">
      <c r="A1145" s="495"/>
      <c r="B1145" s="495"/>
      <c r="C1145" s="495"/>
      <c r="D1145" s="496"/>
      <c r="E1145" s="497"/>
    </row>
    <row r="1146" spans="1:5">
      <c r="A1146" s="495"/>
      <c r="B1146" s="495"/>
      <c r="C1146" s="495"/>
      <c r="D1146" s="496"/>
      <c r="E1146" s="497"/>
    </row>
    <row r="1147" spans="1:5">
      <c r="A1147" s="495"/>
      <c r="B1147" s="495"/>
      <c r="C1147" s="495"/>
      <c r="D1147" s="496"/>
      <c r="E1147" s="497"/>
    </row>
    <row r="1148" spans="1:5">
      <c r="A1148" s="495"/>
      <c r="B1148" s="495"/>
      <c r="C1148" s="495"/>
      <c r="D1148" s="496"/>
      <c r="E1148" s="497"/>
    </row>
    <row r="1149" spans="1:5">
      <c r="A1149" s="498"/>
      <c r="B1149" s="498"/>
      <c r="C1149" s="498"/>
      <c r="D1149" s="499"/>
      <c r="E1149" s="500"/>
    </row>
    <row r="1150" spans="1:5">
      <c r="A1150" s="498"/>
      <c r="B1150" s="498"/>
      <c r="C1150" s="498"/>
      <c r="D1150" s="499"/>
      <c r="E1150" s="500"/>
    </row>
    <row r="1151" spans="1:5">
      <c r="A1151" s="495"/>
      <c r="B1151" s="495"/>
      <c r="C1151" s="495"/>
      <c r="D1151" s="496"/>
      <c r="E1151" s="497"/>
    </row>
    <row r="1152" spans="1:5">
      <c r="A1152" s="495"/>
      <c r="B1152" s="495"/>
      <c r="C1152" s="495"/>
      <c r="D1152" s="496"/>
      <c r="E1152" s="497"/>
    </row>
    <row r="1153" spans="1:5">
      <c r="A1153" s="495"/>
      <c r="B1153" s="495"/>
      <c r="C1153" s="495"/>
      <c r="D1153" s="496"/>
      <c r="E1153" s="497"/>
    </row>
    <row r="1154" spans="1:5">
      <c r="A1154" s="495"/>
      <c r="B1154" s="495"/>
      <c r="C1154" s="495"/>
      <c r="D1154" s="496"/>
      <c r="E1154" s="497"/>
    </row>
    <row r="1155" spans="1:5">
      <c r="A1155" s="495"/>
      <c r="B1155" s="495"/>
      <c r="C1155" s="495"/>
      <c r="D1155" s="496"/>
      <c r="E1155" s="497"/>
    </row>
    <row r="1156" spans="1:5">
      <c r="A1156" s="495"/>
      <c r="B1156" s="495"/>
      <c r="C1156" s="495"/>
      <c r="D1156" s="496"/>
      <c r="E1156" s="497"/>
    </row>
    <row r="1157" spans="1:5">
      <c r="A1157" s="495"/>
      <c r="B1157" s="495"/>
      <c r="C1157" s="495"/>
      <c r="D1157" s="496"/>
      <c r="E1157" s="497"/>
    </row>
    <row r="1158" spans="1:5">
      <c r="A1158" s="495"/>
      <c r="B1158" s="495"/>
      <c r="C1158" s="495"/>
      <c r="D1158" s="496"/>
      <c r="E1158" s="497"/>
    </row>
    <row r="1159" spans="1:5">
      <c r="A1159" s="495"/>
      <c r="B1159" s="495"/>
      <c r="C1159" s="495"/>
      <c r="D1159" s="496"/>
      <c r="E1159" s="497"/>
    </row>
    <row r="1160" spans="1:5">
      <c r="A1160" s="495"/>
      <c r="B1160" s="495"/>
      <c r="C1160" s="495"/>
      <c r="D1160" s="496"/>
      <c r="E1160" s="497"/>
    </row>
    <row r="1161" spans="1:5">
      <c r="A1161" s="495"/>
      <c r="B1161" s="495"/>
      <c r="C1161" s="495"/>
      <c r="D1161" s="496"/>
      <c r="E1161" s="497"/>
    </row>
    <row r="1162" spans="1:5">
      <c r="A1162" s="495"/>
      <c r="B1162" s="495"/>
      <c r="C1162" s="495"/>
      <c r="D1162" s="496"/>
      <c r="E1162" s="497"/>
    </row>
    <row r="1163" spans="1:5">
      <c r="A1163" s="495"/>
      <c r="B1163" s="495"/>
      <c r="C1163" s="495"/>
      <c r="D1163" s="496"/>
      <c r="E1163" s="497"/>
    </row>
    <row r="1164" spans="1:5">
      <c r="A1164" s="495"/>
      <c r="B1164" s="495"/>
      <c r="C1164" s="495"/>
      <c r="D1164" s="496"/>
      <c r="E1164" s="497"/>
    </row>
    <row r="1165" spans="1:5">
      <c r="A1165" s="495"/>
      <c r="B1165" s="495"/>
      <c r="C1165" s="495"/>
      <c r="D1165" s="496"/>
      <c r="E1165" s="497"/>
    </row>
    <row r="1166" spans="1:5">
      <c r="A1166" s="495"/>
      <c r="B1166" s="495"/>
      <c r="C1166" s="495"/>
      <c r="D1166" s="496"/>
      <c r="E1166" s="497"/>
    </row>
    <row r="1167" spans="1:5">
      <c r="A1167" s="498"/>
      <c r="B1167" s="498"/>
      <c r="C1167" s="498"/>
      <c r="D1167" s="499"/>
      <c r="E1167" s="500"/>
    </row>
    <row r="1168" spans="1:5">
      <c r="A1168" s="498"/>
      <c r="B1168" s="498"/>
      <c r="C1168" s="498"/>
      <c r="D1168" s="499"/>
      <c r="E1168" s="500"/>
    </row>
    <row r="1169" spans="1:5">
      <c r="A1169" s="495"/>
      <c r="B1169" s="495"/>
      <c r="C1169" s="495"/>
      <c r="D1169" s="496"/>
      <c r="E1169" s="497"/>
    </row>
    <row r="1170" spans="1:5">
      <c r="A1170" s="495"/>
      <c r="B1170" s="495"/>
      <c r="C1170" s="495"/>
      <c r="D1170" s="496"/>
      <c r="E1170" s="497"/>
    </row>
    <row r="1171" spans="1:5">
      <c r="A1171" s="495"/>
      <c r="B1171" s="495"/>
      <c r="C1171" s="495"/>
      <c r="D1171" s="496"/>
      <c r="E1171" s="497"/>
    </row>
    <row r="1172" spans="1:5">
      <c r="A1172" s="495"/>
      <c r="B1172" s="495"/>
      <c r="C1172" s="495"/>
      <c r="D1172" s="496"/>
      <c r="E1172" s="497"/>
    </row>
    <row r="1173" spans="1:5">
      <c r="A1173" s="495"/>
      <c r="B1173" s="495"/>
      <c r="C1173" s="495"/>
      <c r="D1173" s="496"/>
      <c r="E1173" s="497"/>
    </row>
    <row r="1174" spans="1:5">
      <c r="A1174" s="495"/>
      <c r="B1174" s="495"/>
      <c r="C1174" s="495"/>
      <c r="D1174" s="496"/>
      <c r="E1174" s="497"/>
    </row>
    <row r="1175" spans="1:5">
      <c r="A1175" s="495"/>
      <c r="B1175" s="495"/>
      <c r="C1175" s="495"/>
      <c r="D1175" s="496"/>
      <c r="E1175" s="497"/>
    </row>
    <row r="1176" spans="1:5">
      <c r="A1176" s="495"/>
      <c r="B1176" s="495"/>
      <c r="C1176" s="495"/>
      <c r="D1176" s="496"/>
      <c r="E1176" s="497"/>
    </row>
    <row r="1177" spans="1:5">
      <c r="A1177" s="495"/>
      <c r="B1177" s="495"/>
      <c r="C1177" s="495"/>
      <c r="D1177" s="496"/>
      <c r="E1177" s="497"/>
    </row>
    <row r="1178" spans="1:5">
      <c r="A1178" s="495"/>
      <c r="B1178" s="495"/>
      <c r="C1178" s="495"/>
      <c r="D1178" s="496"/>
      <c r="E1178" s="497"/>
    </row>
    <row r="1179" spans="1:5">
      <c r="A1179" s="495"/>
      <c r="B1179" s="495"/>
      <c r="C1179" s="495"/>
      <c r="D1179" s="496"/>
      <c r="E1179" s="497"/>
    </row>
    <row r="1180" spans="1:5">
      <c r="A1180" s="495"/>
      <c r="B1180" s="495"/>
      <c r="C1180" s="495"/>
      <c r="D1180" s="496"/>
      <c r="E1180" s="497"/>
    </row>
    <row r="1181" spans="1:5">
      <c r="A1181" s="498"/>
      <c r="B1181" s="498"/>
      <c r="C1181" s="498"/>
      <c r="D1181" s="499"/>
      <c r="E1181" s="500"/>
    </row>
    <row r="1182" spans="1:5">
      <c r="A1182" s="498"/>
      <c r="B1182" s="498"/>
      <c r="C1182" s="498"/>
      <c r="D1182" s="499"/>
      <c r="E1182" s="500"/>
    </row>
    <row r="1183" spans="1:5">
      <c r="A1183" s="495"/>
      <c r="B1183" s="495"/>
      <c r="C1183" s="495"/>
      <c r="D1183" s="496"/>
      <c r="E1183" s="497"/>
    </row>
    <row r="1184" spans="1:5">
      <c r="A1184" s="495"/>
      <c r="B1184" s="495"/>
      <c r="C1184" s="495"/>
      <c r="D1184" s="496"/>
      <c r="E1184" s="497"/>
    </row>
    <row r="1185" spans="1:5">
      <c r="A1185" s="495"/>
      <c r="B1185" s="495"/>
      <c r="C1185" s="495"/>
      <c r="D1185" s="496"/>
      <c r="E1185" s="497"/>
    </row>
    <row r="1186" spans="1:5">
      <c r="A1186" s="495"/>
      <c r="B1186" s="495"/>
      <c r="C1186" s="495"/>
      <c r="D1186" s="496"/>
      <c r="E1186" s="497"/>
    </row>
    <row r="1187" spans="1:5">
      <c r="A1187" s="495"/>
      <c r="B1187" s="495"/>
      <c r="C1187" s="495"/>
      <c r="D1187" s="496"/>
      <c r="E1187" s="497"/>
    </row>
    <row r="1188" spans="1:5">
      <c r="A1188" s="495"/>
      <c r="B1188" s="495"/>
      <c r="C1188" s="495"/>
      <c r="D1188" s="496"/>
      <c r="E1188" s="497"/>
    </row>
    <row r="1189" spans="1:5">
      <c r="A1189" s="498"/>
      <c r="B1189" s="498"/>
      <c r="C1189" s="498"/>
      <c r="D1189" s="499"/>
      <c r="E1189" s="500"/>
    </row>
    <row r="1190" spans="1:5">
      <c r="A1190" s="498"/>
      <c r="B1190" s="498"/>
      <c r="C1190" s="498"/>
      <c r="D1190" s="499"/>
      <c r="E1190" s="500"/>
    </row>
    <row r="1191" spans="1:5">
      <c r="A1191" s="498"/>
      <c r="B1191" s="498"/>
      <c r="C1191" s="498"/>
      <c r="D1191" s="499"/>
      <c r="E1191" s="500"/>
    </row>
    <row r="1192" spans="1:5">
      <c r="A1192" s="495"/>
      <c r="B1192" s="495"/>
      <c r="C1192" s="495"/>
      <c r="D1192" s="496"/>
      <c r="E1192" s="497"/>
    </row>
    <row r="1193" spans="1:5">
      <c r="A1193" s="495"/>
      <c r="B1193" s="495"/>
      <c r="C1193" s="495"/>
      <c r="D1193" s="496"/>
      <c r="E1193" s="497"/>
    </row>
    <row r="1194" spans="1:5">
      <c r="A1194" s="495"/>
      <c r="B1194" s="495"/>
      <c r="C1194" s="495"/>
      <c r="D1194" s="496"/>
      <c r="E1194" s="497"/>
    </row>
    <row r="1195" spans="1:5">
      <c r="A1195" s="498"/>
      <c r="B1195" s="498"/>
      <c r="C1195" s="498"/>
      <c r="D1195" s="499"/>
      <c r="E1195" s="500"/>
    </row>
    <row r="1196" spans="1:5">
      <c r="A1196" s="498"/>
      <c r="B1196" s="498"/>
      <c r="C1196" s="498"/>
      <c r="D1196" s="499"/>
      <c r="E1196" s="500"/>
    </row>
    <row r="1197" spans="1:5">
      <c r="A1197" s="495"/>
      <c r="B1197" s="495"/>
      <c r="C1197" s="495"/>
      <c r="D1197" s="496"/>
      <c r="E1197" s="497"/>
    </row>
    <row r="1198" spans="1:5">
      <c r="A1198" s="495"/>
      <c r="B1198" s="495"/>
      <c r="C1198" s="495"/>
      <c r="D1198" s="496"/>
      <c r="E1198" s="497"/>
    </row>
    <row r="1199" spans="1:5">
      <c r="A1199" s="495"/>
      <c r="B1199" s="495"/>
      <c r="C1199" s="495"/>
      <c r="D1199" s="496"/>
      <c r="E1199" s="497"/>
    </row>
    <row r="1200" spans="1:5">
      <c r="A1200" s="495"/>
      <c r="B1200" s="495"/>
      <c r="C1200" s="495"/>
      <c r="D1200" s="496"/>
      <c r="E1200" s="497"/>
    </row>
    <row r="1201" spans="1:5">
      <c r="A1201" s="495"/>
      <c r="B1201" s="495"/>
      <c r="C1201" s="495"/>
      <c r="D1201" s="496"/>
      <c r="E1201" s="497"/>
    </row>
    <row r="1202" spans="1:5">
      <c r="A1202" s="495"/>
      <c r="B1202" s="495"/>
      <c r="C1202" s="495"/>
      <c r="D1202" s="496"/>
      <c r="E1202" s="497"/>
    </row>
    <row r="1203" spans="1:5">
      <c r="A1203" s="495"/>
      <c r="B1203" s="495"/>
      <c r="C1203" s="495"/>
      <c r="D1203" s="496"/>
      <c r="E1203" s="497"/>
    </row>
    <row r="1204" spans="1:5">
      <c r="A1204" s="495"/>
      <c r="B1204" s="495"/>
      <c r="C1204" s="495"/>
      <c r="D1204" s="496"/>
      <c r="E1204" s="497"/>
    </row>
    <row r="1205" spans="1:5">
      <c r="A1205" s="495"/>
      <c r="B1205" s="495"/>
      <c r="C1205" s="495"/>
      <c r="D1205" s="496"/>
      <c r="E1205" s="497"/>
    </row>
    <row r="1206" spans="1:5">
      <c r="A1206" s="498"/>
      <c r="B1206" s="498"/>
      <c r="C1206" s="498"/>
      <c r="D1206" s="499"/>
      <c r="E1206" s="500"/>
    </row>
    <row r="1207" spans="1:5">
      <c r="A1207" s="498"/>
      <c r="B1207" s="498"/>
      <c r="C1207" s="498"/>
      <c r="D1207" s="499"/>
      <c r="E1207" s="500"/>
    </row>
    <row r="1208" spans="1:5">
      <c r="A1208" s="498"/>
      <c r="B1208" s="498"/>
      <c r="C1208" s="498"/>
      <c r="D1208" s="499"/>
      <c r="E1208" s="500"/>
    </row>
    <row r="1209" spans="1:5">
      <c r="A1209" s="498"/>
      <c r="B1209" s="498"/>
      <c r="C1209" s="498"/>
      <c r="D1209" s="499"/>
      <c r="E1209" s="500"/>
    </row>
    <row r="1210" spans="1:5">
      <c r="A1210" s="498"/>
      <c r="B1210" s="498"/>
      <c r="C1210" s="498"/>
      <c r="D1210" s="499"/>
      <c r="E1210" s="500"/>
    </row>
    <row r="1211" spans="1:5">
      <c r="A1211" s="498"/>
      <c r="B1211" s="498"/>
      <c r="C1211" s="498"/>
      <c r="D1211" s="499"/>
      <c r="E1211" s="500"/>
    </row>
    <row r="1212" spans="1:5">
      <c r="A1212" s="495"/>
      <c r="B1212" s="495"/>
      <c r="C1212" s="495"/>
      <c r="D1212" s="496"/>
      <c r="E1212" s="497"/>
    </row>
    <row r="1213" spans="1:5">
      <c r="A1213" s="495"/>
      <c r="B1213" s="495"/>
      <c r="C1213" s="495"/>
      <c r="D1213" s="496"/>
      <c r="E1213" s="497"/>
    </row>
    <row r="1214" spans="1:5">
      <c r="A1214" s="495"/>
      <c r="B1214" s="495"/>
      <c r="C1214" s="495"/>
      <c r="D1214" s="496"/>
      <c r="E1214" s="497"/>
    </row>
    <row r="1215" spans="1:5">
      <c r="A1215" s="498"/>
      <c r="B1215" s="498"/>
      <c r="C1215" s="498"/>
      <c r="D1215" s="499"/>
      <c r="E1215" s="500"/>
    </row>
    <row r="1216" spans="1:5">
      <c r="A1216" s="498"/>
      <c r="B1216" s="498"/>
      <c r="C1216" s="498"/>
      <c r="D1216" s="499"/>
      <c r="E1216" s="500"/>
    </row>
    <row r="1217" spans="1:5">
      <c r="A1217" s="495"/>
      <c r="B1217" s="495"/>
      <c r="C1217" s="495"/>
      <c r="D1217" s="496"/>
      <c r="E1217" s="497"/>
    </row>
    <row r="1218" spans="1:5">
      <c r="A1218" s="495"/>
      <c r="B1218" s="495"/>
      <c r="C1218" s="495"/>
      <c r="D1218" s="496"/>
      <c r="E1218" s="497"/>
    </row>
    <row r="1219" spans="1:5">
      <c r="A1219" s="495"/>
      <c r="B1219" s="495"/>
      <c r="C1219" s="495"/>
      <c r="D1219" s="496"/>
      <c r="E1219" s="497"/>
    </row>
    <row r="1220" spans="1:5">
      <c r="A1220" s="495"/>
      <c r="B1220" s="495"/>
      <c r="C1220" s="495"/>
      <c r="D1220" s="496"/>
      <c r="E1220" s="497"/>
    </row>
    <row r="1221" spans="1:5">
      <c r="A1221" s="495"/>
      <c r="B1221" s="495"/>
      <c r="C1221" s="495"/>
      <c r="D1221" s="496"/>
      <c r="E1221" s="497"/>
    </row>
    <row r="1222" spans="1:5">
      <c r="A1222" s="498"/>
      <c r="B1222" s="498"/>
      <c r="C1222" s="498"/>
      <c r="D1222" s="499"/>
      <c r="E1222" s="500"/>
    </row>
    <row r="1223" spans="1:5">
      <c r="A1223" s="498"/>
      <c r="B1223" s="498"/>
      <c r="C1223" s="498"/>
      <c r="D1223" s="499"/>
      <c r="E1223" s="500"/>
    </row>
    <row r="1224" spans="1:5">
      <c r="A1224" s="495"/>
      <c r="B1224" s="495"/>
      <c r="C1224" s="495"/>
      <c r="D1224" s="496"/>
      <c r="E1224" s="497"/>
    </row>
    <row r="1225" spans="1:5">
      <c r="A1225" s="495"/>
      <c r="B1225" s="495"/>
      <c r="C1225" s="495"/>
      <c r="D1225" s="496"/>
      <c r="E1225" s="497"/>
    </row>
    <row r="1226" spans="1:5">
      <c r="A1226" s="495"/>
      <c r="B1226" s="495"/>
      <c r="C1226" s="495"/>
      <c r="D1226" s="496"/>
      <c r="E1226" s="497"/>
    </row>
    <row r="1227" spans="1:5">
      <c r="A1227" s="495"/>
      <c r="B1227" s="495"/>
      <c r="C1227" s="495"/>
      <c r="D1227" s="496"/>
      <c r="E1227" s="497"/>
    </row>
    <row r="1228" spans="1:5">
      <c r="A1228" s="495"/>
      <c r="B1228" s="495"/>
      <c r="C1228" s="495"/>
      <c r="D1228" s="496"/>
      <c r="E1228" s="497"/>
    </row>
    <row r="1229" spans="1:5">
      <c r="A1229" s="495"/>
      <c r="B1229" s="495"/>
      <c r="C1229" s="495"/>
      <c r="D1229" s="496"/>
      <c r="E1229" s="497"/>
    </row>
    <row r="1230" spans="1:5">
      <c r="A1230" s="495"/>
      <c r="B1230" s="495"/>
      <c r="C1230" s="495"/>
      <c r="D1230" s="496"/>
      <c r="E1230" s="497"/>
    </row>
    <row r="1231" spans="1:5">
      <c r="A1231" s="498"/>
      <c r="B1231" s="498"/>
      <c r="C1231" s="498"/>
      <c r="D1231" s="499"/>
      <c r="E1231" s="500"/>
    </row>
    <row r="1232" spans="1:5">
      <c r="A1232" s="498"/>
      <c r="B1232" s="498"/>
      <c r="C1232" s="498"/>
      <c r="D1232" s="499"/>
      <c r="E1232" s="500"/>
    </row>
    <row r="1233" spans="1:5">
      <c r="A1233" s="495"/>
      <c r="B1233" s="495"/>
      <c r="C1233" s="495"/>
      <c r="D1233" s="496"/>
      <c r="E1233" s="497"/>
    </row>
    <row r="1234" spans="1:5">
      <c r="A1234" s="495"/>
      <c r="B1234" s="495"/>
      <c r="C1234" s="495"/>
      <c r="D1234" s="496"/>
      <c r="E1234" s="497"/>
    </row>
    <row r="1235" spans="1:5">
      <c r="A1235" s="495"/>
      <c r="B1235" s="495"/>
      <c r="C1235" s="495"/>
      <c r="D1235" s="496"/>
      <c r="E1235" s="497"/>
    </row>
    <row r="1236" spans="1:5">
      <c r="A1236" s="495"/>
      <c r="B1236" s="495"/>
      <c r="C1236" s="495"/>
      <c r="D1236" s="496"/>
      <c r="E1236" s="497"/>
    </row>
    <row r="1237" spans="1:5">
      <c r="A1237" s="498"/>
      <c r="B1237" s="498"/>
      <c r="C1237" s="498"/>
      <c r="D1237" s="499"/>
      <c r="E1237" s="500"/>
    </row>
    <row r="1238" spans="1:5">
      <c r="A1238" s="498"/>
      <c r="B1238" s="498"/>
      <c r="C1238" s="498"/>
      <c r="D1238" s="499"/>
      <c r="E1238" s="500"/>
    </row>
    <row r="1239" spans="1:5">
      <c r="A1239" s="495"/>
      <c r="B1239" s="495"/>
      <c r="C1239" s="495"/>
      <c r="D1239" s="496"/>
      <c r="E1239" s="497"/>
    </row>
    <row r="1240" spans="1:5">
      <c r="A1240" s="495"/>
      <c r="B1240" s="495"/>
      <c r="C1240" s="495"/>
      <c r="D1240" s="496"/>
      <c r="E1240" s="497"/>
    </row>
    <row r="1241" spans="1:5">
      <c r="A1241" s="495"/>
      <c r="B1241" s="495"/>
      <c r="C1241" s="495"/>
      <c r="D1241" s="496"/>
      <c r="E1241" s="497"/>
    </row>
    <row r="1242" spans="1:5">
      <c r="A1242" s="495"/>
      <c r="B1242" s="495"/>
      <c r="C1242" s="495"/>
      <c r="D1242" s="496"/>
      <c r="E1242" s="497"/>
    </row>
    <row r="1243" spans="1:5">
      <c r="A1243" s="495"/>
      <c r="B1243" s="495"/>
      <c r="C1243" s="495"/>
      <c r="D1243" s="496"/>
      <c r="E1243" s="497"/>
    </row>
    <row r="1244" spans="1:5">
      <c r="A1244" s="495"/>
      <c r="B1244" s="495"/>
      <c r="C1244" s="495"/>
      <c r="D1244" s="496"/>
      <c r="E1244" s="497"/>
    </row>
    <row r="1245" spans="1:5">
      <c r="A1245" s="495"/>
      <c r="B1245" s="495"/>
      <c r="C1245" s="495"/>
      <c r="D1245" s="496"/>
      <c r="E1245" s="497"/>
    </row>
    <row r="1246" spans="1:5">
      <c r="A1246" s="498"/>
      <c r="B1246" s="498"/>
      <c r="C1246" s="498"/>
      <c r="D1246" s="499"/>
      <c r="E1246" s="500"/>
    </row>
    <row r="1247" spans="1:5">
      <c r="A1247" s="498"/>
      <c r="B1247" s="498"/>
      <c r="C1247" s="498"/>
      <c r="D1247" s="499"/>
      <c r="E1247" s="500"/>
    </row>
    <row r="1248" spans="1:5">
      <c r="A1248" s="498"/>
      <c r="B1248" s="498"/>
      <c r="C1248" s="498"/>
      <c r="D1248" s="499"/>
      <c r="E1248" s="500"/>
    </row>
    <row r="1249" spans="1:5">
      <c r="A1249" s="498"/>
      <c r="B1249" s="498"/>
      <c r="C1249" s="498"/>
      <c r="D1249" s="499"/>
      <c r="E1249" s="500"/>
    </row>
    <row r="1250" spans="1:5">
      <c r="A1250" s="498"/>
      <c r="B1250" s="498"/>
      <c r="C1250" s="498"/>
      <c r="D1250" s="499"/>
      <c r="E1250" s="500"/>
    </row>
    <row r="1251" spans="1:5">
      <c r="A1251" s="495"/>
      <c r="B1251" s="495"/>
      <c r="C1251" s="495"/>
      <c r="D1251" s="496"/>
      <c r="E1251" s="497"/>
    </row>
    <row r="1252" spans="1:5">
      <c r="A1252" s="495"/>
      <c r="B1252" s="495"/>
      <c r="C1252" s="495"/>
      <c r="D1252" s="496"/>
      <c r="E1252" s="497"/>
    </row>
    <row r="1253" spans="1:5">
      <c r="A1253" s="495"/>
      <c r="B1253" s="495"/>
      <c r="C1253" s="495"/>
      <c r="D1253" s="496"/>
      <c r="E1253" s="497"/>
    </row>
    <row r="1254" spans="1:5">
      <c r="A1254" s="495"/>
      <c r="B1254" s="495"/>
      <c r="C1254" s="495"/>
      <c r="D1254" s="496"/>
      <c r="E1254" s="497"/>
    </row>
    <row r="1255" spans="1:5">
      <c r="A1255" s="495"/>
      <c r="B1255" s="495"/>
      <c r="C1255" s="495"/>
      <c r="D1255" s="496"/>
      <c r="E1255" s="497"/>
    </row>
    <row r="1256" spans="1:5">
      <c r="A1256" s="495"/>
      <c r="B1256" s="495"/>
      <c r="C1256" s="495"/>
      <c r="D1256" s="496"/>
      <c r="E1256" s="497"/>
    </row>
    <row r="1257" spans="1:5">
      <c r="A1257" s="498"/>
      <c r="B1257" s="498"/>
      <c r="C1257" s="498"/>
      <c r="D1257" s="499"/>
      <c r="E1257" s="500"/>
    </row>
    <row r="1258" spans="1:5">
      <c r="A1258" s="495"/>
      <c r="B1258" s="495"/>
      <c r="C1258" s="495"/>
      <c r="D1258" s="496"/>
      <c r="E1258" s="497"/>
    </row>
    <row r="1259" spans="1:5">
      <c r="A1259" s="495"/>
      <c r="B1259" s="495"/>
      <c r="C1259" s="495"/>
      <c r="D1259" s="496"/>
      <c r="E1259" s="497"/>
    </row>
    <row r="1260" spans="1:5">
      <c r="A1260" s="495"/>
      <c r="B1260" s="495"/>
      <c r="C1260" s="495"/>
      <c r="D1260" s="496"/>
      <c r="E1260" s="497"/>
    </row>
    <row r="1261" spans="1:5">
      <c r="A1261" s="495"/>
      <c r="B1261" s="495"/>
      <c r="C1261" s="495"/>
      <c r="D1261" s="496"/>
      <c r="E1261" s="497"/>
    </row>
    <row r="1262" spans="1:5">
      <c r="A1262" s="495"/>
      <c r="B1262" s="495"/>
      <c r="C1262" s="495"/>
      <c r="D1262" s="496"/>
      <c r="E1262" s="497"/>
    </row>
    <row r="1263" spans="1:5">
      <c r="A1263" s="495"/>
      <c r="B1263" s="495"/>
      <c r="C1263" s="495"/>
      <c r="D1263" s="496"/>
      <c r="E1263" s="497"/>
    </row>
    <row r="1264" spans="1:5">
      <c r="A1264" s="495"/>
      <c r="B1264" s="495"/>
      <c r="C1264" s="495"/>
      <c r="D1264" s="496"/>
      <c r="E1264" s="497"/>
    </row>
    <row r="1265" spans="1:5">
      <c r="A1265" s="495"/>
      <c r="B1265" s="495"/>
      <c r="C1265" s="495"/>
      <c r="D1265" s="496"/>
      <c r="E1265" s="497"/>
    </row>
    <row r="1266" spans="1:5">
      <c r="A1266" s="495"/>
      <c r="B1266" s="495"/>
      <c r="C1266" s="495"/>
      <c r="D1266" s="496"/>
      <c r="E1266" s="497"/>
    </row>
    <row r="1267" spans="1:5">
      <c r="A1267" s="498"/>
      <c r="B1267" s="498"/>
      <c r="C1267" s="498"/>
      <c r="D1267" s="499"/>
      <c r="E1267" s="500"/>
    </row>
    <row r="1268" spans="1:5">
      <c r="A1268" s="498"/>
      <c r="B1268" s="498"/>
      <c r="C1268" s="498"/>
      <c r="D1268" s="499"/>
      <c r="E1268" s="500"/>
    </row>
    <row r="1269" spans="1:5">
      <c r="A1269" s="495"/>
      <c r="B1269" s="495"/>
      <c r="C1269" s="495"/>
      <c r="D1269" s="496"/>
      <c r="E1269" s="497"/>
    </row>
    <row r="1270" spans="1:5">
      <c r="A1270" s="495"/>
      <c r="B1270" s="495"/>
      <c r="C1270" s="495"/>
      <c r="D1270" s="496"/>
      <c r="E1270" s="497"/>
    </row>
    <row r="1271" spans="1:5">
      <c r="A1271" s="495"/>
      <c r="B1271" s="495"/>
      <c r="C1271" s="495"/>
      <c r="D1271" s="496"/>
      <c r="E1271" s="497"/>
    </row>
    <row r="1272" spans="1:5">
      <c r="A1272" s="495"/>
      <c r="B1272" s="495"/>
      <c r="C1272" s="495"/>
      <c r="D1272" s="496"/>
      <c r="E1272" s="497"/>
    </row>
    <row r="1273" spans="1:5">
      <c r="A1273" s="495"/>
      <c r="B1273" s="495"/>
      <c r="C1273" s="495"/>
      <c r="D1273" s="496"/>
      <c r="E1273" s="497"/>
    </row>
    <row r="1274" spans="1:5">
      <c r="A1274" s="495"/>
      <c r="B1274" s="495"/>
      <c r="C1274" s="495"/>
      <c r="D1274" s="496"/>
      <c r="E1274" s="497"/>
    </row>
    <row r="1275" spans="1:5">
      <c r="A1275" s="495"/>
      <c r="B1275" s="495"/>
      <c r="C1275" s="495"/>
      <c r="D1275" s="496"/>
      <c r="E1275" s="497"/>
    </row>
    <row r="1276" spans="1:5">
      <c r="A1276" s="495"/>
      <c r="B1276" s="495"/>
      <c r="C1276" s="495"/>
      <c r="D1276" s="496"/>
      <c r="E1276" s="497"/>
    </row>
    <row r="1277" spans="1:5">
      <c r="A1277" s="495"/>
      <c r="B1277" s="495"/>
      <c r="C1277" s="495"/>
      <c r="D1277" s="496"/>
      <c r="E1277" s="497"/>
    </row>
    <row r="1278" spans="1:5">
      <c r="A1278" s="495"/>
      <c r="B1278" s="495"/>
      <c r="C1278" s="495"/>
      <c r="D1278" s="496"/>
      <c r="E1278" s="497"/>
    </row>
    <row r="1279" spans="1:5">
      <c r="A1279" s="495"/>
      <c r="B1279" s="495"/>
      <c r="C1279" s="495"/>
      <c r="D1279" s="496"/>
      <c r="E1279" s="497"/>
    </row>
    <row r="1280" spans="1:5">
      <c r="A1280" s="495"/>
      <c r="B1280" s="495"/>
      <c r="C1280" s="495"/>
      <c r="D1280" s="496"/>
      <c r="E1280" s="497"/>
    </row>
    <row r="1281" spans="1:5">
      <c r="A1281" s="498"/>
      <c r="B1281" s="498"/>
      <c r="C1281" s="498"/>
      <c r="D1281" s="499"/>
      <c r="E1281" s="500"/>
    </row>
    <row r="1282" spans="1:5">
      <c r="A1282" s="498"/>
      <c r="B1282" s="498"/>
      <c r="C1282" s="498"/>
      <c r="D1282" s="499"/>
      <c r="E1282" s="500"/>
    </row>
    <row r="1283" spans="1:5">
      <c r="A1283" s="495"/>
      <c r="B1283" s="495"/>
      <c r="C1283" s="495"/>
      <c r="D1283" s="496"/>
      <c r="E1283" s="497"/>
    </row>
    <row r="1284" spans="1:5">
      <c r="A1284" s="495"/>
      <c r="B1284" s="495"/>
      <c r="C1284" s="495"/>
      <c r="D1284" s="496"/>
      <c r="E1284" s="497"/>
    </row>
    <row r="1285" spans="1:5">
      <c r="A1285" s="495"/>
      <c r="B1285" s="495"/>
      <c r="C1285" s="495"/>
      <c r="D1285" s="496"/>
      <c r="E1285" s="497"/>
    </row>
    <row r="1286" spans="1:5">
      <c r="A1286" s="498"/>
      <c r="B1286" s="498"/>
      <c r="C1286" s="498"/>
      <c r="D1286" s="499"/>
      <c r="E1286" s="500"/>
    </row>
    <row r="1287" spans="1:5">
      <c r="A1287" s="498"/>
      <c r="B1287" s="498"/>
      <c r="C1287" s="498"/>
      <c r="D1287" s="499"/>
      <c r="E1287" s="500"/>
    </row>
    <row r="1288" spans="1:5">
      <c r="A1288" s="495"/>
      <c r="B1288" s="495"/>
      <c r="C1288" s="495"/>
      <c r="D1288" s="496"/>
      <c r="E1288" s="497"/>
    </row>
    <row r="1289" spans="1:5">
      <c r="A1289" s="495"/>
      <c r="B1289" s="495"/>
      <c r="C1289" s="495"/>
      <c r="D1289" s="496"/>
      <c r="E1289" s="497"/>
    </row>
    <row r="1290" spans="1:5">
      <c r="A1290" s="495"/>
      <c r="B1290" s="495"/>
      <c r="C1290" s="495"/>
      <c r="D1290" s="496"/>
      <c r="E1290" s="497"/>
    </row>
    <row r="1291" spans="1:5">
      <c r="A1291" s="495"/>
      <c r="B1291" s="495"/>
      <c r="C1291" s="495"/>
      <c r="D1291" s="496"/>
      <c r="E1291" s="497"/>
    </row>
    <row r="1292" spans="1:5">
      <c r="A1292" s="495"/>
      <c r="B1292" s="495"/>
      <c r="C1292" s="495"/>
      <c r="D1292" s="496"/>
      <c r="E1292" s="497"/>
    </row>
    <row r="1293" spans="1:5">
      <c r="A1293" s="495"/>
      <c r="B1293" s="495"/>
      <c r="C1293" s="495"/>
      <c r="D1293" s="496"/>
      <c r="E1293" s="497"/>
    </row>
    <row r="1294" spans="1:5">
      <c r="A1294" s="495"/>
      <c r="B1294" s="495"/>
      <c r="C1294" s="495"/>
      <c r="D1294" s="496"/>
      <c r="E1294" s="497"/>
    </row>
    <row r="1295" spans="1:5">
      <c r="A1295" s="495"/>
      <c r="B1295" s="495"/>
      <c r="C1295" s="495"/>
      <c r="D1295" s="496"/>
      <c r="E1295" s="497"/>
    </row>
    <row r="1296" spans="1:5">
      <c r="A1296" s="495"/>
      <c r="B1296" s="495"/>
      <c r="C1296" s="495"/>
      <c r="D1296" s="496"/>
      <c r="E1296" s="497"/>
    </row>
    <row r="1297" spans="1:5">
      <c r="A1297" s="495"/>
      <c r="B1297" s="495"/>
      <c r="C1297" s="495"/>
      <c r="D1297" s="496"/>
      <c r="E1297" s="497"/>
    </row>
    <row r="1298" spans="1:5">
      <c r="A1298" s="495"/>
      <c r="B1298" s="495"/>
      <c r="C1298" s="495"/>
      <c r="D1298" s="496"/>
      <c r="E1298" s="497"/>
    </row>
    <row r="1299" spans="1:5">
      <c r="A1299" s="495"/>
      <c r="B1299" s="495"/>
      <c r="C1299" s="495"/>
      <c r="D1299" s="496"/>
      <c r="E1299" s="497"/>
    </row>
    <row r="1300" spans="1:5">
      <c r="A1300" s="495"/>
      <c r="B1300" s="495"/>
      <c r="C1300" s="495"/>
      <c r="D1300" s="496"/>
      <c r="E1300" s="497"/>
    </row>
    <row r="1301" spans="1:5">
      <c r="A1301" s="498"/>
      <c r="B1301" s="498"/>
      <c r="C1301" s="498"/>
      <c r="D1301" s="499"/>
      <c r="E1301" s="500"/>
    </row>
    <row r="1302" spans="1:5">
      <c r="A1302" s="498"/>
      <c r="B1302" s="498"/>
      <c r="C1302" s="498"/>
      <c r="D1302" s="499"/>
      <c r="E1302" s="500"/>
    </row>
    <row r="1303" spans="1:5">
      <c r="A1303" s="498"/>
      <c r="B1303" s="498"/>
      <c r="C1303" s="498"/>
      <c r="D1303" s="499"/>
      <c r="E1303" s="500"/>
    </row>
    <row r="1304" spans="1:5">
      <c r="A1304" s="495"/>
      <c r="B1304" s="495"/>
      <c r="C1304" s="495"/>
      <c r="D1304" s="496"/>
      <c r="E1304" s="497"/>
    </row>
    <row r="1305" spans="1:5">
      <c r="A1305" s="495"/>
      <c r="B1305" s="495"/>
      <c r="C1305" s="495"/>
      <c r="D1305" s="496"/>
      <c r="E1305" s="497"/>
    </row>
    <row r="1306" spans="1:5">
      <c r="A1306" s="495"/>
      <c r="B1306" s="495"/>
      <c r="C1306" s="495"/>
      <c r="D1306" s="496"/>
      <c r="E1306" s="497"/>
    </row>
    <row r="1307" spans="1:5">
      <c r="A1307" s="495"/>
      <c r="B1307" s="495"/>
      <c r="C1307" s="495"/>
      <c r="D1307" s="496"/>
      <c r="E1307" s="497"/>
    </row>
    <row r="1308" spans="1:5">
      <c r="A1308" s="495"/>
      <c r="B1308" s="495"/>
      <c r="C1308" s="495"/>
      <c r="D1308" s="496"/>
      <c r="E1308" s="497"/>
    </row>
    <row r="1309" spans="1:5">
      <c r="A1309" s="495"/>
      <c r="B1309" s="495"/>
      <c r="C1309" s="495"/>
      <c r="D1309" s="496"/>
      <c r="E1309" s="497"/>
    </row>
    <row r="1310" spans="1:5">
      <c r="A1310" s="495"/>
      <c r="B1310" s="495"/>
      <c r="C1310" s="495"/>
      <c r="D1310" s="496"/>
      <c r="E1310" s="497"/>
    </row>
    <row r="1311" spans="1:5">
      <c r="A1311" s="495"/>
      <c r="B1311" s="495"/>
      <c r="C1311" s="495"/>
      <c r="D1311" s="496"/>
      <c r="E1311" s="497"/>
    </row>
    <row r="1312" spans="1:5">
      <c r="A1312" s="498"/>
      <c r="B1312" s="498"/>
      <c r="C1312" s="498"/>
      <c r="D1312" s="499"/>
      <c r="E1312" s="500"/>
    </row>
    <row r="1313" spans="1:5">
      <c r="A1313" s="498"/>
      <c r="B1313" s="498"/>
      <c r="C1313" s="498"/>
      <c r="D1313" s="499"/>
      <c r="E1313" s="500"/>
    </row>
    <row r="1314" spans="1:5">
      <c r="A1314" s="495"/>
      <c r="B1314" s="495"/>
      <c r="C1314" s="495"/>
      <c r="D1314" s="496"/>
      <c r="E1314" s="497"/>
    </row>
    <row r="1315" spans="1:5">
      <c r="A1315" s="495"/>
      <c r="B1315" s="495"/>
      <c r="C1315" s="495"/>
      <c r="D1315" s="496"/>
      <c r="E1315" s="497"/>
    </row>
    <row r="1316" spans="1:5">
      <c r="A1316" s="495"/>
      <c r="B1316" s="495"/>
      <c r="C1316" s="495"/>
      <c r="D1316" s="496"/>
      <c r="E1316" s="497"/>
    </row>
    <row r="1317" spans="1:5">
      <c r="A1317" s="495"/>
      <c r="B1317" s="495"/>
      <c r="C1317" s="495"/>
      <c r="D1317" s="496"/>
      <c r="E1317" s="497"/>
    </row>
    <row r="1318" spans="1:5">
      <c r="A1318" s="495"/>
      <c r="B1318" s="495"/>
      <c r="C1318" s="495"/>
      <c r="D1318" s="496"/>
      <c r="E1318" s="497"/>
    </row>
    <row r="1319" spans="1:5">
      <c r="A1319" s="495"/>
      <c r="B1319" s="495"/>
      <c r="C1319" s="495"/>
      <c r="D1319" s="496"/>
      <c r="E1319" s="497"/>
    </row>
    <row r="1320" spans="1:5">
      <c r="A1320" s="498"/>
      <c r="B1320" s="498"/>
      <c r="C1320" s="498"/>
      <c r="D1320" s="499"/>
      <c r="E1320" s="500"/>
    </row>
    <row r="1321" spans="1:5">
      <c r="A1321" s="498"/>
      <c r="B1321" s="498"/>
      <c r="C1321" s="498"/>
      <c r="D1321" s="499"/>
      <c r="E1321" s="500"/>
    </row>
    <row r="1322" spans="1:5">
      <c r="A1322" s="495"/>
      <c r="B1322" s="495"/>
      <c r="C1322" s="495"/>
      <c r="D1322" s="496"/>
      <c r="E1322" s="497"/>
    </row>
    <row r="1323" spans="1:5">
      <c r="A1323" s="495"/>
      <c r="B1323" s="495"/>
      <c r="C1323" s="495"/>
      <c r="D1323" s="496"/>
      <c r="E1323" s="497"/>
    </row>
    <row r="1324" spans="1:5">
      <c r="A1324" s="495"/>
      <c r="B1324" s="495"/>
      <c r="C1324" s="495"/>
      <c r="D1324" s="496"/>
      <c r="E1324" s="497"/>
    </row>
    <row r="1325" spans="1:5">
      <c r="A1325" s="495"/>
      <c r="B1325" s="495"/>
      <c r="C1325" s="495"/>
      <c r="D1325" s="496"/>
      <c r="E1325" s="497"/>
    </row>
    <row r="1326" spans="1:5">
      <c r="A1326" s="495"/>
      <c r="B1326" s="495"/>
      <c r="C1326" s="495"/>
      <c r="D1326" s="496"/>
      <c r="E1326" s="497"/>
    </row>
    <row r="1327" spans="1:5">
      <c r="A1327" s="495"/>
      <c r="B1327" s="495"/>
      <c r="C1327" s="495"/>
      <c r="D1327" s="496"/>
      <c r="E1327" s="497"/>
    </row>
    <row r="1328" spans="1:5">
      <c r="A1328" s="498"/>
      <c r="B1328" s="498"/>
      <c r="C1328" s="498"/>
      <c r="D1328" s="499"/>
      <c r="E1328" s="500"/>
    </row>
    <row r="1329" spans="1:5">
      <c r="A1329" s="498"/>
      <c r="B1329" s="498"/>
      <c r="C1329" s="498"/>
      <c r="D1329" s="499"/>
      <c r="E1329" s="500"/>
    </row>
    <row r="1330" spans="1:5">
      <c r="A1330" s="495"/>
      <c r="B1330" s="495"/>
      <c r="C1330" s="495"/>
      <c r="D1330" s="496"/>
      <c r="E1330" s="497"/>
    </row>
    <row r="1331" spans="1:5">
      <c r="A1331" s="495"/>
      <c r="B1331" s="495"/>
      <c r="C1331" s="495"/>
      <c r="D1331" s="496"/>
      <c r="E1331" s="497"/>
    </row>
    <row r="1332" spans="1:5">
      <c r="A1332" s="495"/>
      <c r="B1332" s="495"/>
      <c r="C1332" s="495"/>
      <c r="D1332" s="496"/>
      <c r="E1332" s="497"/>
    </row>
    <row r="1333" spans="1:5">
      <c r="A1333" s="495"/>
      <c r="B1333" s="495"/>
      <c r="C1333" s="495"/>
      <c r="D1333" s="496"/>
      <c r="E1333" s="497"/>
    </row>
    <row r="1334" spans="1:5">
      <c r="A1334" s="495"/>
      <c r="B1334" s="495"/>
      <c r="C1334" s="495"/>
      <c r="D1334" s="496"/>
      <c r="E1334" s="497"/>
    </row>
    <row r="1335" spans="1:5">
      <c r="A1335" s="495"/>
      <c r="B1335" s="495"/>
      <c r="C1335" s="495"/>
      <c r="D1335" s="496"/>
      <c r="E1335" s="497"/>
    </row>
    <row r="1336" spans="1:5">
      <c r="A1336" s="495"/>
      <c r="B1336" s="495"/>
      <c r="C1336" s="495"/>
      <c r="D1336" s="496"/>
      <c r="E1336" s="497"/>
    </row>
    <row r="1337" spans="1:5">
      <c r="A1337" s="495"/>
      <c r="B1337" s="495"/>
      <c r="C1337" s="495"/>
      <c r="D1337" s="496"/>
      <c r="E1337" s="497"/>
    </row>
    <row r="1338" spans="1:5">
      <c r="A1338" s="498"/>
      <c r="B1338" s="498"/>
      <c r="C1338" s="498"/>
      <c r="D1338" s="499"/>
      <c r="E1338" s="500"/>
    </row>
    <row r="1339" spans="1:5">
      <c r="A1339" s="498"/>
      <c r="B1339" s="498"/>
      <c r="C1339" s="498"/>
      <c r="D1339" s="499"/>
      <c r="E1339" s="500"/>
    </row>
    <row r="1340" spans="1:5">
      <c r="A1340" s="495"/>
      <c r="B1340" s="495"/>
      <c r="C1340" s="495"/>
      <c r="D1340" s="496"/>
      <c r="E1340" s="497"/>
    </row>
    <row r="1341" spans="1:5">
      <c r="A1341" s="495"/>
      <c r="B1341" s="495"/>
      <c r="C1341" s="495"/>
      <c r="D1341" s="496"/>
      <c r="E1341" s="497"/>
    </row>
    <row r="1342" spans="1:5">
      <c r="A1342" s="498"/>
      <c r="B1342" s="498"/>
      <c r="C1342" s="498"/>
      <c r="D1342" s="499"/>
      <c r="E1342" s="500"/>
    </row>
    <row r="1343" spans="1:5">
      <c r="A1343" s="498"/>
      <c r="B1343" s="498"/>
      <c r="C1343" s="498"/>
      <c r="D1343" s="499"/>
      <c r="E1343" s="500"/>
    </row>
    <row r="1344" spans="1:5">
      <c r="A1344" s="498"/>
      <c r="B1344" s="498"/>
      <c r="C1344" s="498"/>
      <c r="D1344" s="499"/>
      <c r="E1344" s="500"/>
    </row>
    <row r="1345" spans="1:5">
      <c r="A1345" s="498"/>
      <c r="B1345" s="498"/>
      <c r="C1345" s="498"/>
      <c r="D1345" s="499"/>
      <c r="E1345" s="500"/>
    </row>
    <row r="1346" spans="1:5">
      <c r="A1346" s="495"/>
      <c r="B1346" s="495"/>
      <c r="C1346" s="495"/>
      <c r="D1346" s="496"/>
      <c r="E1346" s="497"/>
    </row>
    <row r="1347" spans="1:5">
      <c r="A1347" s="495"/>
      <c r="B1347" s="495"/>
      <c r="C1347" s="495"/>
      <c r="D1347" s="496"/>
      <c r="E1347" s="497"/>
    </row>
    <row r="1348" spans="1:5">
      <c r="A1348" s="495"/>
      <c r="B1348" s="495"/>
      <c r="C1348" s="495"/>
      <c r="D1348" s="496"/>
      <c r="E1348" s="497"/>
    </row>
    <row r="1349" spans="1:5">
      <c r="A1349" s="495"/>
      <c r="B1349" s="495"/>
      <c r="C1349" s="495"/>
      <c r="D1349" s="496"/>
      <c r="E1349" s="497"/>
    </row>
    <row r="1350" spans="1:5">
      <c r="A1350" s="498"/>
      <c r="B1350" s="498"/>
      <c r="C1350" s="498"/>
      <c r="D1350" s="499"/>
      <c r="E1350" s="500"/>
    </row>
    <row r="1351" spans="1:5">
      <c r="A1351" s="498"/>
      <c r="B1351" s="498"/>
      <c r="C1351" s="498"/>
      <c r="D1351" s="499"/>
      <c r="E1351" s="500"/>
    </row>
    <row r="1352" spans="1:5">
      <c r="A1352" s="495"/>
      <c r="B1352" s="495"/>
      <c r="C1352" s="495"/>
      <c r="D1352" s="496"/>
      <c r="E1352" s="497"/>
    </row>
    <row r="1353" spans="1:5">
      <c r="A1353" s="495"/>
      <c r="B1353" s="495"/>
      <c r="C1353" s="495"/>
      <c r="D1353" s="496"/>
      <c r="E1353" s="497"/>
    </row>
    <row r="1354" spans="1:5">
      <c r="A1354" s="495"/>
      <c r="B1354" s="495"/>
      <c r="C1354" s="495"/>
      <c r="D1354" s="496"/>
      <c r="E1354" s="497"/>
    </row>
    <row r="1355" spans="1:5">
      <c r="A1355" s="495"/>
      <c r="B1355" s="495"/>
      <c r="C1355" s="495"/>
      <c r="D1355" s="496"/>
      <c r="E1355" s="497"/>
    </row>
    <row r="1356" spans="1:5">
      <c r="A1356" s="495"/>
      <c r="B1356" s="495"/>
      <c r="C1356" s="495"/>
      <c r="D1356" s="496"/>
      <c r="E1356" s="497"/>
    </row>
    <row r="1357" spans="1:5">
      <c r="A1357" s="495"/>
      <c r="B1357" s="495"/>
      <c r="C1357" s="495"/>
      <c r="D1357" s="496"/>
      <c r="E1357" s="497"/>
    </row>
    <row r="1358" spans="1:5">
      <c r="A1358" s="495"/>
      <c r="B1358" s="495"/>
      <c r="C1358" s="495"/>
      <c r="D1358" s="496"/>
      <c r="E1358" s="497"/>
    </row>
    <row r="1359" spans="1:5">
      <c r="A1359" s="498"/>
      <c r="B1359" s="498"/>
      <c r="C1359" s="498"/>
      <c r="D1359" s="499"/>
      <c r="E1359" s="500"/>
    </row>
    <row r="1360" spans="1:5">
      <c r="A1360" s="498"/>
      <c r="B1360" s="498"/>
      <c r="C1360" s="498"/>
      <c r="D1360" s="499"/>
      <c r="E1360" s="500"/>
    </row>
    <row r="1361" spans="1:5">
      <c r="A1361" s="498"/>
      <c r="B1361" s="498"/>
      <c r="C1361" s="498"/>
      <c r="D1361" s="499"/>
      <c r="E1361" s="500"/>
    </row>
    <row r="1362" spans="1:5">
      <c r="A1362" s="495"/>
      <c r="B1362" s="495"/>
      <c r="C1362" s="495"/>
      <c r="D1362" s="496"/>
      <c r="E1362" s="497"/>
    </row>
    <row r="1363" spans="1:5">
      <c r="A1363" s="495"/>
      <c r="B1363" s="495"/>
      <c r="C1363" s="495"/>
      <c r="D1363" s="496"/>
      <c r="E1363" s="497"/>
    </row>
    <row r="1364" spans="1:5">
      <c r="A1364" s="495"/>
      <c r="B1364" s="495"/>
      <c r="C1364" s="495"/>
      <c r="D1364" s="496"/>
      <c r="E1364" s="497"/>
    </row>
    <row r="1365" spans="1:5">
      <c r="A1365" s="498"/>
      <c r="B1365" s="498"/>
      <c r="C1365" s="498"/>
      <c r="D1365" s="499"/>
      <c r="E1365" s="500"/>
    </row>
    <row r="1366" spans="1:5">
      <c r="A1366" s="498"/>
      <c r="B1366" s="498"/>
      <c r="C1366" s="498"/>
      <c r="D1366" s="499"/>
      <c r="E1366" s="500"/>
    </row>
    <row r="1367" spans="1:5">
      <c r="A1367" s="495"/>
      <c r="B1367" s="495"/>
      <c r="C1367" s="495"/>
      <c r="D1367" s="496"/>
      <c r="E1367" s="497"/>
    </row>
    <row r="1368" spans="1:5">
      <c r="A1368" s="495"/>
      <c r="B1368" s="495"/>
      <c r="C1368" s="495"/>
      <c r="D1368" s="496"/>
      <c r="E1368" s="497"/>
    </row>
    <row r="1369" spans="1:5">
      <c r="A1369" s="495"/>
      <c r="B1369" s="495"/>
      <c r="C1369" s="495"/>
      <c r="D1369" s="496"/>
      <c r="E1369" s="497"/>
    </row>
    <row r="1370" spans="1:5">
      <c r="A1370" s="495"/>
      <c r="B1370" s="495"/>
      <c r="C1370" s="495"/>
      <c r="D1370" s="496"/>
      <c r="E1370" s="497"/>
    </row>
    <row r="1371" spans="1:5">
      <c r="A1371" s="495"/>
      <c r="B1371" s="495"/>
      <c r="C1371" s="495"/>
      <c r="D1371" s="496"/>
      <c r="E1371" s="497"/>
    </row>
    <row r="1372" spans="1:5">
      <c r="A1372" s="495"/>
      <c r="B1372" s="495"/>
      <c r="C1372" s="495"/>
      <c r="D1372" s="496"/>
      <c r="E1372" s="497"/>
    </row>
    <row r="1373" spans="1:5">
      <c r="A1373" s="498"/>
      <c r="B1373" s="498"/>
      <c r="C1373" s="498"/>
      <c r="D1373" s="499"/>
      <c r="E1373" s="500"/>
    </row>
    <row r="1374" spans="1:5">
      <c r="A1374" s="498"/>
      <c r="B1374" s="498"/>
      <c r="C1374" s="498"/>
      <c r="D1374" s="499"/>
      <c r="E1374" s="500"/>
    </row>
    <row r="1375" spans="1:5">
      <c r="A1375" s="498"/>
      <c r="B1375" s="498"/>
      <c r="C1375" s="498"/>
      <c r="D1375" s="499"/>
      <c r="E1375" s="500"/>
    </row>
    <row r="1376" spans="1:5">
      <c r="A1376" s="498"/>
      <c r="B1376" s="498"/>
      <c r="C1376" s="498"/>
      <c r="D1376" s="499"/>
      <c r="E1376" s="500"/>
    </row>
    <row r="1377" spans="1:5">
      <c r="A1377" s="495"/>
      <c r="B1377" s="495"/>
      <c r="C1377" s="495"/>
      <c r="D1377" s="496"/>
      <c r="E1377" s="497"/>
    </row>
    <row r="1378" spans="1:5">
      <c r="A1378" s="495"/>
      <c r="B1378" s="495"/>
      <c r="C1378" s="495"/>
      <c r="D1378" s="496"/>
      <c r="E1378" s="497"/>
    </row>
    <row r="1379" spans="1:5">
      <c r="A1379" s="498"/>
      <c r="B1379" s="498"/>
      <c r="C1379" s="498"/>
      <c r="D1379" s="499"/>
      <c r="E1379" s="500"/>
    </row>
    <row r="1380" spans="1:5">
      <c r="A1380" s="498"/>
      <c r="B1380" s="498"/>
      <c r="C1380" s="498"/>
      <c r="D1380" s="499"/>
      <c r="E1380" s="500"/>
    </row>
    <row r="1381" spans="1:5">
      <c r="A1381" s="495"/>
      <c r="B1381" s="495"/>
      <c r="C1381" s="495"/>
      <c r="D1381" s="496"/>
      <c r="E1381" s="497"/>
    </row>
    <row r="1382" spans="1:5">
      <c r="A1382" s="495"/>
      <c r="B1382" s="495"/>
      <c r="C1382" s="495"/>
      <c r="D1382" s="496"/>
      <c r="E1382" s="497"/>
    </row>
    <row r="1383" spans="1:5">
      <c r="A1383" s="495"/>
      <c r="B1383" s="495"/>
      <c r="C1383" s="495"/>
      <c r="D1383" s="496"/>
      <c r="E1383" s="497"/>
    </row>
    <row r="1384" spans="1:5">
      <c r="A1384" s="495"/>
      <c r="B1384" s="495"/>
      <c r="C1384" s="495"/>
      <c r="D1384" s="496"/>
      <c r="E1384" s="497"/>
    </row>
    <row r="1385" spans="1:5">
      <c r="A1385" s="495"/>
      <c r="B1385" s="495"/>
      <c r="C1385" s="495"/>
      <c r="D1385" s="496"/>
      <c r="E1385" s="497"/>
    </row>
    <row r="1386" spans="1:5">
      <c r="A1386" s="498"/>
      <c r="B1386" s="498"/>
      <c r="C1386" s="498"/>
      <c r="D1386" s="499"/>
      <c r="E1386" s="500"/>
    </row>
    <row r="1387" spans="1:5">
      <c r="A1387" s="498"/>
      <c r="B1387" s="498"/>
      <c r="C1387" s="498"/>
      <c r="D1387" s="499"/>
      <c r="E1387" s="500"/>
    </row>
    <row r="1388" spans="1:5">
      <c r="A1388" s="498"/>
      <c r="B1388" s="498"/>
      <c r="C1388" s="498"/>
      <c r="D1388" s="499"/>
      <c r="E1388" s="500"/>
    </row>
    <row r="1389" spans="1:5">
      <c r="A1389" s="495"/>
      <c r="B1389" s="495"/>
      <c r="C1389" s="495"/>
      <c r="D1389" s="496"/>
      <c r="E1389" s="497"/>
    </row>
    <row r="1390" spans="1:5">
      <c r="A1390" s="495"/>
      <c r="B1390" s="495"/>
      <c r="C1390" s="495"/>
      <c r="D1390" s="496"/>
      <c r="E1390" s="497"/>
    </row>
    <row r="1391" spans="1:5">
      <c r="A1391" s="495"/>
      <c r="B1391" s="495"/>
      <c r="C1391" s="495"/>
      <c r="D1391" s="496"/>
      <c r="E1391" s="497"/>
    </row>
    <row r="1392" spans="1:5">
      <c r="A1392" s="495"/>
      <c r="B1392" s="495"/>
      <c r="C1392" s="495"/>
      <c r="D1392" s="496"/>
      <c r="E1392" s="497"/>
    </row>
    <row r="1393" spans="1:5">
      <c r="A1393" s="498"/>
      <c r="B1393" s="498"/>
      <c r="C1393" s="498"/>
      <c r="D1393" s="499"/>
      <c r="E1393" s="500"/>
    </row>
    <row r="1394" spans="1:5">
      <c r="A1394" s="498"/>
      <c r="B1394" s="498"/>
      <c r="C1394" s="498"/>
      <c r="D1394" s="499"/>
      <c r="E1394" s="500"/>
    </row>
    <row r="1395" spans="1:5">
      <c r="A1395" s="498"/>
      <c r="B1395" s="498"/>
      <c r="C1395" s="498"/>
      <c r="D1395" s="499"/>
      <c r="E1395" s="500"/>
    </row>
    <row r="1396" spans="1:5">
      <c r="A1396" s="498"/>
      <c r="B1396" s="498"/>
      <c r="C1396" s="498"/>
      <c r="D1396" s="499"/>
      <c r="E1396" s="500"/>
    </row>
    <row r="1397" spans="1:5">
      <c r="A1397" s="498"/>
      <c r="B1397" s="498"/>
      <c r="C1397" s="498"/>
      <c r="D1397" s="499"/>
      <c r="E1397" s="500"/>
    </row>
    <row r="1398" spans="1:5">
      <c r="A1398" s="498"/>
      <c r="B1398" s="498"/>
      <c r="C1398" s="498"/>
      <c r="D1398" s="499"/>
      <c r="E1398" s="500"/>
    </row>
    <row r="1399" spans="1:5">
      <c r="A1399" s="495"/>
      <c r="B1399" s="495"/>
      <c r="C1399" s="495"/>
      <c r="D1399" s="496"/>
      <c r="E1399" s="497"/>
    </row>
    <row r="1400" spans="1:5">
      <c r="A1400" s="495"/>
      <c r="B1400" s="495"/>
      <c r="C1400" s="495"/>
      <c r="D1400" s="496"/>
      <c r="E1400" s="497"/>
    </row>
    <row r="1401" spans="1:5">
      <c r="A1401" s="495"/>
      <c r="B1401" s="495"/>
      <c r="C1401" s="495"/>
      <c r="D1401" s="496"/>
      <c r="E1401" s="497"/>
    </row>
    <row r="1402" spans="1:5">
      <c r="A1402" s="495"/>
      <c r="B1402" s="495"/>
      <c r="C1402" s="495"/>
      <c r="D1402" s="496"/>
      <c r="E1402" s="497"/>
    </row>
    <row r="1403" spans="1:5">
      <c r="A1403" s="495"/>
      <c r="B1403" s="495"/>
      <c r="C1403" s="495"/>
      <c r="D1403" s="496"/>
      <c r="E1403" s="497"/>
    </row>
    <row r="1404" spans="1:5">
      <c r="A1404" s="495"/>
      <c r="B1404" s="495"/>
      <c r="C1404" s="495"/>
      <c r="D1404" s="496"/>
      <c r="E1404" s="497"/>
    </row>
    <row r="1405" spans="1:5">
      <c r="A1405" s="495"/>
      <c r="B1405" s="495"/>
      <c r="C1405" s="495"/>
      <c r="D1405" s="496"/>
      <c r="E1405" s="497"/>
    </row>
    <row r="1406" spans="1:5">
      <c r="A1406" s="495"/>
      <c r="B1406" s="495"/>
      <c r="C1406" s="495"/>
      <c r="D1406" s="496"/>
      <c r="E1406" s="497"/>
    </row>
    <row r="1407" spans="1:5">
      <c r="A1407" s="495"/>
      <c r="B1407" s="495"/>
      <c r="C1407" s="495"/>
      <c r="D1407" s="496"/>
      <c r="E1407" s="497"/>
    </row>
    <row r="1408" spans="1:5">
      <c r="A1408" s="495"/>
      <c r="B1408" s="495"/>
      <c r="C1408" s="495"/>
      <c r="D1408" s="496"/>
      <c r="E1408" s="497"/>
    </row>
    <row r="1409" spans="1:5">
      <c r="A1409" s="495"/>
      <c r="B1409" s="495"/>
      <c r="C1409" s="495"/>
      <c r="D1409" s="496"/>
      <c r="E1409" s="497"/>
    </row>
    <row r="1410" spans="1:5">
      <c r="A1410" s="495"/>
      <c r="B1410" s="495"/>
      <c r="C1410" s="495"/>
      <c r="D1410" s="496"/>
      <c r="E1410" s="497"/>
    </row>
    <row r="1411" spans="1:5">
      <c r="A1411" s="495"/>
      <c r="B1411" s="495"/>
      <c r="C1411" s="495"/>
      <c r="D1411" s="496"/>
      <c r="E1411" s="497"/>
    </row>
    <row r="1412" spans="1:5">
      <c r="A1412" s="495"/>
      <c r="B1412" s="495"/>
      <c r="C1412" s="495"/>
      <c r="D1412" s="496"/>
      <c r="E1412" s="497"/>
    </row>
    <row r="1413" spans="1:5">
      <c r="A1413" s="498"/>
      <c r="B1413" s="498"/>
      <c r="C1413" s="498"/>
      <c r="D1413" s="499"/>
      <c r="E1413" s="500"/>
    </row>
    <row r="1414" spans="1:5">
      <c r="A1414" s="498"/>
      <c r="B1414" s="498"/>
      <c r="C1414" s="498"/>
      <c r="D1414" s="499"/>
      <c r="E1414" s="500"/>
    </row>
    <row r="1415" spans="1:5">
      <c r="A1415" s="495"/>
      <c r="B1415" s="495"/>
      <c r="C1415" s="495"/>
      <c r="D1415" s="496"/>
      <c r="E1415" s="497"/>
    </row>
    <row r="1416" spans="1:5">
      <c r="A1416" s="498"/>
      <c r="B1416" s="498"/>
      <c r="C1416" s="498"/>
      <c r="D1416" s="499"/>
      <c r="E1416" s="500"/>
    </row>
    <row r="1417" spans="1:5">
      <c r="A1417" s="498"/>
      <c r="B1417" s="498"/>
      <c r="C1417" s="498"/>
      <c r="D1417" s="499"/>
      <c r="E1417" s="500"/>
    </row>
    <row r="1418" spans="1:5">
      <c r="A1418" s="498"/>
      <c r="B1418" s="498"/>
      <c r="C1418" s="498"/>
      <c r="D1418" s="499"/>
      <c r="E1418" s="500"/>
    </row>
    <row r="1419" spans="1:5">
      <c r="A1419" s="498"/>
      <c r="B1419" s="498"/>
      <c r="C1419" s="498"/>
      <c r="D1419" s="499"/>
      <c r="E1419" s="500"/>
    </row>
    <row r="1420" spans="1:5">
      <c r="A1420" s="495"/>
      <c r="B1420" s="495"/>
      <c r="C1420" s="495"/>
      <c r="D1420" s="496"/>
      <c r="E1420" s="497"/>
    </row>
    <row r="1421" spans="1:5">
      <c r="A1421" s="498"/>
      <c r="B1421" s="498"/>
      <c r="C1421" s="498"/>
      <c r="D1421" s="499"/>
      <c r="E1421" s="500"/>
    </row>
    <row r="1422" spans="1:5">
      <c r="A1422" s="498"/>
      <c r="B1422" s="498"/>
      <c r="C1422" s="498"/>
      <c r="D1422" s="499"/>
      <c r="E1422" s="500"/>
    </row>
    <row r="1423" spans="1:5">
      <c r="A1423" s="498"/>
      <c r="B1423" s="498"/>
      <c r="C1423" s="498"/>
      <c r="D1423" s="499"/>
      <c r="E1423" s="500"/>
    </row>
    <row r="1424" spans="1:5">
      <c r="A1424" s="498"/>
      <c r="B1424" s="498"/>
      <c r="C1424" s="498"/>
      <c r="D1424" s="499"/>
      <c r="E1424" s="500"/>
    </row>
    <row r="1425" spans="1:5">
      <c r="A1425" s="498"/>
      <c r="B1425" s="498"/>
      <c r="C1425" s="498"/>
      <c r="D1425" s="499"/>
      <c r="E1425" s="500"/>
    </row>
    <row r="1426" spans="1:5">
      <c r="A1426" s="495"/>
      <c r="B1426" s="495"/>
      <c r="C1426" s="495"/>
      <c r="D1426" s="496"/>
      <c r="E1426" s="497"/>
    </row>
    <row r="1427" spans="1:5">
      <c r="A1427" s="498"/>
      <c r="B1427" s="498"/>
      <c r="C1427" s="498"/>
      <c r="D1427" s="499"/>
      <c r="E1427" s="500"/>
    </row>
    <row r="1428" spans="1:5">
      <c r="A1428" s="495"/>
      <c r="B1428" s="495"/>
      <c r="C1428" s="495"/>
      <c r="D1428" s="496"/>
      <c r="E1428" s="497"/>
    </row>
    <row r="1429" spans="1:5">
      <c r="A1429" s="495"/>
      <c r="B1429" s="495"/>
      <c r="C1429" s="495"/>
      <c r="D1429" s="496"/>
      <c r="E1429" s="497"/>
    </row>
    <row r="1430" spans="1:5">
      <c r="A1430" s="495"/>
      <c r="B1430" s="495"/>
      <c r="C1430" s="495"/>
      <c r="D1430" s="496"/>
      <c r="E1430" s="497"/>
    </row>
    <row r="1431" spans="1:5">
      <c r="A1431" s="495"/>
      <c r="B1431" s="495"/>
      <c r="C1431" s="495"/>
      <c r="D1431" s="496"/>
      <c r="E1431" s="497"/>
    </row>
    <row r="1432" spans="1:5">
      <c r="A1432" s="498"/>
      <c r="B1432" s="498"/>
      <c r="C1432" s="498"/>
      <c r="D1432" s="499"/>
      <c r="E1432" s="500"/>
    </row>
    <row r="1433" spans="1:5">
      <c r="A1433" s="498"/>
      <c r="B1433" s="498"/>
      <c r="C1433" s="498"/>
      <c r="D1433" s="499"/>
      <c r="E1433" s="500"/>
    </row>
    <row r="1434" spans="1:5">
      <c r="A1434" s="495"/>
      <c r="B1434" s="495"/>
      <c r="C1434" s="495"/>
      <c r="D1434" s="496"/>
      <c r="E1434" s="497"/>
    </row>
    <row r="1435" spans="1:5">
      <c r="A1435" s="495"/>
      <c r="B1435" s="495"/>
      <c r="C1435" s="495"/>
      <c r="D1435" s="496"/>
      <c r="E1435" s="497"/>
    </row>
    <row r="1436" spans="1:5">
      <c r="A1436" s="495"/>
      <c r="B1436" s="495"/>
      <c r="C1436" s="495"/>
      <c r="D1436" s="496"/>
      <c r="E1436" s="497"/>
    </row>
    <row r="1437" spans="1:5">
      <c r="A1437" s="498"/>
      <c r="B1437" s="498"/>
      <c r="C1437" s="498"/>
      <c r="D1437" s="499"/>
      <c r="E1437" s="500"/>
    </row>
    <row r="1438" spans="1:5">
      <c r="A1438" s="498"/>
      <c r="B1438" s="498"/>
      <c r="C1438" s="498"/>
      <c r="D1438" s="499"/>
      <c r="E1438" s="500"/>
    </row>
    <row r="1439" spans="1:5">
      <c r="A1439" s="498"/>
      <c r="B1439" s="498"/>
      <c r="C1439" s="498"/>
      <c r="D1439" s="499"/>
      <c r="E1439" s="500"/>
    </row>
    <row r="1440" spans="1:5">
      <c r="A1440" s="495"/>
      <c r="B1440" s="495"/>
      <c r="C1440" s="495"/>
      <c r="D1440" s="496"/>
      <c r="E1440" s="497"/>
    </row>
    <row r="1441" spans="1:5">
      <c r="A1441" s="495"/>
      <c r="B1441" s="495"/>
      <c r="C1441" s="495"/>
      <c r="D1441" s="496"/>
      <c r="E1441" s="497"/>
    </row>
    <row r="1442" spans="1:5">
      <c r="A1442" s="495"/>
      <c r="B1442" s="495"/>
      <c r="C1442" s="495"/>
      <c r="D1442" s="496"/>
      <c r="E1442" s="497"/>
    </row>
    <row r="1443" spans="1:5">
      <c r="A1443" s="498"/>
      <c r="B1443" s="498"/>
      <c r="C1443" s="498"/>
      <c r="D1443" s="499"/>
      <c r="E1443" s="500"/>
    </row>
    <row r="1444" spans="1:5">
      <c r="A1444" s="498"/>
      <c r="B1444" s="498"/>
      <c r="C1444" s="498"/>
      <c r="D1444" s="499"/>
      <c r="E1444" s="500"/>
    </row>
    <row r="1445" spans="1:5">
      <c r="A1445" s="495"/>
      <c r="B1445" s="495"/>
      <c r="C1445" s="495"/>
      <c r="D1445" s="496"/>
      <c r="E1445" s="497"/>
    </row>
    <row r="1446" spans="1:5">
      <c r="A1446" s="495"/>
      <c r="B1446" s="495"/>
      <c r="C1446" s="495"/>
      <c r="D1446" s="496"/>
      <c r="E1446" s="497"/>
    </row>
    <row r="1447" spans="1:5">
      <c r="A1447" s="495"/>
      <c r="B1447" s="495"/>
      <c r="C1447" s="495"/>
      <c r="D1447" s="496"/>
      <c r="E1447" s="497"/>
    </row>
    <row r="1448" spans="1:5">
      <c r="A1448" s="495"/>
      <c r="B1448" s="495"/>
      <c r="C1448" s="495"/>
      <c r="D1448" s="496"/>
      <c r="E1448" s="497"/>
    </row>
    <row r="1449" spans="1:5">
      <c r="A1449" s="498"/>
      <c r="B1449" s="498"/>
      <c r="C1449" s="498"/>
      <c r="D1449" s="499"/>
      <c r="E1449" s="500"/>
    </row>
    <row r="1450" spans="1:5">
      <c r="A1450" s="495"/>
      <c r="B1450" s="495"/>
      <c r="C1450" s="495"/>
      <c r="D1450" s="496"/>
      <c r="E1450" s="497"/>
    </row>
    <row r="1451" spans="1:5">
      <c r="A1451" s="495"/>
      <c r="B1451" s="495"/>
      <c r="C1451" s="495"/>
      <c r="D1451" s="496"/>
      <c r="E1451" s="497"/>
    </row>
    <row r="1452" spans="1:5">
      <c r="A1452" s="495"/>
      <c r="B1452" s="495"/>
      <c r="C1452" s="495"/>
      <c r="D1452" s="496"/>
      <c r="E1452" s="497"/>
    </row>
    <row r="1453" spans="1:5">
      <c r="A1453" s="495"/>
      <c r="B1453" s="495"/>
      <c r="C1453" s="495"/>
      <c r="D1453" s="496"/>
      <c r="E1453" s="497"/>
    </row>
    <row r="1454" spans="1:5">
      <c r="A1454" s="495"/>
      <c r="B1454" s="495"/>
      <c r="C1454" s="495"/>
      <c r="D1454" s="496"/>
      <c r="E1454" s="497"/>
    </row>
    <row r="1455" spans="1:5">
      <c r="A1455" s="495"/>
      <c r="B1455" s="495"/>
      <c r="C1455" s="495"/>
      <c r="D1455" s="496"/>
      <c r="E1455" s="497"/>
    </row>
    <row r="1456" spans="1:5">
      <c r="A1456" s="495"/>
      <c r="B1456" s="495"/>
      <c r="C1456" s="495"/>
      <c r="D1456" s="496"/>
      <c r="E1456" s="497"/>
    </row>
    <row r="1457" spans="1:5">
      <c r="A1457" s="495"/>
      <c r="B1457" s="495"/>
      <c r="C1457" s="495"/>
      <c r="D1457" s="496"/>
      <c r="E1457" s="497"/>
    </row>
    <row r="1458" spans="1:5">
      <c r="A1458" s="495"/>
      <c r="B1458" s="495"/>
      <c r="C1458" s="495"/>
      <c r="D1458" s="496"/>
      <c r="E1458" s="497"/>
    </row>
    <row r="1459" spans="1:5">
      <c r="A1459" s="495"/>
      <c r="B1459" s="495"/>
      <c r="C1459" s="495"/>
      <c r="D1459" s="496"/>
      <c r="E1459" s="497"/>
    </row>
    <row r="1460" spans="1:5">
      <c r="A1460" s="495"/>
      <c r="B1460" s="495"/>
      <c r="C1460" s="495"/>
      <c r="D1460" s="496"/>
      <c r="E1460" s="497"/>
    </row>
    <row r="1461" spans="1:5">
      <c r="A1461" s="498"/>
      <c r="B1461" s="498"/>
      <c r="C1461" s="498"/>
      <c r="D1461" s="499"/>
      <c r="E1461" s="500"/>
    </row>
    <row r="1462" spans="1:5">
      <c r="A1462" s="498"/>
      <c r="B1462" s="498"/>
      <c r="C1462" s="498"/>
      <c r="D1462" s="499"/>
      <c r="E1462" s="500"/>
    </row>
    <row r="1463" spans="1:5">
      <c r="A1463" s="495"/>
      <c r="B1463" s="495"/>
      <c r="C1463" s="495"/>
      <c r="D1463" s="496"/>
      <c r="E1463" s="497"/>
    </row>
    <row r="1464" spans="1:5">
      <c r="A1464" s="495"/>
      <c r="B1464" s="495"/>
      <c r="C1464" s="495"/>
      <c r="D1464" s="496"/>
      <c r="E1464" s="497"/>
    </row>
    <row r="1465" spans="1:5">
      <c r="A1465" s="495"/>
      <c r="B1465" s="495"/>
      <c r="C1465" s="495"/>
      <c r="D1465" s="496"/>
      <c r="E1465" s="497"/>
    </row>
    <row r="1466" spans="1:5">
      <c r="A1466" s="495"/>
      <c r="B1466" s="495"/>
      <c r="C1466" s="495"/>
      <c r="D1466" s="496"/>
      <c r="E1466" s="497"/>
    </row>
    <row r="1467" spans="1:5">
      <c r="A1467" s="495"/>
      <c r="B1467" s="495"/>
      <c r="C1467" s="495"/>
      <c r="D1467" s="496"/>
      <c r="E1467" s="497"/>
    </row>
    <row r="1468" spans="1:5">
      <c r="A1468" s="495"/>
      <c r="B1468" s="495"/>
      <c r="C1468" s="495"/>
      <c r="D1468" s="496"/>
      <c r="E1468" s="497"/>
    </row>
    <row r="1469" spans="1:5">
      <c r="A1469" s="498"/>
      <c r="B1469" s="498"/>
      <c r="C1469" s="498"/>
      <c r="D1469" s="499"/>
      <c r="E1469" s="500"/>
    </row>
    <row r="1470" spans="1:5">
      <c r="A1470" s="498"/>
      <c r="B1470" s="498"/>
      <c r="C1470" s="498"/>
      <c r="D1470" s="499"/>
      <c r="E1470" s="500"/>
    </row>
    <row r="1471" spans="1:5">
      <c r="A1471" s="498"/>
      <c r="B1471" s="498"/>
      <c r="C1471" s="498"/>
      <c r="D1471" s="499"/>
      <c r="E1471" s="500"/>
    </row>
    <row r="1472" spans="1:5">
      <c r="A1472" s="498"/>
      <c r="B1472" s="498"/>
      <c r="C1472" s="498"/>
      <c r="D1472" s="499"/>
      <c r="E1472" s="500"/>
    </row>
    <row r="1473" spans="1:5">
      <c r="A1473" s="498"/>
      <c r="B1473" s="498"/>
      <c r="C1473" s="498"/>
      <c r="D1473" s="499"/>
      <c r="E1473" s="500"/>
    </row>
    <row r="1474" spans="1:5">
      <c r="A1474" s="498"/>
      <c r="B1474" s="498"/>
      <c r="C1474" s="498"/>
      <c r="D1474" s="499"/>
      <c r="E1474" s="500"/>
    </row>
    <row r="1475" spans="1:5">
      <c r="A1475" s="495"/>
      <c r="B1475" s="495"/>
      <c r="C1475" s="495"/>
      <c r="D1475" s="496"/>
      <c r="E1475" s="497"/>
    </row>
    <row r="1476" spans="1:5">
      <c r="A1476" s="495"/>
      <c r="B1476" s="495"/>
      <c r="C1476" s="495"/>
      <c r="D1476" s="496"/>
      <c r="E1476" s="497"/>
    </row>
    <row r="1477" spans="1:5">
      <c r="A1477" s="495"/>
      <c r="B1477" s="495"/>
      <c r="C1477" s="495"/>
      <c r="D1477" s="496"/>
      <c r="E1477" s="497"/>
    </row>
    <row r="1478" spans="1:5">
      <c r="A1478" s="495"/>
      <c r="B1478" s="495"/>
      <c r="C1478" s="495"/>
      <c r="D1478" s="496"/>
      <c r="E1478" s="497"/>
    </row>
    <row r="1479" spans="1:5">
      <c r="A1479" s="498"/>
      <c r="B1479" s="498"/>
      <c r="C1479" s="498"/>
      <c r="D1479" s="499"/>
      <c r="E1479" s="500"/>
    </row>
    <row r="1480" spans="1:5">
      <c r="A1480" s="498"/>
      <c r="B1480" s="498"/>
      <c r="C1480" s="498"/>
      <c r="D1480" s="499"/>
      <c r="E1480" s="500"/>
    </row>
    <row r="1481" spans="1:5">
      <c r="A1481" s="495"/>
      <c r="B1481" s="495"/>
      <c r="C1481" s="495"/>
      <c r="D1481" s="496"/>
      <c r="E1481" s="497"/>
    </row>
    <row r="1482" spans="1:5">
      <c r="A1482" s="495"/>
      <c r="B1482" s="495"/>
      <c r="C1482" s="495"/>
      <c r="D1482" s="496"/>
      <c r="E1482" s="497"/>
    </row>
    <row r="1483" spans="1:5">
      <c r="A1483" s="498"/>
      <c r="B1483" s="498"/>
      <c r="C1483" s="498"/>
      <c r="D1483" s="499"/>
      <c r="E1483" s="500"/>
    </row>
    <row r="1484" spans="1:5">
      <c r="A1484" s="498"/>
      <c r="B1484" s="498"/>
      <c r="C1484" s="498"/>
      <c r="D1484" s="499"/>
      <c r="E1484" s="500"/>
    </row>
    <row r="1485" spans="1:5">
      <c r="A1485" s="498"/>
      <c r="B1485" s="498"/>
      <c r="C1485" s="498"/>
      <c r="D1485" s="499"/>
      <c r="E1485" s="500"/>
    </row>
    <row r="1486" spans="1:5">
      <c r="A1486" s="495"/>
      <c r="B1486" s="495"/>
      <c r="C1486" s="495"/>
      <c r="D1486" s="496"/>
      <c r="E1486" s="497"/>
    </row>
    <row r="1487" spans="1:5">
      <c r="A1487" s="495"/>
      <c r="B1487" s="495"/>
      <c r="C1487" s="495"/>
      <c r="D1487" s="496"/>
      <c r="E1487" s="497"/>
    </row>
    <row r="1488" spans="1:5">
      <c r="A1488" s="498"/>
      <c r="B1488" s="498"/>
      <c r="C1488" s="498"/>
      <c r="D1488" s="499"/>
      <c r="E1488" s="500"/>
    </row>
    <row r="1489" spans="1:5">
      <c r="A1489" s="498"/>
      <c r="B1489" s="498"/>
      <c r="C1489" s="498"/>
      <c r="D1489" s="499"/>
      <c r="E1489" s="500"/>
    </row>
    <row r="1490" spans="1:5">
      <c r="A1490" s="495"/>
      <c r="B1490" s="495"/>
      <c r="C1490" s="495"/>
      <c r="D1490" s="496"/>
      <c r="E1490" s="497"/>
    </row>
    <row r="1491" spans="1:5">
      <c r="A1491" s="498"/>
      <c r="B1491" s="498"/>
      <c r="C1491" s="498"/>
      <c r="D1491" s="499"/>
      <c r="E1491" s="500"/>
    </row>
    <row r="1492" spans="1:5">
      <c r="A1492" s="498"/>
      <c r="B1492" s="498"/>
      <c r="C1492" s="498"/>
      <c r="D1492" s="499"/>
      <c r="E1492" s="500"/>
    </row>
    <row r="1493" spans="1:5">
      <c r="A1493" s="498"/>
      <c r="B1493" s="498"/>
      <c r="C1493" s="498"/>
      <c r="D1493" s="499"/>
      <c r="E1493" s="500"/>
    </row>
    <row r="1494" spans="1:5">
      <c r="A1494" s="495"/>
      <c r="B1494" s="495"/>
      <c r="C1494" s="495"/>
      <c r="D1494" s="496"/>
      <c r="E1494" s="497"/>
    </row>
    <row r="1495" spans="1:5">
      <c r="A1495" s="495"/>
      <c r="B1495" s="495"/>
      <c r="C1495" s="495"/>
      <c r="D1495" s="496"/>
      <c r="E1495" s="497"/>
    </row>
    <row r="1496" spans="1:5">
      <c r="A1496" s="498"/>
      <c r="B1496" s="498"/>
      <c r="C1496" s="498"/>
      <c r="D1496" s="499"/>
      <c r="E1496" s="500"/>
    </row>
    <row r="1497" spans="1:5">
      <c r="A1497" s="498"/>
      <c r="B1497" s="498"/>
      <c r="C1497" s="498"/>
      <c r="D1497" s="499"/>
      <c r="E1497" s="500"/>
    </row>
    <row r="1498" spans="1:5">
      <c r="A1498" s="498"/>
      <c r="B1498" s="498"/>
      <c r="C1498" s="498"/>
      <c r="D1498" s="499"/>
      <c r="E1498" s="500"/>
    </row>
    <row r="1499" spans="1:5">
      <c r="A1499" s="495"/>
      <c r="B1499" s="495"/>
      <c r="C1499" s="495"/>
      <c r="D1499" s="496"/>
      <c r="E1499" s="497"/>
    </row>
    <row r="1500" spans="1:5">
      <c r="A1500" s="495"/>
      <c r="B1500" s="495"/>
      <c r="C1500" s="495"/>
      <c r="D1500" s="496"/>
      <c r="E1500" s="497"/>
    </row>
    <row r="1501" spans="1:5">
      <c r="A1501" s="495"/>
      <c r="B1501" s="495"/>
      <c r="C1501" s="495"/>
      <c r="D1501" s="496"/>
      <c r="E1501" s="497"/>
    </row>
    <row r="1502" spans="1:5">
      <c r="A1502" s="495"/>
      <c r="B1502" s="495"/>
      <c r="C1502" s="495"/>
      <c r="D1502" s="496"/>
      <c r="E1502" s="497"/>
    </row>
    <row r="1503" spans="1:5">
      <c r="A1503" s="495"/>
      <c r="B1503" s="495"/>
      <c r="C1503" s="495"/>
      <c r="D1503" s="496"/>
      <c r="E1503" s="497"/>
    </row>
    <row r="1504" spans="1:5">
      <c r="A1504" s="498"/>
      <c r="B1504" s="498"/>
      <c r="C1504" s="498"/>
      <c r="D1504" s="499"/>
      <c r="E1504" s="500"/>
    </row>
    <row r="1505" spans="1:5">
      <c r="A1505" s="498"/>
      <c r="B1505" s="498"/>
      <c r="C1505" s="498"/>
      <c r="D1505" s="499"/>
      <c r="E1505" s="500"/>
    </row>
    <row r="1506" spans="1:5">
      <c r="A1506" s="495"/>
      <c r="B1506" s="495"/>
      <c r="C1506" s="495"/>
      <c r="D1506" s="496"/>
      <c r="E1506" s="497"/>
    </row>
    <row r="1507" spans="1:5">
      <c r="A1507" s="498"/>
      <c r="B1507" s="498"/>
      <c r="C1507" s="498"/>
      <c r="D1507" s="499"/>
      <c r="E1507" s="500"/>
    </row>
    <row r="1508" spans="1:5">
      <c r="A1508" s="498"/>
      <c r="B1508" s="498"/>
      <c r="C1508" s="498"/>
      <c r="D1508" s="499"/>
      <c r="E1508" s="500"/>
    </row>
    <row r="1509" spans="1:5">
      <c r="A1509" s="495"/>
      <c r="B1509" s="495"/>
      <c r="C1509" s="495"/>
      <c r="D1509" s="496"/>
      <c r="E1509" s="497"/>
    </row>
    <row r="1510" spans="1:5">
      <c r="A1510" s="495"/>
      <c r="B1510" s="495"/>
      <c r="C1510" s="495"/>
      <c r="D1510" s="496"/>
      <c r="E1510" s="497"/>
    </row>
    <row r="1511" spans="1:5">
      <c r="A1511" s="495"/>
      <c r="B1511" s="495"/>
      <c r="C1511" s="495"/>
      <c r="D1511" s="496"/>
      <c r="E1511" s="497"/>
    </row>
    <row r="1512" spans="1:5">
      <c r="A1512" s="495"/>
      <c r="B1512" s="495"/>
      <c r="C1512" s="495"/>
      <c r="D1512" s="496"/>
      <c r="E1512" s="497"/>
    </row>
    <row r="1513" spans="1:5">
      <c r="A1513" s="495"/>
      <c r="B1513" s="495"/>
      <c r="C1513" s="495"/>
      <c r="D1513" s="496"/>
      <c r="E1513" s="497"/>
    </row>
    <row r="1514" spans="1:5">
      <c r="A1514" s="495"/>
      <c r="B1514" s="495"/>
      <c r="C1514" s="495"/>
      <c r="D1514" s="496"/>
      <c r="E1514" s="497"/>
    </row>
    <row r="1515" spans="1:5">
      <c r="A1515" s="495"/>
      <c r="B1515" s="495"/>
      <c r="C1515" s="495"/>
      <c r="D1515" s="496"/>
      <c r="E1515" s="497"/>
    </row>
    <row r="1516" spans="1:5">
      <c r="A1516" s="495"/>
      <c r="B1516" s="495"/>
      <c r="C1516" s="495"/>
      <c r="D1516" s="496"/>
      <c r="E1516" s="497"/>
    </row>
    <row r="1517" spans="1:5">
      <c r="A1517" s="495"/>
      <c r="B1517" s="495"/>
      <c r="C1517" s="495"/>
      <c r="D1517" s="496"/>
      <c r="E1517" s="497"/>
    </row>
    <row r="1518" spans="1:5">
      <c r="A1518" s="495"/>
      <c r="B1518" s="495"/>
      <c r="C1518" s="495"/>
      <c r="D1518" s="496"/>
      <c r="E1518" s="497"/>
    </row>
    <row r="1519" spans="1:5">
      <c r="A1519" s="495"/>
      <c r="B1519" s="495"/>
      <c r="C1519" s="495"/>
      <c r="D1519" s="496"/>
      <c r="E1519" s="497"/>
    </row>
    <row r="1520" spans="1:5">
      <c r="A1520" s="495"/>
      <c r="B1520" s="495"/>
      <c r="C1520" s="495"/>
      <c r="D1520" s="496"/>
      <c r="E1520" s="497"/>
    </row>
    <row r="1521" spans="1:5">
      <c r="A1521" s="495"/>
      <c r="B1521" s="495"/>
      <c r="C1521" s="495"/>
      <c r="D1521" s="496"/>
      <c r="E1521" s="497"/>
    </row>
    <row r="1522" spans="1:5">
      <c r="A1522" s="495"/>
      <c r="B1522" s="495"/>
      <c r="C1522" s="495"/>
      <c r="D1522" s="496"/>
      <c r="E1522" s="497"/>
    </row>
    <row r="1523" spans="1:5">
      <c r="A1523" s="495"/>
      <c r="B1523" s="495"/>
      <c r="C1523" s="495"/>
      <c r="D1523" s="496"/>
      <c r="E1523" s="497"/>
    </row>
    <row r="1524" spans="1:5">
      <c r="A1524" s="495"/>
      <c r="B1524" s="495"/>
      <c r="C1524" s="495"/>
      <c r="D1524" s="496"/>
      <c r="E1524" s="497"/>
    </row>
    <row r="1525" spans="1:5">
      <c r="A1525" s="495"/>
      <c r="B1525" s="495"/>
      <c r="C1525" s="495"/>
      <c r="D1525" s="496"/>
      <c r="E1525" s="497"/>
    </row>
    <row r="1526" spans="1:5">
      <c r="A1526" s="498"/>
      <c r="B1526" s="498"/>
      <c r="C1526" s="498"/>
      <c r="D1526" s="499"/>
      <c r="E1526" s="500"/>
    </row>
    <row r="1527" spans="1:5">
      <c r="A1527" s="498"/>
      <c r="B1527" s="498"/>
      <c r="C1527" s="498"/>
      <c r="D1527" s="499"/>
      <c r="E1527" s="500"/>
    </row>
    <row r="1528" spans="1:5">
      <c r="A1528" s="495"/>
      <c r="B1528" s="495"/>
      <c r="C1528" s="495"/>
      <c r="D1528" s="496"/>
      <c r="E1528" s="497"/>
    </row>
    <row r="1529" spans="1:5">
      <c r="A1529" s="495"/>
      <c r="B1529" s="495"/>
      <c r="C1529" s="495"/>
      <c r="D1529" s="496"/>
      <c r="E1529" s="497"/>
    </row>
    <row r="1530" spans="1:5">
      <c r="A1530" s="495"/>
      <c r="B1530" s="495"/>
      <c r="C1530" s="495"/>
      <c r="D1530" s="496"/>
      <c r="E1530" s="497"/>
    </row>
    <row r="1531" spans="1:5">
      <c r="A1531" s="495"/>
      <c r="B1531" s="495"/>
      <c r="C1531" s="495"/>
      <c r="D1531" s="496"/>
      <c r="E1531" s="497"/>
    </row>
    <row r="1532" spans="1:5">
      <c r="A1532" s="498"/>
      <c r="B1532" s="498"/>
      <c r="C1532" s="498"/>
      <c r="D1532" s="499"/>
      <c r="E1532" s="500"/>
    </row>
    <row r="1533" spans="1:5">
      <c r="A1533" s="498"/>
      <c r="B1533" s="498"/>
      <c r="C1533" s="498"/>
      <c r="D1533" s="499"/>
      <c r="E1533" s="500"/>
    </row>
    <row r="1534" spans="1:5">
      <c r="A1534" s="495"/>
      <c r="B1534" s="495"/>
      <c r="C1534" s="495"/>
      <c r="D1534" s="496"/>
      <c r="E1534" s="497"/>
    </row>
    <row r="1535" spans="1:5">
      <c r="A1535" s="495"/>
      <c r="B1535" s="495"/>
      <c r="C1535" s="495"/>
      <c r="D1535" s="496"/>
      <c r="E1535" s="497"/>
    </row>
    <row r="1536" spans="1:5">
      <c r="A1536" s="495"/>
      <c r="B1536" s="495"/>
      <c r="C1536" s="495"/>
      <c r="D1536" s="496"/>
      <c r="E1536" s="497"/>
    </row>
    <row r="1537" spans="1:5">
      <c r="A1537" s="495"/>
      <c r="B1537" s="495"/>
      <c r="C1537" s="495"/>
      <c r="D1537" s="496"/>
      <c r="E1537" s="497"/>
    </row>
    <row r="1538" spans="1:5">
      <c r="A1538" s="495"/>
      <c r="B1538" s="495"/>
      <c r="C1538" s="495"/>
      <c r="D1538" s="496"/>
      <c r="E1538" s="497"/>
    </row>
    <row r="1539" spans="1:5">
      <c r="A1539" s="495"/>
      <c r="B1539" s="495"/>
      <c r="C1539" s="495"/>
      <c r="D1539" s="496"/>
      <c r="E1539" s="497"/>
    </row>
    <row r="1540" spans="1:5">
      <c r="A1540" s="498"/>
      <c r="B1540" s="498"/>
      <c r="C1540" s="498"/>
      <c r="D1540" s="499"/>
      <c r="E1540" s="500"/>
    </row>
    <row r="1541" spans="1:5">
      <c r="A1541" s="498"/>
      <c r="B1541" s="498"/>
      <c r="C1541" s="498"/>
      <c r="D1541" s="499"/>
      <c r="E1541" s="500"/>
    </row>
    <row r="1542" spans="1:5">
      <c r="A1542" s="495"/>
      <c r="B1542" s="495"/>
      <c r="C1542" s="495"/>
      <c r="D1542" s="496"/>
      <c r="E1542" s="497"/>
    </row>
    <row r="1543" spans="1:5">
      <c r="A1543" s="495"/>
      <c r="B1543" s="495"/>
      <c r="C1543" s="495"/>
      <c r="D1543" s="496"/>
      <c r="E1543" s="497"/>
    </row>
    <row r="1544" spans="1:5">
      <c r="A1544" s="495"/>
      <c r="B1544" s="495"/>
      <c r="C1544" s="495"/>
      <c r="D1544" s="496"/>
      <c r="E1544" s="497"/>
    </row>
    <row r="1545" spans="1:5">
      <c r="A1545" s="495"/>
      <c r="B1545" s="495"/>
      <c r="C1545" s="495"/>
      <c r="D1545" s="496"/>
      <c r="E1545" s="497"/>
    </row>
    <row r="1546" spans="1:5">
      <c r="A1546" s="495"/>
      <c r="B1546" s="495"/>
      <c r="C1546" s="495"/>
      <c r="D1546" s="496"/>
      <c r="E1546" s="497"/>
    </row>
    <row r="1547" spans="1:5">
      <c r="A1547" s="498"/>
      <c r="B1547" s="498"/>
      <c r="C1547" s="498"/>
      <c r="D1547" s="499"/>
      <c r="E1547" s="500"/>
    </row>
    <row r="1548" spans="1:5">
      <c r="A1548" s="498"/>
      <c r="B1548" s="498"/>
      <c r="C1548" s="498"/>
      <c r="D1548" s="499"/>
      <c r="E1548" s="500"/>
    </row>
    <row r="1549" spans="1:5">
      <c r="A1549" s="498"/>
      <c r="B1549" s="498"/>
      <c r="C1549" s="498"/>
      <c r="D1549" s="499"/>
      <c r="E1549" s="500"/>
    </row>
    <row r="1550" spans="1:5">
      <c r="A1550" s="495"/>
      <c r="B1550" s="495"/>
      <c r="C1550" s="495"/>
      <c r="D1550" s="496"/>
      <c r="E1550" s="497"/>
    </row>
    <row r="1551" spans="1:5">
      <c r="A1551" s="495"/>
      <c r="B1551" s="495"/>
      <c r="C1551" s="495"/>
      <c r="D1551" s="496"/>
      <c r="E1551" s="497"/>
    </row>
    <row r="1552" spans="1:5">
      <c r="A1552" s="498"/>
      <c r="B1552" s="498"/>
      <c r="C1552" s="498"/>
      <c r="D1552" s="499"/>
      <c r="E1552" s="500"/>
    </row>
    <row r="1553" spans="1:5">
      <c r="A1553" s="498"/>
      <c r="B1553" s="498"/>
      <c r="C1553" s="498"/>
      <c r="D1553" s="499"/>
      <c r="E1553" s="500"/>
    </row>
    <row r="1554" spans="1:5">
      <c r="A1554" s="498"/>
      <c r="B1554" s="498"/>
      <c r="C1554" s="498"/>
      <c r="D1554" s="499"/>
      <c r="E1554" s="500"/>
    </row>
    <row r="1555" spans="1:5">
      <c r="A1555" s="498"/>
      <c r="B1555" s="498"/>
      <c r="C1555" s="498"/>
      <c r="D1555" s="499"/>
      <c r="E1555" s="500"/>
    </row>
    <row r="1556" spans="1:5">
      <c r="A1556" s="495"/>
      <c r="B1556" s="495"/>
      <c r="C1556" s="495"/>
      <c r="D1556" s="496"/>
      <c r="E1556" s="497"/>
    </row>
    <row r="1557" spans="1:5">
      <c r="A1557" s="495"/>
      <c r="B1557" s="495"/>
      <c r="C1557" s="495"/>
      <c r="D1557" s="496"/>
      <c r="E1557" s="497"/>
    </row>
    <row r="1558" spans="1:5">
      <c r="A1558" s="495"/>
      <c r="B1558" s="495"/>
      <c r="C1558" s="495"/>
      <c r="D1558" s="496"/>
      <c r="E1558" s="497"/>
    </row>
    <row r="1559" spans="1:5">
      <c r="A1559" s="495"/>
      <c r="B1559" s="495"/>
      <c r="C1559" s="495"/>
      <c r="D1559" s="496"/>
      <c r="E1559" s="497"/>
    </row>
    <row r="1560" spans="1:5">
      <c r="A1560" s="498"/>
      <c r="B1560" s="498"/>
      <c r="C1560" s="498"/>
      <c r="D1560" s="499"/>
      <c r="E1560" s="500"/>
    </row>
    <row r="1561" spans="1:5">
      <c r="A1561" s="498"/>
      <c r="B1561" s="498"/>
      <c r="C1561" s="498"/>
      <c r="D1561" s="499"/>
      <c r="E1561" s="500"/>
    </row>
    <row r="1562" spans="1:5">
      <c r="A1562" s="498"/>
      <c r="B1562" s="498"/>
      <c r="C1562" s="498"/>
      <c r="D1562" s="499"/>
      <c r="E1562" s="500"/>
    </row>
    <row r="1563" spans="1:5">
      <c r="A1563" s="498"/>
      <c r="B1563" s="498"/>
      <c r="C1563" s="498"/>
      <c r="D1563" s="499"/>
      <c r="E1563" s="500"/>
    </row>
    <row r="1564" spans="1:5">
      <c r="A1564" s="495"/>
      <c r="B1564" s="495"/>
      <c r="C1564" s="495"/>
      <c r="D1564" s="496"/>
      <c r="E1564" s="497"/>
    </row>
    <row r="1565" spans="1:5">
      <c r="A1565" s="495"/>
      <c r="B1565" s="495"/>
      <c r="C1565" s="495"/>
      <c r="D1565" s="496"/>
      <c r="E1565" s="497"/>
    </row>
    <row r="1566" spans="1:5">
      <c r="A1566" s="495"/>
      <c r="B1566" s="495"/>
      <c r="C1566" s="495"/>
      <c r="D1566" s="496"/>
      <c r="E1566" s="497"/>
    </row>
    <row r="1567" spans="1:5">
      <c r="A1567" s="498"/>
      <c r="B1567" s="498"/>
      <c r="C1567" s="498"/>
      <c r="D1567" s="499"/>
      <c r="E1567" s="500"/>
    </row>
    <row r="1568" spans="1:5">
      <c r="A1568" s="498"/>
      <c r="B1568" s="498"/>
      <c r="C1568" s="498"/>
      <c r="D1568" s="499"/>
      <c r="E1568" s="500"/>
    </row>
    <row r="1569" spans="1:5">
      <c r="A1569" s="495"/>
      <c r="B1569" s="495"/>
      <c r="C1569" s="495"/>
      <c r="D1569" s="496"/>
      <c r="E1569" s="497"/>
    </row>
    <row r="1570" spans="1:5">
      <c r="A1570" s="495"/>
      <c r="B1570" s="495"/>
      <c r="C1570" s="495"/>
      <c r="D1570" s="496"/>
      <c r="E1570" s="497"/>
    </row>
    <row r="1571" spans="1:5">
      <c r="A1571" s="495"/>
      <c r="B1571" s="495"/>
      <c r="C1571" s="495"/>
      <c r="D1571" s="496"/>
      <c r="E1571" s="497"/>
    </row>
    <row r="1572" spans="1:5">
      <c r="A1572" s="495"/>
      <c r="B1572" s="495"/>
      <c r="C1572" s="495"/>
      <c r="D1572" s="496"/>
      <c r="E1572" s="497"/>
    </row>
    <row r="1573" spans="1:5">
      <c r="A1573" s="495"/>
      <c r="B1573" s="495"/>
      <c r="C1573" s="495"/>
      <c r="D1573" s="496"/>
      <c r="E1573" s="497"/>
    </row>
    <row r="1574" spans="1:5">
      <c r="A1574" s="495"/>
      <c r="B1574" s="495"/>
      <c r="C1574" s="495"/>
      <c r="D1574" s="496"/>
      <c r="E1574" s="497"/>
    </row>
    <row r="1575" spans="1:5">
      <c r="A1575" s="495"/>
      <c r="B1575" s="495"/>
      <c r="C1575" s="495"/>
      <c r="D1575" s="496"/>
      <c r="E1575" s="497"/>
    </row>
    <row r="1576" spans="1:5">
      <c r="A1576" s="495"/>
      <c r="B1576" s="495"/>
      <c r="C1576" s="495"/>
      <c r="D1576" s="496"/>
      <c r="E1576" s="497"/>
    </row>
    <row r="1577" spans="1:5">
      <c r="A1577" s="495"/>
      <c r="B1577" s="495"/>
      <c r="C1577" s="495"/>
      <c r="D1577" s="496"/>
      <c r="E1577" s="497"/>
    </row>
    <row r="1578" spans="1:5">
      <c r="A1578" s="495"/>
      <c r="B1578" s="495"/>
      <c r="C1578" s="495"/>
      <c r="D1578" s="496"/>
      <c r="E1578" s="497"/>
    </row>
    <row r="1579" spans="1:5">
      <c r="A1579" s="498"/>
      <c r="B1579" s="498"/>
      <c r="C1579" s="498"/>
      <c r="D1579" s="499"/>
      <c r="E1579" s="500"/>
    </row>
    <row r="1580" spans="1:5">
      <c r="A1580" s="498"/>
      <c r="B1580" s="498"/>
      <c r="C1580" s="498"/>
      <c r="D1580" s="499"/>
      <c r="E1580" s="500"/>
    </row>
    <row r="1581" spans="1:5">
      <c r="A1581" s="495"/>
      <c r="B1581" s="495"/>
      <c r="C1581" s="495"/>
      <c r="D1581" s="496"/>
      <c r="E1581" s="497"/>
    </row>
    <row r="1582" spans="1:5">
      <c r="A1582" s="495"/>
      <c r="B1582" s="495"/>
      <c r="C1582" s="495"/>
      <c r="D1582" s="496"/>
      <c r="E1582" s="497"/>
    </row>
    <row r="1583" spans="1:5">
      <c r="A1583" s="495"/>
      <c r="B1583" s="495"/>
      <c r="C1583" s="495"/>
      <c r="D1583" s="496"/>
      <c r="E1583" s="497"/>
    </row>
    <row r="1584" spans="1:5">
      <c r="A1584" s="495"/>
      <c r="B1584" s="495"/>
      <c r="C1584" s="495"/>
      <c r="D1584" s="496"/>
      <c r="E1584" s="497"/>
    </row>
    <row r="1585" spans="1:5">
      <c r="A1585" s="495"/>
      <c r="B1585" s="495"/>
      <c r="C1585" s="495"/>
      <c r="D1585" s="496"/>
      <c r="E1585" s="497"/>
    </row>
    <row r="1586" spans="1:5">
      <c r="A1586" s="495"/>
      <c r="B1586" s="495"/>
      <c r="C1586" s="495"/>
      <c r="D1586" s="496"/>
      <c r="E1586" s="497"/>
    </row>
    <row r="1587" spans="1:5">
      <c r="A1587" s="495"/>
      <c r="B1587" s="495"/>
      <c r="C1587" s="495"/>
      <c r="D1587" s="496"/>
      <c r="E1587" s="497"/>
    </row>
    <row r="1588" spans="1:5">
      <c r="A1588" s="495"/>
      <c r="B1588" s="495"/>
      <c r="C1588" s="495"/>
      <c r="D1588" s="496"/>
      <c r="E1588" s="497"/>
    </row>
    <row r="1589" spans="1:5">
      <c r="A1589" s="495"/>
      <c r="B1589" s="495"/>
      <c r="C1589" s="495"/>
      <c r="D1589" s="496"/>
      <c r="E1589" s="497"/>
    </row>
    <row r="1590" spans="1:5">
      <c r="A1590" s="495"/>
      <c r="B1590" s="495"/>
      <c r="C1590" s="495"/>
      <c r="D1590" s="496"/>
      <c r="E1590" s="497"/>
    </row>
    <row r="1591" spans="1:5">
      <c r="A1591" s="495"/>
      <c r="B1591" s="495"/>
      <c r="C1591" s="495"/>
      <c r="D1591" s="496"/>
      <c r="E1591" s="497"/>
    </row>
    <row r="1592" spans="1:5">
      <c r="A1592" s="495"/>
      <c r="B1592" s="495"/>
      <c r="C1592" s="495"/>
      <c r="D1592" s="496"/>
      <c r="E1592" s="497"/>
    </row>
    <row r="1593" spans="1:5">
      <c r="A1593" s="495"/>
      <c r="B1593" s="495"/>
      <c r="C1593" s="495"/>
      <c r="D1593" s="496"/>
      <c r="E1593" s="497"/>
    </row>
    <row r="1594" spans="1:5">
      <c r="A1594" s="495"/>
      <c r="B1594" s="495"/>
      <c r="C1594" s="495"/>
      <c r="D1594" s="496"/>
      <c r="E1594" s="497"/>
    </row>
    <row r="1595" spans="1:5">
      <c r="A1595" s="498"/>
      <c r="B1595" s="498"/>
      <c r="C1595" s="498"/>
      <c r="D1595" s="499"/>
      <c r="E1595" s="500"/>
    </row>
    <row r="1596" spans="1:5">
      <c r="A1596" s="498"/>
      <c r="B1596" s="498"/>
      <c r="C1596" s="498"/>
      <c r="D1596" s="499"/>
      <c r="E1596" s="500"/>
    </row>
    <row r="1597" spans="1:5">
      <c r="A1597" s="495"/>
      <c r="B1597" s="495"/>
      <c r="C1597" s="495"/>
      <c r="D1597" s="496"/>
      <c r="E1597" s="497"/>
    </row>
    <row r="1598" spans="1:5">
      <c r="A1598" s="495"/>
      <c r="B1598" s="495"/>
      <c r="C1598" s="495"/>
      <c r="D1598" s="496"/>
      <c r="E1598" s="497"/>
    </row>
    <row r="1599" spans="1:5">
      <c r="A1599" s="495"/>
      <c r="B1599" s="495"/>
      <c r="C1599" s="495"/>
      <c r="D1599" s="496"/>
      <c r="E1599" s="497"/>
    </row>
    <row r="1600" spans="1:5">
      <c r="A1600" s="495"/>
      <c r="B1600" s="495"/>
      <c r="C1600" s="495"/>
      <c r="D1600" s="496"/>
      <c r="E1600" s="497"/>
    </row>
    <row r="1601" spans="1:5">
      <c r="A1601" s="495"/>
      <c r="B1601" s="495"/>
      <c r="C1601" s="495"/>
      <c r="D1601" s="496"/>
      <c r="E1601" s="497"/>
    </row>
    <row r="1602" spans="1:5">
      <c r="A1602" s="495"/>
      <c r="B1602" s="495"/>
      <c r="C1602" s="495"/>
      <c r="D1602" s="496"/>
      <c r="E1602" s="497"/>
    </row>
    <row r="1603" spans="1:5">
      <c r="A1603" s="495"/>
      <c r="B1603" s="495"/>
      <c r="C1603" s="495"/>
      <c r="D1603" s="496"/>
      <c r="E1603" s="497"/>
    </row>
    <row r="1604" spans="1:5">
      <c r="A1604" s="495"/>
      <c r="B1604" s="495"/>
      <c r="C1604" s="495"/>
      <c r="D1604" s="496"/>
      <c r="E1604" s="497"/>
    </row>
    <row r="1605" spans="1:5">
      <c r="A1605" s="498"/>
      <c r="B1605" s="498"/>
      <c r="C1605" s="498"/>
      <c r="D1605" s="499"/>
      <c r="E1605" s="500"/>
    </row>
    <row r="1606" spans="1:5">
      <c r="A1606" s="498"/>
      <c r="B1606" s="498"/>
      <c r="C1606" s="498"/>
      <c r="D1606" s="499"/>
      <c r="E1606" s="500"/>
    </row>
    <row r="1607" spans="1:5">
      <c r="A1607" s="498"/>
      <c r="B1607" s="498"/>
      <c r="C1607" s="498"/>
      <c r="D1607" s="499"/>
      <c r="E1607" s="500"/>
    </row>
    <row r="1608" spans="1:5">
      <c r="A1608" s="498"/>
      <c r="B1608" s="498"/>
      <c r="C1608" s="498"/>
      <c r="D1608" s="499"/>
      <c r="E1608" s="500"/>
    </row>
    <row r="1609" spans="1:5">
      <c r="A1609" s="495"/>
      <c r="B1609" s="495"/>
      <c r="C1609" s="495"/>
      <c r="D1609" s="496"/>
      <c r="E1609" s="497"/>
    </row>
    <row r="1610" spans="1:5">
      <c r="A1610" s="495"/>
      <c r="B1610" s="495"/>
      <c r="C1610" s="495"/>
      <c r="D1610" s="496"/>
      <c r="E1610" s="497"/>
    </row>
    <row r="1611" spans="1:5">
      <c r="A1611" s="495"/>
      <c r="B1611" s="495"/>
      <c r="C1611" s="495"/>
      <c r="D1611" s="496"/>
      <c r="E1611" s="497"/>
    </row>
    <row r="1612" spans="1:5">
      <c r="A1612" s="495"/>
      <c r="B1612" s="495"/>
      <c r="C1612" s="495"/>
      <c r="D1612" s="496"/>
      <c r="E1612" s="497"/>
    </row>
    <row r="1613" spans="1:5">
      <c r="A1613" s="495"/>
      <c r="B1613" s="495"/>
      <c r="C1613" s="495"/>
      <c r="D1613" s="496"/>
      <c r="E1613" s="497"/>
    </row>
    <row r="1614" spans="1:5">
      <c r="A1614" s="495"/>
      <c r="B1614" s="495"/>
      <c r="C1614" s="495"/>
      <c r="D1614" s="496"/>
      <c r="E1614" s="497"/>
    </row>
    <row r="1615" spans="1:5">
      <c r="A1615" s="495"/>
      <c r="B1615" s="495"/>
      <c r="C1615" s="495"/>
      <c r="D1615" s="496"/>
      <c r="E1615" s="497"/>
    </row>
    <row r="1616" spans="1:5">
      <c r="A1616" s="495"/>
      <c r="B1616" s="495"/>
      <c r="C1616" s="495"/>
      <c r="D1616" s="496"/>
      <c r="E1616" s="497"/>
    </row>
    <row r="1617" spans="1:5">
      <c r="A1617" s="495"/>
      <c r="B1617" s="495"/>
      <c r="C1617" s="495"/>
      <c r="D1617" s="496"/>
      <c r="E1617" s="497"/>
    </row>
    <row r="1618" spans="1:5">
      <c r="A1618" s="495"/>
      <c r="B1618" s="495"/>
      <c r="C1618" s="495"/>
      <c r="D1618" s="496"/>
      <c r="E1618" s="497"/>
    </row>
    <row r="1619" spans="1:5">
      <c r="A1619" s="495"/>
      <c r="B1619" s="495"/>
      <c r="C1619" s="495"/>
      <c r="D1619" s="496"/>
      <c r="E1619" s="497"/>
    </row>
    <row r="1620" spans="1:5">
      <c r="A1620" s="495"/>
      <c r="B1620" s="495"/>
      <c r="C1620" s="495"/>
      <c r="D1620" s="496"/>
      <c r="E1620" s="497"/>
    </row>
    <row r="1621" spans="1:5">
      <c r="A1621" s="495"/>
      <c r="B1621" s="495"/>
      <c r="C1621" s="495"/>
      <c r="D1621" s="496"/>
      <c r="E1621" s="497"/>
    </row>
    <row r="1622" spans="1:5">
      <c r="A1622" s="495"/>
      <c r="B1622" s="495"/>
      <c r="C1622" s="495"/>
      <c r="D1622" s="496"/>
      <c r="E1622" s="497"/>
    </row>
    <row r="1623" spans="1:5">
      <c r="A1623" s="495"/>
      <c r="B1623" s="495"/>
      <c r="C1623" s="495"/>
      <c r="D1623" s="496"/>
      <c r="E1623" s="497"/>
    </row>
    <row r="1624" spans="1:5">
      <c r="A1624" s="495"/>
      <c r="B1624" s="495"/>
      <c r="C1624" s="495"/>
      <c r="D1624" s="496"/>
      <c r="E1624" s="497"/>
    </row>
    <row r="1625" spans="1:5">
      <c r="A1625" s="495"/>
      <c r="B1625" s="495"/>
      <c r="C1625" s="495"/>
      <c r="D1625" s="496"/>
      <c r="E1625" s="497"/>
    </row>
    <row r="1626" spans="1:5">
      <c r="A1626" s="495"/>
      <c r="B1626" s="495"/>
      <c r="C1626" s="495"/>
      <c r="D1626" s="496"/>
      <c r="E1626" s="497"/>
    </row>
    <row r="1627" spans="1:5">
      <c r="A1627" s="495"/>
      <c r="B1627" s="495"/>
      <c r="C1627" s="495"/>
      <c r="D1627" s="496"/>
      <c r="E1627" s="497"/>
    </row>
    <row r="1628" spans="1:5">
      <c r="A1628" s="495"/>
      <c r="B1628" s="495"/>
      <c r="C1628" s="495"/>
      <c r="D1628" s="496"/>
      <c r="E1628" s="497"/>
    </row>
    <row r="1629" spans="1:5">
      <c r="A1629" s="495"/>
      <c r="B1629" s="495"/>
      <c r="C1629" s="495"/>
      <c r="D1629" s="496"/>
      <c r="E1629" s="497"/>
    </row>
    <row r="1630" spans="1:5">
      <c r="A1630" s="498"/>
      <c r="B1630" s="498"/>
      <c r="C1630" s="498"/>
      <c r="D1630" s="499"/>
      <c r="E1630" s="500"/>
    </row>
    <row r="1631" spans="1:5">
      <c r="A1631" s="498"/>
      <c r="B1631" s="498"/>
      <c r="C1631" s="498"/>
      <c r="D1631" s="499"/>
      <c r="E1631" s="500"/>
    </row>
    <row r="1632" spans="1:5">
      <c r="A1632" s="495"/>
      <c r="B1632" s="495"/>
      <c r="C1632" s="495"/>
      <c r="D1632" s="496"/>
      <c r="E1632" s="497"/>
    </row>
    <row r="1633" spans="1:5">
      <c r="A1633" s="495"/>
      <c r="B1633" s="495"/>
      <c r="C1633" s="495"/>
      <c r="D1633" s="496"/>
      <c r="E1633" s="497"/>
    </row>
    <row r="1634" spans="1:5">
      <c r="A1634" s="495"/>
      <c r="B1634" s="495"/>
      <c r="C1634" s="495"/>
      <c r="D1634" s="496"/>
      <c r="E1634" s="497"/>
    </row>
    <row r="1635" spans="1:5">
      <c r="A1635" s="498"/>
      <c r="B1635" s="498"/>
      <c r="C1635" s="498"/>
      <c r="D1635" s="499"/>
      <c r="E1635" s="500"/>
    </row>
    <row r="1636" spans="1:5">
      <c r="A1636" s="498"/>
      <c r="B1636" s="498"/>
      <c r="C1636" s="498"/>
      <c r="D1636" s="499"/>
      <c r="E1636" s="500"/>
    </row>
    <row r="1637" spans="1:5">
      <c r="A1637" s="495"/>
      <c r="B1637" s="495"/>
      <c r="C1637" s="495"/>
      <c r="D1637" s="496"/>
      <c r="E1637" s="497"/>
    </row>
    <row r="1638" spans="1:5">
      <c r="A1638" s="495"/>
      <c r="B1638" s="495"/>
      <c r="C1638" s="495"/>
      <c r="D1638" s="496"/>
      <c r="E1638" s="497"/>
    </row>
    <row r="1639" spans="1:5">
      <c r="A1639" s="495"/>
      <c r="B1639" s="495"/>
      <c r="C1639" s="495"/>
      <c r="D1639" s="496"/>
      <c r="E1639" s="497"/>
    </row>
    <row r="1640" spans="1:5">
      <c r="A1640" s="495"/>
      <c r="B1640" s="495"/>
      <c r="C1640" s="495"/>
      <c r="D1640" s="496"/>
      <c r="E1640" s="497"/>
    </row>
    <row r="1641" spans="1:5">
      <c r="A1641" s="498"/>
      <c r="B1641" s="498"/>
      <c r="C1641" s="498"/>
      <c r="D1641" s="499"/>
      <c r="E1641" s="500"/>
    </row>
    <row r="1642" spans="1:5">
      <c r="A1642" s="498"/>
      <c r="B1642" s="498"/>
      <c r="C1642" s="498"/>
      <c r="D1642" s="499"/>
      <c r="E1642" s="500"/>
    </row>
    <row r="1643" spans="1:5">
      <c r="A1643" s="495"/>
      <c r="B1643" s="495"/>
      <c r="C1643" s="495"/>
      <c r="D1643" s="496"/>
      <c r="E1643" s="497"/>
    </row>
    <row r="1644" spans="1:5">
      <c r="A1644" s="495"/>
      <c r="B1644" s="495"/>
      <c r="C1644" s="495"/>
      <c r="D1644" s="496"/>
      <c r="E1644" s="497"/>
    </row>
    <row r="1645" spans="1:5">
      <c r="A1645" s="495"/>
      <c r="B1645" s="495"/>
      <c r="C1645" s="495"/>
      <c r="D1645" s="496"/>
      <c r="E1645" s="497"/>
    </row>
    <row r="1646" spans="1:5">
      <c r="A1646" s="495"/>
      <c r="B1646" s="495"/>
      <c r="C1646" s="495"/>
      <c r="D1646" s="496"/>
      <c r="E1646" s="497"/>
    </row>
    <row r="1647" spans="1:5">
      <c r="A1647" s="498"/>
      <c r="B1647" s="498"/>
      <c r="C1647" s="498"/>
      <c r="D1647" s="499"/>
      <c r="E1647" s="500"/>
    </row>
    <row r="1648" spans="1:5">
      <c r="A1648" s="498"/>
      <c r="B1648" s="498"/>
      <c r="C1648" s="498"/>
      <c r="D1648" s="499"/>
      <c r="E1648" s="500"/>
    </row>
    <row r="1649" spans="1:5">
      <c r="A1649" s="498"/>
      <c r="B1649" s="498"/>
      <c r="C1649" s="498"/>
      <c r="D1649" s="499"/>
      <c r="E1649" s="500"/>
    </row>
    <row r="1650" spans="1:5">
      <c r="A1650" s="495"/>
      <c r="B1650" s="495"/>
      <c r="C1650" s="495"/>
      <c r="D1650" s="496"/>
      <c r="E1650" s="497"/>
    </row>
    <row r="1651" spans="1:5">
      <c r="A1651" s="495"/>
      <c r="B1651" s="495"/>
      <c r="C1651" s="495"/>
      <c r="D1651" s="496"/>
      <c r="E1651" s="497"/>
    </row>
    <row r="1652" spans="1:5">
      <c r="A1652" s="495"/>
      <c r="B1652" s="495"/>
      <c r="C1652" s="495"/>
      <c r="D1652" s="496"/>
      <c r="E1652" s="497"/>
    </row>
    <row r="1653" spans="1:5">
      <c r="A1653" s="495"/>
      <c r="B1653" s="495"/>
      <c r="C1653" s="495"/>
      <c r="D1653" s="496"/>
      <c r="E1653" s="497"/>
    </row>
    <row r="1654" spans="1:5">
      <c r="A1654" s="495"/>
      <c r="B1654" s="495"/>
      <c r="C1654" s="495"/>
      <c r="D1654" s="496"/>
      <c r="E1654" s="497"/>
    </row>
    <row r="1655" spans="1:5">
      <c r="A1655" s="495"/>
      <c r="B1655" s="495"/>
      <c r="C1655" s="495"/>
      <c r="D1655" s="496"/>
      <c r="E1655" s="497"/>
    </row>
    <row r="1656" spans="1:5">
      <c r="A1656" s="495"/>
      <c r="B1656" s="495"/>
      <c r="C1656" s="495"/>
      <c r="D1656" s="496"/>
      <c r="E1656" s="497"/>
    </row>
    <row r="1657" spans="1:5">
      <c r="A1657" s="495"/>
      <c r="B1657" s="495"/>
      <c r="C1657" s="495"/>
      <c r="D1657" s="496"/>
      <c r="E1657" s="497"/>
    </row>
    <row r="1658" spans="1:5">
      <c r="A1658" s="495"/>
      <c r="B1658" s="495"/>
      <c r="C1658" s="495"/>
      <c r="D1658" s="496"/>
      <c r="E1658" s="497"/>
    </row>
    <row r="1659" spans="1:5">
      <c r="A1659" s="498"/>
      <c r="B1659" s="498"/>
      <c r="C1659" s="498"/>
      <c r="D1659" s="499"/>
      <c r="E1659" s="500"/>
    </row>
    <row r="1660" spans="1:5">
      <c r="A1660" s="498"/>
      <c r="B1660" s="498"/>
      <c r="C1660" s="498"/>
      <c r="D1660" s="499"/>
      <c r="E1660" s="500"/>
    </row>
    <row r="1661" spans="1:5">
      <c r="A1661" s="495"/>
      <c r="B1661" s="495"/>
      <c r="C1661" s="495"/>
      <c r="D1661" s="496"/>
      <c r="E1661" s="497"/>
    </row>
    <row r="1662" spans="1:5">
      <c r="A1662" s="495"/>
      <c r="B1662" s="495"/>
      <c r="C1662" s="495"/>
      <c r="D1662" s="496"/>
      <c r="E1662" s="497"/>
    </row>
    <row r="1663" spans="1:5">
      <c r="A1663" s="495"/>
      <c r="B1663" s="495"/>
      <c r="C1663" s="495"/>
      <c r="D1663" s="496"/>
      <c r="E1663" s="497"/>
    </row>
    <row r="1664" spans="1:5">
      <c r="A1664" s="498"/>
      <c r="B1664" s="498"/>
      <c r="C1664" s="498"/>
      <c r="D1664" s="499"/>
      <c r="E1664" s="500"/>
    </row>
    <row r="1665" spans="1:5">
      <c r="A1665" s="498"/>
      <c r="B1665" s="498"/>
      <c r="C1665" s="498"/>
      <c r="D1665" s="499"/>
      <c r="E1665" s="500"/>
    </row>
    <row r="1666" spans="1:5">
      <c r="A1666" s="495"/>
      <c r="B1666" s="495"/>
      <c r="C1666" s="495"/>
      <c r="D1666" s="496"/>
      <c r="E1666" s="497"/>
    </row>
    <row r="1667" spans="1:5">
      <c r="A1667" s="495"/>
      <c r="B1667" s="495"/>
      <c r="C1667" s="495"/>
      <c r="D1667" s="496"/>
      <c r="E1667" s="497"/>
    </row>
    <row r="1668" spans="1:5">
      <c r="A1668" s="495"/>
      <c r="B1668" s="495"/>
      <c r="C1668" s="495"/>
      <c r="D1668" s="496"/>
      <c r="E1668" s="497"/>
    </row>
    <row r="1669" spans="1:5">
      <c r="A1669" s="495"/>
      <c r="B1669" s="495"/>
      <c r="C1669" s="495"/>
      <c r="D1669" s="496"/>
      <c r="E1669" s="497"/>
    </row>
    <row r="1670" spans="1:5">
      <c r="A1670" s="495"/>
      <c r="B1670" s="495"/>
      <c r="C1670" s="495"/>
      <c r="D1670" s="496"/>
      <c r="E1670" s="497"/>
    </row>
    <row r="1671" spans="1:5">
      <c r="A1671" s="495"/>
      <c r="B1671" s="495"/>
      <c r="C1671" s="495"/>
      <c r="D1671" s="496"/>
      <c r="E1671" s="497"/>
    </row>
    <row r="1672" spans="1:5">
      <c r="A1672" s="495"/>
      <c r="B1672" s="495"/>
      <c r="C1672" s="495"/>
      <c r="D1672" s="496"/>
      <c r="E1672" s="497"/>
    </row>
    <row r="1673" spans="1:5">
      <c r="A1673" s="495"/>
      <c r="B1673" s="495"/>
      <c r="C1673" s="495"/>
      <c r="D1673" s="496"/>
      <c r="E1673" s="497"/>
    </row>
    <row r="1674" spans="1:5">
      <c r="A1674" s="495"/>
      <c r="B1674" s="495"/>
      <c r="C1674" s="495"/>
      <c r="D1674" s="496"/>
      <c r="E1674" s="497"/>
    </row>
    <row r="1675" spans="1:5">
      <c r="A1675" s="498"/>
      <c r="B1675" s="498"/>
      <c r="C1675" s="498"/>
      <c r="D1675" s="499"/>
      <c r="E1675" s="500"/>
    </row>
    <row r="1676" spans="1:5">
      <c r="A1676" s="498"/>
      <c r="B1676" s="498"/>
      <c r="C1676" s="498"/>
      <c r="D1676" s="499"/>
      <c r="E1676" s="500"/>
    </row>
    <row r="1677" spans="1:5">
      <c r="A1677" s="495"/>
      <c r="B1677" s="495"/>
      <c r="C1677" s="495"/>
      <c r="D1677" s="496"/>
      <c r="E1677" s="497"/>
    </row>
    <row r="1678" spans="1:5">
      <c r="A1678" s="495"/>
      <c r="B1678" s="495"/>
      <c r="C1678" s="495"/>
      <c r="D1678" s="496"/>
      <c r="E1678" s="497"/>
    </row>
    <row r="1679" spans="1:5">
      <c r="A1679" s="495"/>
      <c r="B1679" s="495"/>
      <c r="C1679" s="495"/>
      <c r="D1679" s="496"/>
      <c r="E1679" s="497"/>
    </row>
    <row r="1680" spans="1:5">
      <c r="A1680" s="495"/>
      <c r="B1680" s="495"/>
      <c r="C1680" s="495"/>
      <c r="D1680" s="496"/>
      <c r="E1680" s="497"/>
    </row>
    <row r="1681" spans="1:5">
      <c r="A1681" s="495"/>
      <c r="B1681" s="495"/>
      <c r="C1681" s="495"/>
      <c r="D1681" s="496"/>
      <c r="E1681" s="497"/>
    </row>
    <row r="1682" spans="1:5">
      <c r="A1682" s="495"/>
      <c r="B1682" s="495"/>
      <c r="C1682" s="495"/>
      <c r="D1682" s="496"/>
      <c r="E1682" s="497"/>
    </row>
    <row r="1683" spans="1:5">
      <c r="A1683" s="495"/>
      <c r="B1683" s="495"/>
      <c r="C1683" s="495"/>
      <c r="D1683" s="496"/>
      <c r="E1683" s="497"/>
    </row>
    <row r="1684" spans="1:5">
      <c r="A1684" s="495"/>
      <c r="B1684" s="495"/>
      <c r="C1684" s="495"/>
      <c r="D1684" s="496"/>
      <c r="E1684" s="497"/>
    </row>
    <row r="1685" spans="1:5">
      <c r="A1685" s="495"/>
      <c r="B1685" s="495"/>
      <c r="C1685" s="495"/>
      <c r="D1685" s="496"/>
      <c r="E1685" s="497"/>
    </row>
    <row r="1686" spans="1:5">
      <c r="A1686" s="495"/>
      <c r="B1686" s="495"/>
      <c r="C1686" s="495"/>
      <c r="D1686" s="496"/>
      <c r="E1686" s="497"/>
    </row>
    <row r="1687" spans="1:5">
      <c r="A1687" s="495"/>
      <c r="B1687" s="495"/>
      <c r="C1687" s="495"/>
      <c r="D1687" s="496"/>
      <c r="E1687" s="497"/>
    </row>
    <row r="1688" spans="1:5">
      <c r="A1688" s="495"/>
      <c r="B1688" s="495"/>
      <c r="C1688" s="495"/>
      <c r="D1688" s="496"/>
      <c r="E1688" s="497"/>
    </row>
    <row r="1689" spans="1:5">
      <c r="A1689" s="495"/>
      <c r="B1689" s="495"/>
      <c r="C1689" s="495"/>
      <c r="D1689" s="496"/>
      <c r="E1689" s="497"/>
    </row>
    <row r="1690" spans="1:5">
      <c r="A1690" s="495"/>
      <c r="B1690" s="495"/>
      <c r="C1690" s="495"/>
      <c r="D1690" s="496"/>
      <c r="E1690" s="497"/>
    </row>
    <row r="1691" spans="1:5">
      <c r="A1691" s="495"/>
      <c r="B1691" s="495"/>
      <c r="C1691" s="495"/>
      <c r="D1691" s="496"/>
      <c r="E1691" s="497"/>
    </row>
    <row r="1692" spans="1:5">
      <c r="A1692" s="495"/>
      <c r="B1692" s="495"/>
      <c r="C1692" s="495"/>
      <c r="D1692" s="496"/>
      <c r="E1692" s="497"/>
    </row>
    <row r="1693" spans="1:5">
      <c r="A1693" s="495"/>
      <c r="B1693" s="495"/>
      <c r="C1693" s="495"/>
      <c r="D1693" s="496"/>
      <c r="E1693" s="497"/>
    </row>
    <row r="1694" spans="1:5">
      <c r="A1694" s="495"/>
      <c r="B1694" s="495"/>
      <c r="C1694" s="495"/>
      <c r="D1694" s="496"/>
      <c r="E1694" s="497"/>
    </row>
    <row r="1695" spans="1:5">
      <c r="A1695" s="495"/>
      <c r="B1695" s="495"/>
      <c r="C1695" s="495"/>
      <c r="D1695" s="496"/>
      <c r="E1695" s="497"/>
    </row>
    <row r="1696" spans="1:5">
      <c r="A1696" s="495"/>
      <c r="B1696" s="495"/>
      <c r="C1696" s="495"/>
      <c r="D1696" s="496"/>
      <c r="E1696" s="497"/>
    </row>
    <row r="1697" spans="1:5">
      <c r="A1697" s="495"/>
      <c r="B1697" s="495"/>
      <c r="C1697" s="495"/>
      <c r="D1697" s="496"/>
      <c r="E1697" s="497"/>
    </row>
    <row r="1698" spans="1:5">
      <c r="A1698" s="495"/>
      <c r="B1698" s="495"/>
      <c r="C1698" s="495"/>
      <c r="D1698" s="496"/>
      <c r="E1698" s="497"/>
    </row>
    <row r="1699" spans="1:5">
      <c r="A1699" s="495"/>
      <c r="B1699" s="495"/>
      <c r="C1699" s="495"/>
      <c r="D1699" s="496"/>
      <c r="E1699" s="497"/>
    </row>
    <row r="1700" spans="1:5">
      <c r="A1700" s="495"/>
      <c r="B1700" s="495"/>
      <c r="C1700" s="495"/>
      <c r="D1700" s="496"/>
      <c r="E1700" s="497"/>
    </row>
    <row r="1701" spans="1:5">
      <c r="A1701" s="495"/>
      <c r="B1701" s="495"/>
      <c r="C1701" s="495"/>
      <c r="D1701" s="496"/>
      <c r="E1701" s="497"/>
    </row>
    <row r="1702" spans="1:5">
      <c r="A1702" s="495"/>
      <c r="B1702" s="495"/>
      <c r="C1702" s="495"/>
      <c r="D1702" s="496"/>
      <c r="E1702" s="497"/>
    </row>
    <row r="1703" spans="1:5">
      <c r="A1703" s="495"/>
      <c r="B1703" s="495"/>
      <c r="C1703" s="495"/>
      <c r="D1703" s="496"/>
      <c r="E1703" s="497"/>
    </row>
    <row r="1704" spans="1:5">
      <c r="A1704" s="495"/>
      <c r="B1704" s="495"/>
      <c r="C1704" s="495"/>
      <c r="D1704" s="496"/>
      <c r="E1704" s="497"/>
    </row>
    <row r="1705" spans="1:5">
      <c r="A1705" s="495"/>
      <c r="B1705" s="495"/>
      <c r="C1705" s="495"/>
      <c r="D1705" s="496"/>
      <c r="E1705" s="497"/>
    </row>
    <row r="1706" spans="1:5">
      <c r="A1706" s="495"/>
      <c r="B1706" s="495"/>
      <c r="C1706" s="495"/>
      <c r="D1706" s="496"/>
      <c r="E1706" s="497"/>
    </row>
    <row r="1707" spans="1:5">
      <c r="A1707" s="495"/>
      <c r="B1707" s="495"/>
      <c r="C1707" s="495"/>
      <c r="D1707" s="496"/>
      <c r="E1707" s="497"/>
    </row>
    <row r="1708" spans="1:5">
      <c r="A1708" s="495"/>
      <c r="B1708" s="495"/>
      <c r="C1708" s="495"/>
      <c r="D1708" s="496"/>
      <c r="E1708" s="497"/>
    </row>
    <row r="1709" spans="1:5">
      <c r="A1709" s="498"/>
      <c r="B1709" s="498"/>
      <c r="C1709" s="498"/>
      <c r="D1709" s="499"/>
      <c r="E1709" s="500"/>
    </row>
    <row r="1710" spans="1:5">
      <c r="A1710" s="498"/>
      <c r="B1710" s="498"/>
      <c r="C1710" s="498"/>
      <c r="D1710" s="499"/>
      <c r="E1710" s="500"/>
    </row>
    <row r="1711" spans="1:5">
      <c r="A1711" s="498"/>
      <c r="B1711" s="498"/>
      <c r="C1711" s="498"/>
      <c r="D1711" s="499"/>
      <c r="E1711" s="500"/>
    </row>
    <row r="1712" spans="1:5">
      <c r="A1712" s="495"/>
      <c r="B1712" s="495"/>
      <c r="C1712" s="495"/>
      <c r="D1712" s="496"/>
      <c r="E1712" s="497"/>
    </row>
    <row r="1713" spans="1:5">
      <c r="A1713" s="498"/>
      <c r="B1713" s="498"/>
      <c r="C1713" s="498"/>
      <c r="D1713" s="499"/>
      <c r="E1713" s="500"/>
    </row>
    <row r="1714" spans="1:5">
      <c r="A1714" s="495"/>
      <c r="B1714" s="495"/>
      <c r="C1714" s="495"/>
      <c r="D1714" s="496"/>
      <c r="E1714" s="497"/>
    </row>
    <row r="1715" spans="1:5">
      <c r="A1715" s="495"/>
      <c r="B1715" s="495"/>
      <c r="C1715" s="495"/>
      <c r="D1715" s="496"/>
      <c r="E1715" s="497"/>
    </row>
    <row r="1716" spans="1:5">
      <c r="A1716" s="495"/>
      <c r="B1716" s="495"/>
      <c r="C1716" s="495"/>
      <c r="D1716" s="496"/>
      <c r="E1716" s="497"/>
    </row>
    <row r="1717" spans="1:5">
      <c r="A1717" s="495"/>
      <c r="B1717" s="495"/>
      <c r="C1717" s="495"/>
      <c r="D1717" s="496"/>
      <c r="E1717" s="497"/>
    </row>
    <row r="1718" spans="1:5">
      <c r="A1718" s="495"/>
      <c r="B1718" s="495"/>
      <c r="C1718" s="495"/>
      <c r="D1718" s="496"/>
      <c r="E1718" s="497"/>
    </row>
    <row r="1719" spans="1:5">
      <c r="A1719" s="495"/>
      <c r="B1719" s="495"/>
      <c r="C1719" s="495"/>
      <c r="D1719" s="496"/>
      <c r="E1719" s="497"/>
    </row>
    <row r="1720" spans="1:5">
      <c r="A1720" s="495"/>
      <c r="B1720" s="495"/>
      <c r="C1720" s="495"/>
      <c r="D1720" s="496"/>
      <c r="E1720" s="497"/>
    </row>
    <row r="1721" spans="1:5">
      <c r="A1721" s="498"/>
      <c r="B1721" s="498"/>
      <c r="C1721" s="498"/>
      <c r="D1721" s="499"/>
      <c r="E1721" s="500"/>
    </row>
    <row r="1722" spans="1:5">
      <c r="A1722" s="495"/>
      <c r="B1722" s="495"/>
      <c r="C1722" s="495"/>
      <c r="D1722" s="496"/>
      <c r="E1722" s="497"/>
    </row>
    <row r="1723" spans="1:5">
      <c r="A1723" s="498"/>
      <c r="B1723" s="498"/>
      <c r="C1723" s="498"/>
      <c r="D1723" s="499"/>
      <c r="E1723" s="500"/>
    </row>
    <row r="1724" spans="1:5">
      <c r="A1724" s="495"/>
      <c r="B1724" s="495"/>
      <c r="C1724" s="495"/>
      <c r="D1724" s="496"/>
      <c r="E1724" s="497"/>
    </row>
    <row r="1725" spans="1:5">
      <c r="A1725" s="495"/>
      <c r="B1725" s="495"/>
      <c r="C1725" s="495"/>
      <c r="D1725" s="496"/>
      <c r="E1725" s="497"/>
    </row>
    <row r="1726" spans="1:5">
      <c r="A1726" s="495"/>
      <c r="B1726" s="495"/>
      <c r="C1726" s="495"/>
      <c r="D1726" s="496"/>
      <c r="E1726" s="497"/>
    </row>
    <row r="1727" spans="1:5">
      <c r="A1727" s="495"/>
      <c r="B1727" s="495"/>
      <c r="C1727" s="495"/>
      <c r="D1727" s="496"/>
      <c r="E1727" s="497"/>
    </row>
    <row r="1728" spans="1:5">
      <c r="A1728" s="495"/>
      <c r="B1728" s="495"/>
      <c r="C1728" s="495"/>
      <c r="D1728" s="496"/>
      <c r="E1728" s="497"/>
    </row>
    <row r="1729" spans="1:5">
      <c r="A1729" s="495"/>
      <c r="B1729" s="495"/>
      <c r="C1729" s="495"/>
      <c r="D1729" s="496"/>
      <c r="E1729" s="497"/>
    </row>
    <row r="1730" spans="1:5">
      <c r="A1730" s="495"/>
      <c r="B1730" s="495"/>
      <c r="C1730" s="495"/>
      <c r="D1730" s="496"/>
      <c r="E1730" s="497"/>
    </row>
    <row r="1731" spans="1:5">
      <c r="A1731" s="495"/>
      <c r="B1731" s="495"/>
      <c r="C1731" s="495"/>
      <c r="D1731" s="496"/>
      <c r="E1731" s="497"/>
    </row>
    <row r="1732" spans="1:5">
      <c r="A1732" s="495"/>
      <c r="B1732" s="495"/>
      <c r="C1732" s="495"/>
      <c r="D1732" s="496"/>
      <c r="E1732" s="497"/>
    </row>
    <row r="1733" spans="1:5">
      <c r="A1733" s="495"/>
      <c r="B1733" s="495"/>
      <c r="C1733" s="495"/>
      <c r="D1733" s="496"/>
      <c r="E1733" s="497"/>
    </row>
    <row r="1734" spans="1:5">
      <c r="A1734" s="495"/>
      <c r="B1734" s="495"/>
      <c r="C1734" s="495"/>
      <c r="D1734" s="496"/>
      <c r="E1734" s="497"/>
    </row>
    <row r="1735" spans="1:5">
      <c r="A1735" s="495"/>
      <c r="B1735" s="495"/>
      <c r="C1735" s="495"/>
      <c r="D1735" s="496"/>
      <c r="E1735" s="497"/>
    </row>
    <row r="1736" spans="1:5">
      <c r="A1736" s="495"/>
      <c r="B1736" s="495"/>
      <c r="C1736" s="495"/>
      <c r="D1736" s="496"/>
      <c r="E1736" s="497"/>
    </row>
    <row r="1737" spans="1:5">
      <c r="A1737" s="498"/>
      <c r="B1737" s="498"/>
      <c r="C1737" s="498"/>
      <c r="D1737" s="499"/>
      <c r="E1737" s="500"/>
    </row>
    <row r="1738" spans="1:5">
      <c r="A1738" s="498"/>
      <c r="B1738" s="498"/>
      <c r="C1738" s="498"/>
      <c r="D1738" s="499"/>
      <c r="E1738" s="500"/>
    </row>
    <row r="1739" spans="1:5">
      <c r="A1739" s="495"/>
      <c r="B1739" s="495"/>
      <c r="C1739" s="495"/>
      <c r="D1739" s="496"/>
      <c r="E1739" s="497"/>
    </row>
    <row r="1740" spans="1:5">
      <c r="A1740" s="495"/>
      <c r="B1740" s="495"/>
      <c r="C1740" s="495"/>
      <c r="D1740" s="496"/>
      <c r="E1740" s="497"/>
    </row>
    <row r="1741" spans="1:5">
      <c r="A1741" s="495"/>
      <c r="B1741" s="495"/>
      <c r="C1741" s="495"/>
      <c r="D1741" s="496"/>
      <c r="E1741" s="497"/>
    </row>
    <row r="1742" spans="1:5">
      <c r="A1742" s="495"/>
      <c r="B1742" s="495"/>
      <c r="C1742" s="495"/>
      <c r="D1742" s="496"/>
      <c r="E1742" s="497"/>
    </row>
    <row r="1743" spans="1:5">
      <c r="A1743" s="495"/>
      <c r="B1743" s="495"/>
      <c r="C1743" s="495"/>
      <c r="D1743" s="496"/>
      <c r="E1743" s="497"/>
    </row>
    <row r="1744" spans="1:5">
      <c r="A1744" s="495"/>
      <c r="B1744" s="495"/>
      <c r="C1744" s="495"/>
      <c r="D1744" s="496"/>
      <c r="E1744" s="497"/>
    </row>
    <row r="1745" spans="1:5">
      <c r="A1745" s="495"/>
      <c r="B1745" s="495"/>
      <c r="C1745" s="495"/>
      <c r="D1745" s="496"/>
      <c r="E1745" s="497"/>
    </row>
    <row r="1746" spans="1:5">
      <c r="A1746" s="495"/>
      <c r="B1746" s="495"/>
      <c r="C1746" s="495"/>
      <c r="D1746" s="496"/>
      <c r="E1746" s="497"/>
    </row>
    <row r="1747" spans="1:5">
      <c r="A1747" s="495"/>
      <c r="B1747" s="495"/>
      <c r="C1747" s="495"/>
      <c r="D1747" s="496"/>
      <c r="E1747" s="497"/>
    </row>
    <row r="1748" spans="1:5">
      <c r="A1748" s="495"/>
      <c r="B1748" s="495"/>
      <c r="C1748" s="495"/>
      <c r="D1748" s="496"/>
      <c r="E1748" s="497"/>
    </row>
    <row r="1749" spans="1:5">
      <c r="A1749" s="495"/>
      <c r="B1749" s="495"/>
      <c r="C1749" s="495"/>
      <c r="D1749" s="496"/>
      <c r="E1749" s="497"/>
    </row>
    <row r="1750" spans="1:5">
      <c r="A1750" s="495"/>
      <c r="B1750" s="495"/>
      <c r="C1750" s="495"/>
      <c r="D1750" s="496"/>
      <c r="E1750" s="497"/>
    </row>
    <row r="1751" spans="1:5">
      <c r="A1751" s="498"/>
      <c r="B1751" s="498"/>
      <c r="C1751" s="498"/>
      <c r="D1751" s="499"/>
      <c r="E1751" s="500"/>
    </row>
    <row r="1752" spans="1:5">
      <c r="A1752" s="498"/>
      <c r="B1752" s="498"/>
      <c r="C1752" s="498"/>
      <c r="D1752" s="499"/>
      <c r="E1752" s="500"/>
    </row>
    <row r="1753" spans="1:5">
      <c r="A1753" s="495"/>
      <c r="B1753" s="495"/>
      <c r="C1753" s="495"/>
      <c r="D1753" s="496"/>
      <c r="E1753" s="497"/>
    </row>
    <row r="1754" spans="1:5">
      <c r="A1754" s="495"/>
      <c r="B1754" s="495"/>
      <c r="C1754" s="495"/>
      <c r="D1754" s="496"/>
      <c r="E1754" s="497"/>
    </row>
    <row r="1755" spans="1:5">
      <c r="A1755" s="495"/>
      <c r="B1755" s="495"/>
      <c r="C1755" s="495"/>
      <c r="D1755" s="496"/>
      <c r="E1755" s="497"/>
    </row>
    <row r="1756" spans="1:5">
      <c r="A1756" s="495"/>
      <c r="B1756" s="495"/>
      <c r="C1756" s="495"/>
      <c r="D1756" s="496"/>
      <c r="E1756" s="497"/>
    </row>
    <row r="1757" spans="1:5">
      <c r="A1757" s="495"/>
      <c r="B1757" s="495"/>
      <c r="C1757" s="495"/>
      <c r="D1757" s="496"/>
      <c r="E1757" s="497"/>
    </row>
    <row r="1758" spans="1:5">
      <c r="A1758" s="495"/>
      <c r="B1758" s="495"/>
      <c r="C1758" s="495"/>
      <c r="D1758" s="496"/>
      <c r="E1758" s="497"/>
    </row>
    <row r="1759" spans="1:5">
      <c r="A1759" s="495"/>
      <c r="B1759" s="495"/>
      <c r="C1759" s="495"/>
      <c r="D1759" s="496"/>
      <c r="E1759" s="497"/>
    </row>
    <row r="1760" spans="1:5">
      <c r="A1760" s="495"/>
      <c r="B1760" s="495"/>
      <c r="C1760" s="495"/>
      <c r="D1760" s="496"/>
      <c r="E1760" s="497"/>
    </row>
    <row r="1761" spans="1:5">
      <c r="A1761" s="495"/>
      <c r="B1761" s="495"/>
      <c r="C1761" s="495"/>
      <c r="D1761" s="496"/>
      <c r="E1761" s="497"/>
    </row>
    <row r="1762" spans="1:5">
      <c r="A1762" s="495"/>
      <c r="B1762" s="495"/>
      <c r="C1762" s="495"/>
      <c r="D1762" s="496"/>
      <c r="E1762" s="497"/>
    </row>
    <row r="1763" spans="1:5">
      <c r="A1763" s="495"/>
      <c r="B1763" s="495"/>
      <c r="C1763" s="495"/>
      <c r="D1763" s="496"/>
      <c r="E1763" s="497"/>
    </row>
    <row r="1764" spans="1:5">
      <c r="A1764" s="495"/>
      <c r="B1764" s="495"/>
      <c r="C1764" s="495"/>
      <c r="D1764" s="496"/>
      <c r="E1764" s="497"/>
    </row>
    <row r="1765" spans="1:5">
      <c r="A1765" s="495"/>
      <c r="B1765" s="495"/>
      <c r="C1765" s="495"/>
      <c r="D1765" s="496"/>
      <c r="E1765" s="497"/>
    </row>
    <row r="1766" spans="1:5">
      <c r="A1766" s="495"/>
      <c r="B1766" s="495"/>
      <c r="C1766" s="495"/>
      <c r="D1766" s="496"/>
      <c r="E1766" s="497"/>
    </row>
    <row r="1767" spans="1:5">
      <c r="A1767" s="495"/>
      <c r="B1767" s="495"/>
      <c r="C1767" s="495"/>
      <c r="D1767" s="496"/>
      <c r="E1767" s="497"/>
    </row>
    <row r="1768" spans="1:5">
      <c r="A1768" s="495"/>
      <c r="B1768" s="495"/>
      <c r="C1768" s="495"/>
      <c r="D1768" s="496"/>
      <c r="E1768" s="497"/>
    </row>
    <row r="1769" spans="1:5">
      <c r="A1769" s="495"/>
      <c r="B1769" s="495"/>
      <c r="C1769" s="495"/>
      <c r="D1769" s="496"/>
      <c r="E1769" s="497"/>
    </row>
    <row r="1770" spans="1:5">
      <c r="A1770" s="495"/>
      <c r="B1770" s="495"/>
      <c r="C1770" s="495"/>
      <c r="D1770" s="496"/>
      <c r="E1770" s="497"/>
    </row>
    <row r="1771" spans="1:5">
      <c r="A1771" s="495"/>
      <c r="B1771" s="495"/>
      <c r="C1771" s="495"/>
      <c r="D1771" s="496"/>
      <c r="E1771" s="497"/>
    </row>
    <row r="1772" spans="1:5">
      <c r="A1772" s="495"/>
      <c r="B1772" s="495"/>
      <c r="C1772" s="495"/>
      <c r="D1772" s="496"/>
      <c r="E1772" s="497"/>
    </row>
    <row r="1773" spans="1:5">
      <c r="A1773" s="495"/>
      <c r="B1773" s="495"/>
      <c r="C1773" s="495"/>
      <c r="D1773" s="496"/>
      <c r="E1773" s="497"/>
    </row>
    <row r="1774" spans="1:5">
      <c r="A1774" s="495"/>
      <c r="B1774" s="495"/>
      <c r="C1774" s="495"/>
      <c r="D1774" s="496"/>
      <c r="E1774" s="497"/>
    </row>
    <row r="1775" spans="1:5">
      <c r="A1775" s="495"/>
      <c r="B1775" s="495"/>
      <c r="C1775" s="495"/>
      <c r="D1775" s="496"/>
      <c r="E1775" s="497"/>
    </row>
    <row r="1776" spans="1:5">
      <c r="A1776" s="495"/>
      <c r="B1776" s="495"/>
      <c r="C1776" s="495"/>
      <c r="D1776" s="496"/>
      <c r="E1776" s="497"/>
    </row>
    <row r="1777" spans="1:5">
      <c r="A1777" s="495"/>
      <c r="B1777" s="495"/>
      <c r="C1777" s="495"/>
      <c r="D1777" s="496"/>
      <c r="E1777" s="497"/>
    </row>
    <row r="1778" spans="1:5">
      <c r="A1778" s="495"/>
      <c r="B1778" s="495"/>
      <c r="C1778" s="495"/>
      <c r="D1778" s="496"/>
      <c r="E1778" s="497"/>
    </row>
    <row r="1779" spans="1:5">
      <c r="A1779" s="495"/>
      <c r="B1779" s="495"/>
      <c r="C1779" s="495"/>
      <c r="D1779" s="496"/>
      <c r="E1779" s="497"/>
    </row>
    <row r="1780" spans="1:5">
      <c r="A1780" s="495"/>
      <c r="B1780" s="495"/>
      <c r="C1780" s="495"/>
      <c r="D1780" s="496"/>
      <c r="E1780" s="497"/>
    </row>
    <row r="1781" spans="1:5">
      <c r="A1781" s="495"/>
      <c r="B1781" s="495"/>
      <c r="C1781" s="495"/>
      <c r="D1781" s="496"/>
      <c r="E1781" s="497"/>
    </row>
    <row r="1782" spans="1:5">
      <c r="A1782" s="498"/>
      <c r="B1782" s="498"/>
      <c r="C1782" s="498"/>
      <c r="D1782" s="499"/>
      <c r="E1782" s="500"/>
    </row>
    <row r="1783" spans="1:5">
      <c r="A1783" s="498"/>
      <c r="B1783" s="498"/>
      <c r="C1783" s="498"/>
      <c r="D1783" s="499"/>
      <c r="E1783" s="500"/>
    </row>
    <row r="1784" spans="1:5">
      <c r="A1784" s="495"/>
      <c r="B1784" s="495"/>
      <c r="C1784" s="495"/>
      <c r="D1784" s="496"/>
      <c r="E1784" s="497"/>
    </row>
    <row r="1785" spans="1:5">
      <c r="A1785" s="498"/>
      <c r="B1785" s="498"/>
      <c r="C1785" s="498"/>
      <c r="D1785" s="499"/>
      <c r="E1785" s="500"/>
    </row>
    <row r="1786" spans="1:5">
      <c r="A1786" s="498"/>
      <c r="B1786" s="498"/>
      <c r="C1786" s="498"/>
      <c r="D1786" s="499"/>
      <c r="E1786" s="500"/>
    </row>
    <row r="1787" spans="1:5">
      <c r="A1787" s="495"/>
      <c r="B1787" s="495"/>
      <c r="C1787" s="495"/>
      <c r="D1787" s="496"/>
      <c r="E1787" s="497"/>
    </row>
    <row r="1788" spans="1:5">
      <c r="A1788" s="495"/>
      <c r="B1788" s="495"/>
      <c r="C1788" s="495"/>
      <c r="D1788" s="496"/>
      <c r="E1788" s="497"/>
    </row>
    <row r="1789" spans="1:5">
      <c r="A1789" s="495"/>
      <c r="B1789" s="495"/>
      <c r="C1789" s="495"/>
      <c r="D1789" s="496"/>
      <c r="E1789" s="497"/>
    </row>
    <row r="1790" spans="1:5">
      <c r="A1790" s="495"/>
      <c r="B1790" s="495"/>
      <c r="C1790" s="495"/>
      <c r="D1790" s="496"/>
      <c r="E1790" s="497"/>
    </row>
    <row r="1791" spans="1:5">
      <c r="A1791" s="495"/>
      <c r="B1791" s="495"/>
      <c r="C1791" s="495"/>
      <c r="D1791" s="496"/>
      <c r="E1791" s="497"/>
    </row>
    <row r="1792" spans="1:5">
      <c r="A1792" s="495"/>
      <c r="B1792" s="495"/>
      <c r="C1792" s="495"/>
      <c r="D1792" s="496"/>
      <c r="E1792" s="497"/>
    </row>
    <row r="1793" spans="1:5">
      <c r="A1793" s="495"/>
      <c r="B1793" s="495"/>
      <c r="C1793" s="495"/>
      <c r="D1793" s="496"/>
      <c r="E1793" s="497"/>
    </row>
    <row r="1794" spans="1:5">
      <c r="A1794" s="495"/>
      <c r="B1794" s="495"/>
      <c r="C1794" s="495"/>
      <c r="D1794" s="496"/>
      <c r="E1794" s="497"/>
    </row>
    <row r="1795" spans="1:5">
      <c r="A1795" s="495"/>
      <c r="B1795" s="495"/>
      <c r="C1795" s="495"/>
      <c r="D1795" s="496"/>
      <c r="E1795" s="497"/>
    </row>
    <row r="1796" spans="1:5">
      <c r="A1796" s="498"/>
      <c r="B1796" s="498"/>
      <c r="C1796" s="498"/>
      <c r="D1796" s="499"/>
      <c r="E1796" s="500"/>
    </row>
    <row r="1797" spans="1:5">
      <c r="A1797" s="498"/>
      <c r="B1797" s="498"/>
      <c r="C1797" s="498"/>
      <c r="D1797" s="499"/>
      <c r="E1797" s="500"/>
    </row>
    <row r="1798" spans="1:5">
      <c r="A1798" s="495"/>
      <c r="B1798" s="495"/>
      <c r="C1798" s="495"/>
      <c r="D1798" s="496"/>
      <c r="E1798" s="497"/>
    </row>
    <row r="1799" spans="1:5">
      <c r="A1799" s="495"/>
      <c r="B1799" s="495"/>
      <c r="C1799" s="495"/>
      <c r="D1799" s="496"/>
      <c r="E1799" s="497"/>
    </row>
    <row r="1800" spans="1:5">
      <c r="A1800" s="495"/>
      <c r="B1800" s="495"/>
      <c r="C1800" s="495"/>
      <c r="D1800" s="496"/>
      <c r="E1800" s="497"/>
    </row>
    <row r="1801" spans="1:5">
      <c r="A1801" s="498"/>
      <c r="B1801" s="498"/>
      <c r="C1801" s="498"/>
      <c r="D1801" s="499"/>
      <c r="E1801" s="500"/>
    </row>
    <row r="1802" spans="1:5">
      <c r="A1802" s="498"/>
      <c r="B1802" s="498"/>
      <c r="C1802" s="498"/>
      <c r="D1802" s="499"/>
      <c r="E1802" s="500"/>
    </row>
    <row r="1803" spans="1:5">
      <c r="A1803" s="495"/>
      <c r="B1803" s="495"/>
      <c r="C1803" s="495"/>
      <c r="D1803" s="496"/>
      <c r="E1803" s="497"/>
    </row>
    <row r="1804" spans="1:5">
      <c r="A1804" s="495"/>
      <c r="B1804" s="495"/>
      <c r="C1804" s="495"/>
      <c r="D1804" s="496"/>
      <c r="E1804" s="497"/>
    </row>
    <row r="1805" spans="1:5">
      <c r="A1805" s="495"/>
      <c r="B1805" s="495"/>
      <c r="C1805" s="495"/>
      <c r="D1805" s="496"/>
      <c r="E1805" s="497"/>
    </row>
    <row r="1806" spans="1:5">
      <c r="A1806" s="495"/>
      <c r="B1806" s="495"/>
      <c r="C1806" s="495"/>
      <c r="D1806" s="496"/>
      <c r="E1806" s="497"/>
    </row>
    <row r="1807" spans="1:5">
      <c r="A1807" s="495"/>
      <c r="B1807" s="495"/>
      <c r="C1807" s="495"/>
      <c r="D1807" s="496"/>
      <c r="E1807" s="497"/>
    </row>
    <row r="1808" spans="1:5">
      <c r="A1808" s="495"/>
      <c r="B1808" s="495"/>
      <c r="C1808" s="495"/>
      <c r="D1808" s="496"/>
      <c r="E1808" s="497"/>
    </row>
    <row r="1809" spans="1:5">
      <c r="A1809" s="495"/>
      <c r="B1809" s="495"/>
      <c r="C1809" s="495"/>
      <c r="D1809" s="496"/>
      <c r="E1809" s="497"/>
    </row>
    <row r="1810" spans="1:5">
      <c r="A1810" s="498"/>
      <c r="B1810" s="498"/>
      <c r="C1810" s="498"/>
      <c r="D1810" s="499"/>
      <c r="E1810" s="500"/>
    </row>
    <row r="1811" spans="1:5">
      <c r="A1811" s="498"/>
      <c r="B1811" s="498"/>
      <c r="C1811" s="498"/>
      <c r="D1811" s="499"/>
      <c r="E1811" s="500"/>
    </row>
    <row r="1812" spans="1:5">
      <c r="A1812" s="498"/>
      <c r="B1812" s="498"/>
      <c r="C1812" s="498"/>
      <c r="D1812" s="499"/>
      <c r="E1812" s="500"/>
    </row>
    <row r="1813" spans="1:5">
      <c r="A1813" s="498"/>
      <c r="B1813" s="498"/>
      <c r="C1813" s="498"/>
      <c r="D1813" s="499"/>
      <c r="E1813" s="500"/>
    </row>
    <row r="1814" spans="1:5">
      <c r="A1814" s="495"/>
      <c r="B1814" s="495"/>
      <c r="C1814" s="495"/>
      <c r="D1814" s="496"/>
      <c r="E1814" s="497"/>
    </row>
    <row r="1815" spans="1:5">
      <c r="A1815" s="495"/>
      <c r="B1815" s="495"/>
      <c r="C1815" s="495"/>
      <c r="D1815" s="496"/>
      <c r="E1815" s="497"/>
    </row>
    <row r="1816" spans="1:5">
      <c r="A1816" s="498"/>
      <c r="B1816" s="498"/>
      <c r="C1816" s="498"/>
      <c r="D1816" s="499"/>
      <c r="E1816" s="500"/>
    </row>
    <row r="1817" spans="1:5">
      <c r="A1817" s="498"/>
      <c r="B1817" s="498"/>
      <c r="C1817" s="498"/>
      <c r="D1817" s="499"/>
      <c r="E1817" s="500"/>
    </row>
    <row r="1818" spans="1:5">
      <c r="A1818" s="495"/>
      <c r="B1818" s="495"/>
      <c r="C1818" s="495"/>
      <c r="D1818" s="496"/>
      <c r="E1818" s="497"/>
    </row>
    <row r="1819" spans="1:5">
      <c r="A1819" s="495"/>
      <c r="B1819" s="495"/>
      <c r="C1819" s="495"/>
      <c r="D1819" s="496"/>
      <c r="E1819" s="497"/>
    </row>
    <row r="1820" spans="1:5">
      <c r="A1820" s="495"/>
      <c r="B1820" s="495"/>
      <c r="C1820" s="495"/>
      <c r="D1820" s="496"/>
      <c r="E1820" s="497"/>
    </row>
    <row r="1821" spans="1:5">
      <c r="A1821" s="495"/>
      <c r="B1821" s="495"/>
      <c r="C1821" s="495"/>
      <c r="D1821" s="496"/>
      <c r="E1821" s="497"/>
    </row>
    <row r="1822" spans="1:5">
      <c r="A1822" s="495"/>
      <c r="B1822" s="495"/>
      <c r="C1822" s="495"/>
      <c r="D1822" s="496"/>
      <c r="E1822" s="497"/>
    </row>
    <row r="1823" spans="1:5">
      <c r="A1823" s="495"/>
      <c r="B1823" s="495"/>
      <c r="C1823" s="495"/>
      <c r="D1823" s="496"/>
      <c r="E1823" s="497"/>
    </row>
    <row r="1824" spans="1:5">
      <c r="A1824" s="495"/>
      <c r="B1824" s="495"/>
      <c r="C1824" s="495"/>
      <c r="D1824" s="496"/>
      <c r="E1824" s="497"/>
    </row>
    <row r="1825" spans="1:5">
      <c r="A1825" s="498"/>
      <c r="B1825" s="498"/>
      <c r="C1825" s="498"/>
      <c r="D1825" s="499"/>
      <c r="E1825" s="500"/>
    </row>
    <row r="1826" spans="1:5">
      <c r="A1826" s="498"/>
      <c r="B1826" s="498"/>
      <c r="C1826" s="498"/>
      <c r="D1826" s="499"/>
      <c r="E1826" s="500"/>
    </row>
    <row r="1827" spans="1:5">
      <c r="A1827" s="495"/>
      <c r="B1827" s="495"/>
      <c r="C1827" s="495"/>
      <c r="D1827" s="496"/>
      <c r="E1827" s="497"/>
    </row>
    <row r="1828" spans="1:5">
      <c r="A1828" s="495"/>
      <c r="B1828" s="495"/>
      <c r="C1828" s="495"/>
      <c r="D1828" s="496"/>
      <c r="E1828" s="497"/>
    </row>
    <row r="1829" spans="1:5">
      <c r="A1829" s="495"/>
      <c r="B1829" s="495"/>
      <c r="C1829" s="495"/>
      <c r="D1829" s="496"/>
      <c r="E1829" s="497"/>
    </row>
    <row r="1830" spans="1:5">
      <c r="A1830" s="495"/>
      <c r="B1830" s="495"/>
      <c r="C1830" s="495"/>
      <c r="D1830" s="496"/>
      <c r="E1830" s="497"/>
    </row>
    <row r="1831" spans="1:5">
      <c r="A1831" s="495"/>
      <c r="B1831" s="495"/>
      <c r="C1831" s="495"/>
      <c r="D1831" s="496"/>
      <c r="E1831" s="497"/>
    </row>
    <row r="1832" spans="1:5">
      <c r="A1832" s="495"/>
      <c r="B1832" s="495"/>
      <c r="C1832" s="495"/>
      <c r="D1832" s="496"/>
      <c r="E1832" s="497"/>
    </row>
    <row r="1833" spans="1:5">
      <c r="A1833" s="495"/>
      <c r="B1833" s="495"/>
      <c r="C1833" s="495"/>
      <c r="D1833" s="496"/>
      <c r="E1833" s="497"/>
    </row>
    <row r="1834" spans="1:5">
      <c r="A1834" s="495"/>
      <c r="B1834" s="495"/>
      <c r="C1834" s="495"/>
      <c r="D1834" s="496"/>
      <c r="E1834" s="497"/>
    </row>
    <row r="1835" spans="1:5">
      <c r="A1835" s="495"/>
      <c r="B1835" s="495"/>
      <c r="C1835" s="495"/>
      <c r="D1835" s="496"/>
      <c r="E1835" s="497"/>
    </row>
    <row r="1836" spans="1:5">
      <c r="A1836" s="495"/>
      <c r="B1836" s="495"/>
      <c r="C1836" s="495"/>
      <c r="D1836" s="496"/>
      <c r="E1836" s="497"/>
    </row>
    <row r="1837" spans="1:5">
      <c r="A1837" s="495"/>
      <c r="B1837" s="495"/>
      <c r="C1837" s="495"/>
      <c r="D1837" s="496"/>
      <c r="E1837" s="497"/>
    </row>
    <row r="1838" spans="1:5">
      <c r="A1838" s="495"/>
      <c r="B1838" s="495"/>
      <c r="C1838" s="495"/>
      <c r="D1838" s="496"/>
      <c r="E1838" s="497"/>
    </row>
    <row r="1839" spans="1:5">
      <c r="A1839" s="495"/>
      <c r="B1839" s="495"/>
      <c r="C1839" s="495"/>
      <c r="D1839" s="496"/>
      <c r="E1839" s="497"/>
    </row>
    <row r="1840" spans="1:5">
      <c r="A1840" s="495"/>
      <c r="B1840" s="495"/>
      <c r="C1840" s="495"/>
      <c r="D1840" s="496"/>
      <c r="E1840" s="497"/>
    </row>
    <row r="1841" spans="1:5">
      <c r="A1841" s="495"/>
      <c r="B1841" s="495"/>
      <c r="C1841" s="495"/>
      <c r="D1841" s="496"/>
      <c r="E1841" s="497"/>
    </row>
    <row r="1842" spans="1:5">
      <c r="A1842" s="495"/>
      <c r="B1842" s="495"/>
      <c r="C1842" s="495"/>
      <c r="D1842" s="496"/>
      <c r="E1842" s="497"/>
    </row>
    <row r="1843" spans="1:5">
      <c r="A1843" s="495"/>
      <c r="B1843" s="495"/>
      <c r="C1843" s="495"/>
      <c r="D1843" s="496"/>
      <c r="E1843" s="497"/>
    </row>
    <row r="1844" spans="1:5">
      <c r="A1844" s="495"/>
      <c r="B1844" s="495"/>
      <c r="C1844" s="495"/>
      <c r="D1844" s="496"/>
      <c r="E1844" s="497"/>
    </row>
    <row r="1845" spans="1:5">
      <c r="A1845" s="495"/>
      <c r="B1845" s="495"/>
      <c r="C1845" s="495"/>
      <c r="D1845" s="496"/>
      <c r="E1845" s="497"/>
    </row>
    <row r="1846" spans="1:5">
      <c r="A1846" s="495"/>
      <c r="B1846" s="495"/>
      <c r="C1846" s="495"/>
      <c r="D1846" s="496"/>
      <c r="E1846" s="497"/>
    </row>
    <row r="1847" spans="1:5">
      <c r="A1847" s="495"/>
      <c r="B1847" s="495"/>
      <c r="C1847" s="495"/>
      <c r="D1847" s="496"/>
      <c r="E1847" s="497"/>
    </row>
    <row r="1848" spans="1:5">
      <c r="A1848" s="495"/>
      <c r="B1848" s="495"/>
      <c r="C1848" s="495"/>
      <c r="D1848" s="496"/>
      <c r="E1848" s="497"/>
    </row>
    <row r="1849" spans="1:5">
      <c r="A1849" s="495"/>
      <c r="B1849" s="495"/>
      <c r="C1849" s="495"/>
      <c r="D1849" s="496"/>
      <c r="E1849" s="497"/>
    </row>
    <row r="1850" spans="1:5">
      <c r="A1850" s="495"/>
      <c r="B1850" s="495"/>
      <c r="C1850" s="495"/>
      <c r="D1850" s="496"/>
      <c r="E1850" s="497"/>
    </row>
    <row r="1851" spans="1:5">
      <c r="A1851" s="495"/>
      <c r="B1851" s="495"/>
      <c r="C1851" s="495"/>
      <c r="D1851" s="496"/>
      <c r="E1851" s="497"/>
    </row>
    <row r="1852" spans="1:5">
      <c r="A1852" s="495"/>
      <c r="B1852" s="495"/>
      <c r="C1852" s="495"/>
      <c r="D1852" s="496"/>
      <c r="E1852" s="497"/>
    </row>
    <row r="1853" spans="1:5">
      <c r="A1853" s="495"/>
      <c r="B1853" s="495"/>
      <c r="C1853" s="495"/>
      <c r="D1853" s="496"/>
      <c r="E1853" s="497"/>
    </row>
    <row r="1854" spans="1:5">
      <c r="A1854" s="495"/>
      <c r="B1854" s="495"/>
      <c r="C1854" s="495"/>
      <c r="D1854" s="496"/>
      <c r="E1854" s="497"/>
    </row>
    <row r="1855" spans="1:5">
      <c r="A1855" s="495"/>
      <c r="B1855" s="495"/>
      <c r="C1855" s="495"/>
      <c r="D1855" s="496"/>
      <c r="E1855" s="497"/>
    </row>
    <row r="1856" spans="1:5">
      <c r="A1856" s="495"/>
      <c r="B1856" s="495"/>
      <c r="C1856" s="495"/>
      <c r="D1856" s="496"/>
      <c r="E1856" s="497"/>
    </row>
    <row r="1857" spans="1:5">
      <c r="A1857" s="495"/>
      <c r="B1857" s="495"/>
      <c r="C1857" s="495"/>
      <c r="D1857" s="496"/>
      <c r="E1857" s="497"/>
    </row>
    <row r="1858" spans="1:5">
      <c r="A1858" s="495"/>
      <c r="B1858" s="495"/>
      <c r="C1858" s="495"/>
      <c r="D1858" s="496"/>
      <c r="E1858" s="497"/>
    </row>
    <row r="1859" spans="1:5">
      <c r="A1859" s="495"/>
      <c r="B1859" s="495"/>
      <c r="C1859" s="495"/>
      <c r="D1859" s="496"/>
      <c r="E1859" s="497"/>
    </row>
    <row r="1860" spans="1:5">
      <c r="A1860" s="495"/>
      <c r="B1860" s="495"/>
      <c r="C1860" s="495"/>
      <c r="D1860" s="496"/>
      <c r="E1860" s="497"/>
    </row>
    <row r="1861" spans="1:5">
      <c r="A1861" s="495"/>
      <c r="B1861" s="495"/>
      <c r="C1861" s="495"/>
      <c r="D1861" s="496"/>
      <c r="E1861" s="497"/>
    </row>
    <row r="1862" spans="1:5">
      <c r="A1862" s="498"/>
      <c r="B1862" s="498"/>
      <c r="C1862" s="498"/>
      <c r="D1862" s="499"/>
      <c r="E1862" s="500"/>
    </row>
    <row r="1863" spans="1:5">
      <c r="A1863" s="498"/>
      <c r="B1863" s="498"/>
      <c r="C1863" s="498"/>
      <c r="D1863" s="499"/>
      <c r="E1863" s="500"/>
    </row>
    <row r="1864" spans="1:5">
      <c r="A1864" s="498"/>
      <c r="B1864" s="498"/>
      <c r="C1864" s="498"/>
      <c r="D1864" s="499"/>
      <c r="E1864" s="500"/>
    </row>
    <row r="1865" spans="1:5">
      <c r="A1865" s="495"/>
      <c r="B1865" s="495"/>
      <c r="C1865" s="495"/>
      <c r="D1865" s="496"/>
      <c r="E1865" s="497"/>
    </row>
    <row r="1866" spans="1:5">
      <c r="A1866" s="495"/>
      <c r="B1866" s="495"/>
      <c r="C1866" s="495"/>
      <c r="D1866" s="496"/>
      <c r="E1866" s="497"/>
    </row>
    <row r="1867" spans="1:5">
      <c r="A1867" s="495"/>
      <c r="B1867" s="495"/>
      <c r="C1867" s="495"/>
      <c r="D1867" s="496"/>
      <c r="E1867" s="497"/>
    </row>
    <row r="1868" spans="1:5">
      <c r="A1868" s="495"/>
      <c r="B1868" s="495"/>
      <c r="C1868" s="495"/>
      <c r="D1868" s="496"/>
      <c r="E1868" s="497"/>
    </row>
    <row r="1869" spans="1:5">
      <c r="A1869" s="498"/>
      <c r="B1869" s="498"/>
      <c r="C1869" s="498"/>
      <c r="D1869" s="499"/>
      <c r="E1869" s="500"/>
    </row>
    <row r="1870" spans="1:5">
      <c r="A1870" s="498"/>
      <c r="B1870" s="498"/>
      <c r="C1870" s="498"/>
      <c r="D1870" s="499"/>
      <c r="E1870" s="500"/>
    </row>
    <row r="1871" spans="1:5">
      <c r="A1871" s="498"/>
      <c r="B1871" s="498"/>
      <c r="C1871" s="498"/>
      <c r="D1871" s="499"/>
      <c r="E1871" s="500"/>
    </row>
    <row r="1872" spans="1:5">
      <c r="A1872" s="498"/>
      <c r="B1872" s="498"/>
      <c r="C1872" s="498"/>
      <c r="D1872" s="499"/>
      <c r="E1872" s="500"/>
    </row>
    <row r="1873" spans="1:5">
      <c r="A1873" s="498"/>
      <c r="B1873" s="498"/>
      <c r="C1873" s="498"/>
      <c r="D1873" s="499"/>
      <c r="E1873" s="500"/>
    </row>
    <row r="1874" spans="1:5">
      <c r="A1874" s="495"/>
      <c r="B1874" s="495"/>
      <c r="C1874" s="495"/>
      <c r="D1874" s="496"/>
      <c r="E1874" s="497"/>
    </row>
    <row r="1875" spans="1:5">
      <c r="A1875" s="495"/>
      <c r="B1875" s="495"/>
      <c r="C1875" s="495"/>
      <c r="D1875" s="496"/>
      <c r="E1875" s="497"/>
    </row>
    <row r="1876" spans="1:5">
      <c r="A1876" s="495"/>
      <c r="B1876" s="495"/>
      <c r="C1876" s="495"/>
      <c r="D1876" s="496"/>
      <c r="E1876" s="497"/>
    </row>
    <row r="1877" spans="1:5">
      <c r="A1877" s="498"/>
      <c r="B1877" s="498"/>
      <c r="C1877" s="498"/>
      <c r="D1877" s="499"/>
      <c r="E1877" s="500"/>
    </row>
    <row r="1878" spans="1:5">
      <c r="A1878" s="495"/>
      <c r="B1878" s="495"/>
      <c r="C1878" s="495"/>
      <c r="D1878" s="496"/>
      <c r="E1878" s="497"/>
    </row>
    <row r="1879" spans="1:5">
      <c r="A1879" s="495"/>
      <c r="B1879" s="495"/>
      <c r="C1879" s="495"/>
      <c r="D1879" s="496"/>
      <c r="E1879" s="497"/>
    </row>
    <row r="1880" spans="1:5">
      <c r="A1880" s="498"/>
      <c r="B1880" s="498"/>
      <c r="C1880" s="498"/>
      <c r="D1880" s="499"/>
      <c r="E1880" s="500"/>
    </row>
    <row r="1881" spans="1:5">
      <c r="A1881" s="495"/>
      <c r="B1881" s="495"/>
      <c r="C1881" s="495"/>
      <c r="D1881" s="496"/>
      <c r="E1881" s="497"/>
    </row>
    <row r="1882" spans="1:5">
      <c r="A1882" s="495"/>
      <c r="B1882" s="495"/>
      <c r="C1882" s="495"/>
      <c r="D1882" s="496"/>
      <c r="E1882" s="497"/>
    </row>
    <row r="1883" spans="1:5">
      <c r="A1883" s="498"/>
      <c r="B1883" s="498"/>
      <c r="C1883" s="498"/>
      <c r="D1883" s="499"/>
      <c r="E1883" s="500"/>
    </row>
    <row r="1884" spans="1:5">
      <c r="A1884" s="498"/>
      <c r="B1884" s="498"/>
      <c r="C1884" s="498"/>
      <c r="D1884" s="499"/>
      <c r="E1884" s="500"/>
    </row>
    <row r="1885" spans="1:5">
      <c r="A1885" s="495"/>
      <c r="B1885" s="495"/>
      <c r="C1885" s="495"/>
      <c r="D1885" s="496"/>
      <c r="E1885" s="497"/>
    </row>
    <row r="1886" spans="1:5">
      <c r="A1886" s="495"/>
      <c r="B1886" s="495"/>
      <c r="C1886" s="495"/>
      <c r="D1886" s="496"/>
      <c r="E1886" s="497"/>
    </row>
    <row r="1887" spans="1:5">
      <c r="A1887" s="495"/>
      <c r="B1887" s="495"/>
      <c r="C1887" s="495"/>
      <c r="D1887" s="496"/>
      <c r="E1887" s="497"/>
    </row>
    <row r="1888" spans="1:5">
      <c r="A1888" s="495"/>
      <c r="B1888" s="495"/>
      <c r="C1888" s="495"/>
      <c r="D1888" s="496"/>
      <c r="E1888" s="497"/>
    </row>
    <row r="1889" spans="1:5">
      <c r="A1889" s="495"/>
      <c r="B1889" s="495"/>
      <c r="C1889" s="495"/>
      <c r="D1889" s="496"/>
      <c r="E1889" s="497"/>
    </row>
    <row r="1890" spans="1:5">
      <c r="A1890" s="495"/>
      <c r="B1890" s="495"/>
      <c r="C1890" s="495"/>
      <c r="D1890" s="496"/>
      <c r="E1890" s="497"/>
    </row>
    <row r="1891" spans="1:5">
      <c r="A1891" s="495"/>
      <c r="B1891" s="495"/>
      <c r="C1891" s="495"/>
      <c r="D1891" s="496"/>
      <c r="E1891" s="497"/>
    </row>
    <row r="1892" spans="1:5">
      <c r="A1892" s="495"/>
      <c r="B1892" s="495"/>
      <c r="C1892" s="495"/>
      <c r="D1892" s="496"/>
      <c r="E1892" s="497"/>
    </row>
    <row r="1893" spans="1:5">
      <c r="A1893" s="495"/>
      <c r="B1893" s="495"/>
      <c r="C1893" s="495"/>
      <c r="D1893" s="496"/>
      <c r="E1893" s="497"/>
    </row>
    <row r="1894" spans="1:5">
      <c r="A1894" s="495"/>
      <c r="B1894" s="495"/>
      <c r="C1894" s="495"/>
      <c r="D1894" s="496"/>
      <c r="E1894" s="497"/>
    </row>
    <row r="1895" spans="1:5">
      <c r="A1895" s="495"/>
      <c r="B1895" s="495"/>
      <c r="C1895" s="495"/>
      <c r="D1895" s="496"/>
      <c r="E1895" s="497"/>
    </row>
    <row r="1896" spans="1:5">
      <c r="A1896" s="495"/>
      <c r="B1896" s="495"/>
      <c r="C1896" s="495"/>
      <c r="D1896" s="496"/>
      <c r="E1896" s="497"/>
    </row>
    <row r="1897" spans="1:5">
      <c r="A1897" s="495"/>
      <c r="B1897" s="495"/>
      <c r="C1897" s="495"/>
      <c r="D1897" s="496"/>
      <c r="E1897" s="497"/>
    </row>
    <row r="1898" spans="1:5">
      <c r="A1898" s="495"/>
      <c r="B1898" s="495"/>
      <c r="C1898" s="495"/>
      <c r="D1898" s="496"/>
      <c r="E1898" s="497"/>
    </row>
    <row r="1899" spans="1:5">
      <c r="A1899" s="495"/>
      <c r="B1899" s="495"/>
      <c r="C1899" s="495"/>
      <c r="D1899" s="496"/>
      <c r="E1899" s="497"/>
    </row>
    <row r="1900" spans="1:5">
      <c r="A1900" s="495"/>
      <c r="B1900" s="495"/>
      <c r="C1900" s="495"/>
      <c r="D1900" s="496"/>
      <c r="E1900" s="497"/>
    </row>
    <row r="1901" spans="1:5">
      <c r="A1901" s="495"/>
      <c r="B1901" s="495"/>
      <c r="C1901" s="495"/>
      <c r="D1901" s="496"/>
      <c r="E1901" s="497"/>
    </row>
    <row r="1902" spans="1:5">
      <c r="A1902" s="495"/>
      <c r="B1902" s="495"/>
      <c r="C1902" s="495"/>
      <c r="D1902" s="496"/>
      <c r="E1902" s="497"/>
    </row>
    <row r="1903" spans="1:5">
      <c r="A1903" s="495"/>
      <c r="B1903" s="495"/>
      <c r="C1903" s="495"/>
      <c r="D1903" s="496"/>
      <c r="E1903" s="497"/>
    </row>
    <row r="1904" spans="1:5">
      <c r="A1904" s="498"/>
      <c r="B1904" s="498"/>
      <c r="C1904" s="498"/>
      <c r="D1904" s="499"/>
      <c r="E1904" s="500"/>
    </row>
    <row r="1905" spans="1:5">
      <c r="A1905" s="498"/>
      <c r="B1905" s="498"/>
      <c r="C1905" s="498"/>
      <c r="D1905" s="499"/>
      <c r="E1905" s="500"/>
    </row>
    <row r="1906" spans="1:5">
      <c r="A1906" s="495"/>
      <c r="B1906" s="495"/>
      <c r="C1906" s="495"/>
      <c r="D1906" s="496"/>
      <c r="E1906" s="497"/>
    </row>
    <row r="1907" spans="1:5">
      <c r="A1907" s="498"/>
      <c r="B1907" s="498"/>
      <c r="C1907" s="498"/>
      <c r="D1907" s="499"/>
      <c r="E1907" s="500"/>
    </row>
    <row r="1908" spans="1:5">
      <c r="A1908" s="498"/>
      <c r="B1908" s="498"/>
      <c r="C1908" s="498"/>
      <c r="D1908" s="499"/>
      <c r="E1908" s="500"/>
    </row>
    <row r="1909" spans="1:5">
      <c r="A1909" s="495"/>
      <c r="B1909" s="495"/>
      <c r="C1909" s="495"/>
      <c r="D1909" s="496"/>
      <c r="E1909" s="497"/>
    </row>
    <row r="1910" spans="1:5">
      <c r="A1910" s="498"/>
      <c r="B1910" s="498"/>
      <c r="C1910" s="498"/>
      <c r="D1910" s="499"/>
      <c r="E1910" s="500"/>
    </row>
    <row r="1911" spans="1:5">
      <c r="A1911" s="498"/>
      <c r="B1911" s="498"/>
      <c r="C1911" s="498"/>
      <c r="D1911" s="499"/>
      <c r="E1911" s="500"/>
    </row>
    <row r="1912" spans="1:5">
      <c r="A1912" s="495"/>
      <c r="B1912" s="495"/>
      <c r="C1912" s="495"/>
      <c r="D1912" s="496"/>
      <c r="E1912" s="497"/>
    </row>
    <row r="1913" spans="1:5">
      <c r="A1913" s="498"/>
      <c r="B1913" s="498"/>
      <c r="C1913" s="498"/>
      <c r="D1913" s="499"/>
      <c r="E1913" s="500"/>
    </row>
    <row r="1914" spans="1:5">
      <c r="A1914" s="498"/>
      <c r="B1914" s="498"/>
      <c r="C1914" s="498"/>
      <c r="D1914" s="499"/>
      <c r="E1914" s="500"/>
    </row>
    <row r="1915" spans="1:5">
      <c r="A1915" s="495"/>
      <c r="B1915" s="495"/>
      <c r="C1915" s="495"/>
      <c r="D1915" s="496"/>
      <c r="E1915" s="497"/>
    </row>
    <row r="1916" spans="1:5">
      <c r="A1916" s="498"/>
      <c r="B1916" s="498"/>
      <c r="C1916" s="498"/>
      <c r="D1916" s="499"/>
      <c r="E1916" s="500"/>
    </row>
    <row r="1917" spans="1:5">
      <c r="A1917" s="498"/>
      <c r="B1917" s="498"/>
      <c r="C1917" s="498"/>
      <c r="D1917" s="499"/>
      <c r="E1917" s="500"/>
    </row>
    <row r="1918" spans="1:5">
      <c r="A1918" s="498"/>
      <c r="B1918" s="498"/>
      <c r="C1918" s="498"/>
      <c r="D1918" s="499"/>
      <c r="E1918" s="500"/>
    </row>
    <row r="1919" spans="1:5">
      <c r="A1919" s="498"/>
      <c r="B1919" s="498"/>
      <c r="C1919" s="498"/>
      <c r="D1919" s="499"/>
      <c r="E1919" s="500"/>
    </row>
    <row r="1920" spans="1:5">
      <c r="A1920" s="498"/>
      <c r="B1920" s="498"/>
      <c r="C1920" s="498"/>
      <c r="D1920" s="499"/>
      <c r="E1920" s="500"/>
    </row>
    <row r="1921" spans="1:5">
      <c r="A1921" s="495"/>
      <c r="B1921" s="495"/>
      <c r="C1921" s="495"/>
      <c r="D1921" s="496"/>
      <c r="E1921" s="497"/>
    </row>
    <row r="1922" spans="1:5">
      <c r="A1922" s="498"/>
      <c r="B1922" s="498"/>
      <c r="C1922" s="498"/>
      <c r="D1922" s="499"/>
      <c r="E1922" s="500"/>
    </row>
    <row r="1923" spans="1:5">
      <c r="A1923" s="498"/>
      <c r="B1923" s="498"/>
      <c r="C1923" s="498"/>
      <c r="D1923" s="499"/>
      <c r="E1923" s="500"/>
    </row>
    <row r="1924" spans="1:5">
      <c r="A1924" s="495"/>
      <c r="B1924" s="495"/>
      <c r="C1924" s="495"/>
      <c r="D1924" s="496"/>
      <c r="E1924" s="497"/>
    </row>
    <row r="1925" spans="1:5">
      <c r="A1925" s="495"/>
      <c r="B1925" s="495"/>
      <c r="C1925" s="495"/>
      <c r="D1925" s="496"/>
      <c r="E1925" s="497"/>
    </row>
    <row r="1926" spans="1:5">
      <c r="A1926" s="495"/>
      <c r="B1926" s="495"/>
      <c r="C1926" s="495"/>
      <c r="D1926" s="496"/>
      <c r="E1926" s="497"/>
    </row>
    <row r="1927" spans="1:5">
      <c r="A1927" s="495"/>
      <c r="B1927" s="495"/>
      <c r="C1927" s="495"/>
      <c r="D1927" s="496"/>
      <c r="E1927" s="497"/>
    </row>
    <row r="1928" spans="1:5">
      <c r="A1928" s="495"/>
      <c r="B1928" s="495"/>
      <c r="C1928" s="495"/>
      <c r="D1928" s="496"/>
      <c r="E1928" s="497"/>
    </row>
    <row r="1929" spans="1:5">
      <c r="A1929" s="495"/>
      <c r="B1929" s="495"/>
      <c r="C1929" s="495"/>
      <c r="D1929" s="496"/>
      <c r="E1929" s="497"/>
    </row>
    <row r="1930" spans="1:5">
      <c r="A1930" s="495"/>
      <c r="B1930" s="495"/>
      <c r="C1930" s="495"/>
      <c r="D1930" s="496"/>
      <c r="E1930" s="497"/>
    </row>
    <row r="1931" spans="1:5">
      <c r="A1931" s="495"/>
      <c r="B1931" s="495"/>
      <c r="C1931" s="495"/>
      <c r="D1931" s="496"/>
      <c r="E1931" s="497"/>
    </row>
    <row r="1932" spans="1:5">
      <c r="A1932" s="495"/>
      <c r="B1932" s="495"/>
      <c r="C1932" s="495"/>
      <c r="D1932" s="496"/>
      <c r="E1932" s="497"/>
    </row>
    <row r="1933" spans="1:5">
      <c r="A1933" s="495"/>
      <c r="B1933" s="495"/>
      <c r="C1933" s="495"/>
      <c r="D1933" s="496"/>
      <c r="E1933" s="497"/>
    </row>
    <row r="1934" spans="1:5">
      <c r="A1934" s="495"/>
      <c r="B1934" s="495"/>
      <c r="C1934" s="495"/>
      <c r="D1934" s="496"/>
      <c r="E1934" s="497"/>
    </row>
    <row r="1935" spans="1:5">
      <c r="A1935" s="495"/>
      <c r="B1935" s="495"/>
      <c r="C1935" s="495"/>
      <c r="D1935" s="496"/>
      <c r="E1935" s="497"/>
    </row>
    <row r="1936" spans="1:5">
      <c r="A1936" s="495"/>
      <c r="B1936" s="495"/>
      <c r="C1936" s="495"/>
      <c r="D1936" s="496"/>
      <c r="E1936" s="497"/>
    </row>
    <row r="1937" spans="1:5">
      <c r="A1937" s="495"/>
      <c r="B1937" s="495"/>
      <c r="C1937" s="495"/>
      <c r="D1937" s="496"/>
      <c r="E1937" s="497"/>
    </row>
    <row r="1938" spans="1:5">
      <c r="A1938" s="495"/>
      <c r="B1938" s="495"/>
      <c r="C1938" s="495"/>
      <c r="D1938" s="496"/>
      <c r="E1938" s="497"/>
    </row>
    <row r="1939" spans="1:5">
      <c r="A1939" s="498"/>
      <c r="B1939" s="498"/>
      <c r="C1939" s="498"/>
      <c r="D1939" s="499"/>
      <c r="E1939" s="500"/>
    </row>
    <row r="1940" spans="1:5">
      <c r="A1940" s="498"/>
      <c r="B1940" s="498"/>
      <c r="C1940" s="498"/>
      <c r="D1940" s="499"/>
      <c r="E1940" s="500"/>
    </row>
    <row r="1941" spans="1:5">
      <c r="A1941" s="498"/>
      <c r="B1941" s="498"/>
      <c r="C1941" s="498"/>
      <c r="D1941" s="499"/>
      <c r="E1941" s="500"/>
    </row>
    <row r="1942" spans="1:5">
      <c r="A1942" s="498"/>
      <c r="B1942" s="498"/>
      <c r="C1942" s="498"/>
      <c r="D1942" s="499"/>
      <c r="E1942" s="500"/>
    </row>
    <row r="1943" spans="1:5">
      <c r="A1943" s="498"/>
      <c r="B1943" s="498"/>
      <c r="C1943" s="498"/>
      <c r="D1943" s="499"/>
      <c r="E1943" s="500"/>
    </row>
    <row r="1944" spans="1:5">
      <c r="A1944" s="498"/>
      <c r="B1944" s="498"/>
      <c r="C1944" s="498"/>
      <c r="D1944" s="499"/>
      <c r="E1944" s="500"/>
    </row>
    <row r="1945" spans="1:5">
      <c r="A1945" s="495"/>
      <c r="B1945" s="495"/>
      <c r="C1945" s="495"/>
      <c r="D1945" s="496"/>
      <c r="E1945" s="497"/>
    </row>
    <row r="1946" spans="1:5">
      <c r="A1946" s="498"/>
      <c r="B1946" s="498"/>
      <c r="C1946" s="498"/>
      <c r="D1946" s="499"/>
      <c r="E1946" s="500"/>
    </row>
    <row r="1947" spans="1:5">
      <c r="A1947" s="498"/>
      <c r="B1947" s="498"/>
      <c r="C1947" s="498"/>
      <c r="D1947" s="499"/>
      <c r="E1947" s="500"/>
    </row>
    <row r="1948" spans="1:5">
      <c r="A1948" s="495"/>
      <c r="B1948" s="495"/>
      <c r="C1948" s="495"/>
      <c r="D1948" s="496"/>
      <c r="E1948" s="497"/>
    </row>
    <row r="1949" spans="1:5">
      <c r="A1949" s="495"/>
      <c r="B1949" s="495"/>
      <c r="C1949" s="495"/>
      <c r="D1949" s="496"/>
      <c r="E1949" s="497"/>
    </row>
    <row r="1950" spans="1:5">
      <c r="A1950" s="495"/>
      <c r="B1950" s="495"/>
      <c r="C1950" s="495"/>
      <c r="D1950" s="496"/>
      <c r="E1950" s="497"/>
    </row>
    <row r="1951" spans="1:5">
      <c r="A1951" s="498"/>
      <c r="B1951" s="498"/>
      <c r="C1951" s="498"/>
      <c r="D1951" s="499"/>
      <c r="E1951" s="500"/>
    </row>
    <row r="1952" spans="1:5">
      <c r="A1952" s="498"/>
      <c r="B1952" s="498"/>
      <c r="C1952" s="498"/>
      <c r="D1952" s="499"/>
      <c r="E1952" s="500"/>
    </row>
    <row r="1953" spans="1:5">
      <c r="A1953" s="495"/>
      <c r="B1953" s="495"/>
      <c r="C1953" s="495"/>
      <c r="D1953" s="496"/>
      <c r="E1953" s="497"/>
    </row>
    <row r="1954" spans="1:5">
      <c r="A1954" s="495"/>
      <c r="B1954" s="495"/>
      <c r="C1954" s="495"/>
      <c r="D1954" s="496"/>
      <c r="E1954" s="497"/>
    </row>
    <row r="1955" spans="1:5">
      <c r="A1955" s="495"/>
      <c r="B1955" s="495"/>
      <c r="C1955" s="495"/>
      <c r="D1955" s="496"/>
      <c r="E1955" s="497"/>
    </row>
    <row r="1956" spans="1:5">
      <c r="A1956" s="495"/>
      <c r="B1956" s="495"/>
      <c r="C1956" s="495"/>
      <c r="D1956" s="496"/>
      <c r="E1956" s="497"/>
    </row>
    <row r="1957" spans="1:5">
      <c r="A1957" s="495"/>
      <c r="B1957" s="495"/>
      <c r="C1957" s="495"/>
      <c r="D1957" s="496"/>
      <c r="E1957" s="497"/>
    </row>
    <row r="1958" spans="1:5">
      <c r="A1958" s="495"/>
      <c r="B1958" s="495"/>
      <c r="C1958" s="495"/>
      <c r="D1958" s="496"/>
      <c r="E1958" s="497"/>
    </row>
    <row r="1959" spans="1:5">
      <c r="A1959" s="495"/>
      <c r="B1959" s="495"/>
      <c r="C1959" s="495"/>
      <c r="D1959" s="496"/>
      <c r="E1959" s="497"/>
    </row>
    <row r="1960" spans="1:5">
      <c r="A1960" s="495"/>
      <c r="B1960" s="495"/>
      <c r="C1960" s="495"/>
      <c r="D1960" s="496"/>
      <c r="E1960" s="497"/>
    </row>
    <row r="1961" spans="1:5">
      <c r="A1961" s="495"/>
      <c r="B1961" s="495"/>
      <c r="C1961" s="495"/>
      <c r="D1961" s="496"/>
      <c r="E1961" s="497"/>
    </row>
    <row r="1962" spans="1:5">
      <c r="A1962" s="495"/>
      <c r="B1962" s="495"/>
      <c r="C1962" s="495"/>
      <c r="D1962" s="496"/>
      <c r="E1962" s="497"/>
    </row>
    <row r="1963" spans="1:5">
      <c r="A1963" s="495"/>
      <c r="B1963" s="495"/>
      <c r="C1963" s="495"/>
      <c r="D1963" s="496"/>
      <c r="E1963" s="497"/>
    </row>
    <row r="1964" spans="1:5">
      <c r="A1964" s="495"/>
      <c r="B1964" s="495"/>
      <c r="C1964" s="495"/>
      <c r="D1964" s="496"/>
      <c r="E1964" s="497"/>
    </row>
    <row r="1965" spans="1:5">
      <c r="A1965" s="495"/>
      <c r="B1965" s="495"/>
      <c r="C1965" s="495"/>
      <c r="D1965" s="496"/>
      <c r="E1965" s="497"/>
    </row>
    <row r="1966" spans="1:5">
      <c r="A1966" s="495"/>
      <c r="B1966" s="495"/>
      <c r="C1966" s="495"/>
      <c r="D1966" s="496"/>
      <c r="E1966" s="497"/>
    </row>
    <row r="1967" spans="1:5">
      <c r="A1967" s="495"/>
      <c r="B1967" s="495"/>
      <c r="C1967" s="495"/>
      <c r="D1967" s="496"/>
      <c r="E1967" s="497"/>
    </row>
    <row r="1968" spans="1:5">
      <c r="A1968" s="498"/>
      <c r="B1968" s="498"/>
      <c r="C1968" s="498"/>
      <c r="D1968" s="499"/>
      <c r="E1968" s="500"/>
    </row>
    <row r="1969" spans="1:5">
      <c r="A1969" s="498"/>
      <c r="B1969" s="498"/>
      <c r="C1969" s="498"/>
      <c r="D1969" s="499"/>
      <c r="E1969" s="500"/>
    </row>
    <row r="1970" spans="1:5">
      <c r="A1970" s="498"/>
      <c r="B1970" s="498"/>
      <c r="C1970" s="498"/>
      <c r="D1970" s="499"/>
      <c r="E1970" s="500"/>
    </row>
    <row r="1971" spans="1:5">
      <c r="A1971" s="495"/>
      <c r="B1971" s="495"/>
      <c r="C1971" s="495"/>
      <c r="D1971" s="496"/>
      <c r="E1971" s="497"/>
    </row>
    <row r="1972" spans="1:5">
      <c r="A1972" s="495"/>
      <c r="B1972" s="495"/>
      <c r="C1972" s="495"/>
      <c r="D1972" s="496"/>
      <c r="E1972" s="497"/>
    </row>
    <row r="1973" spans="1:5">
      <c r="A1973" s="495"/>
      <c r="B1973" s="495"/>
      <c r="C1973" s="495"/>
      <c r="D1973" s="496"/>
      <c r="E1973" s="497"/>
    </row>
    <row r="1974" spans="1:5">
      <c r="A1974" s="498"/>
      <c r="B1974" s="498"/>
      <c r="C1974" s="498"/>
      <c r="D1974" s="499"/>
      <c r="E1974" s="500"/>
    </row>
    <row r="1975" spans="1:5">
      <c r="A1975" s="498"/>
      <c r="B1975" s="498"/>
      <c r="C1975" s="498"/>
      <c r="D1975" s="499"/>
      <c r="E1975" s="500"/>
    </row>
    <row r="1976" spans="1:5">
      <c r="A1976" s="495"/>
      <c r="B1976" s="495"/>
      <c r="C1976" s="495"/>
      <c r="D1976" s="496"/>
      <c r="E1976" s="497"/>
    </row>
    <row r="1977" spans="1:5">
      <c r="A1977" s="495"/>
      <c r="B1977" s="495"/>
      <c r="C1977" s="495"/>
      <c r="D1977" s="496"/>
      <c r="E1977" s="497"/>
    </row>
    <row r="1978" spans="1:5">
      <c r="A1978" s="495"/>
      <c r="B1978" s="495"/>
      <c r="C1978" s="495"/>
      <c r="D1978" s="496"/>
      <c r="E1978" s="497"/>
    </row>
    <row r="1979" spans="1:5">
      <c r="A1979" s="495"/>
      <c r="B1979" s="495"/>
      <c r="C1979" s="495"/>
      <c r="D1979" s="496"/>
      <c r="E1979" s="497"/>
    </row>
    <row r="1980" spans="1:5">
      <c r="A1980" s="495"/>
      <c r="B1980" s="495"/>
      <c r="C1980" s="495"/>
      <c r="D1980" s="496"/>
      <c r="E1980" s="497"/>
    </row>
    <row r="1981" spans="1:5">
      <c r="A1981" s="495"/>
      <c r="B1981" s="495"/>
      <c r="C1981" s="495"/>
      <c r="D1981" s="496"/>
      <c r="E1981" s="497"/>
    </row>
    <row r="1982" spans="1:5">
      <c r="A1982" s="495"/>
      <c r="B1982" s="495"/>
      <c r="C1982" s="495"/>
      <c r="D1982" s="496"/>
      <c r="E1982" s="497"/>
    </row>
    <row r="1983" spans="1:5">
      <c r="A1983" s="498"/>
      <c r="B1983" s="498"/>
      <c r="C1983" s="498"/>
      <c r="D1983" s="499"/>
      <c r="E1983" s="500"/>
    </row>
    <row r="1984" spans="1:5">
      <c r="A1984" s="498"/>
      <c r="B1984" s="498"/>
      <c r="C1984" s="498"/>
      <c r="D1984" s="499"/>
      <c r="E1984" s="500"/>
    </row>
    <row r="1985" spans="1:5">
      <c r="A1985" s="495"/>
      <c r="B1985" s="495"/>
      <c r="C1985" s="495"/>
      <c r="D1985" s="496"/>
      <c r="E1985" s="497"/>
    </row>
    <row r="1986" spans="1:5">
      <c r="A1986" s="495"/>
      <c r="B1986" s="495"/>
      <c r="C1986" s="495"/>
      <c r="D1986" s="496"/>
      <c r="E1986" s="497"/>
    </row>
    <row r="1987" spans="1:5">
      <c r="A1987" s="495"/>
      <c r="B1987" s="495"/>
      <c r="C1987" s="495"/>
      <c r="D1987" s="496"/>
      <c r="E1987" s="497"/>
    </row>
    <row r="1988" spans="1:5">
      <c r="A1988" s="495"/>
      <c r="B1988" s="495"/>
      <c r="C1988" s="495"/>
      <c r="D1988" s="496"/>
      <c r="E1988" s="497"/>
    </row>
    <row r="1989" spans="1:5">
      <c r="A1989" s="495"/>
      <c r="B1989" s="495"/>
      <c r="C1989" s="495"/>
      <c r="D1989" s="496"/>
      <c r="E1989" s="497"/>
    </row>
    <row r="1990" spans="1:5">
      <c r="A1990" s="495"/>
      <c r="B1990" s="495"/>
      <c r="C1990" s="495"/>
      <c r="D1990" s="496"/>
      <c r="E1990" s="497"/>
    </row>
    <row r="1991" spans="1:5">
      <c r="A1991" s="498"/>
      <c r="B1991" s="498"/>
      <c r="C1991" s="498"/>
      <c r="D1991" s="499"/>
      <c r="E1991" s="500"/>
    </row>
    <row r="1992" spans="1:5">
      <c r="A1992" s="498"/>
      <c r="B1992" s="498"/>
      <c r="C1992" s="498"/>
      <c r="D1992" s="499"/>
      <c r="E1992" s="500"/>
    </row>
    <row r="1993" spans="1:5">
      <c r="A1993" s="495"/>
      <c r="B1993" s="495"/>
      <c r="C1993" s="495"/>
      <c r="D1993" s="496"/>
      <c r="E1993" s="497"/>
    </row>
    <row r="1994" spans="1:5">
      <c r="A1994" s="498"/>
      <c r="B1994" s="498"/>
      <c r="C1994" s="498"/>
      <c r="D1994" s="499"/>
      <c r="E1994" s="500"/>
    </row>
    <row r="1995" spans="1:5">
      <c r="A1995" s="498"/>
      <c r="B1995" s="498"/>
      <c r="C1995" s="498"/>
      <c r="D1995" s="499"/>
      <c r="E1995" s="500"/>
    </row>
    <row r="1996" spans="1:5">
      <c r="A1996" s="498"/>
      <c r="B1996" s="498"/>
      <c r="C1996" s="498"/>
      <c r="D1996" s="499"/>
      <c r="E1996" s="500"/>
    </row>
    <row r="1997" spans="1:5">
      <c r="A1997" s="498"/>
      <c r="B1997" s="498"/>
      <c r="C1997" s="498"/>
      <c r="D1997" s="499"/>
      <c r="E1997" s="500"/>
    </row>
    <row r="1998" spans="1:5">
      <c r="A1998" s="498"/>
      <c r="B1998" s="498"/>
      <c r="C1998" s="498"/>
      <c r="D1998" s="499"/>
      <c r="E1998" s="500"/>
    </row>
    <row r="1999" spans="1:5">
      <c r="A1999" s="498"/>
      <c r="B1999" s="498"/>
      <c r="C1999" s="498"/>
      <c r="D1999" s="499"/>
      <c r="E1999" s="500"/>
    </row>
    <row r="2000" spans="1:5">
      <c r="A2000" s="495"/>
      <c r="B2000" s="495"/>
      <c r="C2000" s="495"/>
      <c r="D2000" s="496"/>
      <c r="E2000" s="497"/>
    </row>
    <row r="2001" spans="1:5">
      <c r="A2001" s="495"/>
      <c r="B2001" s="495"/>
      <c r="C2001" s="495"/>
      <c r="D2001" s="496"/>
      <c r="E2001" s="497"/>
    </row>
    <row r="2002" spans="1:5">
      <c r="A2002" s="495"/>
      <c r="B2002" s="495"/>
      <c r="C2002" s="495"/>
      <c r="D2002" s="496"/>
      <c r="E2002" s="497"/>
    </row>
    <row r="2003" spans="1:5">
      <c r="A2003" s="495"/>
      <c r="B2003" s="495"/>
      <c r="C2003" s="495"/>
      <c r="D2003" s="496"/>
      <c r="E2003" s="497"/>
    </row>
    <row r="2004" spans="1:5">
      <c r="A2004" s="498"/>
      <c r="B2004" s="498"/>
      <c r="C2004" s="498"/>
      <c r="D2004" s="499"/>
      <c r="E2004" s="500"/>
    </row>
    <row r="2005" spans="1:5">
      <c r="A2005" s="498"/>
      <c r="B2005" s="498"/>
      <c r="C2005" s="498"/>
      <c r="D2005" s="499"/>
      <c r="E2005" s="500"/>
    </row>
    <row r="2006" spans="1:5">
      <c r="A2006" s="495"/>
      <c r="B2006" s="495"/>
      <c r="C2006" s="495"/>
      <c r="D2006" s="496"/>
      <c r="E2006" s="497"/>
    </row>
    <row r="2007" spans="1:5">
      <c r="A2007" s="498"/>
      <c r="B2007" s="498"/>
      <c r="C2007" s="498"/>
      <c r="D2007" s="499"/>
      <c r="E2007" s="500"/>
    </row>
    <row r="2008" spans="1:5">
      <c r="A2008" s="498"/>
      <c r="B2008" s="498"/>
      <c r="C2008" s="498"/>
      <c r="D2008" s="499"/>
      <c r="E2008" s="500"/>
    </row>
    <row r="2009" spans="1:5">
      <c r="A2009" s="495"/>
      <c r="B2009" s="495"/>
      <c r="C2009" s="495"/>
      <c r="D2009" s="496"/>
      <c r="E2009" s="497"/>
    </row>
    <row r="2010" spans="1:5">
      <c r="A2010" s="495"/>
      <c r="B2010" s="495"/>
      <c r="C2010" s="495"/>
      <c r="D2010" s="496"/>
      <c r="E2010" s="497"/>
    </row>
    <row r="2011" spans="1:5">
      <c r="A2011" s="495"/>
      <c r="B2011" s="495"/>
      <c r="C2011" s="495"/>
      <c r="D2011" s="496"/>
      <c r="E2011" s="497"/>
    </row>
    <row r="2012" spans="1:5">
      <c r="A2012" s="495"/>
      <c r="B2012" s="495"/>
      <c r="C2012" s="495"/>
      <c r="D2012" s="496"/>
      <c r="E2012" s="497"/>
    </row>
    <row r="2013" spans="1:5">
      <c r="A2013" s="498"/>
      <c r="B2013" s="498"/>
      <c r="C2013" s="498"/>
      <c r="D2013" s="499"/>
      <c r="E2013" s="500"/>
    </row>
    <row r="2014" spans="1:5">
      <c r="A2014" s="498"/>
      <c r="B2014" s="498"/>
      <c r="C2014" s="498"/>
      <c r="D2014" s="499"/>
      <c r="E2014" s="500"/>
    </row>
    <row r="2015" spans="1:5">
      <c r="A2015" s="495"/>
      <c r="B2015" s="495"/>
      <c r="C2015" s="495"/>
      <c r="D2015" s="496"/>
      <c r="E2015" s="497"/>
    </row>
    <row r="2016" spans="1:5">
      <c r="A2016" s="495"/>
      <c r="B2016" s="495"/>
      <c r="C2016" s="495"/>
      <c r="D2016" s="496"/>
      <c r="E2016" s="497"/>
    </row>
    <row r="2017" spans="1:5">
      <c r="A2017" s="495"/>
      <c r="B2017" s="495"/>
      <c r="C2017" s="495"/>
      <c r="D2017" s="496"/>
      <c r="E2017" s="497"/>
    </row>
    <row r="2018" spans="1:5">
      <c r="A2018" s="495"/>
      <c r="B2018" s="495"/>
      <c r="C2018" s="495"/>
      <c r="D2018" s="496"/>
      <c r="E2018" s="497"/>
    </row>
    <row r="2019" spans="1:5">
      <c r="A2019" s="495"/>
      <c r="B2019" s="495"/>
      <c r="C2019" s="495"/>
      <c r="D2019" s="496"/>
      <c r="E2019" s="497"/>
    </row>
    <row r="2020" spans="1:5">
      <c r="A2020" s="495"/>
      <c r="B2020" s="495"/>
      <c r="C2020" s="495"/>
      <c r="D2020" s="496"/>
      <c r="E2020" s="497"/>
    </row>
    <row r="2021" spans="1:5">
      <c r="A2021" s="495"/>
      <c r="B2021" s="495"/>
      <c r="C2021" s="495"/>
      <c r="D2021" s="496"/>
      <c r="E2021" s="497"/>
    </row>
    <row r="2022" spans="1:5">
      <c r="A2022" s="495"/>
      <c r="B2022" s="495"/>
      <c r="C2022" s="495"/>
      <c r="D2022" s="496"/>
      <c r="E2022" s="497"/>
    </row>
    <row r="2023" spans="1:5">
      <c r="A2023" s="495"/>
      <c r="B2023" s="495"/>
      <c r="C2023" s="495"/>
      <c r="D2023" s="496"/>
      <c r="E2023" s="497"/>
    </row>
    <row r="2024" spans="1:5">
      <c r="A2024" s="495"/>
      <c r="B2024" s="495"/>
      <c r="C2024" s="495"/>
      <c r="D2024" s="496"/>
      <c r="E2024" s="497"/>
    </row>
    <row r="2025" spans="1:5">
      <c r="A2025" s="498"/>
      <c r="B2025" s="498"/>
      <c r="C2025" s="498"/>
      <c r="D2025" s="499"/>
      <c r="E2025" s="500"/>
    </row>
    <row r="2026" spans="1:5">
      <c r="A2026" s="498"/>
      <c r="B2026" s="498"/>
      <c r="C2026" s="498"/>
      <c r="D2026" s="499"/>
      <c r="E2026" s="500"/>
    </row>
    <row r="2027" spans="1:5">
      <c r="A2027" s="498"/>
      <c r="B2027" s="498"/>
      <c r="C2027" s="498"/>
      <c r="D2027" s="499"/>
      <c r="E2027" s="500"/>
    </row>
    <row r="2028" spans="1:5">
      <c r="A2028" s="495"/>
      <c r="B2028" s="495"/>
      <c r="C2028" s="495"/>
      <c r="D2028" s="496"/>
      <c r="E2028" s="497"/>
    </row>
    <row r="2029" spans="1:5">
      <c r="A2029" s="495"/>
      <c r="B2029" s="495"/>
      <c r="C2029" s="495"/>
      <c r="D2029" s="496"/>
      <c r="E2029" s="497"/>
    </row>
    <row r="2030" spans="1:5">
      <c r="A2030" s="495"/>
      <c r="B2030" s="495"/>
      <c r="C2030" s="495"/>
      <c r="D2030" s="496"/>
      <c r="E2030" s="497"/>
    </row>
    <row r="2031" spans="1:5">
      <c r="A2031" s="495"/>
      <c r="B2031" s="495"/>
      <c r="C2031" s="495"/>
      <c r="D2031" s="496"/>
      <c r="E2031" s="497"/>
    </row>
    <row r="2032" spans="1:5">
      <c r="A2032" s="495"/>
      <c r="B2032" s="495"/>
      <c r="C2032" s="495"/>
      <c r="D2032" s="496"/>
      <c r="E2032" s="497"/>
    </row>
    <row r="2033" spans="1:5">
      <c r="A2033" s="495"/>
      <c r="B2033" s="495"/>
      <c r="C2033" s="495"/>
      <c r="D2033" s="496"/>
      <c r="E2033" s="497"/>
    </row>
    <row r="2034" spans="1:5">
      <c r="A2034" s="495"/>
      <c r="B2034" s="495"/>
      <c r="C2034" s="495"/>
      <c r="D2034" s="496"/>
      <c r="E2034" s="497"/>
    </row>
    <row r="2035" spans="1:5">
      <c r="A2035" s="495"/>
      <c r="B2035" s="495"/>
      <c r="C2035" s="495"/>
      <c r="D2035" s="496"/>
      <c r="E2035" s="497"/>
    </row>
    <row r="2036" spans="1:5">
      <c r="A2036" s="495"/>
      <c r="B2036" s="495"/>
      <c r="C2036" s="495"/>
      <c r="D2036" s="496"/>
      <c r="E2036" s="497"/>
    </row>
    <row r="2037" spans="1:5">
      <c r="A2037" s="495"/>
      <c r="B2037" s="495"/>
      <c r="C2037" s="495"/>
      <c r="D2037" s="496"/>
      <c r="E2037" s="497"/>
    </row>
    <row r="2038" spans="1:5">
      <c r="A2038" s="495"/>
      <c r="B2038" s="495"/>
      <c r="C2038" s="495"/>
      <c r="D2038" s="496"/>
      <c r="E2038" s="497"/>
    </row>
    <row r="2039" spans="1:5">
      <c r="A2039" s="495"/>
      <c r="B2039" s="495"/>
      <c r="C2039" s="495"/>
      <c r="D2039" s="496"/>
      <c r="E2039" s="497"/>
    </row>
    <row r="2040" spans="1:5">
      <c r="A2040" s="495"/>
      <c r="B2040" s="495"/>
      <c r="C2040" s="495"/>
      <c r="D2040" s="496"/>
      <c r="E2040" s="497"/>
    </row>
    <row r="2041" spans="1:5">
      <c r="A2041" s="495"/>
      <c r="B2041" s="495"/>
      <c r="C2041" s="495"/>
      <c r="D2041" s="496"/>
      <c r="E2041" s="497"/>
    </row>
    <row r="2042" spans="1:5">
      <c r="A2042" s="495"/>
      <c r="B2042" s="495"/>
      <c r="C2042" s="495"/>
      <c r="D2042" s="496"/>
      <c r="E2042" s="497"/>
    </row>
    <row r="2043" spans="1:5">
      <c r="A2043" s="495"/>
      <c r="B2043" s="495"/>
      <c r="C2043" s="495"/>
      <c r="D2043" s="496"/>
      <c r="E2043" s="497"/>
    </row>
    <row r="2044" spans="1:5">
      <c r="A2044" s="495"/>
      <c r="B2044" s="495"/>
      <c r="C2044" s="495"/>
      <c r="D2044" s="496"/>
      <c r="E2044" s="497"/>
    </row>
    <row r="2045" spans="1:5">
      <c r="A2045" s="495"/>
      <c r="B2045" s="495"/>
      <c r="C2045" s="495"/>
      <c r="D2045" s="496"/>
      <c r="E2045" s="497"/>
    </row>
    <row r="2046" spans="1:5">
      <c r="A2046" s="495"/>
      <c r="B2046" s="495"/>
      <c r="C2046" s="495"/>
      <c r="D2046" s="496"/>
      <c r="E2046" s="497"/>
    </row>
    <row r="2047" spans="1:5">
      <c r="A2047" s="498"/>
      <c r="B2047" s="498"/>
      <c r="C2047" s="498"/>
      <c r="D2047" s="499"/>
      <c r="E2047" s="500"/>
    </row>
    <row r="2048" spans="1:5">
      <c r="A2048" s="498"/>
      <c r="B2048" s="498"/>
      <c r="C2048" s="498"/>
      <c r="D2048" s="499"/>
      <c r="E2048" s="500"/>
    </row>
    <row r="2049" spans="1:5">
      <c r="A2049" s="498"/>
      <c r="B2049" s="498"/>
      <c r="C2049" s="498"/>
      <c r="D2049" s="499"/>
      <c r="E2049" s="500"/>
    </row>
    <row r="2050" spans="1:5">
      <c r="A2050" s="495"/>
      <c r="B2050" s="495"/>
      <c r="C2050" s="495"/>
      <c r="D2050" s="496"/>
      <c r="E2050" s="497"/>
    </row>
    <row r="2051" spans="1:5">
      <c r="A2051" s="495"/>
      <c r="B2051" s="495"/>
      <c r="C2051" s="495"/>
      <c r="D2051" s="496"/>
      <c r="E2051" s="497"/>
    </row>
    <row r="2052" spans="1:5">
      <c r="A2052" s="495"/>
      <c r="B2052" s="495"/>
      <c r="C2052" s="495"/>
      <c r="D2052" s="496"/>
      <c r="E2052" s="497"/>
    </row>
    <row r="2053" spans="1:5">
      <c r="A2053" s="495"/>
      <c r="B2053" s="495"/>
      <c r="C2053" s="495"/>
      <c r="D2053" s="496"/>
      <c r="E2053" s="497"/>
    </row>
    <row r="2054" spans="1:5">
      <c r="A2054" s="495"/>
      <c r="B2054" s="495"/>
      <c r="C2054" s="495"/>
      <c r="D2054" s="496"/>
      <c r="E2054" s="497"/>
    </row>
    <row r="2055" spans="1:5">
      <c r="A2055" s="495"/>
      <c r="B2055" s="495"/>
      <c r="C2055" s="495"/>
      <c r="D2055" s="496"/>
      <c r="E2055" s="497"/>
    </row>
    <row r="2056" spans="1:5">
      <c r="A2056" s="495"/>
      <c r="B2056" s="495"/>
      <c r="C2056" s="495"/>
      <c r="D2056" s="496"/>
      <c r="E2056" s="497"/>
    </row>
    <row r="2057" spans="1:5">
      <c r="A2057" s="495"/>
      <c r="B2057" s="495"/>
      <c r="C2057" s="495"/>
      <c r="D2057" s="496"/>
      <c r="E2057" s="497"/>
    </row>
    <row r="2058" spans="1:5">
      <c r="A2058" s="498"/>
      <c r="B2058" s="498"/>
      <c r="C2058" s="498"/>
      <c r="D2058" s="499"/>
      <c r="E2058" s="500"/>
    </row>
    <row r="2059" spans="1:5">
      <c r="A2059" s="498"/>
      <c r="B2059" s="498"/>
      <c r="C2059" s="498"/>
      <c r="D2059" s="499"/>
      <c r="E2059" s="500"/>
    </row>
    <row r="2060" spans="1:5">
      <c r="A2060" s="495"/>
      <c r="B2060" s="495"/>
      <c r="C2060" s="495"/>
      <c r="D2060" s="496"/>
      <c r="E2060" s="497"/>
    </row>
    <row r="2061" spans="1:5">
      <c r="A2061" s="495"/>
      <c r="B2061" s="495"/>
      <c r="C2061" s="495"/>
      <c r="D2061" s="496"/>
      <c r="E2061" s="497"/>
    </row>
    <row r="2062" spans="1:5">
      <c r="A2062" s="495"/>
      <c r="B2062" s="495"/>
      <c r="C2062" s="495"/>
      <c r="D2062" s="496"/>
      <c r="E2062" s="497"/>
    </row>
    <row r="2063" spans="1:5">
      <c r="A2063" s="495"/>
      <c r="B2063" s="495"/>
      <c r="C2063" s="495"/>
      <c r="D2063" s="496"/>
      <c r="E2063" s="497"/>
    </row>
    <row r="2064" spans="1:5">
      <c r="A2064" s="495"/>
      <c r="B2064" s="495"/>
      <c r="C2064" s="495"/>
      <c r="D2064" s="496"/>
      <c r="E2064" s="497"/>
    </row>
    <row r="2065" spans="1:5">
      <c r="A2065" s="495"/>
      <c r="B2065" s="495"/>
      <c r="C2065" s="495"/>
      <c r="D2065" s="496"/>
      <c r="E2065" s="497"/>
    </row>
    <row r="2066" spans="1:5">
      <c r="A2066" s="495"/>
      <c r="B2066" s="495"/>
      <c r="C2066" s="495"/>
      <c r="D2066" s="496"/>
      <c r="E2066" s="497"/>
    </row>
    <row r="2067" spans="1:5">
      <c r="A2067" s="495"/>
      <c r="B2067" s="495"/>
      <c r="C2067" s="495"/>
      <c r="D2067" s="496"/>
      <c r="E2067" s="497"/>
    </row>
    <row r="2068" spans="1:5">
      <c r="A2068" s="495"/>
      <c r="B2068" s="495"/>
      <c r="C2068" s="495"/>
      <c r="D2068" s="496"/>
      <c r="E2068" s="497"/>
    </row>
    <row r="2069" spans="1:5">
      <c r="A2069" s="498"/>
      <c r="B2069" s="498"/>
      <c r="C2069" s="498"/>
      <c r="D2069" s="499"/>
      <c r="E2069" s="500"/>
    </row>
    <row r="2070" spans="1:5">
      <c r="A2070" s="498"/>
      <c r="B2070" s="498"/>
      <c r="C2070" s="498"/>
      <c r="D2070" s="499"/>
      <c r="E2070" s="500"/>
    </row>
    <row r="2071" spans="1:5">
      <c r="A2071" s="498"/>
      <c r="B2071" s="498"/>
      <c r="C2071" s="498"/>
      <c r="D2071" s="499"/>
      <c r="E2071" s="500"/>
    </row>
    <row r="2072" spans="1:5">
      <c r="A2072" s="498"/>
      <c r="B2072" s="498"/>
      <c r="C2072" s="498"/>
      <c r="D2072" s="499"/>
      <c r="E2072" s="500"/>
    </row>
    <row r="2073" spans="1:5">
      <c r="A2073" s="495"/>
      <c r="B2073" s="495"/>
      <c r="C2073" s="495"/>
      <c r="D2073" s="496"/>
      <c r="E2073" s="497"/>
    </row>
    <row r="2074" spans="1:5">
      <c r="A2074" s="495"/>
      <c r="B2074" s="495"/>
      <c r="C2074" s="495"/>
      <c r="D2074" s="496"/>
      <c r="E2074" s="497"/>
    </row>
    <row r="2075" spans="1:5">
      <c r="A2075" s="498"/>
      <c r="B2075" s="498"/>
      <c r="C2075" s="498"/>
      <c r="D2075" s="499"/>
      <c r="E2075" s="500"/>
    </row>
    <row r="2076" spans="1:5">
      <c r="A2076" s="498"/>
      <c r="B2076" s="498"/>
      <c r="C2076" s="498"/>
      <c r="D2076" s="499"/>
      <c r="E2076" s="500"/>
    </row>
    <row r="2077" spans="1:5">
      <c r="A2077" s="495"/>
      <c r="B2077" s="495"/>
      <c r="C2077" s="495"/>
      <c r="D2077" s="496"/>
      <c r="E2077" s="497"/>
    </row>
    <row r="2078" spans="1:5">
      <c r="A2078" s="498"/>
      <c r="B2078" s="498"/>
      <c r="C2078" s="498"/>
      <c r="D2078" s="499"/>
      <c r="E2078" s="500"/>
    </row>
    <row r="2079" spans="1:5">
      <c r="A2079" s="498"/>
      <c r="B2079" s="498"/>
      <c r="C2079" s="498"/>
      <c r="D2079" s="499"/>
      <c r="E2079" s="500"/>
    </row>
    <row r="2080" spans="1:5">
      <c r="A2080" s="495"/>
      <c r="B2080" s="495"/>
      <c r="C2080" s="495"/>
      <c r="D2080" s="496"/>
      <c r="E2080" s="497"/>
    </row>
    <row r="2081" spans="1:5">
      <c r="A2081" s="495"/>
      <c r="B2081" s="495"/>
      <c r="C2081" s="495"/>
      <c r="D2081" s="496"/>
      <c r="E2081" s="497"/>
    </row>
    <row r="2082" spans="1:5">
      <c r="A2082" s="495"/>
      <c r="B2082" s="495"/>
      <c r="C2082" s="495"/>
      <c r="D2082" s="496"/>
      <c r="E2082" s="497"/>
    </row>
    <row r="2083" spans="1:5">
      <c r="A2083" s="495"/>
      <c r="B2083" s="495"/>
      <c r="C2083" s="495"/>
      <c r="D2083" s="496"/>
      <c r="E2083" s="497"/>
    </row>
    <row r="2084" spans="1:5">
      <c r="A2084" s="495"/>
      <c r="B2084" s="495"/>
      <c r="C2084" s="495"/>
      <c r="D2084" s="496"/>
      <c r="E2084" s="497"/>
    </row>
    <row r="2085" spans="1:5">
      <c r="A2085" s="495"/>
      <c r="B2085" s="495"/>
      <c r="C2085" s="495"/>
      <c r="D2085" s="496"/>
      <c r="E2085" s="497"/>
    </row>
    <row r="2086" spans="1:5">
      <c r="A2086" s="498"/>
      <c r="B2086" s="498"/>
      <c r="C2086" s="498"/>
      <c r="D2086" s="499"/>
      <c r="E2086" s="500"/>
    </row>
    <row r="2087" spans="1:5">
      <c r="A2087" s="498"/>
      <c r="B2087" s="498"/>
      <c r="C2087" s="498"/>
      <c r="D2087" s="499"/>
      <c r="E2087" s="500"/>
    </row>
    <row r="2088" spans="1:5">
      <c r="A2088" s="495"/>
      <c r="B2088" s="495"/>
      <c r="C2088" s="495"/>
      <c r="D2088" s="496"/>
      <c r="E2088" s="497"/>
    </row>
    <row r="2089" spans="1:5">
      <c r="A2089" s="495"/>
      <c r="B2089" s="495"/>
      <c r="C2089" s="495"/>
      <c r="D2089" s="496"/>
      <c r="E2089" s="497"/>
    </row>
    <row r="2090" spans="1:5">
      <c r="A2090" s="495"/>
      <c r="B2090" s="495"/>
      <c r="C2090" s="495"/>
      <c r="D2090" s="496"/>
      <c r="E2090" s="497"/>
    </row>
    <row r="2091" spans="1:5">
      <c r="A2091" s="498"/>
      <c r="B2091" s="498"/>
      <c r="C2091" s="498"/>
      <c r="D2091" s="499"/>
      <c r="E2091" s="500"/>
    </row>
    <row r="2092" spans="1:5">
      <c r="A2092" s="498"/>
      <c r="B2092" s="498"/>
      <c r="C2092" s="498"/>
      <c r="D2092" s="499"/>
      <c r="E2092" s="500"/>
    </row>
    <row r="2093" spans="1:5">
      <c r="A2093" s="495"/>
      <c r="B2093" s="495"/>
      <c r="C2093" s="495"/>
      <c r="D2093" s="496"/>
      <c r="E2093" s="497"/>
    </row>
    <row r="2094" spans="1:5">
      <c r="A2094" s="498"/>
      <c r="B2094" s="498"/>
      <c r="C2094" s="498"/>
      <c r="D2094" s="499"/>
      <c r="E2094" s="500"/>
    </row>
    <row r="2095" spans="1:5">
      <c r="A2095" s="498"/>
      <c r="B2095" s="498"/>
      <c r="C2095" s="498"/>
      <c r="D2095" s="499"/>
      <c r="E2095" s="500"/>
    </row>
    <row r="2096" spans="1:5">
      <c r="A2096" s="498"/>
      <c r="B2096" s="498"/>
      <c r="C2096" s="498"/>
      <c r="D2096" s="499"/>
      <c r="E2096" s="500"/>
    </row>
    <row r="2097" spans="1:5">
      <c r="A2097" s="498"/>
      <c r="B2097" s="498"/>
      <c r="C2097" s="498"/>
      <c r="D2097" s="499"/>
      <c r="E2097" s="500"/>
    </row>
    <row r="2098" spans="1:5">
      <c r="A2098" s="498"/>
      <c r="B2098" s="498"/>
      <c r="C2098" s="498"/>
      <c r="D2098" s="499"/>
      <c r="E2098" s="500"/>
    </row>
    <row r="2099" spans="1:5">
      <c r="A2099" s="495"/>
      <c r="B2099" s="495"/>
      <c r="C2099" s="495"/>
      <c r="D2099" s="496"/>
      <c r="E2099" s="497"/>
    </row>
    <row r="2100" spans="1:5">
      <c r="A2100" s="495"/>
      <c r="B2100" s="495"/>
      <c r="C2100" s="495"/>
      <c r="D2100" s="496"/>
      <c r="E2100" s="497"/>
    </row>
    <row r="2101" spans="1:5">
      <c r="A2101" s="495"/>
      <c r="B2101" s="495"/>
      <c r="C2101" s="495"/>
      <c r="D2101" s="496"/>
      <c r="E2101" s="497"/>
    </row>
    <row r="2102" spans="1:5">
      <c r="A2102" s="495"/>
      <c r="B2102" s="495"/>
      <c r="C2102" s="495"/>
      <c r="D2102" s="496"/>
      <c r="E2102" s="497"/>
    </row>
    <row r="2103" spans="1:5">
      <c r="A2103" s="495"/>
      <c r="B2103" s="495"/>
      <c r="C2103" s="495"/>
      <c r="D2103" s="496"/>
      <c r="E2103" s="497"/>
    </row>
    <row r="2104" spans="1:5">
      <c r="A2104" s="498"/>
      <c r="B2104" s="498"/>
      <c r="C2104" s="498"/>
      <c r="D2104" s="499"/>
      <c r="E2104" s="500"/>
    </row>
    <row r="2105" spans="1:5">
      <c r="A2105" s="498"/>
      <c r="B2105" s="498"/>
      <c r="C2105" s="498"/>
      <c r="D2105" s="499"/>
      <c r="E2105" s="500"/>
    </row>
    <row r="2106" spans="1:5">
      <c r="A2106" s="495"/>
      <c r="B2106" s="495"/>
      <c r="C2106" s="495"/>
      <c r="D2106" s="496"/>
      <c r="E2106" s="497"/>
    </row>
    <row r="2107" spans="1:5">
      <c r="A2107" s="495"/>
      <c r="B2107" s="495"/>
      <c r="C2107" s="495"/>
      <c r="D2107" s="496"/>
      <c r="E2107" s="497"/>
    </row>
    <row r="2108" spans="1:5">
      <c r="A2108" s="495"/>
      <c r="B2108" s="495"/>
      <c r="C2108" s="495"/>
      <c r="D2108" s="496"/>
      <c r="E2108" s="497"/>
    </row>
    <row r="2109" spans="1:5">
      <c r="A2109" s="495"/>
      <c r="B2109" s="495"/>
      <c r="C2109" s="495"/>
      <c r="D2109" s="496"/>
      <c r="E2109" s="497"/>
    </row>
    <row r="2110" spans="1:5">
      <c r="A2110" s="495"/>
      <c r="B2110" s="495"/>
      <c r="C2110" s="495"/>
      <c r="D2110" s="496"/>
      <c r="E2110" s="497"/>
    </row>
    <row r="2111" spans="1:5">
      <c r="A2111" s="495"/>
      <c r="B2111" s="495"/>
      <c r="C2111" s="495"/>
      <c r="D2111" s="496"/>
      <c r="E2111" s="497"/>
    </row>
    <row r="2112" spans="1:5">
      <c r="A2112" s="495"/>
      <c r="B2112" s="495"/>
      <c r="C2112" s="495"/>
      <c r="D2112" s="496"/>
      <c r="E2112" s="497"/>
    </row>
    <row r="2113" spans="1:5">
      <c r="A2113" s="495"/>
      <c r="B2113" s="495"/>
      <c r="C2113" s="495"/>
      <c r="D2113" s="496"/>
      <c r="E2113" s="497"/>
    </row>
    <row r="2114" spans="1:5">
      <c r="A2114" s="495"/>
      <c r="B2114" s="495"/>
      <c r="C2114" s="495"/>
      <c r="D2114" s="496"/>
      <c r="E2114" s="497"/>
    </row>
    <row r="2115" spans="1:5">
      <c r="A2115" s="495"/>
      <c r="B2115" s="495"/>
      <c r="C2115" s="495"/>
      <c r="D2115" s="496"/>
      <c r="E2115" s="497"/>
    </row>
    <row r="2116" spans="1:5">
      <c r="A2116" s="495"/>
      <c r="B2116" s="495"/>
      <c r="C2116" s="495"/>
      <c r="D2116" s="496"/>
      <c r="E2116" s="497"/>
    </row>
    <row r="2117" spans="1:5">
      <c r="A2117" s="495"/>
      <c r="B2117" s="495"/>
      <c r="C2117" s="495"/>
      <c r="D2117" s="496"/>
      <c r="E2117" s="497"/>
    </row>
    <row r="2118" spans="1:5">
      <c r="A2118" s="495"/>
      <c r="B2118" s="495"/>
      <c r="C2118" s="495"/>
      <c r="D2118" s="496"/>
      <c r="E2118" s="497"/>
    </row>
    <row r="2119" spans="1:5">
      <c r="A2119" s="495"/>
      <c r="B2119" s="495"/>
      <c r="C2119" s="495"/>
      <c r="D2119" s="496"/>
      <c r="E2119" s="497"/>
    </row>
    <row r="2120" spans="1:5">
      <c r="A2120" s="495"/>
      <c r="B2120" s="495"/>
      <c r="C2120" s="495"/>
      <c r="D2120" s="496"/>
      <c r="E2120" s="497"/>
    </row>
    <row r="2121" spans="1:5">
      <c r="A2121" s="495"/>
      <c r="B2121" s="495"/>
      <c r="C2121" s="495"/>
      <c r="D2121" s="496"/>
      <c r="E2121" s="497"/>
    </row>
    <row r="2122" spans="1:5">
      <c r="A2122" s="495"/>
      <c r="B2122" s="495"/>
      <c r="C2122" s="495"/>
      <c r="D2122" s="496"/>
      <c r="E2122" s="497"/>
    </row>
    <row r="2123" spans="1:5">
      <c r="A2123" s="495"/>
      <c r="B2123" s="495"/>
      <c r="C2123" s="495"/>
      <c r="D2123" s="496"/>
      <c r="E2123" s="497"/>
    </row>
    <row r="2124" spans="1:5">
      <c r="A2124" s="495"/>
      <c r="B2124" s="495"/>
      <c r="C2124" s="495"/>
      <c r="D2124" s="496"/>
      <c r="E2124" s="497"/>
    </row>
    <row r="2125" spans="1:5">
      <c r="A2125" s="495"/>
      <c r="B2125" s="495"/>
      <c r="C2125" s="495"/>
      <c r="D2125" s="496"/>
      <c r="E2125" s="497"/>
    </row>
    <row r="2126" spans="1:5">
      <c r="A2126" s="495"/>
      <c r="B2126" s="495"/>
      <c r="C2126" s="495"/>
      <c r="D2126" s="496"/>
      <c r="E2126" s="497"/>
    </row>
    <row r="2127" spans="1:5">
      <c r="A2127" s="495"/>
      <c r="B2127" s="495"/>
      <c r="C2127" s="495"/>
      <c r="D2127" s="496"/>
      <c r="E2127" s="497"/>
    </row>
    <row r="2128" spans="1:5">
      <c r="A2128" s="495"/>
      <c r="B2128" s="495"/>
      <c r="C2128" s="495"/>
      <c r="D2128" s="496"/>
      <c r="E2128" s="497"/>
    </row>
    <row r="2129" spans="1:5">
      <c r="A2129" s="498"/>
      <c r="B2129" s="498"/>
      <c r="C2129" s="498"/>
      <c r="D2129" s="499"/>
      <c r="E2129" s="500"/>
    </row>
    <row r="2130" spans="1:5">
      <c r="A2130" s="498"/>
      <c r="B2130" s="498"/>
      <c r="C2130" s="498"/>
      <c r="D2130" s="499"/>
      <c r="E2130" s="500"/>
    </row>
    <row r="2131" spans="1:5">
      <c r="A2131" s="495"/>
      <c r="B2131" s="495"/>
      <c r="C2131" s="495"/>
      <c r="D2131" s="496"/>
      <c r="E2131" s="497"/>
    </row>
    <row r="2132" spans="1:5">
      <c r="A2132" s="495"/>
      <c r="B2132" s="495"/>
      <c r="C2132" s="495"/>
      <c r="D2132" s="496"/>
      <c r="E2132" s="497"/>
    </row>
    <row r="2133" spans="1:5">
      <c r="A2133" s="495"/>
      <c r="B2133" s="495"/>
      <c r="C2133" s="495"/>
      <c r="D2133" s="496"/>
      <c r="E2133" s="497"/>
    </row>
    <row r="2134" spans="1:5">
      <c r="A2134" s="495"/>
      <c r="B2134" s="495"/>
      <c r="C2134" s="495"/>
      <c r="D2134" s="496"/>
      <c r="E2134" s="497"/>
    </row>
    <row r="2135" spans="1:5">
      <c r="A2135" s="495"/>
      <c r="B2135" s="495"/>
      <c r="C2135" s="495"/>
      <c r="D2135" s="496"/>
      <c r="E2135" s="497"/>
    </row>
    <row r="2136" spans="1:5">
      <c r="E2136" s="389"/>
    </row>
    <row r="2137" spans="1:5">
      <c r="E2137" s="507"/>
    </row>
    <row r="2138" spans="1:5">
      <c r="E2138" s="508"/>
    </row>
    <row r="2139" spans="1:5">
      <c r="E2139" s="389"/>
    </row>
    <row r="2140" spans="1:5">
      <c r="E2140" s="507"/>
    </row>
    <row r="2141" spans="1:5">
      <c r="E2141" s="389"/>
    </row>
    <row r="2142" spans="1:5">
      <c r="E2142" s="508"/>
    </row>
  </sheetData>
  <autoFilter ref="A1:H2138" xr:uid="{9416EE11-1715-47D5-82D3-7F0771B5A21C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D101"/>
  <sheetViews>
    <sheetView showGridLines="0" zoomScale="92" zoomScaleNormal="92" workbookViewId="0">
      <pane xSplit="1" ySplit="3" topLeftCell="J55" activePane="bottomRight" state="frozen"/>
      <selection pane="topRight" activeCell="B1" sqref="B1"/>
      <selection pane="bottomLeft" activeCell="A4" sqref="A4"/>
      <selection pane="bottomRight" activeCell="T94" sqref="T94"/>
    </sheetView>
  </sheetViews>
  <sheetFormatPr defaultColWidth="12.5703125" defaultRowHeight="15" customHeight="1"/>
  <cols>
    <col min="1" max="1" width="1.5703125" customWidth="1"/>
    <col min="2" max="2" width="8.85546875" bestFit="1" customWidth="1"/>
    <col min="3" max="3" width="54" customWidth="1"/>
    <col min="4" max="4" width="33.140625" customWidth="1"/>
    <col min="5" max="5" width="20.5703125" customWidth="1"/>
    <col min="6" max="10" width="13.5703125" customWidth="1"/>
    <col min="11" max="11" width="1.5703125" customWidth="1"/>
    <col min="12" max="13" width="13.5703125" hidden="1" customWidth="1"/>
    <col min="14" max="14" width="19.140625" hidden="1" customWidth="1"/>
    <col min="15" max="15" width="18.85546875" bestFit="1" customWidth="1"/>
    <col min="16" max="19" width="13.5703125" customWidth="1"/>
    <col min="20" max="20" width="18.5703125" bestFit="1" customWidth="1"/>
    <col min="21" max="23" width="13.5703125" customWidth="1"/>
    <col min="24" max="24" width="13.5703125" hidden="1" customWidth="1"/>
    <col min="25" max="25" width="13.5703125" customWidth="1"/>
    <col min="26" max="26" width="1.5703125" customWidth="1"/>
    <col min="27" max="27" width="13.5703125" customWidth="1"/>
    <col min="28" max="28" width="1.5703125" customWidth="1"/>
    <col min="29" max="29" width="9.140625" customWidth="1"/>
  </cols>
  <sheetData>
    <row r="1" spans="2:30" ht="12.75" customHeight="1">
      <c r="B1" s="76"/>
      <c r="C1" s="1"/>
      <c r="D1" s="87"/>
      <c r="E1" s="87"/>
      <c r="F1" s="76"/>
      <c r="G1" s="88"/>
      <c r="H1" s="76"/>
      <c r="I1" s="76"/>
      <c r="J1" s="76"/>
      <c r="K1" s="1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1"/>
      <c r="AA1" s="76"/>
      <c r="AB1" s="1"/>
      <c r="AC1" s="76"/>
    </row>
    <row r="2" spans="2:30" ht="12.75" customHeight="1">
      <c r="B2" s="76"/>
      <c r="C2" s="1"/>
      <c r="D2" s="87"/>
      <c r="E2" s="87"/>
      <c r="F2" s="76"/>
      <c r="G2" s="88"/>
      <c r="H2" s="76"/>
      <c r="I2" s="76"/>
      <c r="J2" s="76"/>
      <c r="K2" s="1"/>
      <c r="L2" s="200">
        <v>0.2</v>
      </c>
      <c r="M2" s="201" t="s">
        <v>266</v>
      </c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1"/>
      <c r="AA2" s="76"/>
      <c r="AB2" s="1"/>
      <c r="AC2" s="76"/>
    </row>
    <row r="3" spans="2:30" ht="12.75" customHeight="1">
      <c r="B3" s="202" t="s">
        <v>267</v>
      </c>
      <c r="C3" s="202" t="s">
        <v>268</v>
      </c>
      <c r="D3" s="202" t="s">
        <v>269</v>
      </c>
      <c r="E3" s="202" t="s">
        <v>270</v>
      </c>
      <c r="F3" s="202" t="s">
        <v>271</v>
      </c>
      <c r="G3" s="203" t="s">
        <v>272</v>
      </c>
      <c r="H3" s="202" t="s">
        <v>273</v>
      </c>
      <c r="I3" s="202" t="s">
        <v>572</v>
      </c>
      <c r="J3" s="202" t="s">
        <v>61</v>
      </c>
      <c r="K3" s="76"/>
      <c r="L3" s="204" t="s">
        <v>274</v>
      </c>
      <c r="M3" s="341" t="s">
        <v>275</v>
      </c>
      <c r="N3" s="204" t="s">
        <v>148</v>
      </c>
      <c r="O3" s="341" t="s">
        <v>541</v>
      </c>
      <c r="P3" s="204" t="s">
        <v>574</v>
      </c>
      <c r="Q3" s="204" t="s">
        <v>573</v>
      </c>
      <c r="R3" s="204" t="s">
        <v>108</v>
      </c>
      <c r="S3" s="204" t="s">
        <v>278</v>
      </c>
      <c r="T3" s="341" t="s">
        <v>542</v>
      </c>
      <c r="U3" s="204" t="s">
        <v>279</v>
      </c>
      <c r="V3" s="341" t="s">
        <v>543</v>
      </c>
      <c r="W3" s="204" t="s">
        <v>280</v>
      </c>
      <c r="X3" s="340" t="s">
        <v>281</v>
      </c>
      <c r="Y3" s="340" t="s">
        <v>440</v>
      </c>
      <c r="Z3" s="76"/>
      <c r="AA3" s="202" t="s">
        <v>61</v>
      </c>
      <c r="AB3" s="76"/>
      <c r="AC3" s="76" t="s">
        <v>267</v>
      </c>
    </row>
    <row r="4" spans="2:30" ht="4.5" customHeight="1">
      <c r="B4" s="76"/>
      <c r="C4" s="1"/>
      <c r="D4" s="76"/>
      <c r="E4" s="76"/>
      <c r="F4" s="76"/>
      <c r="G4" s="88"/>
      <c r="H4" s="76"/>
      <c r="I4" s="76"/>
      <c r="J4" s="76"/>
      <c r="K4" s="1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1"/>
      <c r="AA4" s="76"/>
      <c r="AB4" s="1"/>
      <c r="AC4" s="76"/>
    </row>
    <row r="5" spans="2:30" ht="12.75" customHeight="1">
      <c r="B5" s="208" t="s">
        <v>282</v>
      </c>
      <c r="C5" s="372" t="s">
        <v>448</v>
      </c>
      <c r="D5" s="372" t="s">
        <v>517</v>
      </c>
      <c r="E5" s="382" t="s">
        <v>555</v>
      </c>
      <c r="F5" s="433">
        <v>45954</v>
      </c>
      <c r="G5" s="1"/>
      <c r="H5" s="387">
        <v>1916.5</v>
      </c>
      <c r="I5" s="434">
        <v>4</v>
      </c>
      <c r="J5" s="210">
        <f>H5</f>
        <v>1916.5</v>
      </c>
      <c r="K5" s="1"/>
      <c r="L5" s="211"/>
      <c r="M5" s="209"/>
      <c r="N5" s="209"/>
      <c r="O5" s="387">
        <v>254.80785</v>
      </c>
      <c r="P5" s="209">
        <v>159.64445000000001</v>
      </c>
      <c r="Q5" s="209">
        <v>153.32</v>
      </c>
      <c r="R5" s="209"/>
      <c r="S5" s="209"/>
      <c r="T5" s="209">
        <v>330.01</v>
      </c>
      <c r="U5" s="435">
        <v>9.5299999999999994</v>
      </c>
      <c r="V5" s="435">
        <f>20*26</f>
        <v>520</v>
      </c>
      <c r="W5" s="209">
        <v>86.25</v>
      </c>
      <c r="X5" s="209"/>
      <c r="Y5" s="435">
        <v>6.9</v>
      </c>
      <c r="Z5" s="1"/>
      <c r="AA5" s="212">
        <f t="shared" ref="AA5:AA36" si="0">SUM(J5:Y5)</f>
        <v>3436.9623000000001</v>
      </c>
      <c r="AB5" s="1"/>
      <c r="AC5" s="207">
        <f t="shared" ref="AC5" si="1">IF(AA5&gt;0,1,"")</f>
        <v>1</v>
      </c>
      <c r="AD5" s="442">
        <f t="shared" ref="AD5:AD36" si="2">AA5/J5</f>
        <v>1.7933536655361337</v>
      </c>
    </row>
    <row r="6" spans="2:30" ht="12.75" customHeight="1">
      <c r="B6" s="208" t="s">
        <v>282</v>
      </c>
      <c r="C6" s="379" t="s">
        <v>449</v>
      </c>
      <c r="D6" s="372" t="s">
        <v>517</v>
      </c>
      <c r="E6" s="383" t="s">
        <v>555</v>
      </c>
      <c r="F6" s="433">
        <v>45789</v>
      </c>
      <c r="G6" s="1"/>
      <c r="H6" s="387">
        <v>1916.5</v>
      </c>
      <c r="I6" s="434">
        <v>4</v>
      </c>
      <c r="J6" s="210">
        <f t="shared" ref="J6:J69" si="3">H6</f>
        <v>1916.5</v>
      </c>
      <c r="K6" s="1"/>
      <c r="L6" s="211"/>
      <c r="M6" s="209"/>
      <c r="N6" s="209"/>
      <c r="O6" s="387">
        <v>453.01025000000004</v>
      </c>
      <c r="P6" s="209">
        <v>159.64445000000001</v>
      </c>
      <c r="Q6" s="209">
        <v>153.32</v>
      </c>
      <c r="R6" s="209"/>
      <c r="S6" s="209"/>
      <c r="T6" s="209">
        <v>330.01</v>
      </c>
      <c r="U6" s="435">
        <v>9.5299999999999994</v>
      </c>
      <c r="V6" s="435">
        <v>520</v>
      </c>
      <c r="W6" s="209">
        <v>86.25</v>
      </c>
      <c r="X6" s="209"/>
      <c r="Y6" s="435">
        <v>6.9</v>
      </c>
      <c r="Z6" s="1"/>
      <c r="AA6" s="212">
        <f t="shared" si="0"/>
        <v>3635.1647000000003</v>
      </c>
      <c r="AB6" s="1"/>
      <c r="AC6" s="371">
        <f>IF(AA6&gt;0,1,"")</f>
        <v>1</v>
      </c>
      <c r="AD6" s="442">
        <f t="shared" si="2"/>
        <v>1.8967726063135926</v>
      </c>
    </row>
    <row r="7" spans="2:30" ht="12.75" customHeight="1">
      <c r="B7" s="208" t="s">
        <v>282</v>
      </c>
      <c r="C7" s="376" t="s">
        <v>450</v>
      </c>
      <c r="D7" s="372" t="s">
        <v>517</v>
      </c>
      <c r="E7" s="383" t="s">
        <v>555</v>
      </c>
      <c r="F7" s="433">
        <v>45856</v>
      </c>
      <c r="G7" s="1"/>
      <c r="H7" s="387">
        <v>1916.5</v>
      </c>
      <c r="I7" s="434">
        <v>4</v>
      </c>
      <c r="J7" s="210">
        <f t="shared" si="3"/>
        <v>1916.5</v>
      </c>
      <c r="K7" s="1"/>
      <c r="L7" s="211"/>
      <c r="M7" s="209"/>
      <c r="N7" s="209"/>
      <c r="O7" s="387">
        <v>212.92315000000002</v>
      </c>
      <c r="P7" s="209">
        <v>159.64445000000001</v>
      </c>
      <c r="Q7" s="209">
        <v>153.32</v>
      </c>
      <c r="R7" s="209"/>
      <c r="S7" s="209"/>
      <c r="T7" s="209">
        <v>330.01</v>
      </c>
      <c r="U7" s="435">
        <v>9.5299999999999994</v>
      </c>
      <c r="V7" s="435">
        <v>520</v>
      </c>
      <c r="W7" s="209">
        <v>86.25</v>
      </c>
      <c r="X7" s="209"/>
      <c r="Y7" s="435">
        <v>6.9</v>
      </c>
      <c r="Z7" s="1"/>
      <c r="AA7" s="212">
        <f t="shared" si="0"/>
        <v>3395.0776000000005</v>
      </c>
      <c r="AB7" s="1"/>
      <c r="AC7" s="371">
        <f t="shared" ref="AC7:AC70" si="4">IF(AA7&gt;0,1,"")</f>
        <v>1</v>
      </c>
      <c r="AD7" s="442">
        <f t="shared" si="2"/>
        <v>1.7714988781633187</v>
      </c>
    </row>
    <row r="8" spans="2:30" ht="12.75" customHeight="1">
      <c r="B8" s="208" t="s">
        <v>282</v>
      </c>
      <c r="C8" s="374" t="s">
        <v>452</v>
      </c>
      <c r="D8" s="372" t="s">
        <v>517</v>
      </c>
      <c r="E8" s="383" t="s">
        <v>555</v>
      </c>
      <c r="F8" s="433"/>
      <c r="G8" s="1"/>
      <c r="H8" s="387">
        <v>1916.5</v>
      </c>
      <c r="I8" s="434">
        <v>4</v>
      </c>
      <c r="J8" s="210">
        <f t="shared" si="3"/>
        <v>1916.5</v>
      </c>
      <c r="K8" s="1"/>
      <c r="L8" s="211"/>
      <c r="M8" s="209"/>
      <c r="N8" s="209"/>
      <c r="O8" s="387">
        <v>212.92315000000002</v>
      </c>
      <c r="P8" s="209">
        <v>159.64445000000001</v>
      </c>
      <c r="Q8" s="209">
        <v>153.32</v>
      </c>
      <c r="R8" s="209"/>
      <c r="S8" s="209"/>
      <c r="T8" s="209">
        <v>330.01</v>
      </c>
      <c r="U8" s="435">
        <v>9.5299999999999994</v>
      </c>
      <c r="V8" s="435">
        <v>520</v>
      </c>
      <c r="W8" s="209">
        <v>86.25</v>
      </c>
      <c r="X8" s="209"/>
      <c r="Y8" s="435">
        <v>6.9</v>
      </c>
      <c r="Z8" s="1"/>
      <c r="AA8" s="212">
        <f t="shared" si="0"/>
        <v>3395.0776000000005</v>
      </c>
      <c r="AB8" s="1"/>
      <c r="AC8" s="371">
        <f t="shared" si="4"/>
        <v>1</v>
      </c>
      <c r="AD8" s="442">
        <f t="shared" si="2"/>
        <v>1.7714988781633187</v>
      </c>
    </row>
    <row r="9" spans="2:30" ht="12.75" customHeight="1">
      <c r="B9" s="208" t="s">
        <v>282</v>
      </c>
      <c r="C9" s="376" t="s">
        <v>452</v>
      </c>
      <c r="D9" s="372" t="s">
        <v>517</v>
      </c>
      <c r="E9" s="383" t="s">
        <v>555</v>
      </c>
      <c r="F9" s="433"/>
      <c r="G9" s="1"/>
      <c r="H9" s="387">
        <v>1916.5</v>
      </c>
      <c r="I9" s="434">
        <v>4</v>
      </c>
      <c r="J9" s="210">
        <f t="shared" si="3"/>
        <v>1916.5</v>
      </c>
      <c r="K9" s="1"/>
      <c r="L9" s="211"/>
      <c r="M9" s="209"/>
      <c r="N9" s="209"/>
      <c r="O9" s="387">
        <v>212.92315000000002</v>
      </c>
      <c r="P9" s="209">
        <v>159.64445000000001</v>
      </c>
      <c r="Q9" s="209">
        <v>153.32</v>
      </c>
      <c r="R9" s="209"/>
      <c r="S9" s="209"/>
      <c r="T9" s="209">
        <v>200</v>
      </c>
      <c r="U9" s="435">
        <v>9.5299999999999994</v>
      </c>
      <c r="V9" s="435">
        <v>520</v>
      </c>
      <c r="W9" s="209">
        <v>86.25</v>
      </c>
      <c r="X9" s="209"/>
      <c r="Y9" s="435">
        <v>6.9</v>
      </c>
      <c r="Z9" s="1"/>
      <c r="AA9" s="212">
        <f t="shared" si="0"/>
        <v>3265.0676000000008</v>
      </c>
      <c r="AB9" s="1"/>
      <c r="AC9" s="371">
        <f t="shared" si="4"/>
        <v>1</v>
      </c>
      <c r="AD9" s="442">
        <f t="shared" si="2"/>
        <v>1.7036616749282549</v>
      </c>
    </row>
    <row r="10" spans="2:30" ht="12.75" customHeight="1">
      <c r="B10" s="208" t="s">
        <v>282</v>
      </c>
      <c r="C10" s="376" t="s">
        <v>452</v>
      </c>
      <c r="D10" s="372" t="s">
        <v>518</v>
      </c>
      <c r="E10" s="382" t="s">
        <v>556</v>
      </c>
      <c r="F10" s="433"/>
      <c r="G10" s="1"/>
      <c r="H10" s="387">
        <v>1998.5</v>
      </c>
      <c r="I10" s="434">
        <v>4</v>
      </c>
      <c r="J10" s="210">
        <f t="shared" si="3"/>
        <v>1998.5</v>
      </c>
      <c r="K10" s="1"/>
      <c r="L10" s="211"/>
      <c r="M10" s="209"/>
      <c r="N10" s="209"/>
      <c r="O10" s="387">
        <v>212.92315000000002</v>
      </c>
      <c r="P10" s="209">
        <v>166.47505000000001</v>
      </c>
      <c r="Q10" s="209">
        <v>159.88</v>
      </c>
      <c r="R10" s="209"/>
      <c r="S10" s="209">
        <v>168.26</v>
      </c>
      <c r="T10" s="209">
        <v>325.09000000000003</v>
      </c>
      <c r="U10" s="435">
        <v>9.5299999999999994</v>
      </c>
      <c r="V10" s="435">
        <v>520</v>
      </c>
      <c r="W10" s="209">
        <v>86.25</v>
      </c>
      <c r="X10" s="209"/>
      <c r="Y10" s="435">
        <v>6.9</v>
      </c>
      <c r="Z10" s="1"/>
      <c r="AA10" s="212">
        <f t="shared" si="0"/>
        <v>3653.8082000000004</v>
      </c>
      <c r="AB10" s="1"/>
      <c r="AC10" s="371">
        <f t="shared" si="4"/>
        <v>1</v>
      </c>
      <c r="AD10" s="442">
        <f t="shared" si="2"/>
        <v>1.82827530647986</v>
      </c>
    </row>
    <row r="11" spans="2:30" ht="12.75" customHeight="1">
      <c r="B11" s="208" t="s">
        <v>282</v>
      </c>
      <c r="C11" s="374" t="s">
        <v>451</v>
      </c>
      <c r="D11" s="372" t="s">
        <v>566</v>
      </c>
      <c r="E11" s="382" t="s">
        <v>556</v>
      </c>
      <c r="F11" s="433">
        <v>45670</v>
      </c>
      <c r="G11" s="1"/>
      <c r="H11" s="387">
        <v>1998.5</v>
      </c>
      <c r="I11" s="434">
        <v>4</v>
      </c>
      <c r="J11" s="210">
        <f t="shared" si="3"/>
        <v>1998.5</v>
      </c>
      <c r="K11" s="1"/>
      <c r="L11" s="211"/>
      <c r="M11" s="209"/>
      <c r="N11" s="209"/>
      <c r="O11" s="387">
        <v>212.92315000000002</v>
      </c>
      <c r="P11" s="209">
        <v>166.47505000000001</v>
      </c>
      <c r="Q11" s="209">
        <v>159.88</v>
      </c>
      <c r="R11" s="209"/>
      <c r="S11" s="209">
        <v>445.64</v>
      </c>
      <c r="T11" s="209">
        <v>325.09000000000003</v>
      </c>
      <c r="U11" s="435">
        <v>9.5299999999999994</v>
      </c>
      <c r="V11" s="435">
        <v>520</v>
      </c>
      <c r="W11" s="209">
        <v>86.25</v>
      </c>
      <c r="X11" s="209"/>
      <c r="Y11" s="435">
        <v>6.9</v>
      </c>
      <c r="Z11" s="1"/>
      <c r="AA11" s="212">
        <f t="shared" si="0"/>
        <v>3931.1882000000005</v>
      </c>
      <c r="AB11" s="1"/>
      <c r="AC11" s="371">
        <f t="shared" si="4"/>
        <v>1</v>
      </c>
      <c r="AD11" s="442">
        <f t="shared" si="2"/>
        <v>1.9670694020515389</v>
      </c>
    </row>
    <row r="12" spans="2:30" ht="12.75" customHeight="1">
      <c r="B12" s="208" t="s">
        <v>282</v>
      </c>
      <c r="C12" s="374" t="s">
        <v>452</v>
      </c>
      <c r="D12" s="372" t="s">
        <v>518</v>
      </c>
      <c r="E12" s="382" t="s">
        <v>556</v>
      </c>
      <c r="F12" s="433"/>
      <c r="G12" s="1"/>
      <c r="H12" s="387">
        <v>1998.5</v>
      </c>
      <c r="I12" s="434">
        <v>4</v>
      </c>
      <c r="J12" s="210">
        <f t="shared" si="3"/>
        <v>1998.5</v>
      </c>
      <c r="K12" s="1"/>
      <c r="L12" s="211"/>
      <c r="M12" s="209"/>
      <c r="N12" s="209"/>
      <c r="O12" s="387">
        <v>212.92315000000002</v>
      </c>
      <c r="P12" s="209">
        <v>166.47505000000001</v>
      </c>
      <c r="Q12" s="209">
        <v>159.88</v>
      </c>
      <c r="R12" s="209"/>
      <c r="S12" s="209"/>
      <c r="T12" s="209">
        <v>325.09000000000003</v>
      </c>
      <c r="U12" s="435">
        <v>9.5299999999999994</v>
      </c>
      <c r="V12" s="435">
        <v>520</v>
      </c>
      <c r="W12" s="209">
        <v>86.25</v>
      </c>
      <c r="X12" s="209"/>
      <c r="Y12" s="435">
        <v>6.9</v>
      </c>
      <c r="Z12" s="1"/>
      <c r="AA12" s="212">
        <f t="shared" si="0"/>
        <v>3485.5482000000006</v>
      </c>
      <c r="AB12" s="1"/>
      <c r="AC12" s="371">
        <f t="shared" si="4"/>
        <v>1</v>
      </c>
      <c r="AD12" s="442">
        <f t="shared" si="2"/>
        <v>1.7440821616212163</v>
      </c>
    </row>
    <row r="13" spans="2:30" ht="12.75" customHeight="1">
      <c r="B13" s="208" t="s">
        <v>282</v>
      </c>
      <c r="C13" s="377" t="s">
        <v>452</v>
      </c>
      <c r="D13" s="372" t="s">
        <v>567</v>
      </c>
      <c r="E13" s="382" t="s">
        <v>556</v>
      </c>
      <c r="F13" s="433"/>
      <c r="G13" s="1"/>
      <c r="H13" s="387">
        <v>1998.5</v>
      </c>
      <c r="I13" s="434">
        <v>4</v>
      </c>
      <c r="J13" s="210">
        <f t="shared" si="3"/>
        <v>1998.5</v>
      </c>
      <c r="K13" s="1"/>
      <c r="L13" s="211"/>
      <c r="M13" s="209"/>
      <c r="N13" s="209"/>
      <c r="O13" s="387">
        <v>212.92315000000002</v>
      </c>
      <c r="P13" s="209">
        <v>166.47505000000001</v>
      </c>
      <c r="Q13" s="209">
        <v>159.88</v>
      </c>
      <c r="R13" s="209"/>
      <c r="S13" s="209">
        <v>631.91999999999996</v>
      </c>
      <c r="T13" s="209">
        <v>325.09000000000003</v>
      </c>
      <c r="U13" s="435">
        <v>9.5299999999999994</v>
      </c>
      <c r="V13" s="435">
        <v>520</v>
      </c>
      <c r="W13" s="209">
        <v>86.25</v>
      </c>
      <c r="X13" s="209"/>
      <c r="Y13" s="435">
        <v>6.9</v>
      </c>
      <c r="Z13" s="1"/>
      <c r="AA13" s="212">
        <f t="shared" si="0"/>
        <v>4117.4682000000003</v>
      </c>
      <c r="AB13" s="1"/>
      <c r="AC13" s="371">
        <f t="shared" si="4"/>
        <v>1</v>
      </c>
      <c r="AD13" s="442">
        <f t="shared" si="2"/>
        <v>2.0602793094821119</v>
      </c>
    </row>
    <row r="14" spans="2:30" ht="12.75" customHeight="1">
      <c r="B14" s="208" t="s">
        <v>282</v>
      </c>
      <c r="C14" s="374" t="s">
        <v>453</v>
      </c>
      <c r="D14" s="372" t="s">
        <v>567</v>
      </c>
      <c r="E14" s="382" t="s">
        <v>556</v>
      </c>
      <c r="F14" s="433">
        <v>45492</v>
      </c>
      <c r="G14" s="1"/>
      <c r="H14" s="387">
        <v>1998.5</v>
      </c>
      <c r="I14" s="434">
        <v>4</v>
      </c>
      <c r="J14" s="210">
        <f t="shared" si="3"/>
        <v>1998.5</v>
      </c>
      <c r="K14" s="1"/>
      <c r="L14" s="211"/>
      <c r="M14" s="209"/>
      <c r="N14" s="209"/>
      <c r="O14" s="387">
        <v>212.92315000000002</v>
      </c>
      <c r="P14" s="209">
        <v>166.47505000000001</v>
      </c>
      <c r="Q14" s="209">
        <v>159.88</v>
      </c>
      <c r="R14" s="209"/>
      <c r="S14" s="209">
        <v>168.26</v>
      </c>
      <c r="T14" s="209">
        <v>325.09000000000003</v>
      </c>
      <c r="U14" s="435">
        <v>9.5299999999999994</v>
      </c>
      <c r="V14" s="435">
        <v>520</v>
      </c>
      <c r="W14" s="209">
        <v>86.25</v>
      </c>
      <c r="X14" s="209"/>
      <c r="Y14" s="435">
        <v>6.9</v>
      </c>
      <c r="Z14" s="1"/>
      <c r="AA14" s="212">
        <f t="shared" si="0"/>
        <v>3653.8082000000004</v>
      </c>
      <c r="AB14" s="1"/>
      <c r="AC14" s="371">
        <f t="shared" si="4"/>
        <v>1</v>
      </c>
      <c r="AD14" s="442">
        <f t="shared" si="2"/>
        <v>1.82827530647986</v>
      </c>
    </row>
    <row r="15" spans="2:30" ht="12.75" customHeight="1">
      <c r="B15" s="208" t="s">
        <v>282</v>
      </c>
      <c r="C15" s="374" t="s">
        <v>454</v>
      </c>
      <c r="D15" s="372" t="s">
        <v>567</v>
      </c>
      <c r="E15" s="382" t="s">
        <v>556</v>
      </c>
      <c r="F15" s="433">
        <v>45670</v>
      </c>
      <c r="G15" s="1"/>
      <c r="H15" s="387">
        <v>1916.5</v>
      </c>
      <c r="I15" s="434">
        <v>4</v>
      </c>
      <c r="J15" s="210">
        <f t="shared" si="3"/>
        <v>1916.5</v>
      </c>
      <c r="K15" s="1"/>
      <c r="L15" s="211"/>
      <c r="M15" s="209"/>
      <c r="N15" s="209"/>
      <c r="O15" s="387">
        <v>254.86340000000001</v>
      </c>
      <c r="P15" s="209">
        <v>159.64445000000001</v>
      </c>
      <c r="Q15" s="209">
        <v>153.32</v>
      </c>
      <c r="R15" s="209"/>
      <c r="S15" s="209">
        <v>187.95</v>
      </c>
      <c r="T15" s="209">
        <v>330.01</v>
      </c>
      <c r="U15" s="435">
        <v>9.5299999999999994</v>
      </c>
      <c r="V15" s="435">
        <v>520</v>
      </c>
      <c r="W15" s="209">
        <v>86.25</v>
      </c>
      <c r="X15" s="209"/>
      <c r="Y15" s="435">
        <v>6.9</v>
      </c>
      <c r="Z15" s="1"/>
      <c r="AA15" s="212">
        <f t="shared" si="0"/>
        <v>3624.96785</v>
      </c>
      <c r="AB15" s="1"/>
      <c r="AC15" s="371">
        <f t="shared" si="4"/>
        <v>1</v>
      </c>
      <c r="AD15" s="442">
        <f t="shared" si="2"/>
        <v>1.8914520480041743</v>
      </c>
    </row>
    <row r="16" spans="2:30" ht="12.75" customHeight="1">
      <c r="B16" s="208" t="s">
        <v>282</v>
      </c>
      <c r="C16" s="372" t="s">
        <v>455</v>
      </c>
      <c r="D16" s="374" t="s">
        <v>519</v>
      </c>
      <c r="E16" s="382" t="s">
        <v>557</v>
      </c>
      <c r="F16" s="433">
        <v>45299</v>
      </c>
      <c r="G16" s="1"/>
      <c r="H16" s="387">
        <v>1916.5</v>
      </c>
      <c r="I16" s="434">
        <v>4</v>
      </c>
      <c r="J16" s="210">
        <f t="shared" si="3"/>
        <v>1916.5</v>
      </c>
      <c r="K16" s="1"/>
      <c r="L16" s="211"/>
      <c r="M16" s="209"/>
      <c r="N16" s="209"/>
      <c r="O16" s="387">
        <v>233.7544</v>
      </c>
      <c r="P16" s="209">
        <v>159.64445000000001</v>
      </c>
      <c r="Q16" s="209">
        <v>153.32</v>
      </c>
      <c r="R16" s="209"/>
      <c r="S16" s="209">
        <v>445.64</v>
      </c>
      <c r="T16" s="209">
        <v>330.01</v>
      </c>
      <c r="U16" s="435">
        <v>9.5299999999999994</v>
      </c>
      <c r="V16" s="435">
        <v>520</v>
      </c>
      <c r="W16" s="209">
        <v>86.25</v>
      </c>
      <c r="X16" s="209"/>
      <c r="Y16" s="435">
        <v>6.9</v>
      </c>
      <c r="Z16" s="1"/>
      <c r="AA16" s="212">
        <f t="shared" si="0"/>
        <v>3861.5488500000001</v>
      </c>
      <c r="AB16" s="1"/>
      <c r="AC16" s="371">
        <f t="shared" si="4"/>
        <v>1</v>
      </c>
      <c r="AD16" s="442">
        <f t="shared" si="2"/>
        <v>2.0148963475084791</v>
      </c>
    </row>
    <row r="17" spans="2:30" ht="12.75" customHeight="1">
      <c r="B17" s="208" t="s">
        <v>282</v>
      </c>
      <c r="C17" s="374" t="s">
        <v>456</v>
      </c>
      <c r="D17" s="374" t="s">
        <v>528</v>
      </c>
      <c r="E17" s="382" t="s">
        <v>557</v>
      </c>
      <c r="F17" s="433">
        <v>45184</v>
      </c>
      <c r="G17" s="1"/>
      <c r="H17" s="387">
        <v>3050.5</v>
      </c>
      <c r="I17" s="434">
        <v>7</v>
      </c>
      <c r="J17" s="210">
        <f t="shared" si="3"/>
        <v>3050.5</v>
      </c>
      <c r="K17" s="1"/>
      <c r="L17" s="211"/>
      <c r="M17" s="209"/>
      <c r="N17" s="209"/>
      <c r="O17" s="387">
        <v>244.42000000000002</v>
      </c>
      <c r="P17" s="209">
        <v>254.10665</v>
      </c>
      <c r="Q17" s="209">
        <v>244.04</v>
      </c>
      <c r="R17" s="209"/>
      <c r="S17" s="209">
        <v>168.26</v>
      </c>
      <c r="T17" s="209">
        <v>200</v>
      </c>
      <c r="U17" s="435">
        <v>9.5299999999999994</v>
      </c>
      <c r="V17" s="435">
        <v>520</v>
      </c>
      <c r="W17" s="209">
        <v>86.25</v>
      </c>
      <c r="X17" s="209"/>
      <c r="Y17" s="435">
        <v>6.9</v>
      </c>
      <c r="Z17" s="1"/>
      <c r="AA17" s="212">
        <f t="shared" si="0"/>
        <v>4784.0066499999994</v>
      </c>
      <c r="AB17" s="1"/>
      <c r="AC17" s="371">
        <f t="shared" si="4"/>
        <v>1</v>
      </c>
      <c r="AD17" s="442">
        <f t="shared" si="2"/>
        <v>1.5682696771021143</v>
      </c>
    </row>
    <row r="18" spans="2:30" ht="12.75" customHeight="1">
      <c r="B18" s="208" t="s">
        <v>282</v>
      </c>
      <c r="C18" s="372" t="s">
        <v>457</v>
      </c>
      <c r="D18" s="374" t="s">
        <v>528</v>
      </c>
      <c r="E18" s="382" t="s">
        <v>557</v>
      </c>
      <c r="F18" s="433">
        <v>44685</v>
      </c>
      <c r="G18" s="1"/>
      <c r="H18" s="387">
        <v>3050.5</v>
      </c>
      <c r="I18" s="434">
        <v>8</v>
      </c>
      <c r="J18" s="210">
        <f t="shared" si="3"/>
        <v>3050.5</v>
      </c>
      <c r="K18" s="1"/>
      <c r="L18" s="211"/>
      <c r="M18" s="209"/>
      <c r="N18" s="209"/>
      <c r="O18" s="387">
        <v>325.57855000000001</v>
      </c>
      <c r="P18" s="209">
        <v>254.10665</v>
      </c>
      <c r="Q18" s="209">
        <v>244.04</v>
      </c>
      <c r="R18" s="209"/>
      <c r="S18" s="209">
        <v>168.26</v>
      </c>
      <c r="T18" s="209">
        <v>261.97000000000003</v>
      </c>
      <c r="U18" s="435">
        <v>9.5299999999999994</v>
      </c>
      <c r="V18" s="435">
        <v>520</v>
      </c>
      <c r="W18" s="209">
        <v>86.25</v>
      </c>
      <c r="X18" s="209"/>
      <c r="Y18" s="435">
        <v>6.9</v>
      </c>
      <c r="Z18" s="1"/>
      <c r="AA18" s="212">
        <f t="shared" si="0"/>
        <v>4927.1351999999997</v>
      </c>
      <c r="AB18" s="1"/>
      <c r="AC18" s="371">
        <f t="shared" si="4"/>
        <v>1</v>
      </c>
      <c r="AD18" s="442">
        <f t="shared" si="2"/>
        <v>1.6151893787903622</v>
      </c>
    </row>
    <row r="19" spans="2:30" ht="12.75" customHeight="1">
      <c r="B19" s="208" t="s">
        <v>282</v>
      </c>
      <c r="C19" s="372" t="s">
        <v>458</v>
      </c>
      <c r="D19" s="374" t="s">
        <v>528</v>
      </c>
      <c r="E19" s="382" t="s">
        <v>557</v>
      </c>
      <c r="F19" s="433">
        <v>44784</v>
      </c>
      <c r="G19" s="1"/>
      <c r="H19" s="387">
        <v>3050.5</v>
      </c>
      <c r="I19" s="434">
        <v>7</v>
      </c>
      <c r="J19" s="210">
        <f t="shared" si="3"/>
        <v>3050.5</v>
      </c>
      <c r="K19" s="1"/>
      <c r="L19" s="211"/>
      <c r="M19" s="209"/>
      <c r="N19" s="209"/>
      <c r="O19" s="387">
        <v>325.57855000000001</v>
      </c>
      <c r="P19" s="209">
        <v>254.10665</v>
      </c>
      <c r="Q19" s="209">
        <v>244.04</v>
      </c>
      <c r="R19" s="209"/>
      <c r="S19" s="209">
        <v>168.26</v>
      </c>
      <c r="T19" s="209">
        <v>261.97000000000003</v>
      </c>
      <c r="U19" s="435">
        <v>9.5299999999999994</v>
      </c>
      <c r="V19" s="435">
        <v>520</v>
      </c>
      <c r="W19" s="209">
        <v>86.25</v>
      </c>
      <c r="X19" s="209"/>
      <c r="Y19" s="435">
        <v>6.9</v>
      </c>
      <c r="Z19" s="1"/>
      <c r="AA19" s="212">
        <f t="shared" si="0"/>
        <v>4927.1351999999997</v>
      </c>
      <c r="AB19" s="1"/>
      <c r="AC19" s="371">
        <f t="shared" si="4"/>
        <v>1</v>
      </c>
      <c r="AD19" s="442">
        <f t="shared" si="2"/>
        <v>1.6151893787903622</v>
      </c>
    </row>
    <row r="20" spans="2:30" ht="12.75" customHeight="1">
      <c r="B20" s="208" t="s">
        <v>282</v>
      </c>
      <c r="C20" s="372" t="s">
        <v>459</v>
      </c>
      <c r="D20" s="374" t="s">
        <v>529</v>
      </c>
      <c r="E20" s="382" t="s">
        <v>557</v>
      </c>
      <c r="F20" s="433">
        <v>45388</v>
      </c>
      <c r="G20" s="1"/>
      <c r="H20" s="387">
        <v>2867</v>
      </c>
      <c r="I20" s="434">
        <v>6</v>
      </c>
      <c r="J20" s="210">
        <f t="shared" si="3"/>
        <v>2867</v>
      </c>
      <c r="K20" s="1"/>
      <c r="L20" s="211"/>
      <c r="M20" s="209"/>
      <c r="N20" s="209"/>
      <c r="O20" s="387">
        <v>325.57855000000001</v>
      </c>
      <c r="P20" s="209">
        <v>238.8211</v>
      </c>
      <c r="Q20" s="209">
        <v>229.36</v>
      </c>
      <c r="R20" s="209"/>
      <c r="S20" s="209">
        <v>168.26</v>
      </c>
      <c r="T20" s="209">
        <v>272.98</v>
      </c>
      <c r="U20" s="435">
        <v>9.5299999999999994</v>
      </c>
      <c r="V20" s="435">
        <v>520</v>
      </c>
      <c r="W20" s="209">
        <v>86.25</v>
      </c>
      <c r="X20" s="209"/>
      <c r="Y20" s="435">
        <v>6.9</v>
      </c>
      <c r="Z20" s="1"/>
      <c r="AA20" s="212">
        <f t="shared" si="0"/>
        <v>4724.6796499999991</v>
      </c>
      <c r="AB20" s="1"/>
      <c r="AC20" s="371">
        <f t="shared" si="4"/>
        <v>1</v>
      </c>
      <c r="AD20" s="442">
        <f t="shared" si="2"/>
        <v>1.6479524415765605</v>
      </c>
    </row>
    <row r="21" spans="2:30" ht="12.75" customHeight="1">
      <c r="B21" s="208" t="s">
        <v>282</v>
      </c>
      <c r="C21" s="374" t="s">
        <v>460</v>
      </c>
      <c r="D21" s="374" t="s">
        <v>529</v>
      </c>
      <c r="E21" s="382" t="s">
        <v>557</v>
      </c>
      <c r="F21" s="433">
        <v>45397</v>
      </c>
      <c r="G21" s="1"/>
      <c r="H21" s="387">
        <v>2867</v>
      </c>
      <c r="I21" s="434">
        <v>6</v>
      </c>
      <c r="J21" s="210">
        <f t="shared" si="3"/>
        <v>2867</v>
      </c>
      <c r="K21" s="1"/>
      <c r="L21" s="211"/>
      <c r="M21" s="209"/>
      <c r="N21" s="209"/>
      <c r="O21" s="387">
        <v>325.57855000000001</v>
      </c>
      <c r="P21" s="209">
        <v>238.8211</v>
      </c>
      <c r="Q21" s="209">
        <v>229.36</v>
      </c>
      <c r="R21" s="209"/>
      <c r="S21" s="209">
        <v>143.33000000000001</v>
      </c>
      <c r="T21" s="209">
        <v>350</v>
      </c>
      <c r="U21" s="435">
        <v>9.5299999999999994</v>
      </c>
      <c r="V21" s="435">
        <v>520</v>
      </c>
      <c r="W21" s="209">
        <v>86.25</v>
      </c>
      <c r="X21" s="209"/>
      <c r="Y21" s="435">
        <v>6.9</v>
      </c>
      <c r="Z21" s="1"/>
      <c r="AA21" s="212">
        <f t="shared" si="0"/>
        <v>4776.7696499999993</v>
      </c>
      <c r="AB21" s="1"/>
      <c r="AC21" s="371">
        <f t="shared" si="4"/>
        <v>1</v>
      </c>
      <c r="AD21" s="442">
        <f t="shared" si="2"/>
        <v>1.6661212591559118</v>
      </c>
    </row>
    <row r="22" spans="2:30" ht="12.75" customHeight="1">
      <c r="B22" s="208" t="s">
        <v>282</v>
      </c>
      <c r="C22" s="374" t="s">
        <v>461</v>
      </c>
      <c r="D22" s="374" t="s">
        <v>529</v>
      </c>
      <c r="E22" s="384" t="s">
        <v>557</v>
      </c>
      <c r="F22" s="433">
        <v>45709</v>
      </c>
      <c r="G22" s="1"/>
      <c r="H22" s="387">
        <v>1916.5</v>
      </c>
      <c r="I22" s="434">
        <v>4</v>
      </c>
      <c r="J22" s="210">
        <f t="shared" si="3"/>
        <v>1916.5</v>
      </c>
      <c r="K22" s="1"/>
      <c r="L22" s="211"/>
      <c r="M22" s="209"/>
      <c r="N22" s="209"/>
      <c r="O22" s="387">
        <v>325.57855000000001</v>
      </c>
      <c r="P22" s="209">
        <v>159.64445000000001</v>
      </c>
      <c r="Q22" s="209">
        <v>153.32</v>
      </c>
      <c r="R22" s="209"/>
      <c r="S22" s="209">
        <v>143.33000000000001</v>
      </c>
      <c r="T22" s="209">
        <v>330.01</v>
      </c>
      <c r="U22" s="435">
        <v>9.5299999999999994</v>
      </c>
      <c r="V22" s="435">
        <v>520</v>
      </c>
      <c r="W22" s="209">
        <v>86.25</v>
      </c>
      <c r="X22" s="209"/>
      <c r="Y22" s="435">
        <v>6.9</v>
      </c>
      <c r="Z22" s="1"/>
      <c r="AA22" s="212">
        <f t="shared" si="0"/>
        <v>3651.0630000000001</v>
      </c>
      <c r="AB22" s="1"/>
      <c r="AC22" s="371">
        <f t="shared" si="4"/>
        <v>1</v>
      </c>
      <c r="AD22" s="442">
        <f t="shared" si="2"/>
        <v>1.9050680928776416</v>
      </c>
    </row>
    <row r="23" spans="2:30" ht="12.75" customHeight="1">
      <c r="B23" s="208" t="s">
        <v>282</v>
      </c>
      <c r="C23" s="373" t="s">
        <v>462</v>
      </c>
      <c r="D23" s="374" t="s">
        <v>529</v>
      </c>
      <c r="E23" s="382" t="s">
        <v>557</v>
      </c>
      <c r="F23" s="433">
        <v>45387</v>
      </c>
      <c r="G23" s="1"/>
      <c r="H23" s="387">
        <v>2867</v>
      </c>
      <c r="I23" s="434">
        <v>6</v>
      </c>
      <c r="J23" s="210">
        <f t="shared" si="3"/>
        <v>2867</v>
      </c>
      <c r="K23" s="1"/>
      <c r="L23" s="211"/>
      <c r="M23" s="209"/>
      <c r="N23" s="209"/>
      <c r="O23" s="387">
        <v>325.57855000000001</v>
      </c>
      <c r="P23" s="209">
        <v>238.8211</v>
      </c>
      <c r="Q23" s="209">
        <v>229.36</v>
      </c>
      <c r="R23" s="209"/>
      <c r="S23" s="209">
        <v>143.33000000000001</v>
      </c>
      <c r="T23" s="209">
        <v>272.98</v>
      </c>
      <c r="U23" s="435">
        <v>9.5299999999999994</v>
      </c>
      <c r="V23" s="435">
        <v>520</v>
      </c>
      <c r="W23" s="209">
        <v>86.25</v>
      </c>
      <c r="X23" s="209"/>
      <c r="Y23" s="435">
        <v>6.9</v>
      </c>
      <c r="Z23" s="1"/>
      <c r="AA23" s="212">
        <f t="shared" si="0"/>
        <v>4699.7496499999997</v>
      </c>
      <c r="AB23" s="1"/>
      <c r="AC23" s="371">
        <f t="shared" si="4"/>
        <v>1</v>
      </c>
      <c r="AD23" s="442">
        <f t="shared" si="2"/>
        <v>1.6392569410533657</v>
      </c>
    </row>
    <row r="24" spans="2:30" ht="12.75" customHeight="1">
      <c r="B24" s="208" t="s">
        <v>282</v>
      </c>
      <c r="C24" s="378" t="s">
        <v>463</v>
      </c>
      <c r="D24" s="374" t="s">
        <v>530</v>
      </c>
      <c r="E24" s="382" t="s">
        <v>557</v>
      </c>
      <c r="F24" s="433">
        <v>45386</v>
      </c>
      <c r="G24" s="1"/>
      <c r="H24" s="387">
        <v>2548.5</v>
      </c>
      <c r="I24" s="434">
        <v>4</v>
      </c>
      <c r="J24" s="210">
        <f t="shared" si="3"/>
        <v>2548.5</v>
      </c>
      <c r="K24" s="1"/>
      <c r="L24" s="211"/>
      <c r="M24" s="209"/>
      <c r="N24" s="209"/>
      <c r="O24" s="387">
        <v>325.57855000000001</v>
      </c>
      <c r="P24" s="209">
        <v>212.29005000000001</v>
      </c>
      <c r="Q24" s="209">
        <v>203.88</v>
      </c>
      <c r="R24" s="209"/>
      <c r="S24" s="209">
        <v>168.26</v>
      </c>
      <c r="T24" s="209">
        <v>200</v>
      </c>
      <c r="U24" s="435">
        <v>9.5299999999999994</v>
      </c>
      <c r="V24" s="435">
        <v>520</v>
      </c>
      <c r="W24" s="209">
        <v>86.25</v>
      </c>
      <c r="X24" s="209"/>
      <c r="Y24" s="435">
        <v>6.9</v>
      </c>
      <c r="Z24" s="1"/>
      <c r="AA24" s="212">
        <f t="shared" si="0"/>
        <v>4281.1885999999995</v>
      </c>
      <c r="AB24" s="1"/>
      <c r="AC24" s="371">
        <f t="shared" si="4"/>
        <v>1</v>
      </c>
      <c r="AD24" s="442">
        <f t="shared" si="2"/>
        <v>1.6798856582303314</v>
      </c>
    </row>
    <row r="25" spans="2:30" ht="12.75" customHeight="1">
      <c r="B25" s="208" t="s">
        <v>282</v>
      </c>
      <c r="C25" s="374" t="s">
        <v>464</v>
      </c>
      <c r="D25" s="374" t="s">
        <v>520</v>
      </c>
      <c r="E25" s="384" t="s">
        <v>558</v>
      </c>
      <c r="F25" s="433">
        <v>45125</v>
      </c>
      <c r="G25" s="1"/>
      <c r="H25" s="387">
        <v>3261</v>
      </c>
      <c r="I25" s="434">
        <v>10</v>
      </c>
      <c r="J25" s="210">
        <f t="shared" si="3"/>
        <v>3261</v>
      </c>
      <c r="K25" s="1"/>
      <c r="L25" s="211"/>
      <c r="M25" s="209"/>
      <c r="N25" s="209"/>
      <c r="O25" s="387">
        <v>325.57855000000001</v>
      </c>
      <c r="P25" s="209">
        <v>271.6413</v>
      </c>
      <c r="Q25" s="209">
        <v>260.88</v>
      </c>
      <c r="R25" s="209"/>
      <c r="S25" s="209">
        <v>187.95</v>
      </c>
      <c r="T25" s="209">
        <v>200</v>
      </c>
      <c r="U25" s="435">
        <v>9.5299999999999994</v>
      </c>
      <c r="V25" s="435">
        <v>520</v>
      </c>
      <c r="W25" s="209">
        <v>86.25</v>
      </c>
      <c r="X25" s="209"/>
      <c r="Y25" s="435">
        <v>6.9</v>
      </c>
      <c r="Z25" s="1"/>
      <c r="AA25" s="212">
        <f t="shared" si="0"/>
        <v>5129.7298499999997</v>
      </c>
      <c r="AB25" s="1"/>
      <c r="AC25" s="371">
        <f t="shared" si="4"/>
        <v>1</v>
      </c>
      <c r="AD25" s="442">
        <f t="shared" si="2"/>
        <v>1.5730542318307268</v>
      </c>
    </row>
    <row r="26" spans="2:30" ht="12.75" customHeight="1">
      <c r="B26" s="208" t="s">
        <v>282</v>
      </c>
      <c r="C26" s="375" t="s">
        <v>465</v>
      </c>
      <c r="D26" s="374" t="s">
        <v>520</v>
      </c>
      <c r="E26" s="384" t="s">
        <v>558</v>
      </c>
      <c r="F26" s="433">
        <v>45121</v>
      </c>
      <c r="G26" s="1"/>
      <c r="H26" s="387">
        <v>3261</v>
      </c>
      <c r="I26" s="434">
        <v>10</v>
      </c>
      <c r="J26" s="210">
        <f t="shared" si="3"/>
        <v>3261</v>
      </c>
      <c r="K26" s="1"/>
      <c r="L26" s="211"/>
      <c r="M26" s="209"/>
      <c r="N26" s="209"/>
      <c r="O26" s="387">
        <v>325.57855000000001</v>
      </c>
      <c r="P26" s="209">
        <v>271.6413</v>
      </c>
      <c r="Q26" s="209">
        <v>260.88</v>
      </c>
      <c r="R26" s="209"/>
      <c r="S26" s="209">
        <v>168.26</v>
      </c>
      <c r="T26" s="209">
        <v>249.34</v>
      </c>
      <c r="U26" s="435">
        <v>9.5299999999999994</v>
      </c>
      <c r="V26" s="435">
        <v>520</v>
      </c>
      <c r="W26" s="209">
        <v>86.25</v>
      </c>
      <c r="X26" s="209"/>
      <c r="Y26" s="435">
        <v>6.9</v>
      </c>
      <c r="Z26" s="1"/>
      <c r="AA26" s="212">
        <f t="shared" si="0"/>
        <v>5159.3798500000003</v>
      </c>
      <c r="AB26" s="1"/>
      <c r="AC26" s="371">
        <f t="shared" si="4"/>
        <v>1</v>
      </c>
      <c r="AD26" s="442">
        <f t="shared" si="2"/>
        <v>1.5821465348052746</v>
      </c>
    </row>
    <row r="27" spans="2:30" ht="12.75" customHeight="1">
      <c r="B27" s="208" t="s">
        <v>282</v>
      </c>
      <c r="C27" s="375" t="s">
        <v>466</v>
      </c>
      <c r="D27" s="373" t="s">
        <v>520</v>
      </c>
      <c r="E27" s="385" t="s">
        <v>558</v>
      </c>
      <c r="F27" s="433">
        <v>44784</v>
      </c>
      <c r="G27" s="1"/>
      <c r="H27" s="387">
        <v>3261</v>
      </c>
      <c r="I27" s="434">
        <v>10</v>
      </c>
      <c r="J27" s="210">
        <f t="shared" si="3"/>
        <v>3261</v>
      </c>
      <c r="K27" s="1"/>
      <c r="L27" s="211"/>
      <c r="M27" s="209"/>
      <c r="N27" s="209"/>
      <c r="O27" s="387">
        <v>325.57855000000001</v>
      </c>
      <c r="P27" s="209">
        <v>271.6413</v>
      </c>
      <c r="Q27" s="209">
        <v>260.88</v>
      </c>
      <c r="R27" s="209"/>
      <c r="S27" s="209">
        <v>143.33000000000001</v>
      </c>
      <c r="T27" s="209">
        <v>200</v>
      </c>
      <c r="U27" s="435">
        <v>9.5299999999999994</v>
      </c>
      <c r="V27" s="435">
        <v>520</v>
      </c>
      <c r="W27" s="209">
        <v>86.25</v>
      </c>
      <c r="X27" s="209"/>
      <c r="Y27" s="435">
        <v>6.9</v>
      </c>
      <c r="Z27" s="1"/>
      <c r="AA27" s="212">
        <f t="shared" si="0"/>
        <v>5085.1098499999998</v>
      </c>
      <c r="AB27" s="1"/>
      <c r="AC27" s="371">
        <f t="shared" si="4"/>
        <v>1</v>
      </c>
      <c r="AD27" s="442">
        <f t="shared" si="2"/>
        <v>1.5593713124808339</v>
      </c>
    </row>
    <row r="28" spans="2:30" ht="12.75" customHeight="1">
      <c r="B28" s="208" t="s">
        <v>282</v>
      </c>
      <c r="C28" s="375" t="s">
        <v>467</v>
      </c>
      <c r="D28" s="373" t="s">
        <v>531</v>
      </c>
      <c r="E28" s="384" t="s">
        <v>555</v>
      </c>
      <c r="F28" s="433">
        <v>45792</v>
      </c>
      <c r="G28" s="1"/>
      <c r="H28" s="387">
        <v>3526.5</v>
      </c>
      <c r="I28" s="434">
        <v>6</v>
      </c>
      <c r="J28" s="210">
        <f t="shared" si="3"/>
        <v>3526.5</v>
      </c>
      <c r="K28" s="1"/>
      <c r="L28" s="211"/>
      <c r="M28" s="209"/>
      <c r="N28" s="209"/>
      <c r="O28" s="387">
        <v>325.57855000000001</v>
      </c>
      <c r="P28" s="209">
        <v>293.75745000000001</v>
      </c>
      <c r="Q28" s="209">
        <v>282.12</v>
      </c>
      <c r="R28" s="209"/>
      <c r="S28" s="209"/>
      <c r="T28" s="209">
        <v>200</v>
      </c>
      <c r="U28" s="435">
        <v>9.5299999999999994</v>
      </c>
      <c r="V28" s="435">
        <v>520</v>
      </c>
      <c r="W28" s="209">
        <v>86.25</v>
      </c>
      <c r="X28" s="209"/>
      <c r="Y28" s="435">
        <v>6.9</v>
      </c>
      <c r="Z28" s="1"/>
      <c r="AA28" s="212">
        <f t="shared" si="0"/>
        <v>5250.6359999999995</v>
      </c>
      <c r="AB28" s="1"/>
      <c r="AC28" s="371">
        <f t="shared" si="4"/>
        <v>1</v>
      </c>
      <c r="AD28" s="442">
        <f t="shared" si="2"/>
        <v>1.4889085495533814</v>
      </c>
    </row>
    <row r="29" spans="2:30" ht="12.75" customHeight="1">
      <c r="B29" s="208" t="s">
        <v>282</v>
      </c>
      <c r="C29" s="374" t="s">
        <v>468</v>
      </c>
      <c r="D29" s="373" t="s">
        <v>532</v>
      </c>
      <c r="E29" s="384" t="s">
        <v>555</v>
      </c>
      <c r="F29" s="433">
        <v>45792</v>
      </c>
      <c r="G29" s="1"/>
      <c r="H29" s="387">
        <v>2521.5</v>
      </c>
      <c r="I29" s="434">
        <v>5</v>
      </c>
      <c r="J29" s="210">
        <f t="shared" si="3"/>
        <v>2521.5</v>
      </c>
      <c r="K29" s="1"/>
      <c r="L29" s="211"/>
      <c r="M29" s="209"/>
      <c r="N29" s="209"/>
      <c r="O29" s="387">
        <v>244.42000000000002</v>
      </c>
      <c r="P29" s="209">
        <v>210.04095000000001</v>
      </c>
      <c r="Q29" s="209">
        <v>201.72</v>
      </c>
      <c r="R29" s="209"/>
      <c r="S29" s="209"/>
      <c r="T29" s="209">
        <v>293.71000000000004</v>
      </c>
      <c r="U29" s="435">
        <v>9.5299999999999994</v>
      </c>
      <c r="V29" s="435">
        <v>520</v>
      </c>
      <c r="W29" s="209">
        <v>86.25</v>
      </c>
      <c r="X29" s="209"/>
      <c r="Y29" s="435">
        <v>6.9</v>
      </c>
      <c r="Z29" s="1"/>
      <c r="AA29" s="212">
        <f t="shared" si="0"/>
        <v>4094.0709500000003</v>
      </c>
      <c r="AB29" s="1"/>
      <c r="AC29" s="371">
        <f t="shared" si="4"/>
        <v>1</v>
      </c>
      <c r="AD29" s="442">
        <f t="shared" si="2"/>
        <v>1.6236648621852072</v>
      </c>
    </row>
    <row r="30" spans="2:30" ht="12.75" customHeight="1">
      <c r="B30" s="208" t="s">
        <v>282</v>
      </c>
      <c r="C30" s="374" t="s">
        <v>452</v>
      </c>
      <c r="D30" s="373" t="s">
        <v>532</v>
      </c>
      <c r="E30" s="384" t="s">
        <v>555</v>
      </c>
      <c r="F30" s="433"/>
      <c r="G30" s="1"/>
      <c r="H30" s="387">
        <v>2521.5</v>
      </c>
      <c r="I30" s="434">
        <v>5</v>
      </c>
      <c r="J30" s="210">
        <f t="shared" si="3"/>
        <v>2521.5</v>
      </c>
      <c r="K30" s="1"/>
      <c r="L30" s="211"/>
      <c r="M30" s="209"/>
      <c r="N30" s="209"/>
      <c r="O30" s="387">
        <v>244.42000000000002</v>
      </c>
      <c r="P30" s="209">
        <v>210.04095000000001</v>
      </c>
      <c r="Q30" s="209">
        <v>201.72</v>
      </c>
      <c r="R30" s="209"/>
      <c r="S30" s="209">
        <v>248.88</v>
      </c>
      <c r="T30" s="76">
        <v>0</v>
      </c>
      <c r="U30" s="435">
        <v>9.5299999999999994</v>
      </c>
      <c r="V30" s="435">
        <v>520</v>
      </c>
      <c r="W30" s="209">
        <v>86.25</v>
      </c>
      <c r="X30" s="209"/>
      <c r="Y30" s="435">
        <v>6.9</v>
      </c>
      <c r="Z30" s="1"/>
      <c r="AA30" s="212">
        <f t="shared" si="0"/>
        <v>4049.2409500000003</v>
      </c>
      <c r="AB30" s="1"/>
      <c r="AC30" s="371">
        <f t="shared" si="4"/>
        <v>1</v>
      </c>
      <c r="AD30" s="442">
        <f t="shared" si="2"/>
        <v>1.6058857624429905</v>
      </c>
    </row>
    <row r="31" spans="2:30" ht="12.75" customHeight="1">
      <c r="B31" s="208" t="s">
        <v>282</v>
      </c>
      <c r="C31" s="373" t="s">
        <v>469</v>
      </c>
      <c r="D31" s="373" t="s">
        <v>532</v>
      </c>
      <c r="E31" s="384" t="s">
        <v>555</v>
      </c>
      <c r="F31" s="433">
        <v>45616</v>
      </c>
      <c r="G31" s="1"/>
      <c r="H31" s="387">
        <v>2521.5</v>
      </c>
      <c r="I31" s="434">
        <v>5</v>
      </c>
      <c r="J31" s="210">
        <f t="shared" si="3"/>
        <v>2521.5</v>
      </c>
      <c r="K31" s="1"/>
      <c r="L31" s="211"/>
      <c r="M31" s="209"/>
      <c r="N31" s="209"/>
      <c r="O31" s="387">
        <v>244.42000000000002</v>
      </c>
      <c r="P31" s="209">
        <v>210.04095000000001</v>
      </c>
      <c r="Q31" s="209">
        <v>201.72</v>
      </c>
      <c r="R31" s="209"/>
      <c r="S31" s="209">
        <v>168.26</v>
      </c>
      <c r="T31" s="76">
        <v>0</v>
      </c>
      <c r="U31" s="435">
        <v>9.5299999999999994</v>
      </c>
      <c r="V31" s="435">
        <v>520</v>
      </c>
      <c r="W31" s="209">
        <v>86.25</v>
      </c>
      <c r="X31" s="209"/>
      <c r="Y31" s="435">
        <v>6.9</v>
      </c>
      <c r="Z31" s="1"/>
      <c r="AA31" s="212">
        <f t="shared" si="0"/>
        <v>3968.6209500000004</v>
      </c>
      <c r="AB31" s="1"/>
      <c r="AC31" s="371">
        <f t="shared" si="4"/>
        <v>1</v>
      </c>
      <c r="AD31" s="442">
        <f t="shared" si="2"/>
        <v>1.5739127305175493</v>
      </c>
    </row>
    <row r="32" spans="2:30" ht="12.75" customHeight="1">
      <c r="B32" s="208" t="s">
        <v>282</v>
      </c>
      <c r="C32" s="373" t="s">
        <v>470</v>
      </c>
      <c r="D32" s="373" t="s">
        <v>533</v>
      </c>
      <c r="E32" s="384" t="s">
        <v>555</v>
      </c>
      <c r="F32" s="433">
        <v>45834</v>
      </c>
      <c r="G32" s="1"/>
      <c r="H32" s="387">
        <v>2209.5</v>
      </c>
      <c r="I32" s="434">
        <v>4</v>
      </c>
      <c r="J32" s="210">
        <f t="shared" si="3"/>
        <v>2209.5</v>
      </c>
      <c r="K32" s="1"/>
      <c r="L32" s="211"/>
      <c r="M32" s="209"/>
      <c r="N32" s="209"/>
      <c r="O32" s="387">
        <v>244.42000000000002</v>
      </c>
      <c r="P32" s="209">
        <v>184.05134999999999</v>
      </c>
      <c r="Q32" s="209">
        <v>176.76</v>
      </c>
      <c r="R32" s="209"/>
      <c r="S32" s="209"/>
      <c r="T32" s="209">
        <v>312.43</v>
      </c>
      <c r="U32" s="435">
        <v>9.5299999999999994</v>
      </c>
      <c r="V32" s="435">
        <v>520</v>
      </c>
      <c r="W32" s="209">
        <v>86.25</v>
      </c>
      <c r="X32" s="209"/>
      <c r="Y32" s="435">
        <v>6.9</v>
      </c>
      <c r="Z32" s="1"/>
      <c r="AA32" s="212">
        <f t="shared" si="0"/>
        <v>3749.8413500000001</v>
      </c>
      <c r="AB32" s="1"/>
      <c r="AC32" s="371">
        <f t="shared" si="4"/>
        <v>1</v>
      </c>
      <c r="AD32" s="442">
        <f t="shared" si="2"/>
        <v>1.6971447612582033</v>
      </c>
    </row>
    <row r="33" spans="2:30" ht="12.75" customHeight="1">
      <c r="B33" s="208" t="s">
        <v>282</v>
      </c>
      <c r="C33" s="372" t="s">
        <v>452</v>
      </c>
      <c r="D33" s="375" t="s">
        <v>534</v>
      </c>
      <c r="E33" s="384" t="s">
        <v>555</v>
      </c>
      <c r="F33" s="433"/>
      <c r="G33" s="1"/>
      <c r="H33" s="387">
        <v>2930.5</v>
      </c>
      <c r="I33" s="434">
        <v>7</v>
      </c>
      <c r="J33" s="210">
        <f t="shared" si="3"/>
        <v>2930.5</v>
      </c>
      <c r="K33" s="1"/>
      <c r="L33" s="211"/>
      <c r="M33" s="209"/>
      <c r="N33" s="209"/>
      <c r="O33" s="387">
        <v>244.42000000000002</v>
      </c>
      <c r="P33" s="209">
        <v>244.11064999999999</v>
      </c>
      <c r="Q33" s="209">
        <v>234.44</v>
      </c>
      <c r="R33" s="209"/>
      <c r="S33" s="209"/>
      <c r="T33" s="209">
        <v>269.17</v>
      </c>
      <c r="U33" s="435">
        <v>9.5299999999999994</v>
      </c>
      <c r="V33" s="435">
        <v>520</v>
      </c>
      <c r="W33" s="209">
        <v>86.25</v>
      </c>
      <c r="X33" s="209"/>
      <c r="Y33" s="435">
        <v>6.9</v>
      </c>
      <c r="Z33" s="1"/>
      <c r="AA33" s="212">
        <f t="shared" si="0"/>
        <v>4545.3206499999997</v>
      </c>
      <c r="AB33" s="1"/>
      <c r="AC33" s="371">
        <f t="shared" si="4"/>
        <v>1</v>
      </c>
      <c r="AD33" s="442">
        <f t="shared" si="2"/>
        <v>1.5510392936358981</v>
      </c>
    </row>
    <row r="34" spans="2:30" ht="12.75" customHeight="1">
      <c r="B34" s="208" t="s">
        <v>282</v>
      </c>
      <c r="C34" s="373" t="s">
        <v>452</v>
      </c>
      <c r="D34" s="375" t="s">
        <v>534</v>
      </c>
      <c r="E34" s="384" t="s">
        <v>555</v>
      </c>
      <c r="F34" s="433"/>
      <c r="G34" s="1"/>
      <c r="H34" s="387">
        <v>2930.5</v>
      </c>
      <c r="I34" s="434">
        <v>7</v>
      </c>
      <c r="J34" s="210">
        <f t="shared" si="3"/>
        <v>2930.5</v>
      </c>
      <c r="K34" s="1"/>
      <c r="L34" s="211"/>
      <c r="M34" s="209"/>
      <c r="N34" s="209"/>
      <c r="O34" s="387">
        <v>244.42000000000002</v>
      </c>
      <c r="P34" s="209">
        <v>244.11064999999999</v>
      </c>
      <c r="Q34" s="209">
        <v>234.44</v>
      </c>
      <c r="R34" s="209"/>
      <c r="S34" s="209"/>
      <c r="T34" s="209">
        <v>269.17</v>
      </c>
      <c r="U34" s="435">
        <v>9.5299999999999994</v>
      </c>
      <c r="V34" s="435">
        <v>520</v>
      </c>
      <c r="W34" s="209">
        <v>86.25</v>
      </c>
      <c r="X34" s="209"/>
      <c r="Y34" s="435">
        <v>6.9</v>
      </c>
      <c r="Z34" s="1"/>
      <c r="AA34" s="212">
        <f t="shared" si="0"/>
        <v>4545.3206499999997</v>
      </c>
      <c r="AB34" s="1"/>
      <c r="AC34" s="371">
        <f t="shared" si="4"/>
        <v>1</v>
      </c>
      <c r="AD34" s="442">
        <f t="shared" si="2"/>
        <v>1.5510392936358981</v>
      </c>
    </row>
    <row r="35" spans="2:30" ht="12.75" customHeight="1">
      <c r="B35" s="208" t="s">
        <v>282</v>
      </c>
      <c r="C35" s="372" t="s">
        <v>452</v>
      </c>
      <c r="D35" s="375" t="s">
        <v>534</v>
      </c>
      <c r="E35" s="382" t="s">
        <v>555</v>
      </c>
      <c r="F35" s="433"/>
      <c r="G35" s="1"/>
      <c r="H35" s="387">
        <v>2930.5</v>
      </c>
      <c r="I35" s="434">
        <v>7</v>
      </c>
      <c r="J35" s="210">
        <f t="shared" si="3"/>
        <v>2930.5</v>
      </c>
      <c r="K35" s="1"/>
      <c r="L35" s="211"/>
      <c r="M35" s="209"/>
      <c r="N35" s="209"/>
      <c r="O35" s="387">
        <v>287.36015000000003</v>
      </c>
      <c r="P35" s="209">
        <v>244.11064999999999</v>
      </c>
      <c r="Q35" s="209">
        <v>234.44</v>
      </c>
      <c r="R35" s="209"/>
      <c r="S35" s="209"/>
      <c r="T35" s="209">
        <v>269.17</v>
      </c>
      <c r="U35" s="435">
        <v>9.5299999999999994</v>
      </c>
      <c r="V35" s="435">
        <v>520</v>
      </c>
      <c r="W35" s="209">
        <v>86.25</v>
      </c>
      <c r="X35" s="209"/>
      <c r="Y35" s="435">
        <v>6.9</v>
      </c>
      <c r="Z35" s="1"/>
      <c r="AA35" s="212">
        <f t="shared" si="0"/>
        <v>4588.2608</v>
      </c>
      <c r="AB35" s="1"/>
      <c r="AC35" s="371">
        <f t="shared" si="4"/>
        <v>1</v>
      </c>
      <c r="AD35" s="442">
        <f t="shared" si="2"/>
        <v>1.5656921344480463</v>
      </c>
    </row>
    <row r="36" spans="2:30" ht="12.75" customHeight="1">
      <c r="B36" s="208" t="s">
        <v>282</v>
      </c>
      <c r="C36" s="372" t="s">
        <v>471</v>
      </c>
      <c r="D36" s="375" t="s">
        <v>534</v>
      </c>
      <c r="E36" s="384" t="s">
        <v>559</v>
      </c>
      <c r="F36" s="433">
        <v>45400</v>
      </c>
      <c r="G36" s="1"/>
      <c r="H36" s="387">
        <v>3500</v>
      </c>
      <c r="I36" s="434">
        <v>8</v>
      </c>
      <c r="J36" s="210">
        <f t="shared" si="3"/>
        <v>3500</v>
      </c>
      <c r="K36" s="1"/>
      <c r="L36" s="211"/>
      <c r="M36" s="209"/>
      <c r="N36" s="209"/>
      <c r="O36" s="387">
        <v>388.85</v>
      </c>
      <c r="P36" s="209">
        <v>291.55</v>
      </c>
      <c r="Q36" s="209">
        <v>280</v>
      </c>
      <c r="R36" s="209"/>
      <c r="S36" s="209">
        <v>168.26</v>
      </c>
      <c r="T36" s="209">
        <v>200</v>
      </c>
      <c r="U36" s="435">
        <v>9.5299999999999994</v>
      </c>
      <c r="V36" s="435">
        <v>520</v>
      </c>
      <c r="W36" s="209">
        <v>86.25</v>
      </c>
      <c r="X36" s="209"/>
      <c r="Y36" s="435">
        <v>6.9</v>
      </c>
      <c r="Z36" s="1"/>
      <c r="AA36" s="212">
        <f t="shared" si="0"/>
        <v>5451.3399999999992</v>
      </c>
      <c r="AB36" s="1"/>
      <c r="AC36" s="371">
        <f t="shared" si="4"/>
        <v>1</v>
      </c>
      <c r="AD36" s="442">
        <f t="shared" si="2"/>
        <v>1.557525714285714</v>
      </c>
    </row>
    <row r="37" spans="2:30" ht="12.75" customHeight="1">
      <c r="B37" s="208" t="s">
        <v>282</v>
      </c>
      <c r="C37" s="375" t="s">
        <v>472</v>
      </c>
      <c r="D37" s="375" t="s">
        <v>534</v>
      </c>
      <c r="E37" s="382" t="s">
        <v>559</v>
      </c>
      <c r="F37" s="433">
        <v>45821</v>
      </c>
      <c r="G37" s="1"/>
      <c r="H37" s="387">
        <v>2930.5</v>
      </c>
      <c r="I37" s="434">
        <v>7</v>
      </c>
      <c r="J37" s="210">
        <f t="shared" si="3"/>
        <v>2930.5</v>
      </c>
      <c r="K37" s="1"/>
      <c r="L37" s="211"/>
      <c r="M37" s="209"/>
      <c r="N37" s="209"/>
      <c r="O37" s="387">
        <v>392.23855000000003</v>
      </c>
      <c r="P37" s="209">
        <v>244.11064999999999</v>
      </c>
      <c r="Q37" s="209">
        <v>234.44</v>
      </c>
      <c r="R37" s="209"/>
      <c r="S37" s="209">
        <v>168.26</v>
      </c>
      <c r="T37" s="209">
        <v>200</v>
      </c>
      <c r="U37" s="435">
        <v>9.5299999999999994</v>
      </c>
      <c r="V37" s="435">
        <v>520</v>
      </c>
      <c r="W37" s="209">
        <v>86.25</v>
      </c>
      <c r="X37" s="209"/>
      <c r="Y37" s="435">
        <v>6.9</v>
      </c>
      <c r="Z37" s="1"/>
      <c r="AA37" s="212">
        <f t="shared" ref="AA37:AA68" si="5">SUM(J37:Y37)</f>
        <v>4792.2291999999998</v>
      </c>
      <c r="AB37" s="1"/>
      <c r="AC37" s="371">
        <f t="shared" si="4"/>
        <v>1</v>
      </c>
      <c r="AD37" s="442">
        <f t="shared" ref="AD37:AD68" si="6">AA37/J37</f>
        <v>1.6352940453847467</v>
      </c>
    </row>
    <row r="38" spans="2:30" ht="12.75" customHeight="1">
      <c r="B38" s="208" t="s">
        <v>282</v>
      </c>
      <c r="C38" s="373" t="s">
        <v>473</v>
      </c>
      <c r="D38" s="375" t="s">
        <v>535</v>
      </c>
      <c r="E38" s="386" t="s">
        <v>555</v>
      </c>
      <c r="F38" s="433">
        <v>45810</v>
      </c>
      <c r="G38" s="1"/>
      <c r="H38" s="387">
        <v>2675.6</v>
      </c>
      <c r="I38" s="434">
        <v>5</v>
      </c>
      <c r="J38" s="210">
        <f t="shared" si="3"/>
        <v>2675.6</v>
      </c>
      <c r="K38" s="1"/>
      <c r="L38" s="211"/>
      <c r="M38" s="209"/>
      <c r="N38" s="209"/>
      <c r="O38" s="387">
        <v>392.23855000000003</v>
      </c>
      <c r="P38" s="209">
        <v>222.87747999999999</v>
      </c>
      <c r="Q38" s="209">
        <v>214.048</v>
      </c>
      <c r="R38" s="209"/>
      <c r="S38" s="209"/>
      <c r="T38" s="209">
        <v>0</v>
      </c>
      <c r="U38" s="435">
        <v>9.5299999999999994</v>
      </c>
      <c r="V38" s="435">
        <v>520</v>
      </c>
      <c r="W38" s="209">
        <v>86.25</v>
      </c>
      <c r="X38" s="209"/>
      <c r="Y38" s="435">
        <v>6.9</v>
      </c>
      <c r="Z38" s="1"/>
      <c r="AA38" s="212">
        <f t="shared" si="5"/>
        <v>4127.4440300000006</v>
      </c>
      <c r="AB38" s="1"/>
      <c r="AC38" s="371">
        <f t="shared" si="4"/>
        <v>1</v>
      </c>
      <c r="AD38" s="442">
        <f t="shared" si="6"/>
        <v>1.5426237217820304</v>
      </c>
    </row>
    <row r="39" spans="2:30" ht="12.75" customHeight="1">
      <c r="B39" s="208" t="s">
        <v>282</v>
      </c>
      <c r="C39" s="375" t="s">
        <v>474</v>
      </c>
      <c r="D39" s="375" t="s">
        <v>535</v>
      </c>
      <c r="E39" s="384" t="s">
        <v>555</v>
      </c>
      <c r="F39" s="433">
        <v>45852</v>
      </c>
      <c r="G39" s="1"/>
      <c r="H39" s="387">
        <v>2675.6</v>
      </c>
      <c r="I39" s="434">
        <v>5</v>
      </c>
      <c r="J39" s="210">
        <f t="shared" si="3"/>
        <v>2675.6</v>
      </c>
      <c r="K39" s="1"/>
      <c r="L39" s="211"/>
      <c r="M39" s="209"/>
      <c r="N39" s="209"/>
      <c r="O39" s="387">
        <v>254.80785</v>
      </c>
      <c r="P39" s="209">
        <v>222.87747999999999</v>
      </c>
      <c r="Q39" s="209">
        <v>214.048</v>
      </c>
      <c r="R39" s="209"/>
      <c r="S39" s="209"/>
      <c r="T39" s="209">
        <v>284.464</v>
      </c>
      <c r="U39" s="435">
        <v>9.5299999999999994</v>
      </c>
      <c r="V39" s="435">
        <v>520</v>
      </c>
      <c r="W39" s="209">
        <v>86.25</v>
      </c>
      <c r="X39" s="209"/>
      <c r="Y39" s="435">
        <v>6.9</v>
      </c>
      <c r="Z39" s="1"/>
      <c r="AA39" s="212">
        <f t="shared" si="5"/>
        <v>4274.4773299999997</v>
      </c>
      <c r="AB39" s="1"/>
      <c r="AC39" s="371">
        <f t="shared" si="4"/>
        <v>1</v>
      </c>
      <c r="AD39" s="442">
        <f t="shared" si="6"/>
        <v>1.5975771154133651</v>
      </c>
    </row>
    <row r="40" spans="2:30" ht="12.75" customHeight="1">
      <c r="B40" s="208" t="s">
        <v>282</v>
      </c>
      <c r="C40" s="374" t="s">
        <v>475</v>
      </c>
      <c r="D40" s="375" t="s">
        <v>534</v>
      </c>
      <c r="E40" s="384" t="s">
        <v>555</v>
      </c>
      <c r="F40" s="433">
        <v>45330</v>
      </c>
      <c r="G40" s="1"/>
      <c r="H40" s="387">
        <v>2930.5</v>
      </c>
      <c r="I40" s="434">
        <v>7</v>
      </c>
      <c r="J40" s="210">
        <f t="shared" si="3"/>
        <v>2930.5</v>
      </c>
      <c r="K40" s="1"/>
      <c r="L40" s="211"/>
      <c r="M40" s="209"/>
      <c r="N40" s="209"/>
      <c r="O40" s="387">
        <v>254.80785</v>
      </c>
      <c r="P40" s="209">
        <v>244.11064999999999</v>
      </c>
      <c r="Q40" s="209">
        <v>234.44</v>
      </c>
      <c r="R40" s="209"/>
      <c r="S40" s="209">
        <v>309.89999999999998</v>
      </c>
      <c r="T40" s="209">
        <v>269.17</v>
      </c>
      <c r="U40" s="435">
        <v>9.5299999999999994</v>
      </c>
      <c r="V40" s="435">
        <v>520</v>
      </c>
      <c r="W40" s="209">
        <v>86.25</v>
      </c>
      <c r="X40" s="209"/>
      <c r="Y40" s="435">
        <v>6.9</v>
      </c>
      <c r="Z40" s="1"/>
      <c r="AA40" s="212">
        <f t="shared" si="5"/>
        <v>4865.6084999999994</v>
      </c>
      <c r="AB40" s="1"/>
      <c r="AC40" s="371">
        <f t="shared" si="4"/>
        <v>1</v>
      </c>
      <c r="AD40" s="442">
        <f t="shared" si="6"/>
        <v>1.6603339020644938</v>
      </c>
    </row>
    <row r="41" spans="2:30" ht="12.75" customHeight="1">
      <c r="B41" s="208" t="s">
        <v>282</v>
      </c>
      <c r="C41" s="374" t="s">
        <v>452</v>
      </c>
      <c r="D41" s="375" t="s">
        <v>535</v>
      </c>
      <c r="E41" s="382" t="s">
        <v>555</v>
      </c>
      <c r="F41" s="433"/>
      <c r="G41" s="1"/>
      <c r="H41" s="387">
        <v>2675.6</v>
      </c>
      <c r="I41" s="434">
        <v>5</v>
      </c>
      <c r="J41" s="210">
        <f t="shared" si="3"/>
        <v>2675.6</v>
      </c>
      <c r="K41" s="1"/>
      <c r="L41" s="211"/>
      <c r="M41" s="209"/>
      <c r="N41" s="209"/>
      <c r="O41" s="387">
        <v>324.44755200000003</v>
      </c>
      <c r="P41" s="209">
        <v>222.87747999999999</v>
      </c>
      <c r="Q41" s="209">
        <v>214.048</v>
      </c>
      <c r="R41" s="209"/>
      <c r="S41" s="209"/>
      <c r="T41" s="209">
        <v>284.464</v>
      </c>
      <c r="U41" s="435">
        <v>9.5299999999999994</v>
      </c>
      <c r="V41" s="435">
        <v>520</v>
      </c>
      <c r="W41" s="209">
        <v>86.25</v>
      </c>
      <c r="X41" s="209"/>
      <c r="Y41" s="435">
        <v>6.9</v>
      </c>
      <c r="Z41" s="1"/>
      <c r="AA41" s="212">
        <f t="shared" si="5"/>
        <v>4344.1170320000001</v>
      </c>
      <c r="AB41" s="1"/>
      <c r="AC41" s="371">
        <f t="shared" si="4"/>
        <v>1</v>
      </c>
      <c r="AD41" s="442">
        <f t="shared" si="6"/>
        <v>1.6236048108835401</v>
      </c>
    </row>
    <row r="42" spans="2:30" ht="12.75" customHeight="1">
      <c r="B42" s="208" t="s">
        <v>282</v>
      </c>
      <c r="C42" s="373" t="s">
        <v>476</v>
      </c>
      <c r="D42" s="375" t="s">
        <v>535</v>
      </c>
      <c r="E42" s="382" t="s">
        <v>555</v>
      </c>
      <c r="F42" s="433">
        <v>45789</v>
      </c>
      <c r="G42" s="1"/>
      <c r="H42" s="387">
        <v>2675.6</v>
      </c>
      <c r="I42" s="434">
        <v>5</v>
      </c>
      <c r="J42" s="210">
        <f t="shared" si="3"/>
        <v>2675.6</v>
      </c>
      <c r="K42" s="1"/>
      <c r="L42" s="211"/>
      <c r="M42" s="209"/>
      <c r="N42" s="209"/>
      <c r="O42" s="387">
        <v>324.44755200000003</v>
      </c>
      <c r="P42" s="209">
        <v>222.87747999999999</v>
      </c>
      <c r="Q42" s="209">
        <v>214.048</v>
      </c>
      <c r="R42" s="209"/>
      <c r="S42" s="209"/>
      <c r="T42" s="209">
        <v>284.464</v>
      </c>
      <c r="U42" s="435">
        <v>9.5299999999999994</v>
      </c>
      <c r="V42" s="435">
        <v>520</v>
      </c>
      <c r="W42" s="209">
        <v>86.25</v>
      </c>
      <c r="X42" s="209"/>
      <c r="Y42" s="435">
        <v>6.9</v>
      </c>
      <c r="Z42" s="1"/>
      <c r="AA42" s="212">
        <f t="shared" si="5"/>
        <v>4344.1170320000001</v>
      </c>
      <c r="AB42" s="1"/>
      <c r="AC42" s="371">
        <f t="shared" si="4"/>
        <v>1</v>
      </c>
      <c r="AD42" s="442">
        <f t="shared" si="6"/>
        <v>1.6236048108835401</v>
      </c>
    </row>
    <row r="43" spans="2:30" ht="12.75" customHeight="1">
      <c r="B43" s="208" t="s">
        <v>282</v>
      </c>
      <c r="C43" s="373" t="s">
        <v>477</v>
      </c>
      <c r="D43" s="375" t="s">
        <v>535</v>
      </c>
      <c r="E43" s="384" t="s">
        <v>555</v>
      </c>
      <c r="F43" s="433">
        <v>45749</v>
      </c>
      <c r="G43" s="1"/>
      <c r="H43" s="387">
        <v>2675.6</v>
      </c>
      <c r="I43" s="434">
        <v>5</v>
      </c>
      <c r="J43" s="210">
        <f t="shared" si="3"/>
        <v>2675.6</v>
      </c>
      <c r="K43" s="1"/>
      <c r="L43" s="211"/>
      <c r="M43" s="209"/>
      <c r="N43" s="209"/>
      <c r="O43" s="387">
        <v>396.34925000000004</v>
      </c>
      <c r="P43" s="209">
        <v>222.87747999999999</v>
      </c>
      <c r="Q43" s="209">
        <v>214.048</v>
      </c>
      <c r="R43" s="209"/>
      <c r="S43" s="209">
        <v>168.26</v>
      </c>
      <c r="T43" s="209">
        <v>200</v>
      </c>
      <c r="U43" s="435">
        <v>9.5299999999999994</v>
      </c>
      <c r="V43" s="435">
        <v>520</v>
      </c>
      <c r="W43" s="209">
        <v>86.25</v>
      </c>
      <c r="X43" s="209"/>
      <c r="Y43" s="435">
        <v>6.9</v>
      </c>
      <c r="Z43" s="1"/>
      <c r="AA43" s="212">
        <f t="shared" si="5"/>
        <v>4499.8147300000001</v>
      </c>
      <c r="AB43" s="1"/>
      <c r="AC43" s="371">
        <f t="shared" si="4"/>
        <v>1</v>
      </c>
      <c r="AD43" s="442">
        <f t="shared" si="6"/>
        <v>1.6817965054567201</v>
      </c>
    </row>
    <row r="44" spans="2:30" ht="12.75" customHeight="1">
      <c r="B44" s="208" t="s">
        <v>282</v>
      </c>
      <c r="C44" s="373" t="s">
        <v>478</v>
      </c>
      <c r="D44" s="375" t="s">
        <v>535</v>
      </c>
      <c r="E44" s="384" t="s">
        <v>559</v>
      </c>
      <c r="F44" s="433">
        <v>45749</v>
      </c>
      <c r="G44" s="1"/>
      <c r="H44" s="387">
        <v>2675.6</v>
      </c>
      <c r="I44" s="434">
        <v>5</v>
      </c>
      <c r="J44" s="210">
        <f t="shared" si="3"/>
        <v>2675.6</v>
      </c>
      <c r="K44" s="1"/>
      <c r="L44" s="211"/>
      <c r="M44" s="209"/>
      <c r="N44" s="209"/>
      <c r="O44" s="387">
        <v>396.34925000000004</v>
      </c>
      <c r="P44" s="209">
        <v>222.87747999999999</v>
      </c>
      <c r="Q44" s="209">
        <v>214.048</v>
      </c>
      <c r="R44" s="209"/>
      <c r="S44" s="209">
        <v>168.26</v>
      </c>
      <c r="T44" s="209">
        <v>284.464</v>
      </c>
      <c r="U44" s="435">
        <v>9.5299999999999994</v>
      </c>
      <c r="V44" s="435">
        <v>520</v>
      </c>
      <c r="W44" s="209">
        <v>86.25</v>
      </c>
      <c r="X44" s="209"/>
      <c r="Y44" s="435">
        <v>6.9</v>
      </c>
      <c r="Z44" s="1"/>
      <c r="AA44" s="212">
        <f t="shared" si="5"/>
        <v>4584.27873</v>
      </c>
      <c r="AB44" s="1"/>
      <c r="AC44" s="371">
        <f t="shared" si="4"/>
        <v>1</v>
      </c>
      <c r="AD44" s="442">
        <f t="shared" si="6"/>
        <v>1.7133647518313651</v>
      </c>
    </row>
    <row r="45" spans="2:30" ht="12.75" customHeight="1">
      <c r="B45" s="208" t="s">
        <v>282</v>
      </c>
      <c r="C45" s="373" t="s">
        <v>479</v>
      </c>
      <c r="D45" s="375" t="s">
        <v>535</v>
      </c>
      <c r="E45" s="384" t="s">
        <v>555</v>
      </c>
      <c r="F45" s="433">
        <v>45008</v>
      </c>
      <c r="G45" s="1"/>
      <c r="H45" s="387">
        <v>2675.6</v>
      </c>
      <c r="I45" s="434">
        <v>5</v>
      </c>
      <c r="J45" s="210">
        <f t="shared" si="3"/>
        <v>2675.6</v>
      </c>
      <c r="K45" s="1"/>
      <c r="L45" s="211"/>
      <c r="M45" s="209"/>
      <c r="N45" s="209"/>
      <c r="O45" s="387">
        <v>0</v>
      </c>
      <c r="P45" s="209">
        <v>222.87747999999999</v>
      </c>
      <c r="Q45" s="209">
        <v>214.048</v>
      </c>
      <c r="R45" s="209"/>
      <c r="S45" s="209">
        <v>168.26</v>
      </c>
      <c r="T45" s="209">
        <v>200</v>
      </c>
      <c r="U45" s="435">
        <v>9.5299999999999994</v>
      </c>
      <c r="V45" s="435">
        <v>520</v>
      </c>
      <c r="W45" s="209">
        <v>86.25</v>
      </c>
      <c r="X45" s="209"/>
      <c r="Y45" s="435">
        <v>6.9</v>
      </c>
      <c r="Z45" s="1"/>
      <c r="AA45" s="212">
        <f t="shared" si="5"/>
        <v>4103.4654800000008</v>
      </c>
      <c r="AB45" s="1"/>
      <c r="AC45" s="371">
        <f t="shared" si="4"/>
        <v>1</v>
      </c>
      <c r="AD45" s="442">
        <f t="shared" si="6"/>
        <v>1.5336617880101662</v>
      </c>
    </row>
    <row r="46" spans="2:30" ht="12.75" customHeight="1">
      <c r="B46" s="208" t="s">
        <v>282</v>
      </c>
      <c r="C46" s="373" t="s">
        <v>480</v>
      </c>
      <c r="D46" s="375" t="s">
        <v>536</v>
      </c>
      <c r="E46" s="384" t="s">
        <v>555</v>
      </c>
      <c r="F46" s="433">
        <v>44698</v>
      </c>
      <c r="G46" s="1"/>
      <c r="H46" s="387">
        <v>2293.5</v>
      </c>
      <c r="I46" s="434">
        <v>3</v>
      </c>
      <c r="J46" s="210">
        <f t="shared" si="3"/>
        <v>2293.5</v>
      </c>
      <c r="K46" s="1"/>
      <c r="L46" s="211"/>
      <c r="M46" s="209"/>
      <c r="N46" s="209"/>
      <c r="O46" s="387">
        <v>444.40000000000003</v>
      </c>
      <c r="P46" s="209">
        <v>191.04855000000001</v>
      </c>
      <c r="Q46" s="209">
        <v>183.48</v>
      </c>
      <c r="R46" s="209"/>
      <c r="S46" s="209"/>
      <c r="T46" s="209">
        <v>0</v>
      </c>
      <c r="U46" s="435">
        <v>9.5299999999999994</v>
      </c>
      <c r="V46" s="435">
        <v>520</v>
      </c>
      <c r="W46" s="209">
        <v>86.25</v>
      </c>
      <c r="X46" s="209"/>
      <c r="Y46" s="435">
        <v>6.9</v>
      </c>
      <c r="Z46" s="1"/>
      <c r="AA46" s="212">
        <f t="shared" si="5"/>
        <v>3735.1085500000004</v>
      </c>
      <c r="AB46" s="1"/>
      <c r="AC46" s="371">
        <f t="shared" si="4"/>
        <v>1</v>
      </c>
      <c r="AD46" s="442">
        <f t="shared" si="6"/>
        <v>1.6285626989317639</v>
      </c>
    </row>
    <row r="47" spans="2:30" ht="12.75" customHeight="1">
      <c r="B47" s="208" t="s">
        <v>282</v>
      </c>
      <c r="C47" s="373" t="s">
        <v>481</v>
      </c>
      <c r="D47" s="378" t="s">
        <v>521</v>
      </c>
      <c r="E47" s="382" t="s">
        <v>559</v>
      </c>
      <c r="F47" s="433">
        <v>45455</v>
      </c>
      <c r="G47" s="1"/>
      <c r="H47" s="387">
        <v>4077.5</v>
      </c>
      <c r="I47" s="434">
        <v>8</v>
      </c>
      <c r="J47" s="210">
        <f t="shared" si="3"/>
        <v>4077.5</v>
      </c>
      <c r="K47" s="1"/>
      <c r="L47" s="211"/>
      <c r="M47" s="209"/>
      <c r="N47" s="209"/>
      <c r="O47" s="387">
        <v>0</v>
      </c>
      <c r="P47" s="209">
        <v>339.65575000000001</v>
      </c>
      <c r="Q47" s="209">
        <v>326.2</v>
      </c>
      <c r="R47" s="209"/>
      <c r="S47" s="209">
        <v>168.26</v>
      </c>
      <c r="T47" s="209">
        <v>200</v>
      </c>
      <c r="U47" s="435">
        <v>9.5299999999999994</v>
      </c>
      <c r="V47" s="435">
        <v>520</v>
      </c>
      <c r="W47" s="209">
        <v>86.25</v>
      </c>
      <c r="X47" s="209"/>
      <c r="Y47" s="435">
        <v>6.9</v>
      </c>
      <c r="Z47" s="1"/>
      <c r="AA47" s="212">
        <f t="shared" si="5"/>
        <v>5734.2957499999993</v>
      </c>
      <c r="AB47" s="1"/>
      <c r="AC47" s="371">
        <f t="shared" si="4"/>
        <v>1</v>
      </c>
      <c r="AD47" s="442">
        <f t="shared" si="6"/>
        <v>1.406326364193746</v>
      </c>
    </row>
    <row r="48" spans="2:30" ht="12.75" customHeight="1">
      <c r="B48" s="208" t="s">
        <v>282</v>
      </c>
      <c r="C48" s="374" t="s">
        <v>482</v>
      </c>
      <c r="D48" s="374" t="s">
        <v>522</v>
      </c>
      <c r="E48" s="382" t="s">
        <v>558</v>
      </c>
      <c r="F48" s="433">
        <v>45931</v>
      </c>
      <c r="G48" s="1"/>
      <c r="H48" s="387">
        <v>1916.5</v>
      </c>
      <c r="I48" s="434">
        <v>4</v>
      </c>
      <c r="J48" s="210">
        <f t="shared" si="3"/>
        <v>1916.5</v>
      </c>
      <c r="K48" s="1"/>
      <c r="L48" s="211"/>
      <c r="M48" s="209"/>
      <c r="N48" s="209"/>
      <c r="O48" s="387"/>
      <c r="P48" s="209">
        <v>159.64445000000001</v>
      </c>
      <c r="Q48" s="209">
        <v>153.32</v>
      </c>
      <c r="R48" s="209"/>
      <c r="S48" s="209"/>
      <c r="T48" s="209">
        <v>330.01</v>
      </c>
      <c r="U48" s="435">
        <v>9.5299999999999994</v>
      </c>
      <c r="V48" s="435">
        <v>520</v>
      </c>
      <c r="W48" s="209">
        <v>86.25</v>
      </c>
      <c r="X48" s="209"/>
      <c r="Y48" s="435">
        <v>6.9</v>
      </c>
      <c r="Z48" s="1"/>
      <c r="AA48" s="212">
        <f t="shared" si="5"/>
        <v>3182.15445</v>
      </c>
      <c r="AB48" s="1"/>
      <c r="AC48" s="371">
        <f t="shared" si="4"/>
        <v>1</v>
      </c>
      <c r="AD48" s="442">
        <f t="shared" si="6"/>
        <v>1.6603988781633185</v>
      </c>
    </row>
    <row r="49" spans="2:30" ht="12.75" customHeight="1">
      <c r="B49" s="208" t="s">
        <v>282</v>
      </c>
      <c r="C49" s="372" t="s">
        <v>483</v>
      </c>
      <c r="D49" s="374" t="s">
        <v>522</v>
      </c>
      <c r="E49" s="384" t="s">
        <v>558</v>
      </c>
      <c r="F49" s="433">
        <v>45910</v>
      </c>
      <c r="G49" s="1"/>
      <c r="H49" s="387">
        <v>1916.5</v>
      </c>
      <c r="I49" s="434">
        <v>4</v>
      </c>
      <c r="J49" s="210">
        <f t="shared" si="3"/>
        <v>1916.5</v>
      </c>
      <c r="K49" s="1"/>
      <c r="L49" s="211"/>
      <c r="M49" s="209"/>
      <c r="N49" s="209"/>
      <c r="O49" s="387"/>
      <c r="P49" s="209">
        <v>159.64445000000001</v>
      </c>
      <c r="Q49" s="209">
        <v>153.32</v>
      </c>
      <c r="R49" s="209"/>
      <c r="S49" s="209"/>
      <c r="T49" s="209">
        <v>330.01</v>
      </c>
      <c r="U49" s="435">
        <v>9.5299999999999994</v>
      </c>
      <c r="V49" s="435">
        <v>520</v>
      </c>
      <c r="W49" s="209">
        <v>86.25</v>
      </c>
      <c r="X49" s="209"/>
      <c r="Y49" s="435">
        <v>6.9</v>
      </c>
      <c r="Z49" s="1"/>
      <c r="AA49" s="212">
        <f t="shared" si="5"/>
        <v>3182.15445</v>
      </c>
      <c r="AB49" s="1"/>
      <c r="AC49" s="371">
        <f t="shared" si="4"/>
        <v>1</v>
      </c>
      <c r="AD49" s="442">
        <f t="shared" si="6"/>
        <v>1.6603988781633185</v>
      </c>
    </row>
    <row r="50" spans="2:30" ht="12.75" customHeight="1">
      <c r="B50" s="208" t="s">
        <v>282</v>
      </c>
      <c r="C50" s="372" t="s">
        <v>484</v>
      </c>
      <c r="D50" s="374" t="s">
        <v>522</v>
      </c>
      <c r="E50" s="382" t="s">
        <v>558</v>
      </c>
      <c r="F50" s="433">
        <v>45910</v>
      </c>
      <c r="G50" s="1"/>
      <c r="H50" s="387">
        <v>1916.5</v>
      </c>
      <c r="I50" s="434">
        <v>4</v>
      </c>
      <c r="J50" s="210">
        <f t="shared" si="3"/>
        <v>1916.5</v>
      </c>
      <c r="K50" s="1"/>
      <c r="L50" s="211"/>
      <c r="M50" s="209"/>
      <c r="N50" s="209"/>
      <c r="O50" s="387"/>
      <c r="P50" s="209">
        <v>159.64445000000001</v>
      </c>
      <c r="Q50" s="209">
        <v>153.32</v>
      </c>
      <c r="R50" s="209"/>
      <c r="S50" s="209"/>
      <c r="T50" s="209">
        <v>330.01</v>
      </c>
      <c r="U50" s="435">
        <v>9.5299999999999994</v>
      </c>
      <c r="V50" s="435">
        <v>520</v>
      </c>
      <c r="W50" s="209">
        <v>86.25</v>
      </c>
      <c r="X50" s="209"/>
      <c r="Y50" s="435">
        <v>6.9</v>
      </c>
      <c r="Z50" s="1"/>
      <c r="AA50" s="212">
        <f t="shared" si="5"/>
        <v>3182.15445</v>
      </c>
      <c r="AB50" s="1"/>
      <c r="AC50" s="371">
        <f t="shared" si="4"/>
        <v>1</v>
      </c>
      <c r="AD50" s="442">
        <f t="shared" si="6"/>
        <v>1.6603988781633185</v>
      </c>
    </row>
    <row r="51" spans="2:30" ht="12.75" customHeight="1">
      <c r="B51" s="208" t="s">
        <v>282</v>
      </c>
      <c r="C51" s="374" t="s">
        <v>485</v>
      </c>
      <c r="D51" s="373" t="s">
        <v>522</v>
      </c>
      <c r="E51" s="382" t="s">
        <v>558</v>
      </c>
      <c r="F51" s="433">
        <v>45824</v>
      </c>
      <c r="G51" s="1"/>
      <c r="H51" s="387">
        <v>1916.5</v>
      </c>
      <c r="I51" s="434">
        <v>4</v>
      </c>
      <c r="J51" s="210">
        <f t="shared" si="3"/>
        <v>1916.5</v>
      </c>
      <c r="K51" s="1"/>
      <c r="L51" s="211"/>
      <c r="M51" s="209"/>
      <c r="N51" s="209"/>
      <c r="O51" s="387"/>
      <c r="P51" s="209">
        <v>159.64445000000001</v>
      </c>
      <c r="Q51" s="209">
        <v>153.32</v>
      </c>
      <c r="R51" s="209"/>
      <c r="S51" s="209"/>
      <c r="T51" s="209">
        <v>330.01</v>
      </c>
      <c r="U51" s="435">
        <v>9.5299999999999994</v>
      </c>
      <c r="V51" s="435">
        <v>520</v>
      </c>
      <c r="W51" s="209">
        <v>86.25</v>
      </c>
      <c r="X51" s="209"/>
      <c r="Y51" s="435">
        <v>6.9</v>
      </c>
      <c r="Z51" s="1"/>
      <c r="AA51" s="212">
        <f t="shared" si="5"/>
        <v>3182.15445</v>
      </c>
      <c r="AB51" s="1"/>
      <c r="AC51" s="371">
        <f t="shared" si="4"/>
        <v>1</v>
      </c>
      <c r="AD51" s="442">
        <f t="shared" si="6"/>
        <v>1.6603988781633185</v>
      </c>
    </row>
    <row r="52" spans="2:30" ht="12.75" customHeight="1">
      <c r="B52" s="208" t="s">
        <v>282</v>
      </c>
      <c r="C52" s="372" t="s">
        <v>486</v>
      </c>
      <c r="D52" s="373" t="s">
        <v>522</v>
      </c>
      <c r="E52" s="384" t="s">
        <v>558</v>
      </c>
      <c r="F52" s="433">
        <v>45940</v>
      </c>
      <c r="G52" s="1"/>
      <c r="H52" s="387">
        <v>1916.5</v>
      </c>
      <c r="I52" s="434">
        <v>4</v>
      </c>
      <c r="J52" s="210">
        <f t="shared" si="3"/>
        <v>1916.5</v>
      </c>
      <c r="K52" s="1"/>
      <c r="L52" s="211"/>
      <c r="M52" s="209"/>
      <c r="N52" s="209"/>
      <c r="O52" s="387"/>
      <c r="P52" s="209">
        <v>159.64445000000001</v>
      </c>
      <c r="Q52" s="209">
        <v>153.32</v>
      </c>
      <c r="R52" s="209"/>
      <c r="S52" s="209"/>
      <c r="T52" s="209">
        <v>330.01</v>
      </c>
      <c r="U52" s="435">
        <v>9.5299999999999994</v>
      </c>
      <c r="V52" s="435">
        <v>520</v>
      </c>
      <c r="W52" s="209">
        <v>86.25</v>
      </c>
      <c r="X52" s="209"/>
      <c r="Y52" s="435">
        <v>6.9</v>
      </c>
      <c r="Z52" s="1"/>
      <c r="AA52" s="212">
        <f t="shared" si="5"/>
        <v>3182.15445</v>
      </c>
      <c r="AB52" s="1"/>
      <c r="AC52" s="371">
        <f t="shared" si="4"/>
        <v>1</v>
      </c>
      <c r="AD52" s="442">
        <f t="shared" si="6"/>
        <v>1.6603988781633185</v>
      </c>
    </row>
    <row r="53" spans="2:30" ht="12.75" customHeight="1">
      <c r="B53" s="208" t="s">
        <v>282</v>
      </c>
      <c r="C53" s="372" t="s">
        <v>487</v>
      </c>
      <c r="D53" s="372" t="s">
        <v>522</v>
      </c>
      <c r="E53" s="382" t="s">
        <v>558</v>
      </c>
      <c r="F53" s="433">
        <v>45940</v>
      </c>
      <c r="G53" s="1"/>
      <c r="H53" s="387">
        <v>1916.5</v>
      </c>
      <c r="I53" s="434">
        <v>4</v>
      </c>
      <c r="J53" s="210">
        <f t="shared" si="3"/>
        <v>1916.5</v>
      </c>
      <c r="K53" s="1"/>
      <c r="L53" s="211"/>
      <c r="M53" s="209"/>
      <c r="N53" s="209"/>
      <c r="O53" s="387"/>
      <c r="P53" s="209">
        <v>159.64445000000001</v>
      </c>
      <c r="Q53" s="209">
        <v>153.32</v>
      </c>
      <c r="R53" s="209"/>
      <c r="S53" s="209"/>
      <c r="T53" s="209">
        <v>330.01</v>
      </c>
      <c r="U53" s="435">
        <v>9.5299999999999994</v>
      </c>
      <c r="V53" s="435">
        <v>520</v>
      </c>
      <c r="W53" s="209">
        <v>86.25</v>
      </c>
      <c r="X53" s="209"/>
      <c r="Y53" s="435">
        <v>6.9</v>
      </c>
      <c r="Z53" s="1"/>
      <c r="AA53" s="212">
        <f t="shared" si="5"/>
        <v>3182.15445</v>
      </c>
      <c r="AB53" s="1"/>
      <c r="AC53" s="371">
        <f t="shared" si="4"/>
        <v>1</v>
      </c>
      <c r="AD53" s="442">
        <f t="shared" si="6"/>
        <v>1.6603988781633185</v>
      </c>
    </row>
    <row r="54" spans="2:30" ht="12.75" customHeight="1">
      <c r="B54" s="208" t="s">
        <v>282</v>
      </c>
      <c r="C54" s="372" t="s">
        <v>488</v>
      </c>
      <c r="D54" s="374" t="s">
        <v>522</v>
      </c>
      <c r="E54" s="382" t="s">
        <v>558</v>
      </c>
      <c r="F54" s="433">
        <v>45931</v>
      </c>
      <c r="G54" s="1"/>
      <c r="H54" s="387">
        <v>1916.5</v>
      </c>
      <c r="I54" s="434">
        <v>4</v>
      </c>
      <c r="J54" s="210">
        <f t="shared" si="3"/>
        <v>1916.5</v>
      </c>
      <c r="K54" s="1"/>
      <c r="L54" s="211"/>
      <c r="M54" s="209"/>
      <c r="N54" s="209"/>
      <c r="O54" s="387"/>
      <c r="P54" s="209">
        <v>159.64445000000001</v>
      </c>
      <c r="Q54" s="209">
        <v>153.32</v>
      </c>
      <c r="R54" s="209"/>
      <c r="S54" s="209"/>
      <c r="T54" s="209">
        <v>330.01</v>
      </c>
      <c r="U54" s="435">
        <v>9.5299999999999994</v>
      </c>
      <c r="V54" s="435">
        <v>520</v>
      </c>
      <c r="W54" s="209">
        <v>86.25</v>
      </c>
      <c r="X54" s="209"/>
      <c r="Y54" s="435">
        <v>6.9</v>
      </c>
      <c r="Z54" s="1"/>
      <c r="AA54" s="212">
        <f t="shared" si="5"/>
        <v>3182.15445</v>
      </c>
      <c r="AB54" s="1"/>
      <c r="AC54" s="371">
        <f t="shared" si="4"/>
        <v>1</v>
      </c>
      <c r="AD54" s="442">
        <f t="shared" si="6"/>
        <v>1.6603988781633185</v>
      </c>
    </row>
    <row r="55" spans="2:30" ht="12.75" customHeight="1">
      <c r="B55" s="208" t="s">
        <v>282</v>
      </c>
      <c r="C55" s="374" t="s">
        <v>489</v>
      </c>
      <c r="D55" s="372" t="s">
        <v>522</v>
      </c>
      <c r="E55" s="382" t="s">
        <v>558</v>
      </c>
      <c r="F55" s="433">
        <v>45362</v>
      </c>
      <c r="G55" s="1"/>
      <c r="H55" s="387">
        <v>1916.5</v>
      </c>
      <c r="I55" s="434">
        <v>4</v>
      </c>
      <c r="J55" s="210">
        <f t="shared" si="3"/>
        <v>1916.5</v>
      </c>
      <c r="K55" s="1"/>
      <c r="L55" s="211"/>
      <c r="M55" s="209"/>
      <c r="N55" s="209"/>
      <c r="O55" s="387"/>
      <c r="P55" s="209">
        <v>159.64445000000001</v>
      </c>
      <c r="Q55" s="209">
        <v>153.32</v>
      </c>
      <c r="R55" s="209"/>
      <c r="S55" s="209">
        <v>143.33000000000001</v>
      </c>
      <c r="T55" s="209">
        <v>350</v>
      </c>
      <c r="U55" s="435">
        <v>9.5299999999999994</v>
      </c>
      <c r="V55" s="435">
        <v>520</v>
      </c>
      <c r="W55" s="209">
        <v>86.25</v>
      </c>
      <c r="X55" s="209"/>
      <c r="Y55" s="435">
        <v>6.9</v>
      </c>
      <c r="Z55" s="1"/>
      <c r="AA55" s="212">
        <f t="shared" si="5"/>
        <v>3345.4744500000002</v>
      </c>
      <c r="AB55" s="1"/>
      <c r="AC55" s="371">
        <f t="shared" si="4"/>
        <v>1</v>
      </c>
      <c r="AD55" s="442">
        <f t="shared" si="6"/>
        <v>1.7456167231933213</v>
      </c>
    </row>
    <row r="56" spans="2:30" ht="12.75" customHeight="1">
      <c r="B56" s="208" t="s">
        <v>282</v>
      </c>
      <c r="C56" s="374" t="s">
        <v>490</v>
      </c>
      <c r="D56" s="374" t="s">
        <v>523</v>
      </c>
      <c r="E56" s="382" t="s">
        <v>560</v>
      </c>
      <c r="F56" s="433">
        <v>45108</v>
      </c>
      <c r="G56" s="1"/>
      <c r="H56" s="387">
        <v>2294</v>
      </c>
      <c r="I56" s="434">
        <v>4</v>
      </c>
      <c r="J56" s="210">
        <f t="shared" si="3"/>
        <v>2294</v>
      </c>
      <c r="K56" s="1"/>
      <c r="L56" s="211"/>
      <c r="M56" s="209"/>
      <c r="N56" s="209"/>
      <c r="O56" s="387"/>
      <c r="P56" s="209">
        <v>191.09020000000001</v>
      </c>
      <c r="Q56" s="209">
        <v>183.52</v>
      </c>
      <c r="R56" s="209"/>
      <c r="S56" s="209">
        <v>187.95</v>
      </c>
      <c r="T56" s="209">
        <v>307.36</v>
      </c>
      <c r="U56" s="435">
        <v>9.5299999999999994</v>
      </c>
      <c r="V56" s="435">
        <v>520</v>
      </c>
      <c r="W56" s="209">
        <v>86.25</v>
      </c>
      <c r="X56" s="209"/>
      <c r="Y56" s="435">
        <v>6.9</v>
      </c>
      <c r="Z56" s="1"/>
      <c r="AA56" s="212">
        <f t="shared" si="5"/>
        <v>3786.6002000000003</v>
      </c>
      <c r="AB56" s="1"/>
      <c r="AC56" s="371">
        <f t="shared" si="4"/>
        <v>1</v>
      </c>
      <c r="AD56" s="442">
        <f t="shared" si="6"/>
        <v>1.6506539668700961</v>
      </c>
    </row>
    <row r="57" spans="2:30" ht="12.75" customHeight="1">
      <c r="B57" s="208" t="s">
        <v>282</v>
      </c>
      <c r="C57" s="375" t="s">
        <v>491</v>
      </c>
      <c r="D57" s="373" t="s">
        <v>523</v>
      </c>
      <c r="E57" s="383" t="s">
        <v>560</v>
      </c>
      <c r="F57" s="433">
        <v>44900</v>
      </c>
      <c r="G57" s="1"/>
      <c r="H57" s="387">
        <v>2104</v>
      </c>
      <c r="I57" s="434">
        <v>3</v>
      </c>
      <c r="J57" s="210">
        <f t="shared" si="3"/>
        <v>2104</v>
      </c>
      <c r="K57" s="1"/>
      <c r="L57" s="211"/>
      <c r="M57" s="209"/>
      <c r="N57" s="209"/>
      <c r="O57" s="387"/>
      <c r="P57" s="209">
        <v>175.26320000000001</v>
      </c>
      <c r="Q57" s="209">
        <v>168.32</v>
      </c>
      <c r="R57" s="209"/>
      <c r="S57" s="209">
        <v>168.26</v>
      </c>
      <c r="T57" s="209">
        <v>318.76</v>
      </c>
      <c r="U57" s="435">
        <v>9.5299999999999994</v>
      </c>
      <c r="V57" s="435">
        <v>520</v>
      </c>
      <c r="W57" s="209">
        <v>86.25</v>
      </c>
      <c r="X57" s="209"/>
      <c r="Y57" s="435">
        <v>6.9</v>
      </c>
      <c r="Z57" s="1"/>
      <c r="AA57" s="212">
        <f t="shared" si="5"/>
        <v>3557.2832000000008</v>
      </c>
      <c r="AB57" s="1"/>
      <c r="AC57" s="371">
        <f t="shared" si="4"/>
        <v>1</v>
      </c>
      <c r="AD57" s="442">
        <f t="shared" si="6"/>
        <v>1.690723954372624</v>
      </c>
    </row>
    <row r="58" spans="2:30" ht="12.75" customHeight="1">
      <c r="B58" s="208" t="s">
        <v>282</v>
      </c>
      <c r="C58" s="372" t="s">
        <v>492</v>
      </c>
      <c r="D58" s="374" t="s">
        <v>537</v>
      </c>
      <c r="E58" s="384" t="s">
        <v>558</v>
      </c>
      <c r="F58" s="433">
        <v>45749</v>
      </c>
      <c r="G58" s="1"/>
      <c r="H58" s="387">
        <v>2200</v>
      </c>
      <c r="I58" s="434">
        <v>6</v>
      </c>
      <c r="J58" s="210">
        <f t="shared" si="3"/>
        <v>2200</v>
      </c>
      <c r="K58" s="1"/>
      <c r="L58" s="211"/>
      <c r="M58" s="209"/>
      <c r="N58" s="209"/>
      <c r="O58" s="387"/>
      <c r="P58" s="209">
        <v>183.26</v>
      </c>
      <c r="Q58" s="209">
        <v>176</v>
      </c>
      <c r="R58" s="209"/>
      <c r="S58" s="209">
        <v>168.26</v>
      </c>
      <c r="T58" s="209">
        <v>313</v>
      </c>
      <c r="U58" s="435">
        <v>9.5299999999999994</v>
      </c>
      <c r="V58" s="435">
        <v>520</v>
      </c>
      <c r="W58" s="209">
        <v>86.25</v>
      </c>
      <c r="X58" s="209"/>
      <c r="Y58" s="435">
        <v>6.9</v>
      </c>
      <c r="Z58" s="1"/>
      <c r="AA58" s="212">
        <f t="shared" si="5"/>
        <v>3663.2000000000007</v>
      </c>
      <c r="AB58" s="1"/>
      <c r="AC58" s="371">
        <f t="shared" si="4"/>
        <v>1</v>
      </c>
      <c r="AD58" s="442">
        <f t="shared" si="6"/>
        <v>1.6650909090909094</v>
      </c>
    </row>
    <row r="59" spans="2:30" ht="12.75" customHeight="1">
      <c r="B59" s="208" t="s">
        <v>282</v>
      </c>
      <c r="C59" s="372" t="s">
        <v>493</v>
      </c>
      <c r="D59" s="374" t="s">
        <v>537</v>
      </c>
      <c r="E59" s="383" t="s">
        <v>558</v>
      </c>
      <c r="F59" s="433">
        <v>45677</v>
      </c>
      <c r="G59" s="1"/>
      <c r="H59" s="387">
        <v>2930.5</v>
      </c>
      <c r="I59" s="434">
        <v>7</v>
      </c>
      <c r="J59" s="210">
        <f t="shared" si="3"/>
        <v>2930.5</v>
      </c>
      <c r="K59" s="1"/>
      <c r="L59" s="211"/>
      <c r="M59" s="209"/>
      <c r="N59" s="209"/>
      <c r="O59" s="387"/>
      <c r="P59" s="209">
        <v>244.11064999999999</v>
      </c>
      <c r="Q59" s="209">
        <v>234.44</v>
      </c>
      <c r="R59" s="209"/>
      <c r="S59" s="209">
        <v>187.95</v>
      </c>
      <c r="T59" s="209">
        <v>350</v>
      </c>
      <c r="U59" s="435">
        <v>9.5299999999999994</v>
      </c>
      <c r="V59" s="435">
        <v>520</v>
      </c>
      <c r="W59" s="209">
        <v>86.25</v>
      </c>
      <c r="X59" s="209"/>
      <c r="Y59" s="435">
        <v>6.9</v>
      </c>
      <c r="Z59" s="1"/>
      <c r="AA59" s="212">
        <f t="shared" si="5"/>
        <v>4569.6806500000002</v>
      </c>
      <c r="AB59" s="1"/>
      <c r="AC59" s="371">
        <f t="shared" si="4"/>
        <v>1</v>
      </c>
      <c r="AD59" s="442">
        <f t="shared" si="6"/>
        <v>1.5593518682818632</v>
      </c>
    </row>
    <row r="60" spans="2:30" ht="12.75" customHeight="1">
      <c r="B60" s="208" t="s">
        <v>282</v>
      </c>
      <c r="C60" s="372" t="s">
        <v>494</v>
      </c>
      <c r="D60" s="374" t="s">
        <v>537</v>
      </c>
      <c r="E60" s="383" t="s">
        <v>558</v>
      </c>
      <c r="F60" s="433">
        <v>45384</v>
      </c>
      <c r="G60" s="1"/>
      <c r="H60" s="387">
        <v>2930.5</v>
      </c>
      <c r="I60" s="434">
        <v>7</v>
      </c>
      <c r="J60" s="210">
        <f t="shared" si="3"/>
        <v>2930.5</v>
      </c>
      <c r="K60" s="1"/>
      <c r="L60" s="211"/>
      <c r="M60" s="209"/>
      <c r="N60" s="209"/>
      <c r="O60" s="387"/>
      <c r="P60" s="209">
        <v>244.11064999999999</v>
      </c>
      <c r="Q60" s="209">
        <v>234.44</v>
      </c>
      <c r="R60" s="209"/>
      <c r="S60" s="209">
        <v>168.26</v>
      </c>
      <c r="T60" s="209">
        <v>269.17</v>
      </c>
      <c r="U60" s="435">
        <v>9.5299999999999994</v>
      </c>
      <c r="V60" s="435">
        <v>520</v>
      </c>
      <c r="W60" s="209">
        <v>86.25</v>
      </c>
      <c r="X60" s="209"/>
      <c r="Y60" s="435">
        <v>6.9</v>
      </c>
      <c r="Z60" s="1"/>
      <c r="AA60" s="212">
        <f t="shared" si="5"/>
        <v>4469.1606499999998</v>
      </c>
      <c r="AB60" s="1"/>
      <c r="AC60" s="371">
        <f t="shared" si="4"/>
        <v>1</v>
      </c>
      <c r="AD60" s="442">
        <f t="shared" si="6"/>
        <v>1.5250505545128816</v>
      </c>
    </row>
    <row r="61" spans="2:30" ht="12.75" customHeight="1">
      <c r="B61" s="208" t="s">
        <v>282</v>
      </c>
      <c r="C61" s="372" t="s">
        <v>495</v>
      </c>
      <c r="D61" s="374" t="s">
        <v>537</v>
      </c>
      <c r="E61" s="383" t="s">
        <v>558</v>
      </c>
      <c r="F61" s="433">
        <v>45910</v>
      </c>
      <c r="G61" s="1"/>
      <c r="H61" s="387">
        <v>2930.5</v>
      </c>
      <c r="I61" s="434">
        <v>7</v>
      </c>
      <c r="J61" s="210">
        <f t="shared" si="3"/>
        <v>2930.5</v>
      </c>
      <c r="K61" s="1"/>
      <c r="L61" s="211"/>
      <c r="M61" s="209"/>
      <c r="N61" s="209"/>
      <c r="O61" s="387"/>
      <c r="P61" s="209">
        <v>244.11064999999999</v>
      </c>
      <c r="Q61" s="209">
        <v>234.44</v>
      </c>
      <c r="R61" s="209"/>
      <c r="S61" s="209"/>
      <c r="T61" s="209">
        <v>269.17</v>
      </c>
      <c r="U61" s="435">
        <v>9.5299999999999994</v>
      </c>
      <c r="V61" s="435">
        <v>520</v>
      </c>
      <c r="W61" s="209">
        <v>86.25</v>
      </c>
      <c r="X61" s="209"/>
      <c r="Y61" s="435">
        <v>6.9</v>
      </c>
      <c r="Z61" s="1"/>
      <c r="AA61" s="212">
        <f t="shared" si="5"/>
        <v>4300.9006499999996</v>
      </c>
      <c r="AB61" s="1"/>
      <c r="AC61" s="371">
        <f t="shared" si="4"/>
        <v>1</v>
      </c>
      <c r="AD61" s="442">
        <f t="shared" si="6"/>
        <v>1.4676337314451458</v>
      </c>
    </row>
    <row r="62" spans="2:30" ht="12.75" customHeight="1">
      <c r="B62" s="208" t="s">
        <v>282</v>
      </c>
      <c r="C62" s="372" t="s">
        <v>496</v>
      </c>
      <c r="D62" s="374" t="s">
        <v>537</v>
      </c>
      <c r="E62" s="383" t="s">
        <v>558</v>
      </c>
      <c r="F62" s="433">
        <v>44805</v>
      </c>
      <c r="G62" s="1"/>
      <c r="H62" s="387">
        <v>2930.5</v>
      </c>
      <c r="I62" s="434">
        <v>8</v>
      </c>
      <c r="J62" s="210">
        <f t="shared" si="3"/>
        <v>2930.5</v>
      </c>
      <c r="K62" s="1"/>
      <c r="L62" s="211"/>
      <c r="M62" s="209"/>
      <c r="N62" s="209"/>
      <c r="O62" s="387"/>
      <c r="P62" s="209">
        <v>244.11064999999999</v>
      </c>
      <c r="Q62" s="209">
        <v>234.44</v>
      </c>
      <c r="R62" s="209"/>
      <c r="S62" s="209">
        <v>168.26</v>
      </c>
      <c r="T62" s="209">
        <v>350</v>
      </c>
      <c r="U62" s="435">
        <v>9.5299999999999994</v>
      </c>
      <c r="V62" s="435">
        <v>520</v>
      </c>
      <c r="W62" s="209">
        <v>86.25</v>
      </c>
      <c r="X62" s="209"/>
      <c r="Y62" s="435">
        <v>6.9</v>
      </c>
      <c r="Z62" s="1"/>
      <c r="AA62" s="212">
        <f t="shared" si="5"/>
        <v>4549.9906499999997</v>
      </c>
      <c r="AB62" s="1"/>
      <c r="AC62" s="371">
        <f t="shared" si="4"/>
        <v>1</v>
      </c>
      <c r="AD62" s="442">
        <f t="shared" si="6"/>
        <v>1.5526328783484047</v>
      </c>
    </row>
    <row r="63" spans="2:30" ht="12.75" customHeight="1">
      <c r="B63" s="208" t="s">
        <v>282</v>
      </c>
      <c r="C63" s="372" t="s">
        <v>497</v>
      </c>
      <c r="D63" s="374" t="s">
        <v>537</v>
      </c>
      <c r="E63" s="383" t="s">
        <v>558</v>
      </c>
      <c r="F63" s="433">
        <v>44734</v>
      </c>
      <c r="G63" s="1"/>
      <c r="H63" s="387">
        <v>2930.5</v>
      </c>
      <c r="I63" s="434">
        <v>8</v>
      </c>
      <c r="J63" s="210">
        <f t="shared" si="3"/>
        <v>2930.5</v>
      </c>
      <c r="K63" s="1"/>
      <c r="L63" s="211"/>
      <c r="M63" s="209"/>
      <c r="N63" s="209"/>
      <c r="O63" s="387"/>
      <c r="P63" s="209">
        <v>244.11064999999999</v>
      </c>
      <c r="Q63" s="209">
        <v>234.44</v>
      </c>
      <c r="R63" s="209"/>
      <c r="S63" s="209">
        <v>143.33000000000001</v>
      </c>
      <c r="T63" s="209">
        <v>269.17</v>
      </c>
      <c r="U63" s="435">
        <v>9.5299999999999994</v>
      </c>
      <c r="V63" s="435">
        <v>520</v>
      </c>
      <c r="W63" s="209">
        <v>86.25</v>
      </c>
      <c r="X63" s="209"/>
      <c r="Y63" s="435">
        <v>6.9</v>
      </c>
      <c r="Z63" s="1"/>
      <c r="AA63" s="212">
        <f t="shared" si="5"/>
        <v>4444.2306499999995</v>
      </c>
      <c r="AB63" s="1"/>
      <c r="AC63" s="371">
        <f t="shared" si="4"/>
        <v>1</v>
      </c>
      <c r="AD63" s="442">
        <f t="shared" si="6"/>
        <v>1.5165434738099299</v>
      </c>
    </row>
    <row r="64" spans="2:30" ht="12.75" customHeight="1">
      <c r="B64" s="208" t="s">
        <v>282</v>
      </c>
      <c r="C64" s="372" t="s">
        <v>498</v>
      </c>
      <c r="D64" s="374" t="s">
        <v>537</v>
      </c>
      <c r="E64" s="383" t="s">
        <v>558</v>
      </c>
      <c r="F64" s="433">
        <v>45342</v>
      </c>
      <c r="G64" s="1"/>
      <c r="H64" s="387">
        <v>2930.5</v>
      </c>
      <c r="I64" s="434">
        <v>7</v>
      </c>
      <c r="J64" s="210">
        <f t="shared" si="3"/>
        <v>2930.5</v>
      </c>
      <c r="K64" s="1"/>
      <c r="L64" s="211"/>
      <c r="M64" s="209"/>
      <c r="N64" s="209"/>
      <c r="O64" s="387"/>
      <c r="P64" s="209">
        <v>244.11064999999999</v>
      </c>
      <c r="Q64" s="209">
        <v>234.44</v>
      </c>
      <c r="R64" s="209"/>
      <c r="S64" s="209">
        <v>168.26</v>
      </c>
      <c r="T64" s="209">
        <v>269.17</v>
      </c>
      <c r="U64" s="435">
        <v>9.5299999999999994</v>
      </c>
      <c r="V64" s="435">
        <v>520</v>
      </c>
      <c r="W64" s="209">
        <v>86.25</v>
      </c>
      <c r="X64" s="209"/>
      <c r="Y64" s="435">
        <v>6.9</v>
      </c>
      <c r="Z64" s="1"/>
      <c r="AA64" s="212">
        <f t="shared" si="5"/>
        <v>4469.1606499999998</v>
      </c>
      <c r="AB64" s="1"/>
      <c r="AC64" s="371">
        <f t="shared" si="4"/>
        <v>1</v>
      </c>
      <c r="AD64" s="442">
        <f t="shared" si="6"/>
        <v>1.5250505545128816</v>
      </c>
    </row>
    <row r="65" spans="2:30" ht="12.75" customHeight="1">
      <c r="B65" s="208" t="s">
        <v>282</v>
      </c>
      <c r="C65" s="372" t="s">
        <v>499</v>
      </c>
      <c r="D65" s="374" t="s">
        <v>537</v>
      </c>
      <c r="E65" s="383" t="s">
        <v>558</v>
      </c>
      <c r="F65" s="433">
        <v>45345</v>
      </c>
      <c r="G65" s="1"/>
      <c r="H65" s="387">
        <v>2930.5</v>
      </c>
      <c r="I65" s="434">
        <v>7</v>
      </c>
      <c r="J65" s="210">
        <f t="shared" si="3"/>
        <v>2930.5</v>
      </c>
      <c r="K65" s="1"/>
      <c r="L65" s="211"/>
      <c r="M65" s="209"/>
      <c r="N65" s="209"/>
      <c r="O65" s="387"/>
      <c r="P65" s="209">
        <v>244.11064999999999</v>
      </c>
      <c r="Q65" s="209">
        <v>234.44</v>
      </c>
      <c r="R65" s="209"/>
      <c r="S65" s="209">
        <v>143.33000000000001</v>
      </c>
      <c r="T65" s="209">
        <v>0</v>
      </c>
      <c r="U65" s="435">
        <v>9.5299999999999994</v>
      </c>
      <c r="V65" s="435">
        <v>520</v>
      </c>
      <c r="W65" s="209">
        <v>86.25</v>
      </c>
      <c r="X65" s="209"/>
      <c r="Y65" s="435">
        <v>6.9</v>
      </c>
      <c r="Z65" s="1"/>
      <c r="AA65" s="212">
        <f t="shared" si="5"/>
        <v>4175.0606499999994</v>
      </c>
      <c r="AB65" s="1"/>
      <c r="AC65" s="371">
        <f t="shared" si="4"/>
        <v>1</v>
      </c>
      <c r="AD65" s="442">
        <f t="shared" si="6"/>
        <v>1.42469225388159</v>
      </c>
    </row>
    <row r="66" spans="2:30" ht="12.75" customHeight="1">
      <c r="B66" s="208" t="s">
        <v>282</v>
      </c>
      <c r="C66" s="372" t="s">
        <v>500</v>
      </c>
      <c r="D66" s="374" t="s">
        <v>537</v>
      </c>
      <c r="E66" s="383" t="s">
        <v>558</v>
      </c>
      <c r="F66" s="433">
        <v>44959</v>
      </c>
      <c r="G66" s="1"/>
      <c r="H66" s="387">
        <v>2930.5</v>
      </c>
      <c r="I66" s="434">
        <v>8</v>
      </c>
      <c r="J66" s="210">
        <f t="shared" si="3"/>
        <v>2930.5</v>
      </c>
      <c r="K66" s="1"/>
      <c r="L66" s="211"/>
      <c r="M66" s="209"/>
      <c r="N66" s="209"/>
      <c r="O66" s="387"/>
      <c r="P66" s="209">
        <v>244.11064999999999</v>
      </c>
      <c r="Q66" s="209">
        <v>234.44</v>
      </c>
      <c r="R66" s="209"/>
      <c r="S66" s="209">
        <v>168.26</v>
      </c>
      <c r="T66" s="209">
        <v>0</v>
      </c>
      <c r="U66" s="435">
        <v>9.5299999999999994</v>
      </c>
      <c r="V66" s="435">
        <v>520</v>
      </c>
      <c r="W66" s="209">
        <v>86.25</v>
      </c>
      <c r="X66" s="209"/>
      <c r="Y66" s="435">
        <v>6.9</v>
      </c>
      <c r="Z66" s="1"/>
      <c r="AA66" s="212">
        <f t="shared" si="5"/>
        <v>4199.9906499999997</v>
      </c>
      <c r="AB66" s="1"/>
      <c r="AC66" s="371">
        <f t="shared" si="4"/>
        <v>1</v>
      </c>
      <c r="AD66" s="442">
        <f t="shared" si="6"/>
        <v>1.4331993345845417</v>
      </c>
    </row>
    <row r="67" spans="2:30" ht="12.75" customHeight="1">
      <c r="B67" s="208" t="s">
        <v>282</v>
      </c>
      <c r="C67" s="372" t="s">
        <v>501</v>
      </c>
      <c r="D67" s="374" t="s">
        <v>537</v>
      </c>
      <c r="E67" s="383" t="s">
        <v>558</v>
      </c>
      <c r="F67" s="433">
        <v>45800</v>
      </c>
      <c r="G67" s="1"/>
      <c r="H67" s="387">
        <v>2930.5</v>
      </c>
      <c r="I67" s="434">
        <v>7</v>
      </c>
      <c r="J67" s="210">
        <f t="shared" si="3"/>
        <v>2930.5</v>
      </c>
      <c r="K67" s="1"/>
      <c r="L67" s="211"/>
      <c r="M67" s="209"/>
      <c r="N67" s="209"/>
      <c r="O67" s="387"/>
      <c r="P67" s="209">
        <v>244.11064999999999</v>
      </c>
      <c r="Q67" s="209">
        <v>234.44</v>
      </c>
      <c r="R67" s="209"/>
      <c r="S67" s="209"/>
      <c r="T67" s="209">
        <v>269.17</v>
      </c>
      <c r="U67" s="435">
        <v>9.5299999999999994</v>
      </c>
      <c r="V67" s="435">
        <v>520</v>
      </c>
      <c r="W67" s="209">
        <v>86.25</v>
      </c>
      <c r="X67" s="209"/>
      <c r="Y67" s="435">
        <v>6.9</v>
      </c>
      <c r="Z67" s="1"/>
      <c r="AA67" s="212">
        <f t="shared" si="5"/>
        <v>4300.9006499999996</v>
      </c>
      <c r="AB67" s="1"/>
      <c r="AC67" s="371">
        <f t="shared" si="4"/>
        <v>1</v>
      </c>
      <c r="AD67" s="442">
        <f t="shared" si="6"/>
        <v>1.4676337314451458</v>
      </c>
    </row>
    <row r="68" spans="2:30" ht="12.75" customHeight="1">
      <c r="B68" s="208" t="s">
        <v>282</v>
      </c>
      <c r="C68" s="372" t="s">
        <v>502</v>
      </c>
      <c r="D68" s="374" t="s">
        <v>537</v>
      </c>
      <c r="E68" s="383" t="s">
        <v>558</v>
      </c>
      <c r="F68" s="433">
        <v>45616</v>
      </c>
      <c r="G68" s="1"/>
      <c r="H68" s="387">
        <v>2930.5</v>
      </c>
      <c r="I68" s="434">
        <v>7</v>
      </c>
      <c r="J68" s="210">
        <f t="shared" si="3"/>
        <v>2930.5</v>
      </c>
      <c r="K68" s="1"/>
      <c r="L68" s="211"/>
      <c r="M68" s="209"/>
      <c r="N68" s="209"/>
      <c r="O68" s="387"/>
      <c r="P68" s="209">
        <v>244.11064999999999</v>
      </c>
      <c r="Q68" s="209">
        <v>234.44</v>
      </c>
      <c r="R68" s="209"/>
      <c r="S68" s="209">
        <v>168.26</v>
      </c>
      <c r="T68" s="209">
        <v>200</v>
      </c>
      <c r="U68" s="435">
        <v>9.5299999999999994</v>
      </c>
      <c r="V68" s="435">
        <v>520</v>
      </c>
      <c r="W68" s="209">
        <v>86.25</v>
      </c>
      <c r="X68" s="209"/>
      <c r="Y68" s="435">
        <v>6.9</v>
      </c>
      <c r="Z68" s="1"/>
      <c r="AA68" s="212">
        <f t="shared" si="5"/>
        <v>4399.9906499999997</v>
      </c>
      <c r="AB68" s="1"/>
      <c r="AC68" s="371">
        <f t="shared" si="4"/>
        <v>1</v>
      </c>
      <c r="AD68" s="442">
        <f t="shared" si="6"/>
        <v>1.5014470738781778</v>
      </c>
    </row>
    <row r="69" spans="2:30" ht="12.75" customHeight="1">
      <c r="B69" s="208" t="s">
        <v>282</v>
      </c>
      <c r="C69" s="372" t="s">
        <v>503</v>
      </c>
      <c r="D69" s="374" t="s">
        <v>537</v>
      </c>
      <c r="E69" s="383" t="s">
        <v>558</v>
      </c>
      <c r="F69" s="433">
        <v>45679</v>
      </c>
      <c r="G69" s="1"/>
      <c r="H69" s="387">
        <v>2930.5</v>
      </c>
      <c r="I69" s="434">
        <v>7</v>
      </c>
      <c r="J69" s="210">
        <f t="shared" si="3"/>
        <v>2930.5</v>
      </c>
      <c r="K69" s="1"/>
      <c r="L69" s="211"/>
      <c r="M69" s="209"/>
      <c r="N69" s="209"/>
      <c r="O69" s="387"/>
      <c r="P69" s="209">
        <v>244.11064999999999</v>
      </c>
      <c r="Q69" s="209">
        <v>234.44</v>
      </c>
      <c r="R69" s="209"/>
      <c r="S69" s="209">
        <v>168.26</v>
      </c>
      <c r="T69" s="209">
        <v>269.17</v>
      </c>
      <c r="U69" s="435">
        <v>9.5299999999999994</v>
      </c>
      <c r="V69" s="435">
        <v>520</v>
      </c>
      <c r="W69" s="209">
        <v>86.25</v>
      </c>
      <c r="X69" s="209"/>
      <c r="Y69" s="435">
        <v>6.9</v>
      </c>
      <c r="Z69" s="1"/>
      <c r="AA69" s="212">
        <f t="shared" ref="AA69:AA88" si="7">SUM(J69:Y69)</f>
        <v>4469.1606499999998</v>
      </c>
      <c r="AB69" s="1"/>
      <c r="AC69" s="371">
        <f t="shared" si="4"/>
        <v>1</v>
      </c>
      <c r="AD69" s="442">
        <f t="shared" ref="AD69:AD88" si="8">AA69/J69</f>
        <v>1.5250505545128816</v>
      </c>
    </row>
    <row r="70" spans="2:30" ht="12.75" customHeight="1">
      <c r="B70" s="208" t="s">
        <v>282</v>
      </c>
      <c r="C70" s="372" t="s">
        <v>504</v>
      </c>
      <c r="D70" s="374" t="s">
        <v>538</v>
      </c>
      <c r="E70" s="383" t="s">
        <v>558</v>
      </c>
      <c r="F70" s="433">
        <v>45733</v>
      </c>
      <c r="G70" s="1"/>
      <c r="H70" s="387">
        <v>2200</v>
      </c>
      <c r="I70" s="434">
        <v>6</v>
      </c>
      <c r="J70" s="210">
        <f t="shared" ref="J70:J88" si="9">H70</f>
        <v>2200</v>
      </c>
      <c r="K70" s="1"/>
      <c r="L70" s="211"/>
      <c r="M70" s="209"/>
      <c r="N70" s="209"/>
      <c r="O70" s="387"/>
      <c r="P70" s="209">
        <v>183.26</v>
      </c>
      <c r="Q70" s="209">
        <v>176</v>
      </c>
      <c r="R70" s="209"/>
      <c r="S70" s="209">
        <v>187.95</v>
      </c>
      <c r="T70" s="209">
        <v>0</v>
      </c>
      <c r="U70" s="435">
        <v>9.5299999999999994</v>
      </c>
      <c r="V70" s="435">
        <v>520</v>
      </c>
      <c r="W70" s="209">
        <v>86.25</v>
      </c>
      <c r="X70" s="209"/>
      <c r="Y70" s="435">
        <v>6.9</v>
      </c>
      <c r="Z70" s="1"/>
      <c r="AA70" s="212">
        <f t="shared" si="7"/>
        <v>3369.8900000000003</v>
      </c>
      <c r="AB70" s="1"/>
      <c r="AC70" s="371">
        <f t="shared" si="4"/>
        <v>1</v>
      </c>
      <c r="AD70" s="442">
        <f t="shared" si="8"/>
        <v>1.5317681818181819</v>
      </c>
    </row>
    <row r="71" spans="2:30" ht="12.75" customHeight="1">
      <c r="B71" s="208" t="s">
        <v>282</v>
      </c>
      <c r="C71" s="372" t="s">
        <v>505</v>
      </c>
      <c r="D71" s="374" t="s">
        <v>538</v>
      </c>
      <c r="E71" s="383" t="s">
        <v>558</v>
      </c>
      <c r="F71" s="433">
        <v>45810</v>
      </c>
      <c r="G71" s="1"/>
      <c r="H71" s="387">
        <v>2200</v>
      </c>
      <c r="I71" s="434">
        <v>6</v>
      </c>
      <c r="J71" s="210">
        <f t="shared" si="9"/>
        <v>2200</v>
      </c>
      <c r="K71" s="1"/>
      <c r="L71" s="211"/>
      <c r="M71" s="209"/>
      <c r="N71" s="209"/>
      <c r="O71" s="387"/>
      <c r="P71" s="209">
        <v>183.26</v>
      </c>
      <c r="Q71" s="209">
        <v>176</v>
      </c>
      <c r="R71" s="209"/>
      <c r="S71" s="209">
        <v>168.26</v>
      </c>
      <c r="T71" s="209">
        <v>350</v>
      </c>
      <c r="U71" s="435">
        <v>9.5299999999999994</v>
      </c>
      <c r="V71" s="435">
        <v>520</v>
      </c>
      <c r="W71" s="209">
        <v>86.25</v>
      </c>
      <c r="X71" s="209"/>
      <c r="Y71" s="435">
        <v>6.9</v>
      </c>
      <c r="Z71" s="1"/>
      <c r="AA71" s="212">
        <f t="shared" si="7"/>
        <v>3700.2000000000007</v>
      </c>
      <c r="AB71" s="1"/>
      <c r="AC71" s="371">
        <f t="shared" ref="AC71:AC88" si="10">IF(AA71&gt;0,1,"")</f>
        <v>1</v>
      </c>
      <c r="AD71" s="442">
        <f t="shared" si="8"/>
        <v>1.6819090909090912</v>
      </c>
    </row>
    <row r="72" spans="2:30" ht="12.75" customHeight="1">
      <c r="B72" s="208" t="s">
        <v>282</v>
      </c>
      <c r="C72" s="372" t="s">
        <v>506</v>
      </c>
      <c r="D72" s="374" t="s">
        <v>538</v>
      </c>
      <c r="E72" s="383" t="s">
        <v>558</v>
      </c>
      <c r="F72" s="433">
        <v>45792</v>
      </c>
      <c r="G72" s="1"/>
      <c r="H72" s="387">
        <v>2200</v>
      </c>
      <c r="I72" s="434">
        <v>6</v>
      </c>
      <c r="J72" s="210">
        <f t="shared" si="9"/>
        <v>2200</v>
      </c>
      <c r="K72" s="1"/>
      <c r="L72" s="211"/>
      <c r="M72" s="209"/>
      <c r="N72" s="209"/>
      <c r="O72" s="387"/>
      <c r="P72" s="209">
        <v>183.26</v>
      </c>
      <c r="Q72" s="209">
        <v>176</v>
      </c>
      <c r="R72" s="209"/>
      <c r="S72" s="209"/>
      <c r="T72" s="209">
        <v>200</v>
      </c>
      <c r="U72" s="435">
        <v>9.5299999999999994</v>
      </c>
      <c r="V72" s="435">
        <v>520</v>
      </c>
      <c r="W72" s="209">
        <v>86.25</v>
      </c>
      <c r="X72" s="209"/>
      <c r="Y72" s="435">
        <v>6.9</v>
      </c>
      <c r="Z72" s="1"/>
      <c r="AA72" s="212">
        <f t="shared" si="7"/>
        <v>3381.9400000000005</v>
      </c>
      <c r="AB72" s="1"/>
      <c r="AC72" s="371">
        <f t="shared" si="10"/>
        <v>1</v>
      </c>
      <c r="AD72" s="442">
        <f t="shared" si="8"/>
        <v>1.5372454545454548</v>
      </c>
    </row>
    <row r="73" spans="2:30" ht="12.75" customHeight="1">
      <c r="B73" s="208" t="s">
        <v>282</v>
      </c>
      <c r="C73" s="372" t="s">
        <v>452</v>
      </c>
      <c r="D73" s="374" t="s">
        <v>538</v>
      </c>
      <c r="E73" s="383" t="s">
        <v>558</v>
      </c>
      <c r="F73" s="433"/>
      <c r="G73" s="1"/>
      <c r="H73" s="387">
        <v>2200</v>
      </c>
      <c r="I73" s="434">
        <v>6</v>
      </c>
      <c r="J73" s="210">
        <f t="shared" si="9"/>
        <v>2200</v>
      </c>
      <c r="K73" s="1"/>
      <c r="L73" s="211"/>
      <c r="M73" s="209"/>
      <c r="N73" s="209"/>
      <c r="O73" s="387"/>
      <c r="P73" s="209">
        <v>183.26</v>
      </c>
      <c r="Q73" s="209">
        <v>176</v>
      </c>
      <c r="R73" s="209"/>
      <c r="S73" s="209"/>
      <c r="T73" s="209">
        <v>313</v>
      </c>
      <c r="U73" s="435">
        <v>9.5299999999999994</v>
      </c>
      <c r="V73" s="435">
        <v>520</v>
      </c>
      <c r="W73" s="209">
        <v>86.25</v>
      </c>
      <c r="X73" s="209"/>
      <c r="Y73" s="435">
        <v>6.9</v>
      </c>
      <c r="Z73" s="1"/>
      <c r="AA73" s="212">
        <f t="shared" si="7"/>
        <v>3494.9400000000005</v>
      </c>
      <c r="AB73" s="1"/>
      <c r="AC73" s="371">
        <f t="shared" si="10"/>
        <v>1</v>
      </c>
      <c r="AD73" s="442">
        <f t="shared" si="8"/>
        <v>1.5886090909090911</v>
      </c>
    </row>
    <row r="74" spans="2:30" ht="12.75" customHeight="1">
      <c r="B74" s="208" t="s">
        <v>282</v>
      </c>
      <c r="C74" s="372" t="s">
        <v>507</v>
      </c>
      <c r="D74" s="374" t="s">
        <v>538</v>
      </c>
      <c r="E74" s="383" t="s">
        <v>558</v>
      </c>
      <c r="F74" s="433">
        <v>45889</v>
      </c>
      <c r="G74" s="1"/>
      <c r="H74" s="387">
        <v>2200</v>
      </c>
      <c r="I74" s="434">
        <v>6</v>
      </c>
      <c r="J74" s="210">
        <f t="shared" si="9"/>
        <v>2200</v>
      </c>
      <c r="K74" s="1"/>
      <c r="L74" s="211"/>
      <c r="M74" s="209"/>
      <c r="N74" s="209"/>
      <c r="O74" s="387"/>
      <c r="P74" s="209">
        <v>183.26</v>
      </c>
      <c r="Q74" s="209">
        <v>176</v>
      </c>
      <c r="R74" s="209"/>
      <c r="S74" s="209"/>
      <c r="T74" s="209">
        <v>350</v>
      </c>
      <c r="U74" s="435">
        <v>9.5299999999999994</v>
      </c>
      <c r="V74" s="435">
        <v>520</v>
      </c>
      <c r="W74" s="209">
        <v>86.25</v>
      </c>
      <c r="X74" s="209"/>
      <c r="Y74" s="435">
        <v>6.9</v>
      </c>
      <c r="Z74" s="1"/>
      <c r="AA74" s="212">
        <f t="shared" si="7"/>
        <v>3531.9400000000005</v>
      </c>
      <c r="AB74" s="1"/>
      <c r="AC74" s="371">
        <f t="shared" si="10"/>
        <v>1</v>
      </c>
      <c r="AD74" s="442">
        <f t="shared" si="8"/>
        <v>1.6054272727272729</v>
      </c>
    </row>
    <row r="75" spans="2:30" ht="12.75" customHeight="1">
      <c r="B75" s="208" t="s">
        <v>282</v>
      </c>
      <c r="C75" s="372" t="s">
        <v>508</v>
      </c>
      <c r="D75" s="374" t="s">
        <v>538</v>
      </c>
      <c r="E75" s="383" t="s">
        <v>558</v>
      </c>
      <c r="F75" s="433">
        <v>45638</v>
      </c>
      <c r="G75" s="1"/>
      <c r="H75" s="387">
        <v>2200</v>
      </c>
      <c r="I75" s="434">
        <v>6</v>
      </c>
      <c r="J75" s="210">
        <f t="shared" si="9"/>
        <v>2200</v>
      </c>
      <c r="K75" s="1"/>
      <c r="L75" s="211"/>
      <c r="M75" s="209"/>
      <c r="N75" s="209"/>
      <c r="O75" s="387"/>
      <c r="P75" s="209">
        <v>183.26</v>
      </c>
      <c r="Q75" s="209">
        <v>176</v>
      </c>
      <c r="R75" s="209"/>
      <c r="S75" s="209">
        <v>143.33000000000001</v>
      </c>
      <c r="T75" s="209">
        <v>313</v>
      </c>
      <c r="U75" s="435">
        <v>9.5299999999999994</v>
      </c>
      <c r="V75" s="435">
        <v>520</v>
      </c>
      <c r="W75" s="209">
        <v>86.25</v>
      </c>
      <c r="X75" s="209"/>
      <c r="Y75" s="435">
        <v>6.9</v>
      </c>
      <c r="Z75" s="1"/>
      <c r="AA75" s="212">
        <f t="shared" si="7"/>
        <v>3638.2700000000004</v>
      </c>
      <c r="AB75" s="1"/>
      <c r="AC75" s="371">
        <f t="shared" si="10"/>
        <v>1</v>
      </c>
      <c r="AD75" s="442">
        <f t="shared" si="8"/>
        <v>1.6537590909090911</v>
      </c>
    </row>
    <row r="76" spans="2:30" ht="12.75" customHeight="1">
      <c r="B76" s="208" t="s">
        <v>282</v>
      </c>
      <c r="C76" s="372" t="s">
        <v>509</v>
      </c>
      <c r="D76" s="373" t="s">
        <v>524</v>
      </c>
      <c r="E76" s="383" t="s">
        <v>560</v>
      </c>
      <c r="F76" s="433">
        <v>45618</v>
      </c>
      <c r="G76" s="1"/>
      <c r="H76" s="387">
        <v>2586.5</v>
      </c>
      <c r="I76" s="434">
        <v>4</v>
      </c>
      <c r="J76" s="210">
        <f t="shared" si="9"/>
        <v>2586.5</v>
      </c>
      <c r="K76" s="1"/>
      <c r="L76" s="211"/>
      <c r="M76" s="209"/>
      <c r="N76" s="209"/>
      <c r="O76" s="387"/>
      <c r="P76" s="209">
        <v>215.45544999999998</v>
      </c>
      <c r="Q76" s="209">
        <v>206.92000000000002</v>
      </c>
      <c r="R76" s="209"/>
      <c r="S76" s="209">
        <v>168.26</v>
      </c>
      <c r="T76" s="209">
        <v>289.81</v>
      </c>
      <c r="U76" s="435">
        <v>9.5299999999999994</v>
      </c>
      <c r="V76" s="435">
        <v>520</v>
      </c>
      <c r="W76" s="209">
        <v>86.25</v>
      </c>
      <c r="X76" s="209"/>
      <c r="Y76" s="435">
        <v>6.9</v>
      </c>
      <c r="Z76" s="1"/>
      <c r="AA76" s="212">
        <f t="shared" si="7"/>
        <v>4089.62545</v>
      </c>
      <c r="AB76" s="1"/>
      <c r="AC76" s="371">
        <f t="shared" si="10"/>
        <v>1</v>
      </c>
      <c r="AD76" s="442">
        <f t="shared" si="8"/>
        <v>1.5811426445002901</v>
      </c>
    </row>
    <row r="77" spans="2:30" ht="12.75" customHeight="1">
      <c r="B77" s="208" t="s">
        <v>282</v>
      </c>
      <c r="C77" s="372" t="s">
        <v>510</v>
      </c>
      <c r="D77" s="374" t="s">
        <v>525</v>
      </c>
      <c r="E77" s="383" t="s">
        <v>557</v>
      </c>
      <c r="F77" s="433">
        <v>44860</v>
      </c>
      <c r="G77" s="1"/>
      <c r="H77" s="387">
        <v>3500</v>
      </c>
      <c r="I77" s="434">
        <v>10</v>
      </c>
      <c r="J77" s="210">
        <f t="shared" si="9"/>
        <v>3500</v>
      </c>
      <c r="K77" s="1"/>
      <c r="L77" s="211"/>
      <c r="M77" s="209"/>
      <c r="N77" s="209"/>
      <c r="O77" s="387"/>
      <c r="P77" s="209">
        <v>291.55</v>
      </c>
      <c r="Q77" s="209">
        <v>280</v>
      </c>
      <c r="R77" s="209"/>
      <c r="S77" s="209">
        <v>168.26</v>
      </c>
      <c r="T77" s="209">
        <v>200</v>
      </c>
      <c r="U77" s="435">
        <v>9.5299999999999994</v>
      </c>
      <c r="V77" s="435">
        <v>520</v>
      </c>
      <c r="W77" s="209">
        <v>86.25</v>
      </c>
      <c r="X77" s="209"/>
      <c r="Y77" s="435">
        <v>6.9</v>
      </c>
      <c r="Z77" s="1"/>
      <c r="AA77" s="212">
        <f t="shared" si="7"/>
        <v>5062.49</v>
      </c>
      <c r="AB77" s="1"/>
      <c r="AC77" s="371">
        <f t="shared" si="10"/>
        <v>1</v>
      </c>
      <c r="AD77" s="442">
        <f t="shared" si="8"/>
        <v>1.4464257142857142</v>
      </c>
    </row>
    <row r="78" spans="2:30" ht="12.75" customHeight="1">
      <c r="B78" s="208" t="s">
        <v>282</v>
      </c>
      <c r="C78" s="372" t="s">
        <v>452</v>
      </c>
      <c r="D78" s="379" t="s">
        <v>526</v>
      </c>
      <c r="E78" s="383" t="s">
        <v>561</v>
      </c>
      <c r="F78" s="433"/>
      <c r="G78" s="1"/>
      <c r="H78" s="387">
        <v>3530.5</v>
      </c>
      <c r="I78" s="434">
        <v>12</v>
      </c>
      <c r="J78" s="210">
        <f t="shared" si="9"/>
        <v>3530.5</v>
      </c>
      <c r="K78" s="1"/>
      <c r="L78" s="211"/>
      <c r="M78" s="209"/>
      <c r="N78" s="209"/>
      <c r="O78" s="387"/>
      <c r="P78" s="209">
        <v>294.09064999999998</v>
      </c>
      <c r="Q78" s="209">
        <v>282.44</v>
      </c>
      <c r="R78" s="209"/>
      <c r="S78" s="209"/>
      <c r="T78" s="209">
        <v>200</v>
      </c>
      <c r="U78" s="435">
        <v>9.5299999999999994</v>
      </c>
      <c r="V78" s="436">
        <v>520</v>
      </c>
      <c r="W78" s="209">
        <v>86.25</v>
      </c>
      <c r="X78" s="209"/>
      <c r="Y78" s="435">
        <v>6.9</v>
      </c>
      <c r="Z78" s="1"/>
      <c r="AA78" s="212">
        <f t="shared" si="7"/>
        <v>4929.7106499999991</v>
      </c>
      <c r="AB78" s="1"/>
      <c r="AC78" s="371">
        <f t="shared" si="10"/>
        <v>1</v>
      </c>
      <c r="AD78" s="442">
        <f t="shared" si="8"/>
        <v>1.3963208185809373</v>
      </c>
    </row>
    <row r="79" spans="2:30" ht="12.75" customHeight="1">
      <c r="B79" s="425" t="s">
        <v>282</v>
      </c>
      <c r="C79" s="372" t="s">
        <v>511</v>
      </c>
      <c r="D79" s="379" t="s">
        <v>526</v>
      </c>
      <c r="E79" s="383" t="s">
        <v>561</v>
      </c>
      <c r="F79" s="433">
        <v>45792</v>
      </c>
      <c r="G79" s="1"/>
      <c r="H79" s="387">
        <v>3530.5</v>
      </c>
      <c r="I79" s="434">
        <v>12</v>
      </c>
      <c r="J79" s="210">
        <f t="shared" si="9"/>
        <v>3530.5</v>
      </c>
      <c r="K79" s="1"/>
      <c r="L79" s="426"/>
      <c r="M79" s="209"/>
      <c r="N79" s="209"/>
      <c r="O79" s="387"/>
      <c r="P79" s="209">
        <v>294.09064999999998</v>
      </c>
      <c r="Q79" s="209">
        <v>282.44</v>
      </c>
      <c r="R79" s="209"/>
      <c r="S79" s="209">
        <v>0</v>
      </c>
      <c r="T79" s="209">
        <v>200</v>
      </c>
      <c r="U79" s="435">
        <v>9.5299999999999994</v>
      </c>
      <c r="V79" s="435">
        <v>520</v>
      </c>
      <c r="W79" s="209">
        <v>86.25</v>
      </c>
      <c r="X79" s="209"/>
      <c r="Y79" s="435">
        <v>6.9</v>
      </c>
      <c r="Z79" s="1"/>
      <c r="AA79" s="212">
        <f t="shared" si="7"/>
        <v>4929.7106499999991</v>
      </c>
      <c r="AB79" s="1"/>
      <c r="AC79" s="371">
        <f t="shared" si="10"/>
        <v>1</v>
      </c>
      <c r="AD79" s="442">
        <f t="shared" si="8"/>
        <v>1.3963208185809373</v>
      </c>
    </row>
    <row r="80" spans="2:30" ht="12.75" customHeight="1">
      <c r="B80" s="425" t="s">
        <v>282</v>
      </c>
      <c r="C80" s="372" t="s">
        <v>512</v>
      </c>
      <c r="D80" s="379" t="s">
        <v>527</v>
      </c>
      <c r="E80" s="383" t="s">
        <v>562</v>
      </c>
      <c r="F80" s="433">
        <v>45462</v>
      </c>
      <c r="G80" s="1"/>
      <c r="H80" s="387">
        <v>2293.5</v>
      </c>
      <c r="I80" s="434">
        <v>4</v>
      </c>
      <c r="J80" s="210">
        <f t="shared" si="9"/>
        <v>2293.5</v>
      </c>
      <c r="K80" s="1"/>
      <c r="L80" s="426"/>
      <c r="M80" s="209"/>
      <c r="N80" s="209"/>
      <c r="O80" s="387"/>
      <c r="P80" s="209">
        <v>191.04855000000001</v>
      </c>
      <c r="Q80" s="209">
        <v>183.48</v>
      </c>
      <c r="R80" s="209"/>
      <c r="S80" s="209">
        <v>259.55</v>
      </c>
      <c r="T80" s="209">
        <v>200</v>
      </c>
      <c r="U80" s="435">
        <v>9.5299999999999994</v>
      </c>
      <c r="V80" s="435">
        <v>520</v>
      </c>
      <c r="W80" s="209">
        <v>86.25</v>
      </c>
      <c r="X80" s="209"/>
      <c r="Y80" s="435">
        <v>6.9</v>
      </c>
      <c r="Z80" s="1"/>
      <c r="AA80" s="212">
        <f t="shared" si="7"/>
        <v>3750.2585500000005</v>
      </c>
      <c r="AB80" s="1"/>
      <c r="AC80" s="371">
        <f t="shared" si="10"/>
        <v>1</v>
      </c>
      <c r="AD80" s="442">
        <f t="shared" si="8"/>
        <v>1.6351683235229999</v>
      </c>
    </row>
    <row r="81" spans="2:30" ht="12.75" customHeight="1">
      <c r="B81" s="425" t="s">
        <v>282</v>
      </c>
      <c r="C81" s="372" t="s">
        <v>513</v>
      </c>
      <c r="D81" s="379" t="s">
        <v>527</v>
      </c>
      <c r="E81" s="383" t="s">
        <v>562</v>
      </c>
      <c r="F81" s="433">
        <v>44999</v>
      </c>
      <c r="G81" s="1"/>
      <c r="H81" s="387">
        <v>2293.5</v>
      </c>
      <c r="I81" s="434">
        <v>4</v>
      </c>
      <c r="J81" s="210">
        <f t="shared" si="9"/>
        <v>2293.5</v>
      </c>
      <c r="K81" s="1"/>
      <c r="L81" s="426"/>
      <c r="M81" s="209"/>
      <c r="N81" s="209"/>
      <c r="O81" s="387"/>
      <c r="P81" s="209">
        <v>191.04855000000001</v>
      </c>
      <c r="Q81" s="209">
        <v>183.48</v>
      </c>
      <c r="R81" s="209"/>
      <c r="S81" s="209">
        <v>143.33000000000001</v>
      </c>
      <c r="T81" s="209">
        <v>307.39</v>
      </c>
      <c r="U81" s="435">
        <v>9.5299999999999994</v>
      </c>
      <c r="V81" s="435">
        <v>520</v>
      </c>
      <c r="W81" s="209">
        <v>86.25</v>
      </c>
      <c r="X81" s="209"/>
      <c r="Y81" s="435">
        <v>6.9</v>
      </c>
      <c r="Z81" s="1"/>
      <c r="AA81" s="212">
        <f t="shared" si="7"/>
        <v>3741.4285500000001</v>
      </c>
      <c r="AB81" s="1"/>
      <c r="AC81" s="371">
        <f t="shared" si="10"/>
        <v>1</v>
      </c>
      <c r="AD81" s="442">
        <f t="shared" si="8"/>
        <v>1.6313183126226292</v>
      </c>
    </row>
    <row r="82" spans="2:30" ht="12.75" customHeight="1">
      <c r="B82" s="425" t="s">
        <v>282</v>
      </c>
      <c r="C82" s="372" t="s">
        <v>514</v>
      </c>
      <c r="D82" s="379" t="s">
        <v>539</v>
      </c>
      <c r="E82" s="383" t="s">
        <v>555</v>
      </c>
      <c r="F82" s="433">
        <v>45870</v>
      </c>
      <c r="G82" s="1"/>
      <c r="H82" s="387">
        <v>2920.32</v>
      </c>
      <c r="I82" s="434">
        <v>5</v>
      </c>
      <c r="J82" s="210">
        <f t="shared" si="9"/>
        <v>2920.32</v>
      </c>
      <c r="K82" s="1"/>
      <c r="L82" s="426"/>
      <c r="M82" s="209"/>
      <c r="N82" s="209"/>
      <c r="O82" s="387"/>
      <c r="P82" s="209">
        <v>243.26265600000002</v>
      </c>
      <c r="Q82" s="209">
        <v>233.62560000000002</v>
      </c>
      <c r="R82" s="209"/>
      <c r="S82" s="209"/>
      <c r="T82" s="209">
        <v>200</v>
      </c>
      <c r="U82" s="435">
        <v>9.5299999999999994</v>
      </c>
      <c r="V82" s="435">
        <v>520</v>
      </c>
      <c r="W82" s="209">
        <v>86.25</v>
      </c>
      <c r="X82" s="209"/>
      <c r="Y82" s="435">
        <v>6.9</v>
      </c>
      <c r="Z82" s="1"/>
      <c r="AA82" s="212">
        <f t="shared" si="7"/>
        <v>4219.8882560000002</v>
      </c>
      <c r="AB82" s="1"/>
      <c r="AC82" s="371">
        <f t="shared" si="10"/>
        <v>1</v>
      </c>
      <c r="AD82" s="442">
        <f t="shared" si="8"/>
        <v>1.4450088538242385</v>
      </c>
    </row>
    <row r="83" spans="2:30" ht="12.75" customHeight="1">
      <c r="B83" s="425" t="s">
        <v>282</v>
      </c>
      <c r="C83" s="372" t="s">
        <v>563</v>
      </c>
      <c r="D83" s="379" t="s">
        <v>539</v>
      </c>
      <c r="E83" s="383" t="s">
        <v>555</v>
      </c>
      <c r="F83" s="433">
        <v>46266</v>
      </c>
      <c r="G83" s="1"/>
      <c r="H83" s="387">
        <v>2920.32</v>
      </c>
      <c r="I83" s="434">
        <v>5</v>
      </c>
      <c r="J83" s="210">
        <f t="shared" si="9"/>
        <v>2920.32</v>
      </c>
      <c r="K83" s="1"/>
      <c r="L83" s="426"/>
      <c r="M83" s="209"/>
      <c r="N83" s="209"/>
      <c r="O83" s="387"/>
      <c r="P83" s="209">
        <v>243.26265600000002</v>
      </c>
      <c r="Q83" s="209">
        <v>233.62560000000002</v>
      </c>
      <c r="R83" s="209"/>
      <c r="S83" s="209">
        <v>168.26</v>
      </c>
      <c r="T83" s="209">
        <v>350</v>
      </c>
      <c r="U83" s="435">
        <v>9.5299999999999994</v>
      </c>
      <c r="V83" s="435">
        <v>520</v>
      </c>
      <c r="W83" s="209">
        <v>86.25</v>
      </c>
      <c r="X83" s="209"/>
      <c r="Y83" s="435">
        <v>6.9</v>
      </c>
      <c r="Z83" s="1"/>
      <c r="AA83" s="212">
        <f t="shared" si="7"/>
        <v>4538.1482560000004</v>
      </c>
      <c r="AB83" s="1"/>
      <c r="AC83" s="371">
        <f t="shared" si="10"/>
        <v>1</v>
      </c>
      <c r="AD83" s="442">
        <f t="shared" si="8"/>
        <v>1.5539900613631383</v>
      </c>
    </row>
    <row r="84" spans="2:30" ht="12.75" customHeight="1">
      <c r="B84" s="425" t="s">
        <v>282</v>
      </c>
      <c r="C84" s="372" t="s">
        <v>515</v>
      </c>
      <c r="D84" s="379" t="s">
        <v>540</v>
      </c>
      <c r="E84" s="383" t="s">
        <v>555</v>
      </c>
      <c r="F84" s="433">
        <v>45524</v>
      </c>
      <c r="G84" s="1"/>
      <c r="H84" s="387">
        <v>3567.5</v>
      </c>
      <c r="I84" s="434">
        <v>7</v>
      </c>
      <c r="J84" s="210">
        <f t="shared" si="9"/>
        <v>3567.5</v>
      </c>
      <c r="K84" s="1"/>
      <c r="L84" s="426"/>
      <c r="M84" s="209"/>
      <c r="N84" s="209"/>
      <c r="O84" s="387"/>
      <c r="P84" s="209">
        <v>297.17275000000001</v>
      </c>
      <c r="Q84" s="209">
        <v>285.40000000000003</v>
      </c>
      <c r="R84" s="209"/>
      <c r="S84" s="209">
        <v>168.26</v>
      </c>
      <c r="T84" s="209">
        <v>200</v>
      </c>
      <c r="U84" s="435">
        <v>9.5299999999999994</v>
      </c>
      <c r="V84" s="435">
        <v>520</v>
      </c>
      <c r="W84" s="209">
        <v>86.25</v>
      </c>
      <c r="X84" s="209"/>
      <c r="Y84" s="435">
        <v>6.9</v>
      </c>
      <c r="Z84" s="1"/>
      <c r="AA84" s="212">
        <f t="shared" si="7"/>
        <v>5141.0127499999999</v>
      </c>
      <c r="AB84" s="1"/>
      <c r="AC84" s="371">
        <f t="shared" si="10"/>
        <v>1</v>
      </c>
      <c r="AD84" s="442">
        <f t="shared" si="8"/>
        <v>1.4410687456201821</v>
      </c>
    </row>
    <row r="85" spans="2:30" ht="12.75" customHeight="1">
      <c r="B85" s="208" t="s">
        <v>282</v>
      </c>
      <c r="C85" s="372" t="s">
        <v>516</v>
      </c>
      <c r="D85" s="373" t="s">
        <v>540</v>
      </c>
      <c r="E85" s="383" t="s">
        <v>555</v>
      </c>
      <c r="F85" s="433">
        <v>45503</v>
      </c>
      <c r="G85" s="1"/>
      <c r="H85" s="387">
        <v>3567.5</v>
      </c>
      <c r="I85" s="434">
        <v>7</v>
      </c>
      <c r="J85" s="210">
        <f t="shared" si="9"/>
        <v>3567.5</v>
      </c>
      <c r="K85" s="1"/>
      <c r="L85" s="211"/>
      <c r="M85" s="209"/>
      <c r="N85" s="209"/>
      <c r="O85" s="387"/>
      <c r="P85" s="209">
        <v>297.17275000000001</v>
      </c>
      <c r="Q85" s="209">
        <v>285.40000000000003</v>
      </c>
      <c r="R85" s="209"/>
      <c r="S85" s="209">
        <v>187.95</v>
      </c>
      <c r="T85" s="209">
        <v>230.95000000000002</v>
      </c>
      <c r="U85" s="435">
        <v>9.5299999999999994</v>
      </c>
      <c r="V85" s="435">
        <v>520</v>
      </c>
      <c r="W85" s="209">
        <v>86.25</v>
      </c>
      <c r="X85" s="209"/>
      <c r="Y85" s="435">
        <v>6.9</v>
      </c>
      <c r="Z85" s="1"/>
      <c r="AA85" s="212">
        <f t="shared" si="7"/>
        <v>5191.6527499999993</v>
      </c>
      <c r="AB85" s="1"/>
      <c r="AC85" s="371">
        <f t="shared" si="10"/>
        <v>1</v>
      </c>
      <c r="AD85" s="442">
        <f t="shared" si="8"/>
        <v>1.4552635599159074</v>
      </c>
    </row>
    <row r="86" spans="2:30" ht="12.75" customHeight="1">
      <c r="B86" s="208" t="s">
        <v>565</v>
      </c>
      <c r="C86" s="372" t="s">
        <v>564</v>
      </c>
      <c r="D86" s="372" t="s">
        <v>568</v>
      </c>
      <c r="E86" s="383" t="s">
        <v>560</v>
      </c>
      <c r="F86" s="433" t="s">
        <v>571</v>
      </c>
      <c r="G86" s="1"/>
      <c r="H86" s="387">
        <v>2000</v>
      </c>
      <c r="I86" s="434">
        <v>0</v>
      </c>
      <c r="J86" s="210">
        <f t="shared" si="9"/>
        <v>2000</v>
      </c>
      <c r="K86" s="1"/>
      <c r="L86" s="211"/>
      <c r="M86" s="209"/>
      <c r="N86" s="209"/>
      <c r="O86" s="387"/>
      <c r="P86" s="209">
        <v>0</v>
      </c>
      <c r="Q86" s="209">
        <v>0</v>
      </c>
      <c r="R86" s="209"/>
      <c r="S86" s="209">
        <v>168.26</v>
      </c>
      <c r="T86" s="209">
        <v>350</v>
      </c>
      <c r="U86" s="435">
        <v>9.5299999999999994</v>
      </c>
      <c r="V86" s="435">
        <v>350</v>
      </c>
      <c r="W86" s="209"/>
      <c r="X86" s="209"/>
      <c r="Y86" s="435">
        <v>6.9</v>
      </c>
      <c r="Z86" s="1"/>
      <c r="AA86" s="212">
        <f t="shared" si="7"/>
        <v>2884.6900000000005</v>
      </c>
      <c r="AB86" s="1"/>
      <c r="AC86" s="371">
        <f t="shared" si="10"/>
        <v>1</v>
      </c>
      <c r="AD86" s="442">
        <f t="shared" si="8"/>
        <v>1.4423450000000002</v>
      </c>
    </row>
    <row r="87" spans="2:30" ht="12.75" customHeight="1">
      <c r="B87" s="208" t="s">
        <v>282</v>
      </c>
      <c r="C87" s="372" t="s">
        <v>452</v>
      </c>
      <c r="D87" s="373" t="s">
        <v>569</v>
      </c>
      <c r="E87" s="383" t="s">
        <v>560</v>
      </c>
      <c r="F87" s="433"/>
      <c r="G87" s="1"/>
      <c r="H87" s="387">
        <v>4000</v>
      </c>
      <c r="I87" s="434">
        <v>0</v>
      </c>
      <c r="J87" s="210">
        <f t="shared" si="9"/>
        <v>4000</v>
      </c>
      <c r="K87" s="1"/>
      <c r="L87" s="211"/>
      <c r="M87" s="209"/>
      <c r="N87" s="209"/>
      <c r="O87" s="387"/>
      <c r="P87" s="209">
        <v>333.2</v>
      </c>
      <c r="Q87" s="209">
        <v>320</v>
      </c>
      <c r="R87" s="209"/>
      <c r="S87" s="209">
        <v>168.26</v>
      </c>
      <c r="T87" s="209">
        <v>350</v>
      </c>
      <c r="U87" s="435">
        <v>9.5299999999999994</v>
      </c>
      <c r="V87" s="435">
        <v>520</v>
      </c>
      <c r="W87" s="209"/>
      <c r="X87" s="209"/>
      <c r="Y87" s="435">
        <v>6.9</v>
      </c>
      <c r="Z87" s="1"/>
      <c r="AA87" s="212">
        <f t="shared" si="7"/>
        <v>5707.8899999999994</v>
      </c>
      <c r="AB87" s="1"/>
      <c r="AC87" s="371">
        <f t="shared" si="10"/>
        <v>1</v>
      </c>
      <c r="AD87" s="442">
        <f t="shared" si="8"/>
        <v>1.4269724999999998</v>
      </c>
    </row>
    <row r="88" spans="2:30" ht="12.75" customHeight="1">
      <c r="B88" s="208" t="s">
        <v>565</v>
      </c>
      <c r="C88" s="372" t="s">
        <v>452</v>
      </c>
      <c r="D88" s="376" t="s">
        <v>570</v>
      </c>
      <c r="E88" s="383" t="s">
        <v>560</v>
      </c>
      <c r="F88" s="433"/>
      <c r="G88" s="1"/>
      <c r="H88" s="387">
        <v>2000</v>
      </c>
      <c r="I88" s="434">
        <v>0</v>
      </c>
      <c r="J88" s="210">
        <f t="shared" si="9"/>
        <v>2000</v>
      </c>
      <c r="K88" s="1"/>
      <c r="L88" s="211"/>
      <c r="M88" s="209"/>
      <c r="N88" s="209"/>
      <c r="O88" s="387"/>
      <c r="P88" s="209">
        <v>0</v>
      </c>
      <c r="Q88" s="209">
        <v>0</v>
      </c>
      <c r="R88" s="209"/>
      <c r="S88" s="209">
        <v>168.26</v>
      </c>
      <c r="T88" s="209">
        <v>350</v>
      </c>
      <c r="U88" s="435">
        <v>9.5299999999999994</v>
      </c>
      <c r="V88" s="435">
        <v>520</v>
      </c>
      <c r="W88" s="209"/>
      <c r="X88" s="209"/>
      <c r="Y88" s="435">
        <v>6.9</v>
      </c>
      <c r="Z88" s="1"/>
      <c r="AA88" s="212">
        <f t="shared" si="7"/>
        <v>3054.6900000000005</v>
      </c>
      <c r="AB88" s="1"/>
      <c r="AC88" s="371">
        <f t="shared" si="10"/>
        <v>1</v>
      </c>
      <c r="AD88" s="442">
        <f t="shared" si="8"/>
        <v>1.5273450000000002</v>
      </c>
    </row>
    <row r="89" spans="2:30" ht="12.75" customHeight="1">
      <c r="B89" s="437"/>
      <c r="C89" s="372"/>
      <c r="D89" s="376"/>
      <c r="E89" s="383"/>
      <c r="F89" s="433"/>
      <c r="G89" s="1"/>
      <c r="H89" s="387"/>
      <c r="I89" s="434"/>
      <c r="J89" s="438"/>
      <c r="K89" s="1"/>
      <c r="L89" s="438"/>
      <c r="M89" s="209"/>
      <c r="N89" s="209"/>
      <c r="O89" s="387"/>
      <c r="P89" s="209"/>
      <c r="Q89" s="209"/>
      <c r="R89" s="209"/>
      <c r="S89" s="209"/>
      <c r="T89" s="209"/>
      <c r="U89" s="435"/>
      <c r="V89" s="435"/>
      <c r="W89" s="209"/>
      <c r="X89" s="209"/>
      <c r="Y89" s="435"/>
      <c r="Z89" s="1"/>
      <c r="AA89" s="438"/>
      <c r="AB89" s="1"/>
      <c r="AC89" s="371"/>
      <c r="AD89" s="442"/>
    </row>
    <row r="90" spans="2:30" ht="12.75" customHeight="1">
      <c r="B90" s="215" t="s">
        <v>61</v>
      </c>
      <c r="C90" s="439"/>
      <c r="D90" s="216"/>
      <c r="E90" s="216"/>
      <c r="F90" s="217"/>
      <c r="G90" s="218">
        <f>-SUM(G5:G88)</f>
        <v>0</v>
      </c>
      <c r="H90" s="218">
        <f>-SUM(H5:H88)</f>
        <v>-218037.34000000005</v>
      </c>
      <c r="I90" s="218"/>
      <c r="J90" s="218">
        <f>-SUM(J5:J88)</f>
        <v>-218037.34000000005</v>
      </c>
      <c r="K90" s="219"/>
      <c r="L90" s="218">
        <f t="shared" ref="L90:Y90" si="11">-SUM(L5:L88)</f>
        <v>0</v>
      </c>
      <c r="M90" s="218">
        <f t="shared" si="11"/>
        <v>0</v>
      </c>
      <c r="N90" s="218">
        <f t="shared" si="11"/>
        <v>0</v>
      </c>
      <c r="O90" s="440">
        <f t="shared" si="11"/>
        <v>-12048.421703999998</v>
      </c>
      <c r="P90" s="218">
        <f t="shared" si="11"/>
        <v>-17829.310422000002</v>
      </c>
      <c r="Q90" s="218">
        <f t="shared" si="11"/>
        <v>-17122.987200000003</v>
      </c>
      <c r="R90" s="218">
        <f t="shared" si="11"/>
        <v>0</v>
      </c>
      <c r="S90" s="218">
        <f t="shared" si="11"/>
        <v>-9975.2600000000057</v>
      </c>
      <c r="T90" s="218">
        <f t="shared" si="11"/>
        <v>-21693.796000000002</v>
      </c>
      <c r="U90" s="218">
        <f t="shared" si="11"/>
        <v>-800.5199999999985</v>
      </c>
      <c r="V90" s="218">
        <f t="shared" si="11"/>
        <v>-43510</v>
      </c>
      <c r="W90" s="218">
        <f t="shared" si="11"/>
        <v>-6986.25</v>
      </c>
      <c r="X90" s="218">
        <f t="shared" si="11"/>
        <v>0</v>
      </c>
      <c r="Y90" s="441">
        <f t="shared" si="11"/>
        <v>-579.59999999999911</v>
      </c>
      <c r="Z90" s="219"/>
      <c r="AA90" s="218">
        <f>-SUM(AA5:AA88)</f>
        <v>-348583.4853260002</v>
      </c>
      <c r="AB90" s="1"/>
      <c r="AC90" s="220">
        <f>SUM(AC5:AC88)</f>
        <v>84</v>
      </c>
      <c r="AD90" s="442">
        <f>AA90/J90</f>
        <v>1.5987329753977007</v>
      </c>
    </row>
    <row r="91" spans="2:30" ht="12.75" customHeight="1" thickBot="1">
      <c r="B91" s="76"/>
      <c r="C91" s="221"/>
      <c r="D91" s="87"/>
      <c r="E91" s="87"/>
      <c r="F91" s="125"/>
      <c r="G91" s="101"/>
      <c r="H91" s="125"/>
      <c r="I91" s="125"/>
      <c r="J91" s="125"/>
      <c r="K91" s="1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"/>
      <c r="AA91" s="125"/>
      <c r="AB91" s="1"/>
      <c r="AC91" s="125"/>
      <c r="AD91" s="442"/>
    </row>
    <row r="92" spans="2:30" ht="12.75" customHeight="1">
      <c r="B92" s="76"/>
      <c r="C92" s="432" t="s">
        <v>560</v>
      </c>
      <c r="D92" s="380">
        <f t="shared" ref="D92:D99" si="12">SUMIF($E$5:$E$88,C92,$AC$5:$AC$88)</f>
        <v>6</v>
      </c>
      <c r="E92" s="87"/>
      <c r="F92" s="125"/>
      <c r="G92" s="101"/>
      <c r="H92" s="125"/>
      <c r="I92" s="125"/>
      <c r="J92" s="125"/>
      <c r="K92" s="1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"/>
      <c r="AA92" s="125"/>
      <c r="AB92" s="1"/>
      <c r="AC92" s="125"/>
    </row>
    <row r="93" spans="2:30" ht="12.75" customHeight="1">
      <c r="B93" s="76"/>
      <c r="C93" s="428" t="s">
        <v>557</v>
      </c>
      <c r="D93" s="381">
        <f t="shared" si="12"/>
        <v>10</v>
      </c>
      <c r="E93" s="87"/>
      <c r="F93" s="125"/>
      <c r="G93" s="101"/>
      <c r="H93" s="125"/>
      <c r="I93" s="125"/>
      <c r="J93" s="125"/>
      <c r="K93" s="1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"/>
      <c r="AA93" s="125"/>
      <c r="AB93" s="1"/>
      <c r="AC93" s="125"/>
    </row>
    <row r="94" spans="2:30" ht="12.75" customHeight="1">
      <c r="B94" s="76"/>
      <c r="C94" s="428" t="s">
        <v>555</v>
      </c>
      <c r="D94" s="381">
        <f t="shared" si="12"/>
        <v>25</v>
      </c>
      <c r="E94" s="87"/>
      <c r="F94" s="125"/>
      <c r="G94" s="101"/>
      <c r="H94" s="125"/>
      <c r="I94" s="125"/>
      <c r="J94" s="125"/>
      <c r="K94" s="1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"/>
      <c r="AA94" s="125"/>
      <c r="AB94" s="1"/>
      <c r="AC94" s="125"/>
    </row>
    <row r="95" spans="2:30" ht="12.75" customHeight="1">
      <c r="B95" s="76"/>
      <c r="C95" s="428" t="s">
        <v>562</v>
      </c>
      <c r="D95" s="381">
        <f t="shared" si="12"/>
        <v>2</v>
      </c>
      <c r="E95" s="87"/>
      <c r="F95" s="125"/>
      <c r="G95" s="101"/>
      <c r="H95" s="125"/>
      <c r="I95" s="125"/>
      <c r="J95" s="125"/>
      <c r="K95" s="1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"/>
      <c r="AA95" s="125"/>
      <c r="AB95" s="1"/>
      <c r="AC95" s="125"/>
    </row>
    <row r="96" spans="2:30" ht="12.75" customHeight="1">
      <c r="B96" s="76"/>
      <c r="C96" s="429" t="s">
        <v>561</v>
      </c>
      <c r="D96" s="381">
        <f t="shared" si="12"/>
        <v>2</v>
      </c>
      <c r="E96" s="87"/>
      <c r="F96" s="125"/>
      <c r="G96" s="101"/>
      <c r="H96" s="125"/>
      <c r="I96" s="125"/>
      <c r="J96" s="125"/>
      <c r="K96" s="1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"/>
      <c r="AA96" s="125"/>
      <c r="AB96" s="1"/>
      <c r="AC96" s="125"/>
    </row>
    <row r="97" spans="2:29" ht="12.75" customHeight="1">
      <c r="B97" s="76"/>
      <c r="C97" s="427" t="s">
        <v>556</v>
      </c>
      <c r="D97" s="381">
        <f t="shared" si="12"/>
        <v>6</v>
      </c>
      <c r="E97" s="87"/>
      <c r="F97" s="125"/>
      <c r="G97" s="101"/>
      <c r="H97" s="125"/>
      <c r="I97" s="125"/>
      <c r="J97" s="125"/>
      <c r="K97" s="1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"/>
      <c r="AA97" s="125"/>
      <c r="AB97" s="1"/>
      <c r="AC97" s="125"/>
    </row>
    <row r="98" spans="2:29" ht="12.75" customHeight="1">
      <c r="B98" s="76"/>
      <c r="C98" s="427" t="s">
        <v>559</v>
      </c>
      <c r="D98" s="381">
        <f t="shared" si="12"/>
        <v>4</v>
      </c>
      <c r="E98" s="87"/>
      <c r="F98" s="125"/>
      <c r="G98" s="101"/>
      <c r="H98" s="125"/>
      <c r="I98" s="125"/>
      <c r="J98" s="125"/>
      <c r="K98" s="1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"/>
      <c r="AA98" s="125"/>
      <c r="AB98" s="1"/>
      <c r="AC98" s="125"/>
    </row>
    <row r="99" spans="2:29" ht="12.75" customHeight="1" thickBot="1">
      <c r="B99" s="76"/>
      <c r="C99" s="431" t="s">
        <v>558</v>
      </c>
      <c r="D99" s="430">
        <f t="shared" si="12"/>
        <v>29</v>
      </c>
      <c r="E99" s="87"/>
      <c r="F99" s="125"/>
      <c r="G99" s="101"/>
      <c r="H99" s="125"/>
      <c r="I99" s="125"/>
      <c r="J99" s="125"/>
      <c r="K99" s="1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"/>
      <c r="AA99" s="125"/>
      <c r="AB99" s="1"/>
      <c r="AC99" s="125"/>
    </row>
    <row r="100" spans="2:29" ht="12.75" customHeight="1">
      <c r="C100" s="1"/>
      <c r="D100" s="125">
        <f>SUM(D92:D99)</f>
        <v>84</v>
      </c>
    </row>
    <row r="101" spans="2:29" ht="12.75" customHeight="1">
      <c r="C101" s="222"/>
      <c r="D101" s="223"/>
    </row>
  </sheetData>
  <sortState xmlns:xlrd2="http://schemas.microsoft.com/office/spreadsheetml/2017/richdata2" ref="C92:D100">
    <sortCondition ref="C92:C100"/>
  </sortState>
  <pageMargins left="0.511811024" right="0.511811024" top="0.78740157499999996" bottom="0.78740157499999996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U97"/>
  <sheetViews>
    <sheetView showGridLines="0" topLeftCell="A27" workbookViewId="0">
      <selection activeCell="A65" sqref="A65"/>
    </sheetView>
  </sheetViews>
  <sheetFormatPr defaultColWidth="12.5703125" defaultRowHeight="15" customHeight="1"/>
  <cols>
    <col min="1" max="1" width="81.42578125" customWidth="1"/>
    <col min="2" max="2" width="54.140625" customWidth="1"/>
    <col min="3" max="3" width="14.42578125" customWidth="1"/>
    <col min="4" max="4" width="17.42578125" customWidth="1"/>
    <col min="5" max="5" width="19.7109375" customWidth="1"/>
    <col min="6" max="6" width="14.42578125" customWidth="1"/>
    <col min="7" max="12" width="12.42578125" customWidth="1"/>
    <col min="13" max="14" width="11.5703125" customWidth="1"/>
    <col min="15" max="16" width="14.42578125" customWidth="1"/>
    <col min="17" max="17" width="13.140625" customWidth="1"/>
    <col min="18" max="18" width="20.85546875" customWidth="1"/>
    <col min="19" max="19" width="25" customWidth="1"/>
    <col min="20" max="20" width="16" customWidth="1"/>
    <col min="21" max="21" width="21" customWidth="1"/>
    <col min="22" max="26" width="12.42578125" customWidth="1"/>
  </cols>
  <sheetData>
    <row r="1" spans="1:21" ht="12.75" customHeight="1">
      <c r="A1" s="230" t="s">
        <v>285</v>
      </c>
      <c r="B1" s="1"/>
      <c r="C1" s="231"/>
      <c r="D1" s="1"/>
      <c r="E1" s="8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2.75" customHeight="1">
      <c r="A2" s="230" t="s">
        <v>286</v>
      </c>
      <c r="B2" s="1"/>
      <c r="C2" s="231"/>
      <c r="D2" s="1"/>
      <c r="E2" s="87"/>
      <c r="F2" s="2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2.75" customHeight="1">
      <c r="A3" s="230"/>
      <c r="B3" s="1"/>
      <c r="C3" s="231"/>
      <c r="D3" s="1"/>
      <c r="E3" s="8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.75" customHeight="1">
      <c r="A4" s="872" t="s">
        <v>287</v>
      </c>
      <c r="B4" s="872" t="s">
        <v>288</v>
      </c>
      <c r="C4" s="874" t="s">
        <v>289</v>
      </c>
      <c r="D4" s="232" t="s">
        <v>290</v>
      </c>
      <c r="E4" s="875" t="s">
        <v>291</v>
      </c>
      <c r="F4" s="872" t="s">
        <v>0</v>
      </c>
      <c r="G4" s="872" t="s">
        <v>1</v>
      </c>
      <c r="H4" s="872" t="s">
        <v>2</v>
      </c>
      <c r="I4" s="872" t="s">
        <v>3</v>
      </c>
      <c r="J4" s="872" t="s">
        <v>4</v>
      </c>
      <c r="K4" s="872" t="s">
        <v>5</v>
      </c>
      <c r="L4" s="872" t="s">
        <v>6</v>
      </c>
      <c r="M4" s="872" t="s">
        <v>7</v>
      </c>
      <c r="N4" s="872" t="s">
        <v>8</v>
      </c>
      <c r="O4" s="872" t="s">
        <v>9</v>
      </c>
      <c r="P4" s="872" t="s">
        <v>10</v>
      </c>
      <c r="Q4" s="872" t="s">
        <v>11</v>
      </c>
      <c r="R4" s="876" t="s">
        <v>292</v>
      </c>
      <c r="S4" s="876" t="s">
        <v>293</v>
      </c>
      <c r="T4" s="876" t="s">
        <v>294</v>
      </c>
      <c r="U4" s="876" t="s">
        <v>295</v>
      </c>
    </row>
    <row r="5" spans="1:21" ht="12.75" customHeight="1">
      <c r="A5" s="873"/>
      <c r="B5" s="873"/>
      <c r="C5" s="873"/>
      <c r="D5" s="233"/>
      <c r="E5" s="873"/>
      <c r="F5" s="873"/>
      <c r="G5" s="873"/>
      <c r="H5" s="873"/>
      <c r="I5" s="873"/>
      <c r="J5" s="873"/>
      <c r="K5" s="873"/>
      <c r="L5" s="873"/>
      <c r="M5" s="873"/>
      <c r="N5" s="873"/>
      <c r="O5" s="873"/>
      <c r="P5" s="873"/>
      <c r="Q5" s="873"/>
      <c r="R5" s="873"/>
      <c r="S5" s="873"/>
      <c r="T5" s="873"/>
      <c r="U5" s="873"/>
    </row>
    <row r="6" spans="1:21" ht="4.5" customHeight="1">
      <c r="A6" s="234"/>
      <c r="B6" s="234"/>
      <c r="C6" s="235"/>
      <c r="D6" s="234"/>
      <c r="E6" s="78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</row>
    <row r="7" spans="1:21" ht="12.75" customHeight="1">
      <c r="A7" s="236" t="s">
        <v>296</v>
      </c>
      <c r="B7" s="237" t="s">
        <v>297</v>
      </c>
      <c r="C7" s="238">
        <v>592.01</v>
      </c>
      <c r="D7" s="239" t="s">
        <v>165</v>
      </c>
      <c r="E7" s="240" t="s">
        <v>161</v>
      </c>
      <c r="F7" s="238" t="e">
        <f t="array" aca="1" ref="F7" ca="1">$C7*(1+_xludf.XLOOKUP($U7,METRICS!#REF!,METRICS!#REF!,0,0))</f>
        <v>#NAME?</v>
      </c>
      <c r="G7" s="238" t="e">
        <f t="array" aca="1" ref="G7" ca="1">$C7*(1+_xludf.XLOOKUP($U7,METRICS!#REF!,METRICS!#REF!,0,0))</f>
        <v>#NAME?</v>
      </c>
      <c r="H7" s="238" t="e">
        <f t="array" aca="1" ref="H7" ca="1">$C7*(1+_xludf.XLOOKUP($U7,METRICS!#REF!,METRICS!#REF!,0,0))</f>
        <v>#NAME?</v>
      </c>
      <c r="I7" s="238" t="e">
        <f t="array" aca="1" ref="I7" ca="1">$C7*(1+_xludf.XLOOKUP($U7,METRICS!#REF!,METRICS!#REF!,0,0))</f>
        <v>#NAME?</v>
      </c>
      <c r="J7" s="238" t="e">
        <f t="array" aca="1" ref="J7" ca="1">$C7*(1+_xludf.XLOOKUP($U7,METRICS!#REF!,METRICS!#REF!,0,0))</f>
        <v>#NAME?</v>
      </c>
      <c r="K7" s="238" t="e">
        <f t="array" aca="1" ref="K7" ca="1">$C7*(1+_xludf.XLOOKUP($U7,METRICS!#REF!,METRICS!#REF!,0,0))</f>
        <v>#NAME?</v>
      </c>
      <c r="L7" s="238" t="e">
        <f t="array" aca="1" ref="L7" ca="1">$C7*(1+_xludf.XLOOKUP($U7,METRICS!#REF!,METRICS!#REF!,0,0))</f>
        <v>#NAME?</v>
      </c>
      <c r="M7" s="238" t="e">
        <f t="array" aca="1" ref="M7" ca="1">$C7*(1+_xludf.XLOOKUP($U7,METRICS!#REF!,METRICS!#REF!,0,0))</f>
        <v>#NAME?</v>
      </c>
      <c r="N7" s="238" t="e">
        <f t="array" aca="1" ref="N7" ca="1">$C7*(1+_xludf.XLOOKUP($U7,METRICS!#REF!,METRICS!#REF!,0,0))</f>
        <v>#NAME?</v>
      </c>
      <c r="O7" s="238" t="e">
        <f t="array" aca="1" ref="O7" ca="1">$C7*(1+_xludf.XLOOKUP($U7,METRICS!#REF!,METRICS!#REF!,0,0))</f>
        <v>#NAME?</v>
      </c>
      <c r="P7" s="238" t="e">
        <f t="array" aca="1" ref="P7" ca="1">$C7*(1+_xludf.XLOOKUP($U7,METRICS!#REF!,METRICS!#REF!,0,0))</f>
        <v>#NAME?</v>
      </c>
      <c r="Q7" s="238" t="e">
        <f t="array" aca="1" ref="Q7" ca="1">$C7*(1+_xludf.XLOOKUP($U7,METRICS!#REF!,METRICS!#REF!,0,0))</f>
        <v>#NAME?</v>
      </c>
      <c r="R7" s="241">
        <v>44130</v>
      </c>
      <c r="S7" s="241"/>
      <c r="T7" s="242" t="s">
        <v>298</v>
      </c>
      <c r="U7" s="239" t="s">
        <v>299</v>
      </c>
    </row>
    <row r="8" spans="1:21" ht="12.75" customHeight="1">
      <c r="A8" s="236" t="s">
        <v>300</v>
      </c>
      <c r="B8" s="237" t="s">
        <v>301</v>
      </c>
      <c r="C8" s="238">
        <v>270.56</v>
      </c>
      <c r="D8" s="239" t="s">
        <v>220</v>
      </c>
      <c r="E8" s="240" t="s">
        <v>209</v>
      </c>
      <c r="F8" s="238" t="e">
        <f t="array" aca="1" ref="F8" ca="1">$C8*(1+_xludf.XLOOKUP($U8,METRICS!#REF!,METRICS!#REF!,0,0))</f>
        <v>#NAME?</v>
      </c>
      <c r="G8" s="238" t="e">
        <f t="array" aca="1" ref="G8" ca="1">$C8*(1+_xludf.XLOOKUP($U8,METRICS!#REF!,METRICS!#REF!,0,0))</f>
        <v>#NAME?</v>
      </c>
      <c r="H8" s="238" t="e">
        <f t="array" aca="1" ref="H8" ca="1">$C8*(1+_xludf.XLOOKUP($U8,METRICS!#REF!,METRICS!#REF!,0,0))</f>
        <v>#NAME?</v>
      </c>
      <c r="I8" s="238" t="e">
        <f t="array" aca="1" ref="I8" ca="1">$C8*(1+_xludf.XLOOKUP($U8,METRICS!#REF!,METRICS!#REF!,0,0))</f>
        <v>#NAME?</v>
      </c>
      <c r="J8" s="238" t="e">
        <f t="array" aca="1" ref="J8" ca="1">$C8*(1+_xludf.XLOOKUP($U8,METRICS!#REF!,METRICS!#REF!,0,0))</f>
        <v>#NAME?</v>
      </c>
      <c r="K8" s="238" t="e">
        <f t="array" aca="1" ref="K8" ca="1">$C8*(1+_xludf.XLOOKUP($U8,METRICS!#REF!,METRICS!#REF!,0,0))</f>
        <v>#NAME?</v>
      </c>
      <c r="L8" s="238" t="e">
        <f t="array" aca="1" ref="L8" ca="1">$C8*(1+_xludf.XLOOKUP($U8,METRICS!#REF!,METRICS!#REF!,0,0))</f>
        <v>#NAME?</v>
      </c>
      <c r="M8" s="238" t="e">
        <f t="array" aca="1" ref="M8" ca="1">$C8*(1+_xludf.XLOOKUP($U8,METRICS!#REF!,METRICS!#REF!,0,0))</f>
        <v>#NAME?</v>
      </c>
      <c r="N8" s="238" t="e">
        <f t="array" aca="1" ref="N8" ca="1">$C8*(1+_xludf.XLOOKUP($U8,METRICS!#REF!,METRICS!#REF!,0,0))</f>
        <v>#NAME?</v>
      </c>
      <c r="O8" s="238" t="e">
        <f t="array" aca="1" ref="O8" ca="1">$C8*(1+_xludf.XLOOKUP($U8,METRICS!#REF!,METRICS!#REF!,0,0))</f>
        <v>#NAME?</v>
      </c>
      <c r="P8" s="238" t="e">
        <f t="array" aca="1" ref="P8" ca="1">$C8*(1+_xludf.XLOOKUP($U8,METRICS!#REF!,METRICS!#REF!,0,0))</f>
        <v>#NAME?</v>
      </c>
      <c r="Q8" s="238" t="e">
        <f t="array" aca="1" ref="Q8" ca="1">$C8*(1+_xludf.XLOOKUP($U8,METRICS!#REF!,METRICS!#REF!,0,0))</f>
        <v>#NAME?</v>
      </c>
      <c r="R8" s="241">
        <v>44131</v>
      </c>
      <c r="S8" s="241" t="s">
        <v>302</v>
      </c>
      <c r="T8" s="242" t="s">
        <v>298</v>
      </c>
      <c r="U8" s="239" t="s">
        <v>299</v>
      </c>
    </row>
    <row r="9" spans="1:21" ht="12" customHeight="1">
      <c r="A9" s="236" t="s">
        <v>303</v>
      </c>
      <c r="B9" s="237" t="s">
        <v>304</v>
      </c>
      <c r="C9" s="238">
        <v>465</v>
      </c>
      <c r="D9" s="239" t="s">
        <v>220</v>
      </c>
      <c r="E9" s="240" t="s">
        <v>209</v>
      </c>
      <c r="F9" s="238" t="e">
        <f t="array" aca="1" ref="F9" ca="1">$C9*(1+_xludf.XLOOKUP($U9,METRICS!#REF!,METRICS!#REF!,0,0))</f>
        <v>#NAME?</v>
      </c>
      <c r="G9" s="238" t="e">
        <f t="array" aca="1" ref="G9" ca="1">$C9*(1+_xludf.XLOOKUP($U9,METRICS!#REF!,METRICS!#REF!,0,0))</f>
        <v>#NAME?</v>
      </c>
      <c r="H9" s="238" t="e">
        <f t="array" aca="1" ref="H9" ca="1">$C9*(1+_xludf.XLOOKUP($U9,METRICS!#REF!,METRICS!#REF!,0,0))</f>
        <v>#NAME?</v>
      </c>
      <c r="I9" s="238" t="e">
        <f t="array" aca="1" ref="I9" ca="1">$C9*(1+_xludf.XLOOKUP($U9,METRICS!#REF!,METRICS!#REF!,0,0))</f>
        <v>#NAME?</v>
      </c>
      <c r="J9" s="238" t="e">
        <f t="array" aca="1" ref="J9" ca="1">$C9*(1+_xludf.XLOOKUP($U9,METRICS!#REF!,METRICS!#REF!,0,0))</f>
        <v>#NAME?</v>
      </c>
      <c r="K9" s="238" t="e">
        <f t="array" aca="1" ref="K9" ca="1">$C9*(1+_xludf.XLOOKUP($U9,METRICS!#REF!,METRICS!#REF!,0,0))</f>
        <v>#NAME?</v>
      </c>
      <c r="L9" s="238" t="e">
        <f t="array" aca="1" ref="L9" ca="1">$C9*(1+_xludf.XLOOKUP($U9,METRICS!#REF!,METRICS!#REF!,0,0))</f>
        <v>#NAME?</v>
      </c>
      <c r="M9" s="238" t="e">
        <f t="array" aca="1" ref="M9" ca="1">$C9*(1+_xludf.XLOOKUP($U9,METRICS!#REF!,METRICS!#REF!,0,0))</f>
        <v>#NAME?</v>
      </c>
      <c r="N9" s="238" t="e">
        <f t="array" aca="1" ref="N9" ca="1">$C9*(1+_xludf.XLOOKUP($U9,METRICS!#REF!,METRICS!#REF!,0,0))</f>
        <v>#NAME?</v>
      </c>
      <c r="O9" s="238" t="e">
        <f t="array" aca="1" ref="O9" ca="1">$C9*(1+_xludf.XLOOKUP($U9,METRICS!#REF!,METRICS!#REF!,0,0))</f>
        <v>#NAME?</v>
      </c>
      <c r="P9" s="238" t="e">
        <f t="array" aca="1" ref="P9" ca="1">$C9*(1+_xludf.XLOOKUP($U9,METRICS!#REF!,METRICS!#REF!,0,0))</f>
        <v>#NAME?</v>
      </c>
      <c r="Q9" s="238" t="e">
        <f t="array" aca="1" ref="Q9" ca="1">$C9*(1+_xludf.XLOOKUP($U9,METRICS!#REF!,METRICS!#REF!,0,0))</f>
        <v>#NAME?</v>
      </c>
      <c r="R9" s="241">
        <v>44132</v>
      </c>
      <c r="S9" s="241" t="s">
        <v>302</v>
      </c>
      <c r="T9" s="242" t="s">
        <v>298</v>
      </c>
      <c r="U9" s="239" t="s">
        <v>299</v>
      </c>
    </row>
    <row r="10" spans="1:21" ht="12" customHeight="1">
      <c r="A10" s="236" t="s">
        <v>305</v>
      </c>
      <c r="B10" s="237" t="s">
        <v>306</v>
      </c>
      <c r="C10" s="238">
        <v>474.53</v>
      </c>
      <c r="D10" s="239" t="s">
        <v>220</v>
      </c>
      <c r="E10" s="240" t="s">
        <v>209</v>
      </c>
      <c r="F10" s="238" t="e">
        <f t="array" aca="1" ref="F10" ca="1">$C10*(1+_xludf.XLOOKUP($U10,METRICS!#REF!,METRICS!#REF!,0,0))</f>
        <v>#NAME?</v>
      </c>
      <c r="G10" s="238" t="e">
        <f t="array" aca="1" ref="G10" ca="1">$C10*(1+_xludf.XLOOKUP($U10,METRICS!#REF!,METRICS!#REF!,0,0))</f>
        <v>#NAME?</v>
      </c>
      <c r="H10" s="238" t="e">
        <f t="array" aca="1" ref="H10" ca="1">$C10*(1+_xludf.XLOOKUP($U10,METRICS!#REF!,METRICS!#REF!,0,0))</f>
        <v>#NAME?</v>
      </c>
      <c r="I10" s="238" t="e">
        <f t="array" aca="1" ref="I10" ca="1">$C10*(1+_xludf.XLOOKUP($U10,METRICS!#REF!,METRICS!#REF!,0,0))</f>
        <v>#NAME?</v>
      </c>
      <c r="J10" s="238" t="e">
        <f t="array" aca="1" ref="J10" ca="1">$C10*(1+_xludf.XLOOKUP($U10,METRICS!#REF!,METRICS!#REF!,0,0))</f>
        <v>#NAME?</v>
      </c>
      <c r="K10" s="238" t="e">
        <f t="array" aca="1" ref="K10" ca="1">$C10*(1+_xludf.XLOOKUP($U10,METRICS!#REF!,METRICS!#REF!,0,0))</f>
        <v>#NAME?</v>
      </c>
      <c r="L10" s="238" t="e">
        <f t="array" aca="1" ref="L10" ca="1">$C10*(1+_xludf.XLOOKUP($U10,METRICS!#REF!,METRICS!#REF!,0,0))</f>
        <v>#NAME?</v>
      </c>
      <c r="M10" s="238" t="e">
        <f t="array" aca="1" ref="M10" ca="1">$C10*(1+_xludf.XLOOKUP($U10,METRICS!#REF!,METRICS!#REF!,0,0))</f>
        <v>#NAME?</v>
      </c>
      <c r="N10" s="238" t="e">
        <f t="array" aca="1" ref="N10" ca="1">$C10*(1+_xludf.XLOOKUP($U10,METRICS!#REF!,METRICS!#REF!,0,0))</f>
        <v>#NAME?</v>
      </c>
      <c r="O10" s="238" t="e">
        <f t="array" aca="1" ref="O10" ca="1">$C10*(1+_xludf.XLOOKUP($U10,METRICS!#REF!,METRICS!#REF!,0,0))</f>
        <v>#NAME?</v>
      </c>
      <c r="P10" s="238" t="e">
        <f t="array" aca="1" ref="P10" ca="1">$C10*(1+_xludf.XLOOKUP($U10,METRICS!#REF!,METRICS!#REF!,0,0))</f>
        <v>#NAME?</v>
      </c>
      <c r="Q10" s="238" t="e">
        <f t="array" aca="1" ref="Q10" ca="1">$C10*(1+_xludf.XLOOKUP($U10,METRICS!#REF!,METRICS!#REF!,0,0))</f>
        <v>#NAME?</v>
      </c>
      <c r="R10" s="241">
        <v>44133</v>
      </c>
      <c r="S10" s="241" t="s">
        <v>302</v>
      </c>
      <c r="T10" s="242" t="s">
        <v>298</v>
      </c>
      <c r="U10" s="239" t="s">
        <v>299</v>
      </c>
    </row>
    <row r="11" spans="1:21" ht="12" customHeight="1">
      <c r="A11" s="236" t="s">
        <v>307</v>
      </c>
      <c r="B11" s="237" t="s">
        <v>308</v>
      </c>
      <c r="C11" s="238">
        <v>1807.22</v>
      </c>
      <c r="D11" s="239" t="s">
        <v>220</v>
      </c>
      <c r="E11" s="240" t="s">
        <v>209</v>
      </c>
      <c r="F11" s="238" t="e">
        <f t="array" aca="1" ref="F11" ca="1">$C11*(1+_xludf.XLOOKUP($U11,METRICS!#REF!,METRICS!#REF!,0,0))</f>
        <v>#NAME?</v>
      </c>
      <c r="G11" s="238" t="e">
        <f t="array" aca="1" ref="G11" ca="1">$C11*(1+_xludf.XLOOKUP($U11,METRICS!#REF!,METRICS!#REF!,0,0))</f>
        <v>#NAME?</v>
      </c>
      <c r="H11" s="238" t="e">
        <f t="array" aca="1" ref="H11" ca="1">$C11*(1+_xludf.XLOOKUP($U11,METRICS!#REF!,METRICS!#REF!,0,0))</f>
        <v>#NAME?</v>
      </c>
      <c r="I11" s="238" t="e">
        <f t="array" aca="1" ref="I11" ca="1">$C11*(1+_xludf.XLOOKUP($U11,METRICS!#REF!,METRICS!#REF!,0,0))</f>
        <v>#NAME?</v>
      </c>
      <c r="J11" s="238" t="e">
        <f t="array" aca="1" ref="J11" ca="1">$C11*(1+_xludf.XLOOKUP($U11,METRICS!#REF!,METRICS!#REF!,0,0))</f>
        <v>#NAME?</v>
      </c>
      <c r="K11" s="238" t="e">
        <f t="array" aca="1" ref="K11" ca="1">$C11*(1+_xludf.XLOOKUP($U11,METRICS!#REF!,METRICS!#REF!,0,0))</f>
        <v>#NAME?</v>
      </c>
      <c r="L11" s="238" t="e">
        <f t="array" aca="1" ref="L11" ca="1">$C11*(1+_xludf.XLOOKUP($U11,METRICS!#REF!,METRICS!#REF!,0,0))</f>
        <v>#NAME?</v>
      </c>
      <c r="M11" s="238" t="e">
        <f t="array" aca="1" ref="M11" ca="1">$C11*(1+_xludf.XLOOKUP($U11,METRICS!#REF!,METRICS!#REF!,0,0))</f>
        <v>#NAME?</v>
      </c>
      <c r="N11" s="238" t="e">
        <f t="array" aca="1" ref="N11" ca="1">$C11*(1+_xludf.XLOOKUP($U11,METRICS!#REF!,METRICS!#REF!,0,0))</f>
        <v>#NAME?</v>
      </c>
      <c r="O11" s="238" t="e">
        <f t="array" aca="1" ref="O11" ca="1">$C11*(1+_xludf.XLOOKUP($U11,METRICS!#REF!,METRICS!#REF!,0,0))</f>
        <v>#NAME?</v>
      </c>
      <c r="P11" s="238" t="e">
        <f t="array" aca="1" ref="P11" ca="1">$C11*(1+_xludf.XLOOKUP($U11,METRICS!#REF!,METRICS!#REF!,0,0))</f>
        <v>#NAME?</v>
      </c>
      <c r="Q11" s="238" t="e">
        <f t="array" aca="1" ref="Q11" ca="1">$C11*(1+_xludf.XLOOKUP($U11,METRICS!#REF!,METRICS!#REF!,0,0))</f>
        <v>#NAME?</v>
      </c>
      <c r="R11" s="241">
        <v>44134</v>
      </c>
      <c r="S11" s="241" t="s">
        <v>302</v>
      </c>
      <c r="T11" s="242" t="s">
        <v>298</v>
      </c>
      <c r="U11" s="239" t="s">
        <v>299</v>
      </c>
    </row>
    <row r="12" spans="1:21" ht="12" customHeight="1">
      <c r="A12" s="236" t="s">
        <v>309</v>
      </c>
      <c r="B12" s="237" t="s">
        <v>310</v>
      </c>
      <c r="C12" s="238">
        <v>200</v>
      </c>
      <c r="D12" s="239" t="s">
        <v>220</v>
      </c>
      <c r="E12" s="240" t="s">
        <v>209</v>
      </c>
      <c r="F12" s="238" t="e">
        <f t="array" aca="1" ref="F12" ca="1">$C12*(1+_xludf.XLOOKUP($U12,METRICS!#REF!,METRICS!#REF!,0,0))</f>
        <v>#NAME?</v>
      </c>
      <c r="G12" s="238" t="e">
        <f t="array" aca="1" ref="G12" ca="1">$C12*(1+_xludf.XLOOKUP($U12,METRICS!#REF!,METRICS!#REF!,0,0))</f>
        <v>#NAME?</v>
      </c>
      <c r="H12" s="238" t="e">
        <f t="array" aca="1" ref="H12" ca="1">$C12*(1+_xludf.XLOOKUP($U12,METRICS!#REF!,METRICS!#REF!,0,0))</f>
        <v>#NAME?</v>
      </c>
      <c r="I12" s="238" t="e">
        <f t="array" aca="1" ref="I12" ca="1">$C12*(1+_xludf.XLOOKUP($U12,METRICS!#REF!,METRICS!#REF!,0,0))</f>
        <v>#NAME?</v>
      </c>
      <c r="J12" s="238" t="e">
        <f t="array" aca="1" ref="J12" ca="1">$C12*(1+_xludf.XLOOKUP($U12,METRICS!#REF!,METRICS!#REF!,0,0))</f>
        <v>#NAME?</v>
      </c>
      <c r="K12" s="238" t="e">
        <f t="array" aca="1" ref="K12" ca="1">$C12*(1+_xludf.XLOOKUP($U12,METRICS!#REF!,METRICS!#REF!,0,0))</f>
        <v>#NAME?</v>
      </c>
      <c r="L12" s="238" t="e">
        <f t="array" aca="1" ref="L12" ca="1">$C12*(1+_xludf.XLOOKUP($U12,METRICS!#REF!,METRICS!#REF!,0,0))</f>
        <v>#NAME?</v>
      </c>
      <c r="M12" s="238" t="e">
        <f t="array" aca="1" ref="M12" ca="1">$C12*(1+_xludf.XLOOKUP($U12,METRICS!#REF!,METRICS!#REF!,0,0))</f>
        <v>#NAME?</v>
      </c>
      <c r="N12" s="238" t="e">
        <f t="array" aca="1" ref="N12" ca="1">$C12*(1+_xludf.XLOOKUP($U12,METRICS!#REF!,METRICS!#REF!,0,0))</f>
        <v>#NAME?</v>
      </c>
      <c r="O12" s="238" t="e">
        <f t="array" aca="1" ref="O12" ca="1">$C12*(1+_xludf.XLOOKUP($U12,METRICS!#REF!,METRICS!#REF!,0,0))</f>
        <v>#NAME?</v>
      </c>
      <c r="P12" s="238" t="e">
        <f t="array" aca="1" ref="P12" ca="1">$C12*(1+_xludf.XLOOKUP($U12,METRICS!#REF!,METRICS!#REF!,0,0))</f>
        <v>#NAME?</v>
      </c>
      <c r="Q12" s="238" t="e">
        <f t="array" aca="1" ref="Q12" ca="1">$C12*(1+_xludf.XLOOKUP($U12,METRICS!#REF!,METRICS!#REF!,0,0))</f>
        <v>#NAME?</v>
      </c>
      <c r="R12" s="241">
        <v>44135</v>
      </c>
      <c r="S12" s="241" t="s">
        <v>302</v>
      </c>
      <c r="T12" s="242" t="s">
        <v>298</v>
      </c>
      <c r="U12" s="239" t="s">
        <v>299</v>
      </c>
    </row>
    <row r="13" spans="1:21" ht="12" customHeight="1">
      <c r="A13" s="236" t="s">
        <v>311</v>
      </c>
      <c r="B13" s="237" t="s">
        <v>312</v>
      </c>
      <c r="C13" s="238">
        <v>446.53</v>
      </c>
      <c r="D13" s="239" t="s">
        <v>220</v>
      </c>
      <c r="E13" s="240" t="s">
        <v>209</v>
      </c>
      <c r="F13" s="238" t="e">
        <f t="array" aca="1" ref="F13" ca="1">$C13*(1+_xludf.XLOOKUP($U13,METRICS!#REF!,METRICS!#REF!,0,0))</f>
        <v>#NAME?</v>
      </c>
      <c r="G13" s="238" t="e">
        <f t="array" aca="1" ref="G13" ca="1">$C13*(1+_xludf.XLOOKUP($U13,METRICS!#REF!,METRICS!#REF!,0,0))</f>
        <v>#NAME?</v>
      </c>
      <c r="H13" s="238" t="e">
        <f t="array" aca="1" ref="H13" ca="1">$C13*(1+_xludf.XLOOKUP($U13,METRICS!#REF!,METRICS!#REF!,0,0))</f>
        <v>#NAME?</v>
      </c>
      <c r="I13" s="238" t="e">
        <f t="array" aca="1" ref="I13" ca="1">$C13*(1+_xludf.XLOOKUP($U13,METRICS!#REF!,METRICS!#REF!,0,0))</f>
        <v>#NAME?</v>
      </c>
      <c r="J13" s="238" t="e">
        <f t="array" aca="1" ref="J13" ca="1">$C13*(1+_xludf.XLOOKUP($U13,METRICS!#REF!,METRICS!#REF!,0,0))</f>
        <v>#NAME?</v>
      </c>
      <c r="K13" s="238" t="e">
        <f t="array" aca="1" ref="K13" ca="1">$C13*(1+_xludf.XLOOKUP($U13,METRICS!#REF!,METRICS!#REF!,0,0))</f>
        <v>#NAME?</v>
      </c>
      <c r="L13" s="238" t="e">
        <f t="array" aca="1" ref="L13" ca="1">$C13*(1+_xludf.XLOOKUP($U13,METRICS!#REF!,METRICS!#REF!,0,0))</f>
        <v>#NAME?</v>
      </c>
      <c r="M13" s="238" t="e">
        <f t="array" aca="1" ref="M13" ca="1">$C13*(1+_xludf.XLOOKUP($U13,METRICS!#REF!,METRICS!#REF!,0,0))</f>
        <v>#NAME?</v>
      </c>
      <c r="N13" s="238" t="e">
        <f t="array" aca="1" ref="N13" ca="1">$C13*(1+_xludf.XLOOKUP($U13,METRICS!#REF!,METRICS!#REF!,0,0))</f>
        <v>#NAME?</v>
      </c>
      <c r="O13" s="238" t="e">
        <f t="array" aca="1" ref="O13" ca="1">$C13*(1+_xludf.XLOOKUP($U13,METRICS!#REF!,METRICS!#REF!,0,0))</f>
        <v>#NAME?</v>
      </c>
      <c r="P13" s="238" t="e">
        <f t="array" aca="1" ref="P13" ca="1">$C13*(1+_xludf.XLOOKUP($U13,METRICS!#REF!,METRICS!#REF!,0,0))</f>
        <v>#NAME?</v>
      </c>
      <c r="Q13" s="238" t="e">
        <f t="array" aca="1" ref="Q13" ca="1">$C13*(1+_xludf.XLOOKUP($U13,METRICS!#REF!,METRICS!#REF!,0,0))</f>
        <v>#NAME?</v>
      </c>
      <c r="R13" s="241">
        <v>44136</v>
      </c>
      <c r="S13" s="241" t="s">
        <v>302</v>
      </c>
      <c r="T13" s="242" t="s">
        <v>298</v>
      </c>
      <c r="U13" s="239" t="s">
        <v>299</v>
      </c>
    </row>
    <row r="14" spans="1:21" ht="12" customHeight="1">
      <c r="A14" s="236" t="s">
        <v>313</v>
      </c>
      <c r="B14" s="237" t="s">
        <v>314</v>
      </c>
      <c r="C14" s="238">
        <v>540</v>
      </c>
      <c r="D14" s="239" t="s">
        <v>220</v>
      </c>
      <c r="E14" s="240" t="s">
        <v>209</v>
      </c>
      <c r="F14" s="238" t="e">
        <f t="array" aca="1" ref="F14" ca="1">$C14*(1+_xludf.XLOOKUP($U14,METRICS!#REF!,METRICS!#REF!,0,0))</f>
        <v>#NAME?</v>
      </c>
      <c r="G14" s="238" t="e">
        <f t="array" aca="1" ref="G14" ca="1">$C14*(1+_xludf.XLOOKUP($U14,METRICS!#REF!,METRICS!#REF!,0,0))</f>
        <v>#NAME?</v>
      </c>
      <c r="H14" s="238" t="e">
        <f t="array" aca="1" ref="H14" ca="1">$C14*(1+_xludf.XLOOKUP($U14,METRICS!#REF!,METRICS!#REF!,0,0))</f>
        <v>#NAME?</v>
      </c>
      <c r="I14" s="238" t="e">
        <f t="array" aca="1" ref="I14" ca="1">$C14*(1+_xludf.XLOOKUP($U14,METRICS!#REF!,METRICS!#REF!,0,0))</f>
        <v>#NAME?</v>
      </c>
      <c r="J14" s="238" t="e">
        <f t="array" aca="1" ref="J14" ca="1">$C14*(1+_xludf.XLOOKUP($U14,METRICS!#REF!,METRICS!#REF!,0,0))</f>
        <v>#NAME?</v>
      </c>
      <c r="K14" s="238" t="e">
        <f t="array" aca="1" ref="K14" ca="1">$C14*(1+_xludf.XLOOKUP($U14,METRICS!#REF!,METRICS!#REF!,0,0))</f>
        <v>#NAME?</v>
      </c>
      <c r="L14" s="238" t="e">
        <f t="array" aca="1" ref="L14" ca="1">$C14*(1+_xludf.XLOOKUP($U14,METRICS!#REF!,METRICS!#REF!,0,0))</f>
        <v>#NAME?</v>
      </c>
      <c r="M14" s="238" t="e">
        <f t="array" aca="1" ref="M14" ca="1">$C14*(1+_xludf.XLOOKUP($U14,METRICS!#REF!,METRICS!#REF!,0,0))</f>
        <v>#NAME?</v>
      </c>
      <c r="N14" s="238" t="e">
        <f t="array" aca="1" ref="N14" ca="1">$C14*(1+_xludf.XLOOKUP($U14,METRICS!#REF!,METRICS!#REF!,0,0))</f>
        <v>#NAME?</v>
      </c>
      <c r="O14" s="238" t="e">
        <f t="array" aca="1" ref="O14" ca="1">$C14*(1+_xludf.XLOOKUP($U14,METRICS!#REF!,METRICS!#REF!,0,0))</f>
        <v>#NAME?</v>
      </c>
      <c r="P14" s="238" t="e">
        <f t="array" aca="1" ref="P14" ca="1">$C14*(1+_xludf.XLOOKUP($U14,METRICS!#REF!,METRICS!#REF!,0,0))</f>
        <v>#NAME?</v>
      </c>
      <c r="Q14" s="238" t="e">
        <f t="array" aca="1" ref="Q14" ca="1">$C14*(1+_xludf.XLOOKUP($U14,METRICS!#REF!,METRICS!#REF!,0,0))</f>
        <v>#NAME?</v>
      </c>
      <c r="R14" s="241">
        <v>44137</v>
      </c>
      <c r="S14" s="241" t="s">
        <v>302</v>
      </c>
      <c r="T14" s="242" t="s">
        <v>298</v>
      </c>
      <c r="U14" s="239" t="s">
        <v>299</v>
      </c>
    </row>
    <row r="15" spans="1:21" ht="12" customHeight="1">
      <c r="A15" s="236" t="s">
        <v>315</v>
      </c>
      <c r="B15" s="237" t="s">
        <v>316</v>
      </c>
      <c r="C15" s="238">
        <v>2500</v>
      </c>
      <c r="D15" s="239" t="s">
        <v>196</v>
      </c>
      <c r="E15" s="240" t="s">
        <v>161</v>
      </c>
      <c r="F15" s="238" t="e">
        <f t="array" aca="1" ref="F15" ca="1">$C15*(1+_xludf.XLOOKUP($U15,METRICS!#REF!,METRICS!#REF!,0,0))</f>
        <v>#NAME?</v>
      </c>
      <c r="G15" s="238" t="e">
        <f t="array" aca="1" ref="G15" ca="1">$C15*(1+_xludf.XLOOKUP($U15,METRICS!#REF!,METRICS!#REF!,0,0))</f>
        <v>#NAME?</v>
      </c>
      <c r="H15" s="238" t="e">
        <f t="array" aca="1" ref="H15" ca="1">$C15*(1+_xludf.XLOOKUP($U15,METRICS!#REF!,METRICS!#REF!,0,0))</f>
        <v>#NAME?</v>
      </c>
      <c r="I15" s="238" t="e">
        <f t="array" aca="1" ref="I15" ca="1">4500*(1+_xludf.XLOOKUP($U15,METRICS!#REF!,METRICS!#REF!,0,0))</f>
        <v>#NAME?</v>
      </c>
      <c r="J15" s="238" t="e">
        <f t="array" aca="1" ref="J15" ca="1">$C15*(1+_xludf.XLOOKUP($U15,METRICS!#REF!,METRICS!#REF!,0,0))</f>
        <v>#NAME?</v>
      </c>
      <c r="K15" s="238" t="e">
        <f t="array" aca="1" ref="K15" ca="1">$C15*(1+_xludf.XLOOKUP($U15,METRICS!#REF!,METRICS!#REF!,0,0))</f>
        <v>#NAME?</v>
      </c>
      <c r="L15" s="238" t="e">
        <f t="array" aca="1" ref="L15" ca="1">$C15*(1+_xludf.XLOOKUP($U15,METRICS!#REF!,METRICS!#REF!,0,0))</f>
        <v>#NAME?</v>
      </c>
      <c r="M15" s="238">
        <v>4500</v>
      </c>
      <c r="N15" s="238" t="e">
        <f t="array" aca="1" ref="N15" ca="1">$C15*(1+_xludf.XLOOKUP($U15,METRICS!#REF!,METRICS!#REF!,0,0))</f>
        <v>#NAME?</v>
      </c>
      <c r="O15" s="238" t="e">
        <f t="array" aca="1" ref="O15" ca="1">$C15*(1+_xludf.XLOOKUP($U15,METRICS!#REF!,METRICS!#REF!,0,0))</f>
        <v>#NAME?</v>
      </c>
      <c r="P15" s="238" t="e">
        <f t="array" aca="1" ref="P15" ca="1">$C15*(1+_xludf.XLOOKUP($U15,METRICS!#REF!,METRICS!#REF!,0,0))</f>
        <v>#NAME?</v>
      </c>
      <c r="Q15" s="238">
        <v>4500</v>
      </c>
      <c r="R15" s="241">
        <v>44138</v>
      </c>
      <c r="S15" s="241" t="s">
        <v>302</v>
      </c>
      <c r="T15" s="242" t="s">
        <v>298</v>
      </c>
      <c r="U15" s="239" t="s">
        <v>317</v>
      </c>
    </row>
    <row r="16" spans="1:21" ht="12" customHeight="1">
      <c r="A16" s="236" t="s">
        <v>318</v>
      </c>
      <c r="B16" s="237" t="s">
        <v>319</v>
      </c>
      <c r="C16" s="238">
        <v>2500</v>
      </c>
      <c r="D16" s="239" t="s">
        <v>196</v>
      </c>
      <c r="E16" s="240" t="s">
        <v>161</v>
      </c>
      <c r="F16" s="238" t="e">
        <f t="array" aca="1" ref="F16" ca="1">$C16*(1+_xludf.XLOOKUP($U16,METRICS!#REF!,METRICS!#REF!,0,0))</f>
        <v>#NAME?</v>
      </c>
      <c r="G16" s="238" t="e">
        <f t="array" aca="1" ref="G16" ca="1">$C16*(1+_xludf.XLOOKUP($U16,METRICS!#REF!,METRICS!#REF!,0,0))</f>
        <v>#NAME?</v>
      </c>
      <c r="H16" s="238" t="e">
        <f t="array" aca="1" ref="H16" ca="1">$C16*(1+_xludf.XLOOKUP($U16,METRICS!#REF!,METRICS!#REF!,0,0))</f>
        <v>#NAME?</v>
      </c>
      <c r="I16" s="238" t="e">
        <f t="array" aca="1" ref="I16" ca="1">$C16*(1+_xludf.XLOOKUP($U16,METRICS!#REF!,METRICS!#REF!,0,0))</f>
        <v>#NAME?</v>
      </c>
      <c r="J16" s="238" t="e">
        <f t="array" aca="1" ref="J16" ca="1">$C16*(1+_xludf.XLOOKUP($U16,METRICS!#REF!,METRICS!#REF!,0,0))</f>
        <v>#NAME?</v>
      </c>
      <c r="K16" s="238" t="e">
        <f t="array" aca="1" ref="K16" ca="1">$C16*(1+_xludf.XLOOKUP($U16,METRICS!#REF!,METRICS!#REF!,0,0))</f>
        <v>#NAME?</v>
      </c>
      <c r="L16" s="238" t="e">
        <f t="array" aca="1" ref="L16" ca="1">$C16*(1+_xludf.XLOOKUP($U16,METRICS!#REF!,METRICS!#REF!,0,0))</f>
        <v>#NAME?</v>
      </c>
      <c r="M16" s="238" t="e">
        <f t="array" aca="1" ref="M16" ca="1">$C16*(1+_xludf.XLOOKUP($U16,METRICS!#REF!,METRICS!#REF!,0,0))</f>
        <v>#NAME?</v>
      </c>
      <c r="N16" s="238" t="e">
        <f t="array" aca="1" ref="N16" ca="1">$C16*(1+_xludf.XLOOKUP($U16,METRICS!#REF!,METRICS!#REF!,0,0))</f>
        <v>#NAME?</v>
      </c>
      <c r="O16" s="238" t="e">
        <f t="array" aca="1" ref="O16" ca="1">$C16*(1+_xludf.XLOOKUP($U16,METRICS!#REF!,METRICS!#REF!,0,0))</f>
        <v>#NAME?</v>
      </c>
      <c r="P16" s="238" t="e">
        <f t="array" aca="1" ref="P16" ca="1">$C16*(1+_xludf.XLOOKUP($U16,METRICS!#REF!,METRICS!#REF!,0,0))</f>
        <v>#NAME?</v>
      </c>
      <c r="Q16" s="238" t="e">
        <f t="array" aca="1" ref="Q16" ca="1">$C16*(1+_xludf.XLOOKUP($U16,METRICS!#REF!,METRICS!#REF!,0,0))</f>
        <v>#NAME?</v>
      </c>
      <c r="R16" s="241">
        <v>44139</v>
      </c>
      <c r="S16" s="241" t="s">
        <v>302</v>
      </c>
      <c r="T16" s="242" t="s">
        <v>298</v>
      </c>
      <c r="U16" s="239" t="s">
        <v>317</v>
      </c>
    </row>
    <row r="17" spans="1:21" ht="12" customHeight="1">
      <c r="A17" s="236" t="s">
        <v>320</v>
      </c>
      <c r="B17" s="237" t="s">
        <v>321</v>
      </c>
      <c r="C17" s="238">
        <v>914</v>
      </c>
      <c r="D17" s="239" t="s">
        <v>196</v>
      </c>
      <c r="E17" s="240" t="s">
        <v>161</v>
      </c>
      <c r="F17" s="238" t="e">
        <f t="array" aca="1" ref="F17" ca="1">$C17*(1+_xludf.XLOOKUP($U17,METRICS!#REF!,METRICS!#REF!,0,0))</f>
        <v>#NAME?</v>
      </c>
      <c r="G17" s="238" t="e">
        <f t="array" aca="1" ref="G17" ca="1">$C17*(1+_xludf.XLOOKUP($U17,METRICS!#REF!,METRICS!#REF!,0,0))</f>
        <v>#NAME?</v>
      </c>
      <c r="H17" s="238" t="e">
        <f t="array" aca="1" ref="H17" ca="1">$C17*(1+_xludf.XLOOKUP($U17,METRICS!#REF!,METRICS!#REF!,0,0))</f>
        <v>#NAME?</v>
      </c>
      <c r="I17" s="238" t="e">
        <f t="array" aca="1" ref="I17" ca="1">$C17*(1+_xludf.XLOOKUP($U17,METRICS!#REF!,METRICS!#REF!,0,0))</f>
        <v>#NAME?</v>
      </c>
      <c r="J17" s="238" t="e">
        <f t="array" aca="1" ref="J17" ca="1">$C17*(1+_xludf.XLOOKUP($U17,METRICS!#REF!,METRICS!#REF!,0,0))</f>
        <v>#NAME?</v>
      </c>
      <c r="K17" s="238" t="e">
        <f t="array" aca="1" ref="K17" ca="1">$C17*(1+_xludf.XLOOKUP($U17,METRICS!#REF!,METRICS!#REF!,0,0))</f>
        <v>#NAME?</v>
      </c>
      <c r="L17" s="238" t="e">
        <f t="array" aca="1" ref="L17" ca="1">$C17*(1+_xludf.XLOOKUP($U17,METRICS!#REF!,METRICS!#REF!,0,0))</f>
        <v>#NAME?</v>
      </c>
      <c r="M17" s="238" t="e">
        <f t="array" aca="1" ref="M17" ca="1">$C17*(1+_xludf.XLOOKUP($U17,METRICS!#REF!,METRICS!#REF!,0,0))</f>
        <v>#NAME?</v>
      </c>
      <c r="N17" s="238" t="e">
        <f t="array" aca="1" ref="N17" ca="1">$C17*(1+_xludf.XLOOKUP($U17,METRICS!#REF!,METRICS!#REF!,0,0))</f>
        <v>#NAME?</v>
      </c>
      <c r="O17" s="238" t="e">
        <f t="array" aca="1" ref="O17" ca="1">$C17*(1+_xludf.XLOOKUP($U17,METRICS!#REF!,METRICS!#REF!,0,0))</f>
        <v>#NAME?</v>
      </c>
      <c r="P17" s="238" t="e">
        <f t="array" aca="1" ref="P17" ca="1">$C17*(1+_xludf.XLOOKUP($U17,METRICS!#REF!,METRICS!#REF!,0,0))</f>
        <v>#NAME?</v>
      </c>
      <c r="Q17" s="238" t="e">
        <f t="array" aca="1" ref="Q17" ca="1">$C17*(1+_xludf.XLOOKUP($U17,METRICS!#REF!,METRICS!#REF!,0,0))</f>
        <v>#NAME?</v>
      </c>
      <c r="R17" s="241">
        <v>44140</v>
      </c>
      <c r="S17" s="241" t="s">
        <v>302</v>
      </c>
      <c r="T17" s="242" t="s">
        <v>298</v>
      </c>
      <c r="U17" s="239" t="s">
        <v>299</v>
      </c>
    </row>
    <row r="18" spans="1:21" ht="12" customHeight="1">
      <c r="A18" s="236" t="s">
        <v>322</v>
      </c>
      <c r="B18" s="237" t="s">
        <v>323</v>
      </c>
      <c r="C18" s="238">
        <v>16000</v>
      </c>
      <c r="D18" s="239" t="s">
        <v>200</v>
      </c>
      <c r="E18" s="240" t="s">
        <v>161</v>
      </c>
      <c r="F18" s="238">
        <v>8750</v>
      </c>
      <c r="G18" s="238">
        <v>12250</v>
      </c>
      <c r="H18" s="238" t="e">
        <f t="array" aca="1" ref="H18" ca="1">$C18*(1+_xludf.XLOOKUP($U18,METRICS!#REF!,METRICS!#REF!,0,0))</f>
        <v>#NAME?</v>
      </c>
      <c r="I18" s="238" t="e">
        <f t="array" aca="1" ref="I18" ca="1">$C18*(1+_xludf.XLOOKUP($U18,METRICS!#REF!,METRICS!#REF!,0,0))</f>
        <v>#NAME?</v>
      </c>
      <c r="J18" s="238" t="e">
        <f t="array" aca="1" ref="J18" ca="1">$C18*(1+_xludf.XLOOKUP($U18,METRICS!#REF!,METRICS!#REF!,0,0))</f>
        <v>#NAME?</v>
      </c>
      <c r="K18" s="238" t="e">
        <f t="array" aca="1" ref="K18" ca="1">$C18*(1+_xludf.XLOOKUP($U18,METRICS!#REF!,METRICS!#REF!,0,0))</f>
        <v>#NAME?</v>
      </c>
      <c r="L18" s="238" t="e">
        <f t="array" aca="1" ref="L18" ca="1">$C18*(1+_xludf.XLOOKUP($U18,METRICS!#REF!,METRICS!#REF!,0,0))</f>
        <v>#NAME?</v>
      </c>
      <c r="M18" s="238" t="e">
        <f t="array" aca="1" ref="M18" ca="1">$C18*(1+_xludf.XLOOKUP($U18,METRICS!#REF!,METRICS!#REF!,0,0))</f>
        <v>#NAME?</v>
      </c>
      <c r="N18" s="238" t="e">
        <f t="array" aca="1" ref="N18" ca="1">$C18*(1+_xludf.XLOOKUP($U18,METRICS!#REF!,METRICS!#REF!,0,0))</f>
        <v>#NAME?</v>
      </c>
      <c r="O18" s="238" t="e">
        <f t="array" aca="1" ref="O18" ca="1">$C18*(1+_xludf.XLOOKUP($U18,METRICS!#REF!,METRICS!#REF!,0,0))</f>
        <v>#NAME?</v>
      </c>
      <c r="P18" s="238" t="e">
        <f t="array" aca="1" ref="P18" ca="1">$C18*(1+_xludf.XLOOKUP($U18,METRICS!#REF!,METRICS!#REF!,0,0))</f>
        <v>#NAME?</v>
      </c>
      <c r="Q18" s="238" t="e">
        <f t="array" aca="1" ref="Q18" ca="1">$C18*(1+_xludf.XLOOKUP($U18,METRICS!#REF!,METRICS!#REF!,0,0))</f>
        <v>#NAME?</v>
      </c>
      <c r="R18" s="241">
        <v>44141</v>
      </c>
      <c r="S18" s="241" t="s">
        <v>302</v>
      </c>
      <c r="T18" s="242" t="s">
        <v>298</v>
      </c>
      <c r="U18" s="239" t="s">
        <v>317</v>
      </c>
    </row>
    <row r="19" spans="1:21" ht="12" customHeight="1">
      <c r="A19" s="236" t="s">
        <v>324</v>
      </c>
      <c r="B19" s="237" t="s">
        <v>325</v>
      </c>
      <c r="C19" s="238">
        <v>11840</v>
      </c>
      <c r="D19" s="239" t="s">
        <v>188</v>
      </c>
      <c r="E19" s="240" t="s">
        <v>161</v>
      </c>
      <c r="F19" s="238" t="e">
        <f t="array" aca="1" ref="F19" ca="1">$C19*(1+_xludf.XLOOKUP($U19,METRICS!#REF!,METRICS!#REF!,0,0))</f>
        <v>#NAME?</v>
      </c>
      <c r="G19" s="238" t="e">
        <f t="array" aca="1" ref="G19" ca="1">$C19*(1+_xludf.XLOOKUP($U19,METRICS!#REF!,METRICS!#REF!,0,0))</f>
        <v>#NAME?</v>
      </c>
      <c r="H19" s="238" t="e">
        <f t="array" aca="1" ref="H19" ca="1">$C19*(1+_xludf.XLOOKUP($U19,METRICS!#REF!,METRICS!#REF!,0,0))</f>
        <v>#NAME?</v>
      </c>
      <c r="I19" s="238" t="e">
        <f t="array" aca="1" ref="I19" ca="1">$C19*(1+_xludf.XLOOKUP($U19,METRICS!#REF!,METRICS!#REF!,0,0))</f>
        <v>#NAME?</v>
      </c>
      <c r="J19" s="238" t="e">
        <f t="array" aca="1" ref="J19" ca="1">$C19*(1+_xludf.XLOOKUP($U19,METRICS!#REF!,METRICS!#REF!,0,0))</f>
        <v>#NAME?</v>
      </c>
      <c r="K19" s="238" t="e">
        <f t="array" aca="1" ref="K19" ca="1">$C19*(1+_xludf.XLOOKUP($U19,METRICS!#REF!,METRICS!#REF!,0,0))</f>
        <v>#NAME?</v>
      </c>
      <c r="L19" s="238" t="e">
        <f t="array" aca="1" ref="L19" ca="1">$C19*(1+_xludf.XLOOKUP($U19,METRICS!#REF!,METRICS!#REF!,0,0))</f>
        <v>#NAME?</v>
      </c>
      <c r="M19" s="238" t="e">
        <f t="array" aca="1" ref="M19" ca="1">$C19*(1+_xludf.XLOOKUP($U19,METRICS!#REF!,METRICS!#REF!,0,0))</f>
        <v>#NAME?</v>
      </c>
      <c r="N19" s="238" t="e">
        <f t="array" aca="1" ref="N19" ca="1">$C19*(1+_xludf.XLOOKUP($U19,METRICS!#REF!,METRICS!#REF!,0,0))</f>
        <v>#NAME?</v>
      </c>
      <c r="O19" s="238" t="e">
        <f t="array" aca="1" ref="O19" ca="1">$C19*(1+_xludf.XLOOKUP($U19,METRICS!#REF!,METRICS!#REF!,0,0))</f>
        <v>#NAME?</v>
      </c>
      <c r="P19" s="238" t="e">
        <f t="array" aca="1" ref="P19" ca="1">$C19*(1+_xludf.XLOOKUP($U19,METRICS!#REF!,METRICS!#REF!,0,0))</f>
        <v>#NAME?</v>
      </c>
      <c r="Q19" s="238" t="e">
        <f t="array" aca="1" ref="Q19" ca="1">$C19*(1+_xludf.XLOOKUP($U19,METRICS!#REF!,METRICS!#REF!,0,0))</f>
        <v>#NAME?</v>
      </c>
      <c r="R19" s="241">
        <v>44142</v>
      </c>
      <c r="S19" s="241" t="s">
        <v>302</v>
      </c>
      <c r="T19" s="242" t="s">
        <v>298</v>
      </c>
      <c r="U19" s="239" t="s">
        <v>317</v>
      </c>
    </row>
    <row r="20" spans="1:21" ht="12" customHeight="1">
      <c r="A20" s="236" t="s">
        <v>326</v>
      </c>
      <c r="B20" s="237" t="s">
        <v>327</v>
      </c>
      <c r="C20" s="238">
        <v>1931.52</v>
      </c>
      <c r="D20" s="239" t="s">
        <v>188</v>
      </c>
      <c r="E20" s="240" t="s">
        <v>161</v>
      </c>
      <c r="F20" s="238" t="e">
        <f t="array" aca="1" ref="F20" ca="1">$C20*(1+_xludf.XLOOKUP($U20,METRICS!#REF!,METRICS!#REF!,0,0))</f>
        <v>#NAME?</v>
      </c>
      <c r="G20" s="238" t="e">
        <f t="array" aca="1" ref="G20" ca="1">$C20*(1+_xludf.XLOOKUP($U20,METRICS!#REF!,METRICS!#REF!,0,0))</f>
        <v>#NAME?</v>
      </c>
      <c r="H20" s="238" t="e">
        <f t="array" aca="1" ref="H20" ca="1">$C20*(1+_xludf.XLOOKUP($U20,METRICS!#REF!,METRICS!#REF!,0,0))</f>
        <v>#NAME?</v>
      </c>
      <c r="I20" s="238" t="e">
        <f t="array" aca="1" ref="I20" ca="1">$C20*(1+_xludf.XLOOKUP($U20,METRICS!#REF!,METRICS!#REF!,0,0))</f>
        <v>#NAME?</v>
      </c>
      <c r="J20" s="238" t="e">
        <f t="array" aca="1" ref="J20" ca="1">$C20*(1+_xludf.XLOOKUP($U20,METRICS!#REF!,METRICS!#REF!,0,0))</f>
        <v>#NAME?</v>
      </c>
      <c r="K20" s="238" t="e">
        <f t="array" aca="1" ref="K20" ca="1">$C20*(1+_xludf.XLOOKUP($U20,METRICS!#REF!,METRICS!#REF!,0,0))</f>
        <v>#NAME?</v>
      </c>
      <c r="L20" s="238" t="e">
        <f t="array" aca="1" ref="L20" ca="1">$C20*(1+_xludf.XLOOKUP($U20,METRICS!#REF!,METRICS!#REF!,0,0))</f>
        <v>#NAME?</v>
      </c>
      <c r="M20" s="238" t="e">
        <f t="array" aca="1" ref="M20" ca="1">$C20*(1+_xludf.XLOOKUP($U20,METRICS!#REF!,METRICS!#REF!,0,0))</f>
        <v>#NAME?</v>
      </c>
      <c r="N20" s="238" t="e">
        <f t="array" aca="1" ref="N20" ca="1">$C20*(1+_xludf.XLOOKUP($U20,METRICS!#REF!,METRICS!#REF!,0,0))</f>
        <v>#NAME?</v>
      </c>
      <c r="O20" s="238" t="e">
        <f t="array" aca="1" ref="O20" ca="1">$C20*(1+_xludf.XLOOKUP($U20,METRICS!#REF!,METRICS!#REF!,0,0))</f>
        <v>#NAME?</v>
      </c>
      <c r="P20" s="238" t="e">
        <f t="array" aca="1" ref="P20" ca="1">$C20*(1+_xludf.XLOOKUP($U20,METRICS!#REF!,METRICS!#REF!,0,0))</f>
        <v>#NAME?</v>
      </c>
      <c r="Q20" s="238" t="e">
        <f t="array" aca="1" ref="Q20" ca="1">$C20*(1+_xludf.XLOOKUP($U20,METRICS!#REF!,METRICS!#REF!,0,0))</f>
        <v>#NAME?</v>
      </c>
      <c r="R20" s="241">
        <v>44143</v>
      </c>
      <c r="S20" s="241" t="s">
        <v>302</v>
      </c>
      <c r="T20" s="242" t="s">
        <v>298</v>
      </c>
      <c r="U20" s="239" t="s">
        <v>299</v>
      </c>
    </row>
    <row r="21" spans="1:21" ht="12" customHeight="1">
      <c r="A21" s="236" t="s">
        <v>328</v>
      </c>
      <c r="B21" s="237" t="s">
        <v>329</v>
      </c>
      <c r="C21" s="238">
        <v>2800</v>
      </c>
      <c r="D21" s="239" t="s">
        <v>167</v>
      </c>
      <c r="E21" s="240" t="s">
        <v>161</v>
      </c>
      <c r="F21" s="238" t="e">
        <f t="array" aca="1" ref="F21" ca="1">$C21*(1+_xludf.XLOOKUP($U21,METRICS!#REF!,METRICS!#REF!,0,0))</f>
        <v>#NAME?</v>
      </c>
      <c r="G21" s="238" t="e">
        <f t="array" aca="1" ref="G21" ca="1">$C21*(1+_xludf.XLOOKUP($U21,METRICS!#REF!,METRICS!#REF!,0,0))</f>
        <v>#NAME?</v>
      </c>
      <c r="H21" s="238" t="e">
        <f t="array" aca="1" ref="H21" ca="1">$C21*(1+_xludf.XLOOKUP($U21,METRICS!#REF!,METRICS!#REF!,0,0))</f>
        <v>#NAME?</v>
      </c>
      <c r="I21" s="238" t="e">
        <f t="array" aca="1" ref="I21" ca="1">$C21*(1+_xludf.XLOOKUP($U21,METRICS!#REF!,METRICS!#REF!,0,0))</f>
        <v>#NAME?</v>
      </c>
      <c r="J21" s="238" t="e">
        <f t="array" aca="1" ref="J21" ca="1">$C21*(1+_xludf.XLOOKUP($U21,METRICS!#REF!,METRICS!#REF!,0,0))</f>
        <v>#NAME?</v>
      </c>
      <c r="K21" s="238" t="e">
        <f t="array" aca="1" ref="K21" ca="1">$C21*(1+_xludf.XLOOKUP($U21,METRICS!#REF!,METRICS!#REF!,0,0))</f>
        <v>#NAME?</v>
      </c>
      <c r="L21" s="238" t="e">
        <f t="array" aca="1" ref="L21" ca="1">$C21*(1+_xludf.XLOOKUP($U21,METRICS!#REF!,METRICS!#REF!,0,0))</f>
        <v>#NAME?</v>
      </c>
      <c r="M21" s="238" t="e">
        <f t="array" aca="1" ref="M21" ca="1">$C21*(1+_xludf.XLOOKUP($U21,METRICS!#REF!,METRICS!#REF!,0,0))</f>
        <v>#NAME?</v>
      </c>
      <c r="N21" s="238" t="e">
        <f t="array" aca="1" ref="N21" ca="1">$C21*(1+_xludf.XLOOKUP($U21,METRICS!#REF!,METRICS!#REF!,0,0))</f>
        <v>#NAME?</v>
      </c>
      <c r="O21" s="238" t="e">
        <f t="array" aca="1" ref="O21" ca="1">$C21*(1+_xludf.XLOOKUP($U21,METRICS!#REF!,METRICS!#REF!,0,0))</f>
        <v>#NAME?</v>
      </c>
      <c r="P21" s="238" t="e">
        <f t="array" aca="1" ref="P21" ca="1">$C21*(1+_xludf.XLOOKUP($U21,METRICS!#REF!,METRICS!#REF!,0,0))</f>
        <v>#NAME?</v>
      </c>
      <c r="Q21" s="238" t="e">
        <f t="array" aca="1" ref="Q21" ca="1">$C21*(1+_xludf.XLOOKUP($U21,METRICS!#REF!,METRICS!#REF!,0,0))</f>
        <v>#NAME?</v>
      </c>
      <c r="R21" s="241">
        <v>44144</v>
      </c>
      <c r="S21" s="241" t="s">
        <v>302</v>
      </c>
      <c r="T21" s="242" t="s">
        <v>298</v>
      </c>
      <c r="U21" s="239" t="s">
        <v>299</v>
      </c>
    </row>
    <row r="22" spans="1:21" ht="12" customHeight="1">
      <c r="A22" s="236" t="s">
        <v>330</v>
      </c>
      <c r="B22" s="237" t="s">
        <v>331</v>
      </c>
      <c r="C22" s="238">
        <v>2680</v>
      </c>
      <c r="D22" s="239" t="s">
        <v>196</v>
      </c>
      <c r="E22" s="240" t="s">
        <v>161</v>
      </c>
      <c r="F22" s="238" t="e">
        <f t="array" aca="1" ref="F22" ca="1">$C22*(1+_xludf.XLOOKUP($U22,METRICS!#REF!,METRICS!#REF!,0,0))</f>
        <v>#NAME?</v>
      </c>
      <c r="G22" s="238" t="e">
        <f t="array" aca="1" ref="G22" ca="1">$C22*(1+_xludf.XLOOKUP($U22,METRICS!#REF!,METRICS!#REF!,0,0))</f>
        <v>#NAME?</v>
      </c>
      <c r="H22" s="238" t="e">
        <f t="array" aca="1" ref="H22" ca="1">$C22*(1+_xludf.XLOOKUP($U22,METRICS!#REF!,METRICS!#REF!,0,0))</f>
        <v>#NAME?</v>
      </c>
      <c r="I22" s="238" t="e">
        <f t="array" aca="1" ref="I22" ca="1">$C22*(1+_xludf.XLOOKUP($U22,METRICS!#REF!,METRICS!#REF!,0,0))</f>
        <v>#NAME?</v>
      </c>
      <c r="J22" s="238" t="e">
        <f t="array" aca="1" ref="J22" ca="1">$C22*(1+_xludf.XLOOKUP($U22,METRICS!#REF!,METRICS!#REF!,0,0))</f>
        <v>#NAME?</v>
      </c>
      <c r="K22" s="238" t="e">
        <f t="array" aca="1" ref="K22" ca="1">$C22*(1+_xludf.XLOOKUP($U22,METRICS!#REF!,METRICS!#REF!,0,0))</f>
        <v>#NAME?</v>
      </c>
      <c r="L22" s="238" t="e">
        <f t="array" aca="1" ref="L22" ca="1">$C22*(1+_xludf.XLOOKUP($U22,METRICS!#REF!,METRICS!#REF!,0,0))</f>
        <v>#NAME?</v>
      </c>
      <c r="M22" s="238" t="e">
        <f t="array" aca="1" ref="M22" ca="1">$C22*(1+_xludf.XLOOKUP($U22,METRICS!#REF!,METRICS!#REF!,0,0))</f>
        <v>#NAME?</v>
      </c>
      <c r="N22" s="238" t="e">
        <f t="array" aca="1" ref="N22" ca="1">$C22*(1+_xludf.XLOOKUP($U22,METRICS!#REF!,METRICS!#REF!,0,0))</f>
        <v>#NAME?</v>
      </c>
      <c r="O22" s="238" t="e">
        <f t="array" aca="1" ref="O22" ca="1">$C22*(1+_xludf.XLOOKUP($U22,METRICS!#REF!,METRICS!#REF!,0,0))</f>
        <v>#NAME?</v>
      </c>
      <c r="P22" s="238" t="e">
        <f t="array" aca="1" ref="P22" ca="1">$C22*(1+_xludf.XLOOKUP($U22,METRICS!#REF!,METRICS!#REF!,0,0))</f>
        <v>#NAME?</v>
      </c>
      <c r="Q22" s="238" t="e">
        <f t="array" aca="1" ref="Q22" ca="1">$C22*(1+_xludf.XLOOKUP($U22,METRICS!#REF!,METRICS!#REF!,0,0))</f>
        <v>#NAME?</v>
      </c>
      <c r="R22" s="241">
        <v>44145</v>
      </c>
      <c r="S22" s="241" t="s">
        <v>302</v>
      </c>
      <c r="T22" s="242" t="s">
        <v>298</v>
      </c>
      <c r="U22" s="239" t="s">
        <v>299</v>
      </c>
    </row>
    <row r="23" spans="1:21" ht="12" customHeight="1">
      <c r="A23" s="236" t="s">
        <v>332</v>
      </c>
      <c r="B23" s="237" t="s">
        <v>333</v>
      </c>
      <c r="C23" s="238">
        <v>50</v>
      </c>
      <c r="D23" s="239" t="s">
        <v>165</v>
      </c>
      <c r="E23" s="240" t="s">
        <v>161</v>
      </c>
      <c r="F23" s="238" t="e">
        <f t="array" aca="1" ref="F23" ca="1">$C23*(1+_xludf.XLOOKUP($U23,METRICS!#REF!,METRICS!#REF!,0,0))</f>
        <v>#NAME?</v>
      </c>
      <c r="G23" s="238" t="e">
        <f t="array" aca="1" ref="G23" ca="1">$C23*(1+_xludf.XLOOKUP($U23,METRICS!#REF!,METRICS!#REF!,0,0))</f>
        <v>#NAME?</v>
      </c>
      <c r="H23" s="238" t="e">
        <f t="array" aca="1" ref="H23" ca="1">$C23*(1+_xludf.XLOOKUP($U23,METRICS!#REF!,METRICS!#REF!,0,0))</f>
        <v>#NAME?</v>
      </c>
      <c r="I23" s="238" t="e">
        <f t="array" aca="1" ref="I23" ca="1">$C23*(1+_xludf.XLOOKUP($U23,METRICS!#REF!,METRICS!#REF!,0,0))</f>
        <v>#NAME?</v>
      </c>
      <c r="J23" s="238" t="e">
        <f t="array" aca="1" ref="J23" ca="1">$C23*(1+_xludf.XLOOKUP($U23,METRICS!#REF!,METRICS!#REF!,0,0))</f>
        <v>#NAME?</v>
      </c>
      <c r="K23" s="238" t="e">
        <f t="array" aca="1" ref="K23" ca="1">$C23*(1+_xludf.XLOOKUP($U23,METRICS!#REF!,METRICS!#REF!,0,0))</f>
        <v>#NAME?</v>
      </c>
      <c r="L23" s="238" t="e">
        <f t="array" aca="1" ref="L23" ca="1">$C23*(1+_xludf.XLOOKUP($U23,METRICS!#REF!,METRICS!#REF!,0,0))</f>
        <v>#NAME?</v>
      </c>
      <c r="M23" s="238" t="e">
        <f t="array" aca="1" ref="M23" ca="1">$C23*(1+_xludf.XLOOKUP($U23,METRICS!#REF!,METRICS!#REF!,0,0))</f>
        <v>#NAME?</v>
      </c>
      <c r="N23" s="238" t="e">
        <f t="array" aca="1" ref="N23" ca="1">$C23*(1+_xludf.XLOOKUP($U23,METRICS!#REF!,METRICS!#REF!,0,0))</f>
        <v>#NAME?</v>
      </c>
      <c r="O23" s="238" t="e">
        <f t="array" aca="1" ref="O23" ca="1">$C23*(1+_xludf.XLOOKUP($U23,METRICS!#REF!,METRICS!#REF!,0,0))</f>
        <v>#NAME?</v>
      </c>
      <c r="P23" s="238" t="e">
        <f t="array" aca="1" ref="P23" ca="1">$C23*(1+_xludf.XLOOKUP($U23,METRICS!#REF!,METRICS!#REF!,0,0))</f>
        <v>#NAME?</v>
      </c>
      <c r="Q23" s="238" t="e">
        <f t="array" aca="1" ref="Q23" ca="1">$C23*(1+_xludf.XLOOKUP($U23,METRICS!#REF!,METRICS!#REF!,0,0))</f>
        <v>#NAME?</v>
      </c>
      <c r="R23" s="241">
        <v>44146</v>
      </c>
      <c r="S23" s="241" t="s">
        <v>302</v>
      </c>
      <c r="T23" s="242" t="s">
        <v>298</v>
      </c>
      <c r="U23" s="239" t="s">
        <v>299</v>
      </c>
    </row>
    <row r="24" spans="1:21" ht="12" customHeight="1">
      <c r="A24" s="236" t="s">
        <v>334</v>
      </c>
      <c r="B24" s="237" t="s">
        <v>335</v>
      </c>
      <c r="C24" s="238">
        <v>1800</v>
      </c>
      <c r="D24" s="239" t="s">
        <v>165</v>
      </c>
      <c r="E24" s="240" t="s">
        <v>161</v>
      </c>
      <c r="F24" s="238" t="e">
        <f t="array" aca="1" ref="F24" ca="1">$C24*(1+_xludf.XLOOKUP($U24,METRICS!#REF!,METRICS!#REF!,0,0))</f>
        <v>#NAME?</v>
      </c>
      <c r="G24" s="238" t="e">
        <f t="array" aca="1" ref="G24" ca="1">$C24*(1+_xludf.XLOOKUP($U24,METRICS!#REF!,METRICS!#REF!,0,0))</f>
        <v>#NAME?</v>
      </c>
      <c r="H24" s="238" t="e">
        <f t="array" aca="1" ref="H24" ca="1">$C24*(1+_xludf.XLOOKUP($U24,METRICS!#REF!,METRICS!#REF!,0,0))</f>
        <v>#NAME?</v>
      </c>
      <c r="I24" s="238" t="e">
        <f t="array" aca="1" ref="I24" ca="1">$C24*(1+_xludf.XLOOKUP($U24,METRICS!#REF!,METRICS!#REF!,0,0))</f>
        <v>#NAME?</v>
      </c>
      <c r="J24" s="238" t="e">
        <f t="array" aca="1" ref="J24" ca="1">$C24*(1+_xludf.XLOOKUP($U24,METRICS!#REF!,METRICS!#REF!,0,0))</f>
        <v>#NAME?</v>
      </c>
      <c r="K24" s="238" t="e">
        <f t="array" aca="1" ref="K24" ca="1">$C24*(1+_xludf.XLOOKUP($U24,METRICS!#REF!,METRICS!#REF!,0,0))</f>
        <v>#NAME?</v>
      </c>
      <c r="L24" s="238" t="e">
        <f t="array" aca="1" ref="L24" ca="1">$C24*(1+_xludf.XLOOKUP($U24,METRICS!#REF!,METRICS!#REF!,0,0))</f>
        <v>#NAME?</v>
      </c>
      <c r="M24" s="238" t="e">
        <f t="array" aca="1" ref="M24" ca="1">$C24*(1+_xludf.XLOOKUP($U24,METRICS!#REF!,METRICS!#REF!,0,0))</f>
        <v>#NAME?</v>
      </c>
      <c r="N24" s="238" t="e">
        <f t="array" aca="1" ref="N24" ca="1">$C24*(1+_xludf.XLOOKUP($U24,METRICS!#REF!,METRICS!#REF!,0,0))</f>
        <v>#NAME?</v>
      </c>
      <c r="O24" s="238" t="e">
        <f t="array" aca="1" ref="O24" ca="1">$C24*(1+_xludf.XLOOKUP($U24,METRICS!#REF!,METRICS!#REF!,0,0))</f>
        <v>#NAME?</v>
      </c>
      <c r="P24" s="238" t="e">
        <f t="array" aca="1" ref="P24" ca="1">$C24*(1+_xludf.XLOOKUP($U24,METRICS!#REF!,METRICS!#REF!,0,0))</f>
        <v>#NAME?</v>
      </c>
      <c r="Q24" s="238" t="e">
        <f t="array" aca="1" ref="Q24" ca="1">$C24*(1+_xludf.XLOOKUP($U24,METRICS!#REF!,METRICS!#REF!,0,0))</f>
        <v>#NAME?</v>
      </c>
      <c r="R24" s="241">
        <v>44147</v>
      </c>
      <c r="S24" s="241" t="s">
        <v>302</v>
      </c>
      <c r="T24" s="242" t="s">
        <v>298</v>
      </c>
      <c r="U24" s="239" t="s">
        <v>299</v>
      </c>
    </row>
    <row r="25" spans="1:21" ht="12" customHeight="1">
      <c r="A25" s="236" t="s">
        <v>336</v>
      </c>
      <c r="B25" s="237" t="s">
        <v>337</v>
      </c>
      <c r="C25" s="243">
        <v>968.16</v>
      </c>
      <c r="D25" s="239" t="s">
        <v>165</v>
      </c>
      <c r="E25" s="240" t="s">
        <v>161</v>
      </c>
      <c r="F25" s="238" t="e">
        <f t="array" aca="1" ref="F25" ca="1">$C25*(1+_xludf.XLOOKUP($U25,METRICS!#REF!,METRICS!#REF!,0,0))</f>
        <v>#NAME?</v>
      </c>
      <c r="G25" s="238" t="e">
        <f t="array" aca="1" ref="G25" ca="1">$C25*(1+_xludf.XLOOKUP($U25,METRICS!#REF!,METRICS!#REF!,0,0))</f>
        <v>#NAME?</v>
      </c>
      <c r="H25" s="238" t="e">
        <f t="array" aca="1" ref="H25" ca="1">$C25*(1+_xludf.XLOOKUP($U25,METRICS!#REF!,METRICS!#REF!,0,0))</f>
        <v>#NAME?</v>
      </c>
      <c r="I25" s="238" t="e">
        <f t="array" aca="1" ref="I25" ca="1">$C25*(1+_xludf.XLOOKUP($U25,METRICS!#REF!,METRICS!#REF!,0,0))</f>
        <v>#NAME?</v>
      </c>
      <c r="J25" s="238" t="e">
        <f t="array" aca="1" ref="J25" ca="1">$C25*(1+_xludf.XLOOKUP($U25,METRICS!#REF!,METRICS!#REF!,0,0))</f>
        <v>#NAME?</v>
      </c>
      <c r="K25" s="238" t="e">
        <f t="array" aca="1" ref="K25" ca="1">$C25*(1+_xludf.XLOOKUP($U25,METRICS!#REF!,METRICS!#REF!,0,0))</f>
        <v>#NAME?</v>
      </c>
      <c r="L25" s="238" t="e">
        <f t="array" aca="1" ref="L25" ca="1">$C25*(1+_xludf.XLOOKUP($U25,METRICS!#REF!,METRICS!#REF!,0,0))</f>
        <v>#NAME?</v>
      </c>
      <c r="M25" s="238" t="e">
        <f t="array" aca="1" ref="M25" ca="1">$C25*(1+_xludf.XLOOKUP($U25,METRICS!#REF!,METRICS!#REF!,0,0))</f>
        <v>#NAME?</v>
      </c>
      <c r="N25" s="238" t="e">
        <f t="array" aca="1" ref="N25" ca="1">$C25*(1+_xludf.XLOOKUP($U25,METRICS!#REF!,METRICS!#REF!,0,0))</f>
        <v>#NAME?</v>
      </c>
      <c r="O25" s="238" t="e">
        <f t="array" aca="1" ref="O25" ca="1">$C25*(1+_xludf.XLOOKUP($U25,METRICS!#REF!,METRICS!#REF!,0,0))</f>
        <v>#NAME?</v>
      </c>
      <c r="P25" s="238" t="e">
        <f t="array" aca="1" ref="P25" ca="1">$C25*(1+_xludf.XLOOKUP($U25,METRICS!#REF!,METRICS!#REF!,0,0))</f>
        <v>#NAME?</v>
      </c>
      <c r="Q25" s="238" t="e">
        <f t="array" aca="1" ref="Q25" ca="1">$C25*(1+_xludf.XLOOKUP($U25,METRICS!#REF!,METRICS!#REF!,0,0))</f>
        <v>#NAME?</v>
      </c>
      <c r="R25" s="241">
        <v>44148</v>
      </c>
      <c r="S25" s="241" t="s">
        <v>302</v>
      </c>
      <c r="T25" s="242" t="s">
        <v>298</v>
      </c>
      <c r="U25" s="239" t="s">
        <v>299</v>
      </c>
    </row>
    <row r="26" spans="1:21" ht="12" customHeight="1">
      <c r="A26" s="236" t="s">
        <v>338</v>
      </c>
      <c r="B26" s="237" t="s">
        <v>339</v>
      </c>
      <c r="C26" s="238">
        <v>1400</v>
      </c>
      <c r="D26" s="239" t="s">
        <v>165</v>
      </c>
      <c r="E26" s="240" t="s">
        <v>161</v>
      </c>
      <c r="F26" s="238" t="e">
        <f t="array" aca="1" ref="F26" ca="1">$C26*(1+_xludf.XLOOKUP($U26,METRICS!#REF!,METRICS!#REF!,0,0))</f>
        <v>#NAME?</v>
      </c>
      <c r="G26" s="238" t="e">
        <f t="array" aca="1" ref="G26" ca="1">$C26*(1+_xludf.XLOOKUP($U26,METRICS!#REF!,METRICS!#REF!,0,0))</f>
        <v>#NAME?</v>
      </c>
      <c r="H26" s="238" t="e">
        <f t="array" aca="1" ref="H26" ca="1">$C26*(1+_xludf.XLOOKUP($U26,METRICS!#REF!,METRICS!#REF!,0,0))</f>
        <v>#NAME?</v>
      </c>
      <c r="I26" s="238" t="e">
        <f t="array" aca="1" ref="I26" ca="1">$C26*(1+_xludf.XLOOKUP($U26,METRICS!#REF!,METRICS!#REF!,0,0))</f>
        <v>#NAME?</v>
      </c>
      <c r="J26" s="238" t="e">
        <f t="array" aca="1" ref="J26" ca="1">$C26*(1+_xludf.XLOOKUP($U26,METRICS!#REF!,METRICS!#REF!,0,0))</f>
        <v>#NAME?</v>
      </c>
      <c r="K26" s="238" t="e">
        <f t="array" aca="1" ref="K26" ca="1">$C26*(1+_xludf.XLOOKUP($U26,METRICS!#REF!,METRICS!#REF!,0,0))</f>
        <v>#NAME?</v>
      </c>
      <c r="L26" s="238" t="e">
        <f t="array" aca="1" ref="L26" ca="1">$C26*(1+_xludf.XLOOKUP($U26,METRICS!#REF!,METRICS!#REF!,0,0))</f>
        <v>#NAME?</v>
      </c>
      <c r="M26" s="238" t="e">
        <f t="array" aca="1" ref="M26" ca="1">$C26*(1+_xludf.XLOOKUP($U26,METRICS!#REF!,METRICS!#REF!,0,0))</f>
        <v>#NAME?</v>
      </c>
      <c r="N26" s="238" t="e">
        <f t="array" aca="1" ref="N26" ca="1">$C26*(1+_xludf.XLOOKUP($U26,METRICS!#REF!,METRICS!#REF!,0,0))</f>
        <v>#NAME?</v>
      </c>
      <c r="O26" s="238" t="e">
        <f t="array" aca="1" ref="O26" ca="1">$C26*(1+_xludf.XLOOKUP($U26,METRICS!#REF!,METRICS!#REF!,0,0))</f>
        <v>#NAME?</v>
      </c>
      <c r="P26" s="238" t="e">
        <f t="array" aca="1" ref="P26" ca="1">$C26*(1+_xludf.XLOOKUP($U26,METRICS!#REF!,METRICS!#REF!,0,0))</f>
        <v>#NAME?</v>
      </c>
      <c r="Q26" s="238" t="e">
        <f t="array" aca="1" ref="Q26" ca="1">$C26*(1+_xludf.XLOOKUP($U26,METRICS!#REF!,METRICS!#REF!,0,0))</f>
        <v>#NAME?</v>
      </c>
      <c r="R26" s="241">
        <v>44149</v>
      </c>
      <c r="S26" s="241" t="s">
        <v>302</v>
      </c>
      <c r="T26" s="242" t="s">
        <v>298</v>
      </c>
      <c r="U26" s="239" t="s">
        <v>299</v>
      </c>
    </row>
    <row r="27" spans="1:21" ht="12" customHeight="1">
      <c r="A27" s="236" t="s">
        <v>340</v>
      </c>
      <c r="B27" s="237" t="s">
        <v>341</v>
      </c>
      <c r="C27" s="238">
        <v>300</v>
      </c>
      <c r="D27" s="239" t="s">
        <v>213</v>
      </c>
      <c r="E27" s="240" t="s">
        <v>209</v>
      </c>
      <c r="F27" s="238" t="e">
        <f t="array" aca="1" ref="F27" ca="1">$C27*(1+_xludf.XLOOKUP($U27,METRICS!#REF!,METRICS!#REF!,0,0))</f>
        <v>#NAME?</v>
      </c>
      <c r="G27" s="238" t="e">
        <f t="array" aca="1" ref="G27" ca="1">$C27*(1+_xludf.XLOOKUP($U27,METRICS!#REF!,METRICS!#REF!,0,0))</f>
        <v>#NAME?</v>
      </c>
      <c r="H27" s="238" t="e">
        <f t="array" aca="1" ref="H27" ca="1">$C27*(1+_xludf.XLOOKUP($U27,METRICS!#REF!,METRICS!#REF!,0,0))</f>
        <v>#NAME?</v>
      </c>
      <c r="I27" s="238" t="e">
        <f t="array" aca="1" ref="I27" ca="1">$C27*(1+_xludf.XLOOKUP($U27,METRICS!#REF!,METRICS!#REF!,0,0))</f>
        <v>#NAME?</v>
      </c>
      <c r="J27" s="238" t="e">
        <f t="array" aca="1" ref="J27" ca="1">$C27*(1+_xludf.XLOOKUP($U27,METRICS!#REF!,METRICS!#REF!,0,0))</f>
        <v>#NAME?</v>
      </c>
      <c r="K27" s="238" t="e">
        <f t="array" aca="1" ref="K27" ca="1">$C27*(1+_xludf.XLOOKUP($U27,METRICS!#REF!,METRICS!#REF!,0,0))</f>
        <v>#NAME?</v>
      </c>
      <c r="L27" s="238" t="e">
        <f t="array" aca="1" ref="L27" ca="1">$C27*(1+_xludf.XLOOKUP($U27,METRICS!#REF!,METRICS!#REF!,0,0))</f>
        <v>#NAME?</v>
      </c>
      <c r="M27" s="238" t="e">
        <f t="array" aca="1" ref="M27" ca="1">$C27*(1+_xludf.XLOOKUP($U27,METRICS!#REF!,METRICS!#REF!,0,0))</f>
        <v>#NAME?</v>
      </c>
      <c r="N27" s="238" t="e">
        <f t="array" aca="1" ref="N27" ca="1">$C27*(1+_xludf.XLOOKUP($U27,METRICS!#REF!,METRICS!#REF!,0,0))</f>
        <v>#NAME?</v>
      </c>
      <c r="O27" s="238" t="e">
        <f t="array" aca="1" ref="O27" ca="1">$C27*(1+_xludf.XLOOKUP($U27,METRICS!#REF!,METRICS!#REF!,0,0))</f>
        <v>#NAME?</v>
      </c>
      <c r="P27" s="238" t="e">
        <f t="array" aca="1" ref="P27" ca="1">$C27*(1+_xludf.XLOOKUP($U27,METRICS!#REF!,METRICS!#REF!,0,0))</f>
        <v>#NAME?</v>
      </c>
      <c r="Q27" s="238" t="e">
        <f t="array" aca="1" ref="Q27" ca="1">$C27*(1+_xludf.XLOOKUP($U27,METRICS!#REF!,METRICS!#REF!,0,0))</f>
        <v>#NAME?</v>
      </c>
      <c r="R27" s="241">
        <v>44150</v>
      </c>
      <c r="S27" s="241" t="s">
        <v>302</v>
      </c>
      <c r="T27" s="242" t="s">
        <v>298</v>
      </c>
      <c r="U27" s="239" t="s">
        <v>299</v>
      </c>
    </row>
    <row r="28" spans="1:21" ht="12" customHeight="1">
      <c r="A28" s="236" t="s">
        <v>342</v>
      </c>
      <c r="B28" s="237" t="s">
        <v>343</v>
      </c>
      <c r="C28" s="238">
        <v>483.46</v>
      </c>
      <c r="D28" s="239" t="s">
        <v>208</v>
      </c>
      <c r="E28" s="240" t="s">
        <v>161</v>
      </c>
      <c r="F28" s="238" t="e">
        <f t="array" aca="1" ref="F28" ca="1">$C28*(1+_xludf.XLOOKUP($U28,METRICS!#REF!,METRICS!#REF!,0,0))</f>
        <v>#NAME?</v>
      </c>
      <c r="G28" s="238" t="e">
        <f t="array" aca="1" ref="G28" ca="1">$C28*(1+_xludf.XLOOKUP($U28,METRICS!#REF!,METRICS!#REF!,0,0))</f>
        <v>#NAME?</v>
      </c>
      <c r="H28" s="238" t="e">
        <f t="array" aca="1" ref="H28" ca="1">$C28*(1+_xludf.XLOOKUP($U28,METRICS!#REF!,METRICS!#REF!,0,0))</f>
        <v>#NAME?</v>
      </c>
      <c r="I28" s="238" t="e">
        <f t="array" aca="1" ref="I28" ca="1">$C28*(1+_xludf.XLOOKUP($U28,METRICS!#REF!,METRICS!#REF!,0,0))</f>
        <v>#NAME?</v>
      </c>
      <c r="J28" s="238" t="e">
        <f t="array" aca="1" ref="J28" ca="1">$C28*(1+_xludf.XLOOKUP($U28,METRICS!#REF!,METRICS!#REF!,0,0))</f>
        <v>#NAME?</v>
      </c>
      <c r="K28" s="238" t="e">
        <f t="array" aca="1" ref="K28" ca="1">$C28*(1+_xludf.XLOOKUP($U28,METRICS!#REF!,METRICS!#REF!,0,0))</f>
        <v>#NAME?</v>
      </c>
      <c r="L28" s="238" t="e">
        <f t="array" aca="1" ref="L28" ca="1">$C28*(1+_xludf.XLOOKUP($U28,METRICS!#REF!,METRICS!#REF!,0,0))</f>
        <v>#NAME?</v>
      </c>
      <c r="M28" s="238" t="e">
        <f t="array" aca="1" ref="M28" ca="1">$C28*(1+_xludf.XLOOKUP($U28,METRICS!#REF!,METRICS!#REF!,0,0))</f>
        <v>#NAME?</v>
      </c>
      <c r="N28" s="238" t="e">
        <f t="array" aca="1" ref="N28" ca="1">$C28*(1+_xludf.XLOOKUP($U28,METRICS!#REF!,METRICS!#REF!,0,0))</f>
        <v>#NAME?</v>
      </c>
      <c r="O28" s="238" t="e">
        <f t="array" aca="1" ref="O28" ca="1">$C28*(1+_xludf.XLOOKUP($U28,METRICS!#REF!,METRICS!#REF!,0,0))</f>
        <v>#NAME?</v>
      </c>
      <c r="P28" s="238" t="e">
        <f t="array" aca="1" ref="P28" ca="1">$C28*(1+_xludf.XLOOKUP($U28,METRICS!#REF!,METRICS!#REF!,0,0))</f>
        <v>#NAME?</v>
      </c>
      <c r="Q28" s="238" t="e">
        <f t="array" aca="1" ref="Q28" ca="1">$C28*(1+_xludf.XLOOKUP($U28,METRICS!#REF!,METRICS!#REF!,0,0))</f>
        <v>#NAME?</v>
      </c>
      <c r="R28" s="241">
        <v>44151</v>
      </c>
      <c r="S28" s="241" t="s">
        <v>302</v>
      </c>
      <c r="T28" s="242" t="s">
        <v>298</v>
      </c>
      <c r="U28" s="239" t="s">
        <v>299</v>
      </c>
    </row>
    <row r="29" spans="1:21" ht="12" customHeight="1">
      <c r="A29" s="236" t="s">
        <v>344</v>
      </c>
      <c r="B29" s="237" t="s">
        <v>345</v>
      </c>
      <c r="C29" s="238">
        <v>670</v>
      </c>
      <c r="D29" s="239" t="s">
        <v>232</v>
      </c>
      <c r="E29" s="240" t="s">
        <v>230</v>
      </c>
      <c r="F29" s="238" t="e">
        <f t="array" aca="1" ref="F29" ca="1">$C29*(1+_xludf.XLOOKUP($U29,METRICS!#REF!,METRICS!#REF!,0,0))</f>
        <v>#NAME?</v>
      </c>
      <c r="G29" s="238" t="e">
        <f t="array" aca="1" ref="G29" ca="1">$C29*(1+_xludf.XLOOKUP($U29,METRICS!#REF!,METRICS!#REF!,0,0))</f>
        <v>#NAME?</v>
      </c>
      <c r="H29" s="238" t="e">
        <f t="array" aca="1" ref="H29" ca="1">$C29*(1+_xludf.XLOOKUP($U29,METRICS!#REF!,METRICS!#REF!,0,0))</f>
        <v>#NAME?</v>
      </c>
      <c r="I29" s="238" t="e">
        <f t="array" aca="1" ref="I29" ca="1">$C29*(1+_xludf.XLOOKUP($U29,METRICS!#REF!,METRICS!#REF!,0,0))</f>
        <v>#NAME?</v>
      </c>
      <c r="J29" s="238" t="e">
        <f t="array" aca="1" ref="J29" ca="1">$C29*(1+_xludf.XLOOKUP($U29,METRICS!#REF!,METRICS!#REF!,0,0))</f>
        <v>#NAME?</v>
      </c>
      <c r="K29" s="238" t="e">
        <f t="array" aca="1" ref="K29" ca="1">$C29*(1+_xludf.XLOOKUP($U29,METRICS!#REF!,METRICS!#REF!,0,0))</f>
        <v>#NAME?</v>
      </c>
      <c r="L29" s="238" t="e">
        <f t="array" aca="1" ref="L29" ca="1">$C29*(1+_xludf.XLOOKUP($U29,METRICS!#REF!,METRICS!#REF!,0,0))</f>
        <v>#NAME?</v>
      </c>
      <c r="M29" s="238" t="e">
        <f t="array" aca="1" ref="M29" ca="1">$C29*(1+_xludf.XLOOKUP($U29,METRICS!#REF!,METRICS!#REF!,0,0))</f>
        <v>#NAME?</v>
      </c>
      <c r="N29" s="238" t="e">
        <f t="array" aca="1" ref="N29" ca="1">$C29*(1+_xludf.XLOOKUP($U29,METRICS!#REF!,METRICS!#REF!,0,0))</f>
        <v>#NAME?</v>
      </c>
      <c r="O29" s="238" t="e">
        <f t="array" aca="1" ref="O29" ca="1">$C29*(1+_xludf.XLOOKUP($U29,METRICS!#REF!,METRICS!#REF!,0,0))</f>
        <v>#NAME?</v>
      </c>
      <c r="P29" s="238" t="e">
        <f t="array" aca="1" ref="P29" ca="1">$C29*(1+_xludf.XLOOKUP($U29,METRICS!#REF!,METRICS!#REF!,0,0))</f>
        <v>#NAME?</v>
      </c>
      <c r="Q29" s="238" t="e">
        <f t="array" aca="1" ref="Q29" ca="1">$C29*(1+_xludf.XLOOKUP($U29,METRICS!#REF!,METRICS!#REF!,0,0))</f>
        <v>#NAME?</v>
      </c>
      <c r="R29" s="241">
        <v>44152</v>
      </c>
      <c r="S29" s="241" t="s">
        <v>302</v>
      </c>
      <c r="T29" s="242" t="s">
        <v>298</v>
      </c>
      <c r="U29" s="239" t="s">
        <v>299</v>
      </c>
    </row>
    <row r="30" spans="1:21" ht="12" customHeight="1">
      <c r="A30" s="236" t="s">
        <v>346</v>
      </c>
      <c r="B30" s="237" t="s">
        <v>347</v>
      </c>
      <c r="C30" s="238">
        <v>1300</v>
      </c>
      <c r="D30" s="239" t="s">
        <v>220</v>
      </c>
      <c r="E30" s="240" t="s">
        <v>209</v>
      </c>
      <c r="F30" s="238" t="e">
        <f t="array" aca="1" ref="F30" ca="1">$C30*(1+_xludf.XLOOKUP($U30,METRICS!#REF!,METRICS!#REF!,0,0))</f>
        <v>#NAME?</v>
      </c>
      <c r="G30" s="238" t="e">
        <f t="array" aca="1" ref="G30" ca="1">$C30*(1+_xludf.XLOOKUP($U30,METRICS!#REF!,METRICS!#REF!,0,0))</f>
        <v>#NAME?</v>
      </c>
      <c r="H30" s="238" t="e">
        <f t="array" aca="1" ref="H30" ca="1">$C30*(1+_xludf.XLOOKUP($U30,METRICS!#REF!,METRICS!#REF!,0,0))</f>
        <v>#NAME?</v>
      </c>
      <c r="I30" s="238" t="e">
        <f t="array" aca="1" ref="I30" ca="1">$C30*(1+_xludf.XLOOKUP($U30,METRICS!#REF!,METRICS!#REF!,0,0))</f>
        <v>#NAME?</v>
      </c>
      <c r="J30" s="238" t="e">
        <f t="array" aca="1" ref="J30" ca="1">$C30*(1+_xludf.XLOOKUP($U30,METRICS!#REF!,METRICS!#REF!,0,0))</f>
        <v>#NAME?</v>
      </c>
      <c r="K30" s="238" t="e">
        <f t="array" aca="1" ref="K30" ca="1">$C30*(1+_xludf.XLOOKUP($U30,METRICS!#REF!,METRICS!#REF!,0,0))</f>
        <v>#NAME?</v>
      </c>
      <c r="L30" s="238" t="e">
        <f t="array" aca="1" ref="L30" ca="1">$C30*(1+_xludf.XLOOKUP($U30,METRICS!#REF!,METRICS!#REF!,0,0))</f>
        <v>#NAME?</v>
      </c>
      <c r="M30" s="238" t="e">
        <f t="array" aca="1" ref="M30" ca="1">$C30*(1+_xludf.XLOOKUP($U30,METRICS!#REF!,METRICS!#REF!,0,0))</f>
        <v>#NAME?</v>
      </c>
      <c r="N30" s="238" t="e">
        <f t="array" aca="1" ref="N30" ca="1">$C30*(1+_xludf.XLOOKUP($U30,METRICS!#REF!,METRICS!#REF!,0,0))</f>
        <v>#NAME?</v>
      </c>
      <c r="O30" s="238" t="e">
        <f t="array" aca="1" ref="O30" ca="1">$C30*(1+_xludf.XLOOKUP($U30,METRICS!#REF!,METRICS!#REF!,0,0))</f>
        <v>#NAME?</v>
      </c>
      <c r="P30" s="238" t="e">
        <f t="array" aca="1" ref="P30" ca="1">$C30*(1+_xludf.XLOOKUP($U30,METRICS!#REF!,METRICS!#REF!,0,0))</f>
        <v>#NAME?</v>
      </c>
      <c r="Q30" s="238" t="e">
        <f t="array" aca="1" ref="Q30" ca="1">$C30*(1+_xludf.XLOOKUP($U30,METRICS!#REF!,METRICS!#REF!,0,0))</f>
        <v>#NAME?</v>
      </c>
      <c r="R30" s="241">
        <v>44153</v>
      </c>
      <c r="S30" s="241" t="s">
        <v>302</v>
      </c>
      <c r="T30" s="242" t="s">
        <v>298</v>
      </c>
      <c r="U30" s="239" t="s">
        <v>299</v>
      </c>
    </row>
    <row r="31" spans="1:21" ht="12" customHeight="1">
      <c r="A31" s="236" t="s">
        <v>348</v>
      </c>
      <c r="B31" s="237" t="s">
        <v>349</v>
      </c>
      <c r="C31" s="238">
        <v>2563.19</v>
      </c>
      <c r="D31" s="239" t="s">
        <v>222</v>
      </c>
      <c r="E31" s="240" t="s">
        <v>209</v>
      </c>
      <c r="F31" s="238" t="e">
        <f t="array" aca="1" ref="F31" ca="1">$C31*(1+_xludf.XLOOKUP($U31,METRICS!#REF!,METRICS!#REF!,0,0))</f>
        <v>#NAME?</v>
      </c>
      <c r="G31" s="238" t="e">
        <f t="array" aca="1" ref="G31" ca="1">$C31*(1+_xludf.XLOOKUP($U31,METRICS!#REF!,METRICS!#REF!,0,0))</f>
        <v>#NAME?</v>
      </c>
      <c r="H31" s="238" t="e">
        <f t="array" aca="1" ref="H31" ca="1">$C31*(1+_xludf.XLOOKUP($U31,METRICS!#REF!,METRICS!#REF!,0,0))</f>
        <v>#NAME?</v>
      </c>
      <c r="I31" s="238" t="e">
        <f t="array" aca="1" ref="I31" ca="1">$C31*(1+_xludf.XLOOKUP($U31,METRICS!#REF!,METRICS!#REF!,0,0))</f>
        <v>#NAME?</v>
      </c>
      <c r="J31" s="238" t="e">
        <f t="array" aca="1" ref="J31" ca="1">$C31*(1+_xludf.XLOOKUP($U31,METRICS!#REF!,METRICS!#REF!,0,0))</f>
        <v>#NAME?</v>
      </c>
      <c r="K31" s="238" t="e">
        <f t="array" aca="1" ref="K31" ca="1">$C31*(1+_xludf.XLOOKUP($U31,METRICS!#REF!,METRICS!#REF!,0,0))</f>
        <v>#NAME?</v>
      </c>
      <c r="L31" s="238" t="e">
        <f t="array" aca="1" ref="L31" ca="1">$C31*(1+_xludf.XLOOKUP($U31,METRICS!#REF!,METRICS!#REF!,0,0))</f>
        <v>#NAME?</v>
      </c>
      <c r="M31" s="238" t="e">
        <f t="array" aca="1" ref="M31" ca="1">$C31*(1+_xludf.XLOOKUP($U31,METRICS!#REF!,METRICS!#REF!,0,0))</f>
        <v>#NAME?</v>
      </c>
      <c r="N31" s="238" t="e">
        <f t="array" aca="1" ref="N31" ca="1">$C31*(1+_xludf.XLOOKUP($U31,METRICS!#REF!,METRICS!#REF!,0,0))</f>
        <v>#NAME?</v>
      </c>
      <c r="O31" s="238" t="e">
        <f t="array" aca="1" ref="O31" ca="1">$C31*(1+_xludf.XLOOKUP($U31,METRICS!#REF!,METRICS!#REF!,0,0))</f>
        <v>#NAME?</v>
      </c>
      <c r="P31" s="238" t="e">
        <f t="array" aca="1" ref="P31" ca="1">$C31*(1+_xludf.XLOOKUP($U31,METRICS!#REF!,METRICS!#REF!,0,0))</f>
        <v>#NAME?</v>
      </c>
      <c r="Q31" s="238" t="e">
        <f t="array" aca="1" ref="Q31" ca="1">$C31*(1+_xludf.XLOOKUP($U31,METRICS!#REF!,METRICS!#REF!,0,0))</f>
        <v>#NAME?</v>
      </c>
      <c r="R31" s="241">
        <v>44154</v>
      </c>
      <c r="S31" s="241" t="s">
        <v>302</v>
      </c>
      <c r="T31" s="242" t="s">
        <v>298</v>
      </c>
      <c r="U31" s="239" t="s">
        <v>299</v>
      </c>
    </row>
    <row r="32" spans="1:21" ht="12" customHeight="1">
      <c r="A32" s="236" t="s">
        <v>350</v>
      </c>
      <c r="B32" s="237" t="s">
        <v>351</v>
      </c>
      <c r="C32" s="238">
        <v>150</v>
      </c>
      <c r="D32" s="239" t="s">
        <v>220</v>
      </c>
      <c r="E32" s="240" t="s">
        <v>209</v>
      </c>
      <c r="F32" s="238" t="e">
        <f t="array" aca="1" ref="F32" ca="1">$C32*(1+_xludf.XLOOKUP($U32,METRICS!#REF!,METRICS!#REF!,0,0))</f>
        <v>#NAME?</v>
      </c>
      <c r="G32" s="238" t="e">
        <f t="array" aca="1" ref="G32" ca="1">$C32*(1+_xludf.XLOOKUP($U32,METRICS!#REF!,METRICS!#REF!,0,0))</f>
        <v>#NAME?</v>
      </c>
      <c r="H32" s="238" t="e">
        <f t="array" aca="1" ref="H32" ca="1">$C32*(1+_xludf.XLOOKUP($U32,METRICS!#REF!,METRICS!#REF!,0,0))</f>
        <v>#NAME?</v>
      </c>
      <c r="I32" s="238" t="e">
        <f t="array" aca="1" ref="I32" ca="1">$C32*(1+_xludf.XLOOKUP($U32,METRICS!#REF!,METRICS!#REF!,0,0))</f>
        <v>#NAME?</v>
      </c>
      <c r="J32" s="238" t="e">
        <f t="array" aca="1" ref="J32" ca="1">$C32*(1+_xludf.XLOOKUP($U32,METRICS!#REF!,METRICS!#REF!,0,0))</f>
        <v>#NAME?</v>
      </c>
      <c r="K32" s="238" t="e">
        <f t="array" aca="1" ref="K32" ca="1">$C32*(1+_xludf.XLOOKUP($U32,METRICS!#REF!,METRICS!#REF!,0,0))</f>
        <v>#NAME?</v>
      </c>
      <c r="L32" s="238" t="e">
        <f t="array" aca="1" ref="L32" ca="1">$C32*(1+_xludf.XLOOKUP($U32,METRICS!#REF!,METRICS!#REF!,0,0))</f>
        <v>#NAME?</v>
      </c>
      <c r="M32" s="238" t="e">
        <f t="array" aca="1" ref="M32" ca="1">$C32*(1+_xludf.XLOOKUP($U32,METRICS!#REF!,METRICS!#REF!,0,0))</f>
        <v>#NAME?</v>
      </c>
      <c r="N32" s="238" t="e">
        <f t="array" aca="1" ref="N32" ca="1">$C32*(1+_xludf.XLOOKUP($U32,METRICS!#REF!,METRICS!#REF!,0,0))</f>
        <v>#NAME?</v>
      </c>
      <c r="O32" s="238" t="e">
        <f t="array" aca="1" ref="O32" ca="1">$C32*(1+_xludf.XLOOKUP($U32,METRICS!#REF!,METRICS!#REF!,0,0))</f>
        <v>#NAME?</v>
      </c>
      <c r="P32" s="238" t="e">
        <f t="array" aca="1" ref="P32" ca="1">$C32*(1+_xludf.XLOOKUP($U32,METRICS!#REF!,METRICS!#REF!,0,0))</f>
        <v>#NAME?</v>
      </c>
      <c r="Q32" s="238" t="e">
        <f t="array" aca="1" ref="Q32" ca="1">$C32*(1+_xludf.XLOOKUP($U32,METRICS!#REF!,METRICS!#REF!,0,0))</f>
        <v>#NAME?</v>
      </c>
      <c r="R32" s="241">
        <v>44155</v>
      </c>
      <c r="S32" s="241" t="s">
        <v>302</v>
      </c>
      <c r="T32" s="242" t="s">
        <v>298</v>
      </c>
      <c r="U32" s="239" t="s">
        <v>299</v>
      </c>
    </row>
    <row r="33" spans="1:21" ht="12" customHeight="1">
      <c r="A33" s="236" t="s">
        <v>352</v>
      </c>
      <c r="B33" s="237" t="s">
        <v>353</v>
      </c>
      <c r="C33" s="238">
        <v>1200</v>
      </c>
      <c r="D33" s="239" t="s">
        <v>224</v>
      </c>
      <c r="E33" s="240" t="s">
        <v>209</v>
      </c>
      <c r="F33" s="238" t="e">
        <f t="array" aca="1" ref="F33" ca="1">$C33*(1+_xludf.XLOOKUP($U33,METRICS!#REF!,METRICS!#REF!,0,0))</f>
        <v>#NAME?</v>
      </c>
      <c r="G33" s="238" t="e">
        <f t="array" aca="1" ref="G33" ca="1">$C33*(1+_xludf.XLOOKUP($U33,METRICS!#REF!,METRICS!#REF!,0,0))</f>
        <v>#NAME?</v>
      </c>
      <c r="H33" s="238" t="e">
        <f t="array" aca="1" ref="H33" ca="1">$C33*(1+_xludf.XLOOKUP($U33,METRICS!#REF!,METRICS!#REF!,0,0))</f>
        <v>#NAME?</v>
      </c>
      <c r="I33" s="238" t="e">
        <f t="array" aca="1" ref="I33" ca="1">$C33*(1+_xludf.XLOOKUP($U33,METRICS!#REF!,METRICS!#REF!,0,0))</f>
        <v>#NAME?</v>
      </c>
      <c r="J33" s="238" t="e">
        <f t="array" aca="1" ref="J33" ca="1">$C33*(1+_xludf.XLOOKUP($U33,METRICS!#REF!,METRICS!#REF!,0,0))</f>
        <v>#NAME?</v>
      </c>
      <c r="K33" s="238" t="e">
        <f t="array" aca="1" ref="K33" ca="1">$C33*(1+_xludf.XLOOKUP($U33,METRICS!#REF!,METRICS!#REF!,0,0))</f>
        <v>#NAME?</v>
      </c>
      <c r="L33" s="238" t="e">
        <f t="array" aca="1" ref="L33" ca="1">$C33*(1+_xludf.XLOOKUP($U33,METRICS!#REF!,METRICS!#REF!,0,0))</f>
        <v>#NAME?</v>
      </c>
      <c r="M33" s="238" t="e">
        <f t="array" aca="1" ref="M33" ca="1">$C33*(1+_xludf.XLOOKUP($U33,METRICS!#REF!,METRICS!#REF!,0,0))</f>
        <v>#NAME?</v>
      </c>
      <c r="N33" s="238" t="e">
        <f t="array" aca="1" ref="N33" ca="1">$C33*(1+_xludf.XLOOKUP($U33,METRICS!#REF!,METRICS!#REF!,0,0))</f>
        <v>#NAME?</v>
      </c>
      <c r="O33" s="238" t="e">
        <f t="array" aca="1" ref="O33" ca="1">$C33*(1+_xludf.XLOOKUP($U33,METRICS!#REF!,METRICS!#REF!,0,0))</f>
        <v>#NAME?</v>
      </c>
      <c r="P33" s="238" t="e">
        <f t="array" aca="1" ref="P33" ca="1">$C33*(1+_xludf.XLOOKUP($U33,METRICS!#REF!,METRICS!#REF!,0,0))</f>
        <v>#NAME?</v>
      </c>
      <c r="Q33" s="238" t="e">
        <f t="array" aca="1" ref="Q33" ca="1">$C33*(1+_xludf.XLOOKUP($U33,METRICS!#REF!,METRICS!#REF!,0,0))</f>
        <v>#NAME?</v>
      </c>
      <c r="R33" s="241">
        <v>44156</v>
      </c>
      <c r="S33" s="241" t="s">
        <v>302</v>
      </c>
      <c r="T33" s="242" t="s">
        <v>298</v>
      </c>
      <c r="U33" s="239" t="s">
        <v>299</v>
      </c>
    </row>
    <row r="34" spans="1:21" ht="12" customHeight="1">
      <c r="A34" s="236" t="s">
        <v>354</v>
      </c>
      <c r="B34" s="237" t="s">
        <v>355</v>
      </c>
      <c r="C34" s="238">
        <v>185</v>
      </c>
      <c r="D34" s="239" t="s">
        <v>228</v>
      </c>
      <c r="E34" s="240" t="s">
        <v>101</v>
      </c>
      <c r="F34" s="238" t="e">
        <f t="array" aca="1" ref="F34" ca="1">$C34*(1+_xludf.XLOOKUP($U34,METRICS!#REF!,METRICS!#REF!,0,0))</f>
        <v>#NAME?</v>
      </c>
      <c r="G34" s="238" t="e">
        <f t="array" aca="1" ref="G34" ca="1">$C34*(1+_xludf.XLOOKUP($U34,METRICS!#REF!,METRICS!#REF!,0,0))</f>
        <v>#NAME?</v>
      </c>
      <c r="H34" s="238" t="e">
        <f t="array" aca="1" ref="H34" ca="1">$C34*(1+_xludf.XLOOKUP($U34,METRICS!#REF!,METRICS!#REF!,0,0))</f>
        <v>#NAME?</v>
      </c>
      <c r="I34" s="238" t="e">
        <f t="array" aca="1" ref="I34" ca="1">$C34*(1+_xludf.XLOOKUP($U34,METRICS!#REF!,METRICS!#REF!,0,0))</f>
        <v>#NAME?</v>
      </c>
      <c r="J34" s="238" t="e">
        <f t="array" aca="1" ref="J34" ca="1">$C34*(1+_xludf.XLOOKUP($U34,METRICS!#REF!,METRICS!#REF!,0,0))</f>
        <v>#NAME?</v>
      </c>
      <c r="K34" s="238" t="e">
        <f t="array" aca="1" ref="K34" ca="1">$C34*(1+_xludf.XLOOKUP($U34,METRICS!#REF!,METRICS!#REF!,0,0))</f>
        <v>#NAME?</v>
      </c>
      <c r="L34" s="238" t="e">
        <f t="array" aca="1" ref="L34" ca="1">$C34*(1+_xludf.XLOOKUP($U34,METRICS!#REF!,METRICS!#REF!,0,0))</f>
        <v>#NAME?</v>
      </c>
      <c r="M34" s="238" t="e">
        <f t="array" aca="1" ref="M34" ca="1">$C34*(1+_xludf.XLOOKUP($U34,METRICS!#REF!,METRICS!#REF!,0,0))</f>
        <v>#NAME?</v>
      </c>
      <c r="N34" s="238" t="e">
        <f t="array" aca="1" ref="N34" ca="1">$C34*(1+_xludf.XLOOKUP($U34,METRICS!#REF!,METRICS!#REF!,0,0))</f>
        <v>#NAME?</v>
      </c>
      <c r="O34" s="238" t="e">
        <f t="array" aca="1" ref="O34" ca="1">$C34*(1+_xludf.XLOOKUP($U34,METRICS!#REF!,METRICS!#REF!,0,0))</f>
        <v>#NAME?</v>
      </c>
      <c r="P34" s="238" t="e">
        <f t="array" aca="1" ref="P34" ca="1">$C34*(1+_xludf.XLOOKUP($U34,METRICS!#REF!,METRICS!#REF!,0,0))</f>
        <v>#NAME?</v>
      </c>
      <c r="Q34" s="238" t="e">
        <f t="array" aca="1" ref="Q34" ca="1">$C34*(1+_xludf.XLOOKUP($U34,METRICS!#REF!,METRICS!#REF!,0,0))</f>
        <v>#NAME?</v>
      </c>
      <c r="R34" s="241">
        <v>44157</v>
      </c>
      <c r="S34" s="241" t="s">
        <v>302</v>
      </c>
      <c r="T34" s="242" t="s">
        <v>298</v>
      </c>
      <c r="U34" s="239" t="s">
        <v>299</v>
      </c>
    </row>
    <row r="35" spans="1:21" ht="12" customHeight="1">
      <c r="A35" s="236" t="s">
        <v>356</v>
      </c>
      <c r="B35" s="237" t="s">
        <v>357</v>
      </c>
      <c r="C35" s="238">
        <v>250</v>
      </c>
      <c r="D35" s="239" t="s">
        <v>165</v>
      </c>
      <c r="E35" s="240" t="s">
        <v>161</v>
      </c>
      <c r="F35" s="238" t="e">
        <f t="array" aca="1" ref="F35" ca="1">$C35*(1+_xludf.XLOOKUP($U35,METRICS!#REF!,METRICS!#REF!,0,0))</f>
        <v>#NAME?</v>
      </c>
      <c r="G35" s="238" t="e">
        <f t="array" aca="1" ref="G35" ca="1">$C35*(1+_xludf.XLOOKUP($U35,METRICS!#REF!,METRICS!#REF!,0,0))</f>
        <v>#NAME?</v>
      </c>
      <c r="H35" s="238" t="e">
        <f t="array" aca="1" ref="H35" ca="1">$C35*(1+_xludf.XLOOKUP($U35,METRICS!#REF!,METRICS!#REF!,0,0))</f>
        <v>#NAME?</v>
      </c>
      <c r="I35" s="238" t="e">
        <f t="array" aca="1" ref="I35" ca="1">$C35*(1+_xludf.XLOOKUP($U35,METRICS!#REF!,METRICS!#REF!,0,0))</f>
        <v>#NAME?</v>
      </c>
      <c r="J35" s="238" t="e">
        <f t="array" aca="1" ref="J35" ca="1">$C35*(1+_xludf.XLOOKUP($U35,METRICS!#REF!,METRICS!#REF!,0,0))</f>
        <v>#NAME?</v>
      </c>
      <c r="K35" s="238" t="e">
        <f t="array" aca="1" ref="K35" ca="1">$C35*(1+_xludf.XLOOKUP($U35,METRICS!#REF!,METRICS!#REF!,0,0))</f>
        <v>#NAME?</v>
      </c>
      <c r="L35" s="238" t="e">
        <f t="array" aca="1" ref="L35" ca="1">$C35*(1+_xludf.XLOOKUP($U35,METRICS!#REF!,METRICS!#REF!,0,0))</f>
        <v>#NAME?</v>
      </c>
      <c r="M35" s="238" t="e">
        <f t="array" aca="1" ref="M35" ca="1">$C35*(1+_xludf.XLOOKUP($U35,METRICS!#REF!,METRICS!#REF!,0,0))</f>
        <v>#NAME?</v>
      </c>
      <c r="N35" s="238" t="e">
        <f t="array" aca="1" ref="N35" ca="1">$C35*(1+_xludf.XLOOKUP($U35,METRICS!#REF!,METRICS!#REF!,0,0))</f>
        <v>#NAME?</v>
      </c>
      <c r="O35" s="238" t="e">
        <f t="array" aca="1" ref="O35" ca="1">$C35*(1+_xludf.XLOOKUP($U35,METRICS!#REF!,METRICS!#REF!,0,0))</f>
        <v>#NAME?</v>
      </c>
      <c r="P35" s="238" t="e">
        <f t="array" aca="1" ref="P35" ca="1">$C35*(1+_xludf.XLOOKUP($U35,METRICS!#REF!,METRICS!#REF!,0,0))</f>
        <v>#NAME?</v>
      </c>
      <c r="Q35" s="238" t="e">
        <f t="array" aca="1" ref="Q35" ca="1">$C35*(1+_xludf.XLOOKUP($U35,METRICS!#REF!,METRICS!#REF!,0,0))</f>
        <v>#NAME?</v>
      </c>
      <c r="R35" s="241">
        <v>44158</v>
      </c>
      <c r="S35" s="241" t="s">
        <v>302</v>
      </c>
      <c r="T35" s="242" t="s">
        <v>298</v>
      </c>
      <c r="U35" s="239" t="s">
        <v>299</v>
      </c>
    </row>
    <row r="36" spans="1:21" ht="12" customHeight="1">
      <c r="A36" s="236" t="s">
        <v>358</v>
      </c>
      <c r="B36" s="237" t="s">
        <v>359</v>
      </c>
      <c r="C36" s="238">
        <v>1500</v>
      </c>
      <c r="D36" s="239" t="s">
        <v>226</v>
      </c>
      <c r="E36" s="240" t="s">
        <v>209</v>
      </c>
      <c r="F36" s="238" t="e">
        <f t="array" aca="1" ref="F36" ca="1">$C36*(1+_xludf.XLOOKUP($U36,METRICS!#REF!,METRICS!#REF!,0,0))</f>
        <v>#NAME?</v>
      </c>
      <c r="G36" s="238" t="e">
        <f t="array" aca="1" ref="G36" ca="1">$C36*(1+_xludf.XLOOKUP($U36,METRICS!#REF!,METRICS!#REF!,0,0))</f>
        <v>#NAME?</v>
      </c>
      <c r="H36" s="238" t="e">
        <f t="array" aca="1" ref="H36" ca="1">$C36*(1+_xludf.XLOOKUP($U36,METRICS!#REF!,METRICS!#REF!,0,0))</f>
        <v>#NAME?</v>
      </c>
      <c r="I36" s="238" t="e">
        <f t="array" aca="1" ref="I36" ca="1">$C36*(1+_xludf.XLOOKUP($U36,METRICS!#REF!,METRICS!#REF!,0,0))</f>
        <v>#NAME?</v>
      </c>
      <c r="J36" s="238" t="e">
        <f t="array" aca="1" ref="J36" ca="1">$C36*(1+_xludf.XLOOKUP($U36,METRICS!#REF!,METRICS!#REF!,0,0))</f>
        <v>#NAME?</v>
      </c>
      <c r="K36" s="238" t="e">
        <f t="array" aca="1" ref="K36" ca="1">$C36*(1+_xludf.XLOOKUP($U36,METRICS!#REF!,METRICS!#REF!,0,0))</f>
        <v>#NAME?</v>
      </c>
      <c r="L36" s="238" t="e">
        <f t="array" aca="1" ref="L36" ca="1">$C36*(1+_xludf.XLOOKUP($U36,METRICS!#REF!,METRICS!#REF!,0,0))</f>
        <v>#NAME?</v>
      </c>
      <c r="M36" s="238" t="e">
        <f t="array" aca="1" ref="M36" ca="1">$C36*(1+_xludf.XLOOKUP($U36,METRICS!#REF!,METRICS!#REF!,0,0))</f>
        <v>#NAME?</v>
      </c>
      <c r="N36" s="238" t="e">
        <f t="array" aca="1" ref="N36" ca="1">$C36*(1+_xludf.XLOOKUP($U36,METRICS!#REF!,METRICS!#REF!,0,0))</f>
        <v>#NAME?</v>
      </c>
      <c r="O36" s="238" t="e">
        <f t="array" aca="1" ref="O36" ca="1">$C36*(1+_xludf.XLOOKUP($U36,METRICS!#REF!,METRICS!#REF!,0,0))</f>
        <v>#NAME?</v>
      </c>
      <c r="P36" s="238" t="e">
        <f t="array" aca="1" ref="P36" ca="1">$C36*(1+_xludf.XLOOKUP($U36,METRICS!#REF!,METRICS!#REF!,0,0))</f>
        <v>#NAME?</v>
      </c>
      <c r="Q36" s="238" t="e">
        <f t="array" aca="1" ref="Q36" ca="1">$C36*(1+_xludf.XLOOKUP($U36,METRICS!#REF!,METRICS!#REF!,0,0))</f>
        <v>#NAME?</v>
      </c>
      <c r="R36" s="241">
        <v>44159</v>
      </c>
      <c r="S36" s="241" t="s">
        <v>302</v>
      </c>
      <c r="T36" s="242" t="s">
        <v>298</v>
      </c>
      <c r="U36" s="239" t="s">
        <v>299</v>
      </c>
    </row>
    <row r="37" spans="1:21" ht="12" customHeight="1">
      <c r="A37" s="236" t="s">
        <v>360</v>
      </c>
      <c r="B37" s="237" t="s">
        <v>361</v>
      </c>
      <c r="C37" s="238">
        <v>120</v>
      </c>
      <c r="D37" s="239" t="s">
        <v>224</v>
      </c>
      <c r="E37" s="240" t="s">
        <v>209</v>
      </c>
      <c r="F37" s="238" t="e">
        <f t="array" aca="1" ref="F37" ca="1">$C37*(1+_xludf.XLOOKUP($U37,METRICS!#REF!,METRICS!#REF!,0,0))</f>
        <v>#NAME?</v>
      </c>
      <c r="G37" s="238" t="e">
        <f t="array" aca="1" ref="G37" ca="1">$C37*(1+_xludf.XLOOKUP($U37,METRICS!#REF!,METRICS!#REF!,0,0))</f>
        <v>#NAME?</v>
      </c>
      <c r="H37" s="238" t="e">
        <f t="array" aca="1" ref="H37" ca="1">$C37*(1+_xludf.XLOOKUP($U37,METRICS!#REF!,METRICS!#REF!,0,0))</f>
        <v>#NAME?</v>
      </c>
      <c r="I37" s="238" t="e">
        <f t="array" aca="1" ref="I37" ca="1">$C37*(1+_xludf.XLOOKUP($U37,METRICS!#REF!,METRICS!#REF!,0,0))</f>
        <v>#NAME?</v>
      </c>
      <c r="J37" s="238" t="e">
        <f t="array" aca="1" ref="J37" ca="1">$C37*(1+_xludf.XLOOKUP($U37,METRICS!#REF!,METRICS!#REF!,0,0))</f>
        <v>#NAME?</v>
      </c>
      <c r="K37" s="238" t="e">
        <f t="array" aca="1" ref="K37" ca="1">$C37*(1+_xludf.XLOOKUP($U37,METRICS!#REF!,METRICS!#REF!,0,0))</f>
        <v>#NAME?</v>
      </c>
      <c r="L37" s="238" t="e">
        <f t="array" aca="1" ref="L37" ca="1">$C37*(1+_xludf.XLOOKUP($U37,METRICS!#REF!,METRICS!#REF!,0,0))</f>
        <v>#NAME?</v>
      </c>
      <c r="M37" s="238" t="e">
        <f t="array" aca="1" ref="M37" ca="1">$C37*(1+_xludf.XLOOKUP($U37,METRICS!#REF!,METRICS!#REF!,0,0))</f>
        <v>#NAME?</v>
      </c>
      <c r="N37" s="238" t="e">
        <f t="array" aca="1" ref="N37" ca="1">$C37*(1+_xludf.XLOOKUP($U37,METRICS!#REF!,METRICS!#REF!,0,0))</f>
        <v>#NAME?</v>
      </c>
      <c r="O37" s="238" t="e">
        <f t="array" aca="1" ref="O37" ca="1">$C37*(1+_xludf.XLOOKUP($U37,METRICS!#REF!,METRICS!#REF!,0,0))</f>
        <v>#NAME?</v>
      </c>
      <c r="P37" s="238" t="e">
        <f t="array" aca="1" ref="P37" ca="1">$C37*(1+_xludf.XLOOKUP($U37,METRICS!#REF!,METRICS!#REF!,0,0))</f>
        <v>#NAME?</v>
      </c>
      <c r="Q37" s="238" t="e">
        <f t="array" aca="1" ref="Q37" ca="1">$C37*(1+_xludf.XLOOKUP($U37,METRICS!#REF!,METRICS!#REF!,0,0))</f>
        <v>#NAME?</v>
      </c>
      <c r="R37" s="241">
        <v>44160</v>
      </c>
      <c r="S37" s="241" t="s">
        <v>302</v>
      </c>
      <c r="T37" s="242" t="s">
        <v>298</v>
      </c>
      <c r="U37" s="239" t="s">
        <v>299</v>
      </c>
    </row>
    <row r="38" spans="1:21" ht="12" customHeight="1">
      <c r="A38" s="236" t="s">
        <v>362</v>
      </c>
      <c r="B38" s="237" t="s">
        <v>363</v>
      </c>
      <c r="C38" s="238">
        <v>500</v>
      </c>
      <c r="D38" s="239" t="s">
        <v>206</v>
      </c>
      <c r="E38" s="240" t="s">
        <v>161</v>
      </c>
      <c r="F38" s="238" t="e">
        <f t="array" aca="1" ref="F38" ca="1">$C38*(1+_xludf.XLOOKUP($U38,METRICS!#REF!,METRICS!#REF!,0,0))</f>
        <v>#NAME?</v>
      </c>
      <c r="G38" s="238" t="e">
        <f t="array" aca="1" ref="G38" ca="1">$C38*(1+_xludf.XLOOKUP($U38,METRICS!#REF!,METRICS!#REF!,0,0))</f>
        <v>#NAME?</v>
      </c>
      <c r="H38" s="238" t="e">
        <f t="array" aca="1" ref="H38" ca="1">$C38*(1+_xludf.XLOOKUP($U38,METRICS!#REF!,METRICS!#REF!,0,0))</f>
        <v>#NAME?</v>
      </c>
      <c r="I38" s="238" t="e">
        <f t="array" aca="1" ref="I38" ca="1">$C38*(1+_xludf.XLOOKUP($U38,METRICS!#REF!,METRICS!#REF!,0,0))</f>
        <v>#NAME?</v>
      </c>
      <c r="J38" s="238" t="e">
        <f t="array" aca="1" ref="J38" ca="1">$C38*(1+_xludf.XLOOKUP($U38,METRICS!#REF!,METRICS!#REF!,0,0))</f>
        <v>#NAME?</v>
      </c>
      <c r="K38" s="238" t="e">
        <f t="array" aca="1" ref="K38" ca="1">$C38*(1+_xludf.XLOOKUP($U38,METRICS!#REF!,METRICS!#REF!,0,0))</f>
        <v>#NAME?</v>
      </c>
      <c r="L38" s="238" t="e">
        <f t="array" aca="1" ref="L38" ca="1">$C38*(1+_xludf.XLOOKUP($U38,METRICS!#REF!,METRICS!#REF!,0,0))</f>
        <v>#NAME?</v>
      </c>
      <c r="M38" s="238" t="e">
        <f t="array" aca="1" ref="M38" ca="1">$C38*(1+_xludf.XLOOKUP($U38,METRICS!#REF!,METRICS!#REF!,0,0))</f>
        <v>#NAME?</v>
      </c>
      <c r="N38" s="238" t="e">
        <f t="array" aca="1" ref="N38" ca="1">$C38*(1+_xludf.XLOOKUP($U38,METRICS!#REF!,METRICS!#REF!,0,0))</f>
        <v>#NAME?</v>
      </c>
      <c r="O38" s="238" t="e">
        <f t="array" aca="1" ref="O38" ca="1">$C38*(1+_xludf.XLOOKUP($U38,METRICS!#REF!,METRICS!#REF!,0,0))</f>
        <v>#NAME?</v>
      </c>
      <c r="P38" s="238" t="e">
        <f t="array" aca="1" ref="P38" ca="1">$C38*(1+_xludf.XLOOKUP($U38,METRICS!#REF!,METRICS!#REF!,0,0))</f>
        <v>#NAME?</v>
      </c>
      <c r="Q38" s="238" t="e">
        <f t="array" aca="1" ref="Q38" ca="1">$C38*(1+_xludf.XLOOKUP($U38,METRICS!#REF!,METRICS!#REF!,0,0))</f>
        <v>#NAME?</v>
      </c>
      <c r="R38" s="241">
        <v>44162</v>
      </c>
      <c r="S38" s="241" t="s">
        <v>302</v>
      </c>
      <c r="T38" s="242" t="s">
        <v>298</v>
      </c>
      <c r="U38" s="239" t="s">
        <v>299</v>
      </c>
    </row>
    <row r="39" spans="1:21" ht="12" customHeight="1">
      <c r="A39" s="236" t="s">
        <v>364</v>
      </c>
      <c r="B39" s="237" t="s">
        <v>365</v>
      </c>
      <c r="C39" s="238">
        <v>215</v>
      </c>
      <c r="D39" s="239" t="s">
        <v>178</v>
      </c>
      <c r="E39" s="240" t="s">
        <v>161</v>
      </c>
      <c r="F39" s="238" t="e">
        <f t="array" aca="1" ref="F39" ca="1">$C39*(1+_xludf.XLOOKUP($U39,METRICS!#REF!,METRICS!#REF!,0,0))</f>
        <v>#NAME?</v>
      </c>
      <c r="G39" s="238" t="e">
        <f t="array" aca="1" ref="G39" ca="1">$C39*(1+_xludf.XLOOKUP($U39,METRICS!#REF!,METRICS!#REF!,0,0))</f>
        <v>#NAME?</v>
      </c>
      <c r="H39" s="238" t="e">
        <f t="array" aca="1" ref="H39" ca="1">$C39*(1+_xludf.XLOOKUP($U39,METRICS!#REF!,METRICS!#REF!,0,0))</f>
        <v>#NAME?</v>
      </c>
      <c r="I39" s="238" t="e">
        <f t="array" aca="1" ref="I39" ca="1">$C39*(1+_xludf.XLOOKUP($U39,METRICS!#REF!,METRICS!#REF!,0,0))</f>
        <v>#NAME?</v>
      </c>
      <c r="J39" s="238" t="e">
        <f t="array" aca="1" ref="J39" ca="1">$C39*(1+_xludf.XLOOKUP($U39,METRICS!#REF!,METRICS!#REF!,0,0))</f>
        <v>#NAME?</v>
      </c>
      <c r="K39" s="238" t="e">
        <f t="array" aca="1" ref="K39" ca="1">$C39*(1+_xludf.XLOOKUP($U39,METRICS!#REF!,METRICS!#REF!,0,0))</f>
        <v>#NAME?</v>
      </c>
      <c r="L39" s="238" t="e">
        <f t="array" aca="1" ref="L39" ca="1">$C39*(1+_xludf.XLOOKUP($U39,METRICS!#REF!,METRICS!#REF!,0,0))</f>
        <v>#NAME?</v>
      </c>
      <c r="M39" s="238" t="e">
        <f t="array" aca="1" ref="M39" ca="1">$C39*(1+_xludf.XLOOKUP($U39,METRICS!#REF!,METRICS!#REF!,0,0))</f>
        <v>#NAME?</v>
      </c>
      <c r="N39" s="238" t="e">
        <f t="array" aca="1" ref="N39" ca="1">$C39*(1+_xludf.XLOOKUP($U39,METRICS!#REF!,METRICS!#REF!,0,0))</f>
        <v>#NAME?</v>
      </c>
      <c r="O39" s="238" t="e">
        <f t="array" aca="1" ref="O39" ca="1">$C39*(1+_xludf.XLOOKUP($U39,METRICS!#REF!,METRICS!#REF!,0,0))</f>
        <v>#NAME?</v>
      </c>
      <c r="P39" s="238" t="e">
        <f t="array" aca="1" ref="P39" ca="1">$C39*(1+_xludf.XLOOKUP($U39,METRICS!#REF!,METRICS!#REF!,0,0))</f>
        <v>#NAME?</v>
      </c>
      <c r="Q39" s="238" t="e">
        <f t="array" aca="1" ref="Q39" ca="1">$C39*(1+_xludf.XLOOKUP($U39,METRICS!#REF!,METRICS!#REF!,0,0))</f>
        <v>#NAME?</v>
      </c>
      <c r="R39" s="241">
        <v>44163</v>
      </c>
      <c r="S39" s="241" t="s">
        <v>302</v>
      </c>
      <c r="T39" s="242" t="s">
        <v>298</v>
      </c>
      <c r="U39" s="239" t="s">
        <v>299</v>
      </c>
    </row>
    <row r="40" spans="1:21" ht="12" customHeight="1">
      <c r="A40" s="236" t="s">
        <v>366</v>
      </c>
      <c r="B40" s="237" t="s">
        <v>341</v>
      </c>
      <c r="C40" s="238">
        <v>1000</v>
      </c>
      <c r="D40" s="239" t="s">
        <v>213</v>
      </c>
      <c r="E40" s="240" t="s">
        <v>209</v>
      </c>
      <c r="F40" s="238" t="e">
        <f t="array" aca="1" ref="F40" ca="1">$C40*(1+_xludf.XLOOKUP($U40,METRICS!#REF!,METRICS!#REF!,0,0))</f>
        <v>#NAME?</v>
      </c>
      <c r="G40" s="238" t="e">
        <f t="array" aca="1" ref="G40" ca="1">$C40*(1+_xludf.XLOOKUP($U40,METRICS!#REF!,METRICS!#REF!,0,0))</f>
        <v>#NAME?</v>
      </c>
      <c r="H40" s="238" t="e">
        <f t="array" aca="1" ref="H40" ca="1">$C40*(1+_xludf.XLOOKUP($U40,METRICS!#REF!,METRICS!#REF!,0,0))</f>
        <v>#NAME?</v>
      </c>
      <c r="I40" s="238" t="e">
        <f t="array" aca="1" ref="I40" ca="1">$C40*(1+_xludf.XLOOKUP($U40,METRICS!#REF!,METRICS!#REF!,0,0))</f>
        <v>#NAME?</v>
      </c>
      <c r="J40" s="238" t="e">
        <f t="array" aca="1" ref="J40" ca="1">$C40*(1+_xludf.XLOOKUP($U40,METRICS!#REF!,METRICS!#REF!,0,0))</f>
        <v>#NAME?</v>
      </c>
      <c r="K40" s="238" t="e">
        <f t="array" aca="1" ref="K40" ca="1">$C40*(1+_xludf.XLOOKUP($U40,METRICS!#REF!,METRICS!#REF!,0,0))</f>
        <v>#NAME?</v>
      </c>
      <c r="L40" s="238" t="e">
        <f t="array" aca="1" ref="L40" ca="1">$C40*(1+_xludf.XLOOKUP($U40,METRICS!#REF!,METRICS!#REF!,0,0))</f>
        <v>#NAME?</v>
      </c>
      <c r="M40" s="238" t="e">
        <f t="array" aca="1" ref="M40" ca="1">$C40*(1+_xludf.XLOOKUP($U40,METRICS!#REF!,METRICS!#REF!,0,0))</f>
        <v>#NAME?</v>
      </c>
      <c r="N40" s="238" t="e">
        <f t="array" aca="1" ref="N40" ca="1">$C40*(1+_xludf.XLOOKUP($U40,METRICS!#REF!,METRICS!#REF!,0,0))</f>
        <v>#NAME?</v>
      </c>
      <c r="O40" s="238" t="e">
        <f t="array" aca="1" ref="O40" ca="1">$C40*(1+_xludf.XLOOKUP($U40,METRICS!#REF!,METRICS!#REF!,0,0))</f>
        <v>#NAME?</v>
      </c>
      <c r="P40" s="238" t="e">
        <f t="array" aca="1" ref="P40" ca="1">$C40*(1+_xludf.XLOOKUP($U40,METRICS!#REF!,METRICS!#REF!,0,0))</f>
        <v>#NAME?</v>
      </c>
      <c r="Q40" s="238" t="e">
        <f t="array" aca="1" ref="Q40" ca="1">$C40*(1+_xludf.XLOOKUP($U40,METRICS!#REF!,METRICS!#REF!,0,0))</f>
        <v>#NAME?</v>
      </c>
      <c r="R40" s="241">
        <v>44166</v>
      </c>
      <c r="S40" s="241" t="s">
        <v>302</v>
      </c>
      <c r="T40" s="242" t="s">
        <v>298</v>
      </c>
      <c r="U40" s="239" t="s">
        <v>299</v>
      </c>
    </row>
    <row r="41" spans="1:21" ht="12" customHeight="1">
      <c r="A41" s="236" t="s">
        <v>367</v>
      </c>
      <c r="B41" s="237" t="s">
        <v>368</v>
      </c>
      <c r="C41" s="238">
        <v>42</v>
      </c>
      <c r="D41" s="239" t="s">
        <v>232</v>
      </c>
      <c r="E41" s="240" t="s">
        <v>230</v>
      </c>
      <c r="F41" s="238" t="e">
        <f t="array" aca="1" ref="F41" ca="1">$C41*(1+_xludf.XLOOKUP($U41,METRICS!#REF!,METRICS!#REF!,0,0))</f>
        <v>#NAME?</v>
      </c>
      <c r="G41" s="238" t="e">
        <f t="array" aca="1" ref="G41" ca="1">$C41*(1+_xludf.XLOOKUP($U41,METRICS!#REF!,METRICS!#REF!,0,0))</f>
        <v>#NAME?</v>
      </c>
      <c r="H41" s="238" t="e">
        <f t="array" aca="1" ref="H41" ca="1">$C41*(1+_xludf.XLOOKUP($U41,METRICS!#REF!,METRICS!#REF!,0,0))</f>
        <v>#NAME?</v>
      </c>
      <c r="I41" s="238" t="e">
        <f t="array" aca="1" ref="I41" ca="1">$C41*(1+_xludf.XLOOKUP($U41,METRICS!#REF!,METRICS!#REF!,0,0))</f>
        <v>#NAME?</v>
      </c>
      <c r="J41" s="238" t="e">
        <f t="array" aca="1" ref="J41" ca="1">$C41*(1+_xludf.XLOOKUP($U41,METRICS!#REF!,METRICS!#REF!,0,0))</f>
        <v>#NAME?</v>
      </c>
      <c r="K41" s="238" t="e">
        <f t="array" aca="1" ref="K41" ca="1">$C41*(1+_xludf.XLOOKUP($U41,METRICS!#REF!,METRICS!#REF!,0,0))</f>
        <v>#NAME?</v>
      </c>
      <c r="L41" s="238" t="e">
        <f t="array" aca="1" ref="L41" ca="1">$C41*(1+_xludf.XLOOKUP($U41,METRICS!#REF!,METRICS!#REF!,0,0))</f>
        <v>#NAME?</v>
      </c>
      <c r="M41" s="238" t="e">
        <f t="array" aca="1" ref="M41" ca="1">$C41*(1+_xludf.XLOOKUP($U41,METRICS!#REF!,METRICS!#REF!,0,0))</f>
        <v>#NAME?</v>
      </c>
      <c r="N41" s="238" t="e">
        <f t="array" aca="1" ref="N41" ca="1">$C41*(1+_xludf.XLOOKUP($U41,METRICS!#REF!,METRICS!#REF!,0,0))</f>
        <v>#NAME?</v>
      </c>
      <c r="O41" s="238" t="e">
        <f t="array" aca="1" ref="O41" ca="1">$C41*(1+_xludf.XLOOKUP($U41,METRICS!#REF!,METRICS!#REF!,0,0))</f>
        <v>#NAME?</v>
      </c>
      <c r="P41" s="238" t="e">
        <f t="array" aca="1" ref="P41" ca="1">$C41*(1+_xludf.XLOOKUP($U41,METRICS!#REF!,METRICS!#REF!,0,0))</f>
        <v>#NAME?</v>
      </c>
      <c r="Q41" s="238" t="e">
        <f t="array" aca="1" ref="Q41" ca="1">$C41*(1+_xludf.XLOOKUP($U41,METRICS!#REF!,METRICS!#REF!,0,0))</f>
        <v>#NAME?</v>
      </c>
      <c r="R41" s="241">
        <v>44170</v>
      </c>
      <c r="S41" s="241" t="s">
        <v>302</v>
      </c>
      <c r="T41" s="242" t="s">
        <v>298</v>
      </c>
      <c r="U41" s="239" t="s">
        <v>299</v>
      </c>
    </row>
    <row r="42" spans="1:21" ht="12" customHeight="1">
      <c r="A42" s="236" t="s">
        <v>369</v>
      </c>
      <c r="B42" s="237" t="s">
        <v>370</v>
      </c>
      <c r="C42" s="238">
        <v>1980</v>
      </c>
      <c r="D42" s="239" t="s">
        <v>229</v>
      </c>
      <c r="E42" s="240" t="s">
        <v>209</v>
      </c>
      <c r="F42" s="238" t="e">
        <f t="array" aca="1" ref="F42" ca="1">$C42*(1+_xludf.XLOOKUP($U42,METRICS!#REF!,METRICS!#REF!,0,0))</f>
        <v>#NAME?</v>
      </c>
      <c r="G42" s="238" t="e">
        <f t="array" aca="1" ref="G42" ca="1">$C42*(1+_xludf.XLOOKUP($U42,METRICS!#REF!,METRICS!#REF!,0,0))</f>
        <v>#NAME?</v>
      </c>
      <c r="H42" s="238" t="e">
        <f t="array" aca="1" ref="H42" ca="1">$C42*(1+_xludf.XLOOKUP($U42,METRICS!#REF!,METRICS!#REF!,0,0))</f>
        <v>#NAME?</v>
      </c>
      <c r="I42" s="238" t="e">
        <f t="array" aca="1" ref="I42" ca="1">$C42*(1+_xludf.XLOOKUP($U42,METRICS!#REF!,METRICS!#REF!,0,0))</f>
        <v>#NAME?</v>
      </c>
      <c r="J42" s="238" t="e">
        <f t="array" aca="1" ref="J42" ca="1">$C42*(1+_xludf.XLOOKUP($U42,METRICS!#REF!,METRICS!#REF!,0,0))</f>
        <v>#NAME?</v>
      </c>
      <c r="K42" s="238" t="e">
        <f t="array" aca="1" ref="K42" ca="1">$C42*(1+_xludf.XLOOKUP($U42,METRICS!#REF!,METRICS!#REF!,0,0))</f>
        <v>#NAME?</v>
      </c>
      <c r="L42" s="238" t="e">
        <f t="array" aca="1" ref="L42" ca="1">$C42*(1+_xludf.XLOOKUP($U42,METRICS!#REF!,METRICS!#REF!,0,0))</f>
        <v>#NAME?</v>
      </c>
      <c r="M42" s="238" t="e">
        <f t="array" aca="1" ref="M42" ca="1">$C42*(1+_xludf.XLOOKUP($U42,METRICS!#REF!,METRICS!#REF!,0,0))</f>
        <v>#NAME?</v>
      </c>
      <c r="N42" s="238" t="e">
        <f t="array" aca="1" ref="N42" ca="1">$C42*(1+_xludf.XLOOKUP($U42,METRICS!#REF!,METRICS!#REF!,0,0))</f>
        <v>#NAME?</v>
      </c>
      <c r="O42" s="238" t="e">
        <f t="array" aca="1" ref="O42" ca="1">$C42*(1+_xludf.XLOOKUP($U42,METRICS!#REF!,METRICS!#REF!,0,0))</f>
        <v>#NAME?</v>
      </c>
      <c r="P42" s="238" t="e">
        <f t="array" aca="1" ref="P42" ca="1">$C42*(1+_xludf.XLOOKUP($U42,METRICS!#REF!,METRICS!#REF!,0,0))</f>
        <v>#NAME?</v>
      </c>
      <c r="Q42" s="238" t="e">
        <f t="array" aca="1" ref="Q42" ca="1">$C42*(1+_xludf.XLOOKUP($U42,METRICS!#REF!,METRICS!#REF!,0,0))</f>
        <v>#NAME?</v>
      </c>
      <c r="R42" s="241">
        <v>44171</v>
      </c>
      <c r="S42" s="241" t="s">
        <v>302</v>
      </c>
      <c r="T42" s="242" t="s">
        <v>298</v>
      </c>
      <c r="U42" s="239" t="s">
        <v>299</v>
      </c>
    </row>
    <row r="43" spans="1:21" ht="12" customHeight="1">
      <c r="A43" s="236" t="s">
        <v>371</v>
      </c>
      <c r="B43" s="237" t="s">
        <v>372</v>
      </c>
      <c r="C43" s="238">
        <v>4400</v>
      </c>
      <c r="D43" s="239" t="s">
        <v>178</v>
      </c>
      <c r="E43" s="240" t="s">
        <v>161</v>
      </c>
      <c r="F43" s="238" t="e">
        <f t="array" aca="1" ref="F43" ca="1">$C43*(1+_xludf.XLOOKUP($U43,METRICS!#REF!,METRICS!#REF!,0,0))</f>
        <v>#NAME?</v>
      </c>
      <c r="G43" s="238" t="e">
        <f t="array" aca="1" ref="G43" ca="1">$C43*(1+_xludf.XLOOKUP($U43,METRICS!#REF!,METRICS!#REF!,0,0))</f>
        <v>#NAME?</v>
      </c>
      <c r="H43" s="238" t="e">
        <f t="array" aca="1" ref="H43" ca="1">$C43*(1+_xludf.XLOOKUP($U43,METRICS!#REF!,METRICS!#REF!,0,0))</f>
        <v>#NAME?</v>
      </c>
      <c r="I43" s="238" t="e">
        <f t="array" aca="1" ref="I43" ca="1">$C43*(1+_xludf.XLOOKUP($U43,METRICS!#REF!,METRICS!#REF!,0,0))</f>
        <v>#NAME?</v>
      </c>
      <c r="J43" s="238" t="e">
        <f t="array" aca="1" ref="J43" ca="1">$C43*(1+_xludf.XLOOKUP($U43,METRICS!#REF!,METRICS!#REF!,0,0))</f>
        <v>#NAME?</v>
      </c>
      <c r="K43" s="238" t="e">
        <f t="array" aca="1" ref="K43" ca="1">$C43*(1+_xludf.XLOOKUP($U43,METRICS!#REF!,METRICS!#REF!,0,0))</f>
        <v>#NAME?</v>
      </c>
      <c r="L43" s="238" t="e">
        <f t="array" aca="1" ref="L43" ca="1">$C43*(1+_xludf.XLOOKUP($U43,METRICS!#REF!,METRICS!#REF!,0,0))</f>
        <v>#NAME?</v>
      </c>
      <c r="M43" s="238" t="e">
        <f t="array" aca="1" ref="M43" ca="1">$C43*(1+_xludf.XLOOKUP($U43,METRICS!#REF!,METRICS!#REF!,0,0))</f>
        <v>#NAME?</v>
      </c>
      <c r="N43" s="238" t="e">
        <f t="array" aca="1" ref="N43" ca="1">$C43*(1+_xludf.XLOOKUP($U43,METRICS!#REF!,METRICS!#REF!,0,0))</f>
        <v>#NAME?</v>
      </c>
      <c r="O43" s="238" t="e">
        <f t="array" aca="1" ref="O43" ca="1">$C43*(1+_xludf.XLOOKUP($U43,METRICS!#REF!,METRICS!#REF!,0,0))</f>
        <v>#NAME?</v>
      </c>
      <c r="P43" s="238" t="e">
        <f t="array" aca="1" ref="P43" ca="1">$C43*(1+_xludf.XLOOKUP($U43,METRICS!#REF!,METRICS!#REF!,0,0))</f>
        <v>#NAME?</v>
      </c>
      <c r="Q43" s="238" t="e">
        <f t="array" aca="1" ref="Q43" ca="1">$C43*(1+_xludf.XLOOKUP($U43,METRICS!#REF!,METRICS!#REF!,0,0))</f>
        <v>#NAME?</v>
      </c>
      <c r="R43" s="241">
        <v>44172</v>
      </c>
      <c r="S43" s="241" t="s">
        <v>302</v>
      </c>
      <c r="T43" s="242" t="s">
        <v>298</v>
      </c>
      <c r="U43" s="239" t="s">
        <v>299</v>
      </c>
    </row>
    <row r="44" spans="1:21" ht="12" customHeight="1">
      <c r="A44" s="236" t="s">
        <v>373</v>
      </c>
      <c r="B44" s="237" t="s">
        <v>227</v>
      </c>
      <c r="C44" s="238">
        <v>514.41999999999996</v>
      </c>
      <c r="D44" s="239" t="s">
        <v>228</v>
      </c>
      <c r="E44" s="240" t="s">
        <v>209</v>
      </c>
      <c r="F44" s="238" t="e">
        <f t="array" aca="1" ref="F44" ca="1">$C44*(1+_xludf.XLOOKUP($U44,METRICS!#REF!,METRICS!#REF!,0,0))</f>
        <v>#NAME?</v>
      </c>
      <c r="G44" s="238" t="e">
        <f t="array" aca="1" ref="G44" ca="1">$C44*(1+_xludf.XLOOKUP($U44,METRICS!#REF!,METRICS!#REF!,0,0))</f>
        <v>#NAME?</v>
      </c>
      <c r="H44" s="238" t="e">
        <f t="array" aca="1" ref="H44" ca="1">$C44*(1+_xludf.XLOOKUP($U44,METRICS!#REF!,METRICS!#REF!,0,0))</f>
        <v>#NAME?</v>
      </c>
      <c r="I44" s="238" t="e">
        <f t="array" aca="1" ref="I44" ca="1">$C44*(1+_xludf.XLOOKUP($U44,METRICS!#REF!,METRICS!#REF!,0,0))</f>
        <v>#NAME?</v>
      </c>
      <c r="J44" s="238" t="e">
        <f t="array" aca="1" ref="J44" ca="1">$C44*(1+_xludf.XLOOKUP($U44,METRICS!#REF!,METRICS!#REF!,0,0))</f>
        <v>#NAME?</v>
      </c>
      <c r="K44" s="238" t="e">
        <f t="array" aca="1" ref="K44" ca="1">$C44*(1+_xludf.XLOOKUP($U44,METRICS!#REF!,METRICS!#REF!,0,0))</f>
        <v>#NAME?</v>
      </c>
      <c r="L44" s="238" t="e">
        <f t="array" aca="1" ref="L44" ca="1">$C44*(1+_xludf.XLOOKUP($U44,METRICS!#REF!,METRICS!#REF!,0,0))</f>
        <v>#NAME?</v>
      </c>
      <c r="M44" s="238" t="e">
        <f t="array" aca="1" ref="M44" ca="1">$C44*(1+_xludf.XLOOKUP($U44,METRICS!#REF!,METRICS!#REF!,0,0))</f>
        <v>#NAME?</v>
      </c>
      <c r="N44" s="238" t="e">
        <f t="array" aca="1" ref="N44" ca="1">$C44*(1+_xludf.XLOOKUP($U44,METRICS!#REF!,METRICS!#REF!,0,0))</f>
        <v>#NAME?</v>
      </c>
      <c r="O44" s="238" t="e">
        <f t="array" aca="1" ref="O44" ca="1">$C44*(1+_xludf.XLOOKUP($U44,METRICS!#REF!,METRICS!#REF!,0,0))</f>
        <v>#NAME?</v>
      </c>
      <c r="P44" s="238" t="e">
        <f t="array" aca="1" ref="P44" ca="1">$C44*(1+_xludf.XLOOKUP($U44,METRICS!#REF!,METRICS!#REF!,0,0))</f>
        <v>#NAME?</v>
      </c>
      <c r="Q44" s="238" t="e">
        <f t="array" aca="1" ref="Q44" ca="1">$C44*(1+_xludf.XLOOKUP($U44,METRICS!#REF!,METRICS!#REF!,0,0))</f>
        <v>#NAME?</v>
      </c>
      <c r="R44" s="241">
        <v>44176</v>
      </c>
      <c r="S44" s="241" t="s">
        <v>302</v>
      </c>
      <c r="T44" s="242" t="s">
        <v>298</v>
      </c>
      <c r="U44" s="239" t="s">
        <v>299</v>
      </c>
    </row>
    <row r="45" spans="1:21" ht="12" customHeight="1">
      <c r="A45" s="236" t="s">
        <v>374</v>
      </c>
      <c r="B45" s="237" t="s">
        <v>297</v>
      </c>
      <c r="C45" s="238">
        <v>1039</v>
      </c>
      <c r="D45" s="239" t="s">
        <v>165</v>
      </c>
      <c r="E45" s="240" t="s">
        <v>161</v>
      </c>
      <c r="F45" s="238" t="e">
        <f t="array" aca="1" ref="F45" ca="1">$C45*(1+_xludf.XLOOKUP($U45,METRICS!#REF!,METRICS!#REF!,0,0))</f>
        <v>#NAME?</v>
      </c>
      <c r="G45" s="238" t="e">
        <f t="array" aca="1" ref="G45" ca="1">$C45*(1+_xludf.XLOOKUP($U45,METRICS!#REF!,METRICS!#REF!,0,0))</f>
        <v>#NAME?</v>
      </c>
      <c r="H45" s="238" t="e">
        <f t="array" aca="1" ref="H45" ca="1">$C45*(1+_xludf.XLOOKUP($U45,METRICS!#REF!,METRICS!#REF!,0,0))</f>
        <v>#NAME?</v>
      </c>
      <c r="I45" s="238" t="e">
        <f t="array" aca="1" ref="I45" ca="1">$C45*(1+_xludf.XLOOKUP($U45,METRICS!#REF!,METRICS!#REF!,0,0))</f>
        <v>#NAME?</v>
      </c>
      <c r="J45" s="238" t="e">
        <f t="array" aca="1" ref="J45" ca="1">$C45*(1+_xludf.XLOOKUP($U45,METRICS!#REF!,METRICS!#REF!,0,0))</f>
        <v>#NAME?</v>
      </c>
      <c r="K45" s="238" t="e">
        <f t="array" aca="1" ref="K45" ca="1">$C45*(1+_xludf.XLOOKUP($U45,METRICS!#REF!,METRICS!#REF!,0,0))</f>
        <v>#NAME?</v>
      </c>
      <c r="L45" s="238" t="e">
        <f t="array" aca="1" ref="L45" ca="1">$C45*(1+_xludf.XLOOKUP($U45,METRICS!#REF!,METRICS!#REF!,0,0))</f>
        <v>#NAME?</v>
      </c>
      <c r="M45" s="238" t="e">
        <f t="array" aca="1" ref="M45" ca="1">$C45*(1+_xludf.XLOOKUP($U45,METRICS!#REF!,METRICS!#REF!,0,0))</f>
        <v>#NAME?</v>
      </c>
      <c r="N45" s="238" t="e">
        <f t="array" aca="1" ref="N45" ca="1">$C45*(1+_xludf.XLOOKUP($U45,METRICS!#REF!,METRICS!#REF!,0,0))</f>
        <v>#NAME?</v>
      </c>
      <c r="O45" s="238" t="e">
        <f t="array" aca="1" ref="O45" ca="1">$C45*(1+_xludf.XLOOKUP($U45,METRICS!#REF!,METRICS!#REF!,0,0))</f>
        <v>#NAME?</v>
      </c>
      <c r="P45" s="238" t="e">
        <f t="array" aca="1" ref="P45" ca="1">$C45*(1+_xludf.XLOOKUP($U45,METRICS!#REF!,METRICS!#REF!,0,0))</f>
        <v>#NAME?</v>
      </c>
      <c r="Q45" s="238" t="e">
        <f t="array" aca="1" ref="Q45" ca="1">$C45*(1+_xludf.XLOOKUP($U45,METRICS!#REF!,METRICS!#REF!,0,0))</f>
        <v>#NAME?</v>
      </c>
      <c r="R45" s="241">
        <v>44177</v>
      </c>
      <c r="S45" s="241" t="s">
        <v>302</v>
      </c>
      <c r="T45" s="242" t="s">
        <v>298</v>
      </c>
      <c r="U45" s="239" t="s">
        <v>299</v>
      </c>
    </row>
    <row r="46" spans="1:21" ht="12" customHeight="1">
      <c r="A46" s="236" t="s">
        <v>374</v>
      </c>
      <c r="B46" s="237" t="s">
        <v>375</v>
      </c>
      <c r="C46" s="238">
        <v>239.6</v>
      </c>
      <c r="D46" s="239" t="s">
        <v>220</v>
      </c>
      <c r="E46" s="240" t="s">
        <v>209</v>
      </c>
      <c r="F46" s="238" t="e">
        <f t="array" aca="1" ref="F46" ca="1">$C46*(1+_xludf.XLOOKUP($U46,METRICS!#REF!,METRICS!#REF!,0,0))</f>
        <v>#NAME?</v>
      </c>
      <c r="G46" s="238" t="e">
        <f t="array" aca="1" ref="G46" ca="1">$C46*(1+_xludf.XLOOKUP($U46,METRICS!#REF!,METRICS!#REF!,0,0))</f>
        <v>#NAME?</v>
      </c>
      <c r="H46" s="238" t="e">
        <f t="array" aca="1" ref="H46" ca="1">$C46*(1+_xludf.XLOOKUP($U46,METRICS!#REF!,METRICS!#REF!,0,0))</f>
        <v>#NAME?</v>
      </c>
      <c r="I46" s="238" t="e">
        <f t="array" aca="1" ref="I46" ca="1">$C46*(1+_xludf.XLOOKUP($U46,METRICS!#REF!,METRICS!#REF!,0,0))</f>
        <v>#NAME?</v>
      </c>
      <c r="J46" s="238" t="e">
        <f t="array" aca="1" ref="J46" ca="1">$C46*(1+_xludf.XLOOKUP($U46,METRICS!#REF!,METRICS!#REF!,0,0))</f>
        <v>#NAME?</v>
      </c>
      <c r="K46" s="238" t="e">
        <f t="array" aca="1" ref="K46" ca="1">$C46*(1+_xludf.XLOOKUP($U46,METRICS!#REF!,METRICS!#REF!,0,0))</f>
        <v>#NAME?</v>
      </c>
      <c r="L46" s="238" t="e">
        <f t="array" aca="1" ref="L46" ca="1">$C46*(1+_xludf.XLOOKUP($U46,METRICS!#REF!,METRICS!#REF!,0,0))</f>
        <v>#NAME?</v>
      </c>
      <c r="M46" s="238" t="e">
        <f t="array" aca="1" ref="M46" ca="1">$C46*(1+_xludf.XLOOKUP($U46,METRICS!#REF!,METRICS!#REF!,0,0))</f>
        <v>#NAME?</v>
      </c>
      <c r="N46" s="238" t="e">
        <f t="array" aca="1" ref="N46" ca="1">$C46*(1+_xludf.XLOOKUP($U46,METRICS!#REF!,METRICS!#REF!,0,0))</f>
        <v>#NAME?</v>
      </c>
      <c r="O46" s="238" t="e">
        <f t="array" aca="1" ref="O46" ca="1">$C46*(1+_xludf.XLOOKUP($U46,METRICS!#REF!,METRICS!#REF!,0,0))</f>
        <v>#NAME?</v>
      </c>
      <c r="P46" s="238" t="e">
        <f t="array" aca="1" ref="P46" ca="1">$C46*(1+_xludf.XLOOKUP($U46,METRICS!#REF!,METRICS!#REF!,0,0))</f>
        <v>#NAME?</v>
      </c>
      <c r="Q46" s="238" t="e">
        <f t="array" aca="1" ref="Q46" ca="1">$C46*(1+_xludf.XLOOKUP($U46,METRICS!#REF!,METRICS!#REF!,0,0))</f>
        <v>#NAME?</v>
      </c>
      <c r="R46" s="241">
        <v>44178</v>
      </c>
      <c r="S46" s="241" t="s">
        <v>302</v>
      </c>
      <c r="T46" s="242" t="s">
        <v>298</v>
      </c>
      <c r="U46" s="239" t="s">
        <v>299</v>
      </c>
    </row>
    <row r="47" spans="1:21" ht="12" customHeight="1">
      <c r="A47" s="236" t="s">
        <v>376</v>
      </c>
      <c r="B47" s="244" t="s">
        <v>316</v>
      </c>
      <c r="C47" s="238">
        <v>2150</v>
      </c>
      <c r="D47" s="239" t="s">
        <v>196</v>
      </c>
      <c r="E47" s="240" t="s">
        <v>161</v>
      </c>
      <c r="F47" s="238" t="e">
        <f t="array" aca="1" ref="F47" ca="1">$C47*(1+_xludf.XLOOKUP($U47,METRICS!#REF!,METRICS!#REF!,0,0))</f>
        <v>#NAME?</v>
      </c>
      <c r="G47" s="238" t="e">
        <f t="array" aca="1" ref="G47" ca="1">$C47*(1+_xludf.XLOOKUP($U47,METRICS!#REF!,METRICS!#REF!,0,0))</f>
        <v>#NAME?</v>
      </c>
      <c r="H47" s="238" t="e">
        <f t="array" aca="1" ref="H47" ca="1">$C47*(1+_xludf.XLOOKUP($U47,METRICS!#REF!,METRICS!#REF!,0,0))</f>
        <v>#NAME?</v>
      </c>
      <c r="I47" s="238" t="e">
        <f t="array" aca="1" ref="I47" ca="1">$C47*(1+_xludf.XLOOKUP($U47,METRICS!#REF!,METRICS!#REF!,0,0))</f>
        <v>#NAME?</v>
      </c>
      <c r="J47" s="238" t="e">
        <f t="array" aca="1" ref="J47" ca="1">$C47*(1+_xludf.XLOOKUP($U47,METRICS!#REF!,METRICS!#REF!,0,0))</f>
        <v>#NAME?</v>
      </c>
      <c r="K47" s="238" t="e">
        <f t="array" aca="1" ref="K47" ca="1">$C47*(1+_xludf.XLOOKUP($U47,METRICS!#REF!,METRICS!#REF!,0,0))</f>
        <v>#NAME?</v>
      </c>
      <c r="L47" s="238" t="e">
        <f t="array" aca="1" ref="L47" ca="1">$C47*(1+_xludf.XLOOKUP($U47,METRICS!#REF!,METRICS!#REF!,0,0))</f>
        <v>#NAME?</v>
      </c>
      <c r="M47" s="238" t="e">
        <f t="array" aca="1" ref="M47" ca="1">$C47*(1+_xludf.XLOOKUP($U47,METRICS!#REF!,METRICS!#REF!,0,0))</f>
        <v>#NAME?</v>
      </c>
      <c r="N47" s="238" t="e">
        <f t="array" aca="1" ref="N47" ca="1">$C47*(1+_xludf.XLOOKUP($U47,METRICS!#REF!,METRICS!#REF!,0,0))</f>
        <v>#NAME?</v>
      </c>
      <c r="O47" s="238" t="e">
        <f t="array" aca="1" ref="O47" ca="1">$C47*(1+_xludf.XLOOKUP($U47,METRICS!#REF!,METRICS!#REF!,0,0))</f>
        <v>#NAME?</v>
      </c>
      <c r="P47" s="238" t="e">
        <f t="array" aca="1" ref="P47" ca="1">$C47*(1+_xludf.XLOOKUP($U47,METRICS!#REF!,METRICS!#REF!,0,0))</f>
        <v>#NAME?</v>
      </c>
      <c r="Q47" s="238" t="e">
        <f t="array" aca="1" ref="Q47" ca="1">$C47*(1+_xludf.XLOOKUP($U47,METRICS!#REF!,METRICS!#REF!,0,0))</f>
        <v>#NAME?</v>
      </c>
      <c r="R47" s="241">
        <v>44179</v>
      </c>
      <c r="S47" s="241" t="s">
        <v>302</v>
      </c>
      <c r="T47" s="242" t="s">
        <v>298</v>
      </c>
      <c r="U47" s="239" t="s">
        <v>299</v>
      </c>
    </row>
    <row r="48" spans="1:21" ht="12" customHeight="1">
      <c r="A48" s="236" t="s">
        <v>377</v>
      </c>
      <c r="B48" s="237" t="s">
        <v>378</v>
      </c>
      <c r="C48" s="238">
        <v>3272.8</v>
      </c>
      <c r="D48" s="239" t="s">
        <v>194</v>
      </c>
      <c r="E48" s="240" t="s">
        <v>161</v>
      </c>
      <c r="F48" s="238" t="e">
        <f t="array" aca="1" ref="F48" ca="1">$C48*(1+_xludf.XLOOKUP($U48,METRICS!#REF!,METRICS!#REF!,0,0))</f>
        <v>#NAME?</v>
      </c>
      <c r="G48" s="238" t="e">
        <f t="array" aca="1" ref="G48" ca="1">$C48*(1+_xludf.XLOOKUP($U48,METRICS!#REF!,METRICS!#REF!,0,0))</f>
        <v>#NAME?</v>
      </c>
      <c r="H48" s="238" t="e">
        <f t="array" aca="1" ref="H48" ca="1">$C48*(1+_xludf.XLOOKUP($U48,METRICS!#REF!,METRICS!#REF!,0,0))</f>
        <v>#NAME?</v>
      </c>
      <c r="I48" s="238" t="e">
        <f t="array" aca="1" ref="I48" ca="1">$C48*(1+_xludf.XLOOKUP($U48,METRICS!#REF!,METRICS!#REF!,0,0))</f>
        <v>#NAME?</v>
      </c>
      <c r="J48" s="238" t="e">
        <f t="array" aca="1" ref="J48" ca="1">$C48*(1+_xludf.XLOOKUP($U48,METRICS!#REF!,METRICS!#REF!,0,0))</f>
        <v>#NAME?</v>
      </c>
      <c r="K48" s="238" t="e">
        <f t="array" aca="1" ref="K48" ca="1">$C48*(1+_xludf.XLOOKUP($U48,METRICS!#REF!,METRICS!#REF!,0,0))</f>
        <v>#NAME?</v>
      </c>
      <c r="L48" s="238" t="e">
        <f t="array" aca="1" ref="L48" ca="1">$C48*(1+_xludf.XLOOKUP($U48,METRICS!#REF!,METRICS!#REF!,0,0))</f>
        <v>#NAME?</v>
      </c>
      <c r="M48" s="238" t="e">
        <f t="array" aca="1" ref="M48" ca="1">$C48*(1+_xludf.XLOOKUP($U48,METRICS!#REF!,METRICS!#REF!,0,0))</f>
        <v>#NAME?</v>
      </c>
      <c r="N48" s="238" t="e">
        <f t="array" aca="1" ref="N48" ca="1">$C48*(1+_xludf.XLOOKUP($U48,METRICS!#REF!,METRICS!#REF!,0,0))</f>
        <v>#NAME?</v>
      </c>
      <c r="O48" s="238" t="e">
        <f t="array" aca="1" ref="O48" ca="1">$C48*(1+_xludf.XLOOKUP($U48,METRICS!#REF!,METRICS!#REF!,0,0))</f>
        <v>#NAME?</v>
      </c>
      <c r="P48" s="238" t="e">
        <f t="array" aca="1" ref="P48" ca="1">$C48*(1+_xludf.XLOOKUP($U48,METRICS!#REF!,METRICS!#REF!,0,0))</f>
        <v>#NAME?</v>
      </c>
      <c r="Q48" s="238" t="e">
        <f t="array" aca="1" ref="Q48" ca="1">$C48*(1+_xludf.XLOOKUP($U48,METRICS!#REF!,METRICS!#REF!,0,0))</f>
        <v>#NAME?</v>
      </c>
      <c r="R48" s="241">
        <v>44180</v>
      </c>
      <c r="S48" s="241" t="s">
        <v>302</v>
      </c>
      <c r="T48" s="242" t="s">
        <v>298</v>
      </c>
      <c r="U48" s="239" t="s">
        <v>299</v>
      </c>
    </row>
    <row r="49" spans="1:21" ht="12" customHeight="1">
      <c r="A49" s="236" t="s">
        <v>379</v>
      </c>
      <c r="B49" s="237" t="s">
        <v>380</v>
      </c>
      <c r="C49" s="238">
        <v>270.56</v>
      </c>
      <c r="D49" s="239" t="s">
        <v>220</v>
      </c>
      <c r="E49" s="240" t="s">
        <v>209</v>
      </c>
      <c r="F49" s="238" t="e">
        <f t="array" aca="1" ref="F49" ca="1">$C49*(1+_xludf.XLOOKUP($U49,METRICS!#REF!,METRICS!#REF!,0,0))</f>
        <v>#NAME?</v>
      </c>
      <c r="G49" s="238" t="e">
        <f t="array" aca="1" ref="G49" ca="1">$C49*(1+_xludf.XLOOKUP($U49,METRICS!#REF!,METRICS!#REF!,0,0))</f>
        <v>#NAME?</v>
      </c>
      <c r="H49" s="238" t="e">
        <f t="array" aca="1" ref="H49" ca="1">$C49*(1+_xludf.XLOOKUP($U49,METRICS!#REF!,METRICS!#REF!,0,0))</f>
        <v>#NAME?</v>
      </c>
      <c r="I49" s="238" t="e">
        <f t="array" aca="1" ref="I49" ca="1">$C49*(1+_xludf.XLOOKUP($U49,METRICS!#REF!,METRICS!#REF!,0,0))</f>
        <v>#NAME?</v>
      </c>
      <c r="J49" s="238" t="e">
        <f t="array" aca="1" ref="J49" ca="1">$C49*(1+_xludf.XLOOKUP($U49,METRICS!#REF!,METRICS!#REF!,0,0))</f>
        <v>#NAME?</v>
      </c>
      <c r="K49" s="238" t="e">
        <f t="array" aca="1" ref="K49" ca="1">$C49*(1+_xludf.XLOOKUP($U49,METRICS!#REF!,METRICS!#REF!,0,0))</f>
        <v>#NAME?</v>
      </c>
      <c r="L49" s="238" t="e">
        <f t="array" aca="1" ref="L49" ca="1">$C49*(1+_xludf.XLOOKUP($U49,METRICS!#REF!,METRICS!#REF!,0,0))</f>
        <v>#NAME?</v>
      </c>
      <c r="M49" s="238" t="e">
        <f t="array" aca="1" ref="M49" ca="1">$C49*(1+_xludf.XLOOKUP($U49,METRICS!#REF!,METRICS!#REF!,0,0))</f>
        <v>#NAME?</v>
      </c>
      <c r="N49" s="238" t="e">
        <f t="array" aca="1" ref="N49" ca="1">$C49*(1+_xludf.XLOOKUP($U49,METRICS!#REF!,METRICS!#REF!,0,0))</f>
        <v>#NAME?</v>
      </c>
      <c r="O49" s="238" t="e">
        <f t="array" aca="1" ref="O49" ca="1">$C49*(1+_xludf.XLOOKUP($U49,METRICS!#REF!,METRICS!#REF!,0,0))</f>
        <v>#NAME?</v>
      </c>
      <c r="P49" s="238" t="e">
        <f t="array" aca="1" ref="P49" ca="1">$C49*(1+_xludf.XLOOKUP($U49,METRICS!#REF!,METRICS!#REF!,0,0))</f>
        <v>#NAME?</v>
      </c>
      <c r="Q49" s="238" t="e">
        <f t="array" aca="1" ref="Q49" ca="1">$C49*(1+_xludf.XLOOKUP($U49,METRICS!#REF!,METRICS!#REF!,0,0))</f>
        <v>#NAME?</v>
      </c>
      <c r="R49" s="241"/>
      <c r="S49" s="241"/>
      <c r="T49" s="242"/>
      <c r="U49" s="239" t="s">
        <v>299</v>
      </c>
    </row>
    <row r="50" spans="1:21" ht="12" customHeight="1">
      <c r="A50" s="236" t="s">
        <v>381</v>
      </c>
      <c r="B50" s="237" t="s">
        <v>382</v>
      </c>
      <c r="C50" s="238">
        <v>850</v>
      </c>
      <c r="D50" s="239" t="s">
        <v>174</v>
      </c>
      <c r="E50" s="240" t="s">
        <v>161</v>
      </c>
      <c r="F50" s="238" t="e">
        <f t="array" aca="1" ref="F50" ca="1">$C50*(1+_xludf.XLOOKUP($U50,METRICS!#REF!,METRICS!#REF!,0,0))</f>
        <v>#NAME?</v>
      </c>
      <c r="G50" s="238" t="e">
        <f t="array" aca="1" ref="G50" ca="1">$C50*(1+_xludf.XLOOKUP($U50,METRICS!#REF!,METRICS!#REF!,0,0))</f>
        <v>#NAME?</v>
      </c>
      <c r="H50" s="238" t="e">
        <f t="array" aca="1" ref="H50" ca="1">$C50*(1+_xludf.XLOOKUP($U50,METRICS!#REF!,METRICS!#REF!,0,0))</f>
        <v>#NAME?</v>
      </c>
      <c r="I50" s="238" t="e">
        <f t="array" aca="1" ref="I50" ca="1">$C50*(1+_xludf.XLOOKUP($U50,METRICS!#REF!,METRICS!#REF!,0,0))</f>
        <v>#NAME?</v>
      </c>
      <c r="J50" s="238" t="e">
        <f t="array" aca="1" ref="J50" ca="1">$C50*(1+_xludf.XLOOKUP($U50,METRICS!#REF!,METRICS!#REF!,0,0))</f>
        <v>#NAME?</v>
      </c>
      <c r="K50" s="238" t="e">
        <f t="array" aca="1" ref="K50" ca="1">$C50*(1+_xludf.XLOOKUP($U50,METRICS!#REF!,METRICS!#REF!,0,0))</f>
        <v>#NAME?</v>
      </c>
      <c r="L50" s="238" t="e">
        <f t="array" aca="1" ref="L50" ca="1">$C50*(1+_xludf.XLOOKUP($U50,METRICS!#REF!,METRICS!#REF!,0,0))</f>
        <v>#NAME?</v>
      </c>
      <c r="M50" s="238" t="e">
        <f t="array" aca="1" ref="M50" ca="1">$C50*(1+_xludf.XLOOKUP($U50,METRICS!#REF!,METRICS!#REF!,0,0))</f>
        <v>#NAME?</v>
      </c>
      <c r="N50" s="238" t="e">
        <f t="array" aca="1" ref="N50" ca="1">$C50*(1+_xludf.XLOOKUP($U50,METRICS!#REF!,METRICS!#REF!,0,0))</f>
        <v>#NAME?</v>
      </c>
      <c r="O50" s="238" t="e">
        <f t="array" aca="1" ref="O50" ca="1">$C50*(1+_xludf.XLOOKUP($U50,METRICS!#REF!,METRICS!#REF!,0,0))</f>
        <v>#NAME?</v>
      </c>
      <c r="P50" s="238" t="e">
        <f t="array" aca="1" ref="P50" ca="1">$C50*(1+_xludf.XLOOKUP($U50,METRICS!#REF!,METRICS!#REF!,0,0))</f>
        <v>#NAME?</v>
      </c>
      <c r="Q50" s="238" t="e">
        <f t="array" aca="1" ref="Q50" ca="1">$C50*(1+_xludf.XLOOKUP($U50,METRICS!#REF!,METRICS!#REF!,0,0))</f>
        <v>#NAME?</v>
      </c>
      <c r="R50" s="241"/>
      <c r="S50" s="241"/>
      <c r="T50" s="242"/>
      <c r="U50" s="239" t="s">
        <v>299</v>
      </c>
    </row>
    <row r="51" spans="1:21" ht="12" customHeight="1">
      <c r="A51" s="236" t="s">
        <v>383</v>
      </c>
      <c r="B51" s="237" t="s">
        <v>2</v>
      </c>
      <c r="C51" s="238">
        <v>352.4</v>
      </c>
      <c r="D51" s="239" t="s">
        <v>232</v>
      </c>
      <c r="E51" s="240" t="s">
        <v>209</v>
      </c>
      <c r="F51" s="238" t="e">
        <f t="array" aca="1" ref="F51" ca="1">$C51*(1+_xludf.XLOOKUP($U51,METRICS!#REF!,METRICS!#REF!,0,0))</f>
        <v>#NAME?</v>
      </c>
      <c r="G51" s="238" t="e">
        <f t="array" aca="1" ref="G51" ca="1">$C51*(1+_xludf.XLOOKUP($U51,METRICS!#REF!,METRICS!#REF!,0,0))</f>
        <v>#NAME?</v>
      </c>
      <c r="H51" s="238" t="e">
        <f t="array" aca="1" ref="H51" ca="1">$C51*(1+_xludf.XLOOKUP($U51,METRICS!#REF!,METRICS!#REF!,0,0))</f>
        <v>#NAME?</v>
      </c>
      <c r="I51" s="238" t="e">
        <f t="array" aca="1" ref="I51" ca="1">$C51*(1+_xludf.XLOOKUP($U51,METRICS!#REF!,METRICS!#REF!,0,0))</f>
        <v>#NAME?</v>
      </c>
      <c r="J51" s="238" t="e">
        <f t="array" aca="1" ref="J51" ca="1">$C51*(1+_xludf.XLOOKUP($U51,METRICS!#REF!,METRICS!#REF!,0,0))</f>
        <v>#NAME?</v>
      </c>
      <c r="K51" s="238" t="e">
        <f t="array" aca="1" ref="K51" ca="1">$C51*(1+_xludf.XLOOKUP($U51,METRICS!#REF!,METRICS!#REF!,0,0))</f>
        <v>#NAME?</v>
      </c>
      <c r="L51" s="238" t="e">
        <f t="array" aca="1" ref="L51" ca="1">$C51*(1+_xludf.XLOOKUP($U51,METRICS!#REF!,METRICS!#REF!,0,0))</f>
        <v>#NAME?</v>
      </c>
      <c r="M51" s="238" t="e">
        <f t="array" aca="1" ref="M51" ca="1">$C51*(1+_xludf.XLOOKUP($U51,METRICS!#REF!,METRICS!#REF!,0,0))</f>
        <v>#NAME?</v>
      </c>
      <c r="N51" s="238" t="e">
        <f t="array" aca="1" ref="N51" ca="1">$C51*(1+_xludf.XLOOKUP($U51,METRICS!#REF!,METRICS!#REF!,0,0))</f>
        <v>#NAME?</v>
      </c>
      <c r="O51" s="238" t="e">
        <f t="array" aca="1" ref="O51" ca="1">$C51*(1+_xludf.XLOOKUP($U51,METRICS!#REF!,METRICS!#REF!,0,0))</f>
        <v>#NAME?</v>
      </c>
      <c r="P51" s="238" t="e">
        <f t="array" aca="1" ref="P51" ca="1">$C51*(1+_xludf.XLOOKUP($U51,METRICS!#REF!,METRICS!#REF!,0,0))</f>
        <v>#NAME?</v>
      </c>
      <c r="Q51" s="238" t="e">
        <f t="array" aca="1" ref="Q51" ca="1">$C51*(1+_xludf.XLOOKUP($U51,METRICS!#REF!,METRICS!#REF!,0,0))</f>
        <v>#NAME?</v>
      </c>
      <c r="R51" s="241"/>
      <c r="S51" s="241"/>
      <c r="T51" s="242"/>
      <c r="U51" s="239" t="s">
        <v>299</v>
      </c>
    </row>
    <row r="52" spans="1:21" ht="12" customHeight="1">
      <c r="A52" s="236" t="s">
        <v>384</v>
      </c>
      <c r="B52" s="237" t="s">
        <v>297</v>
      </c>
      <c r="C52" s="238">
        <v>250</v>
      </c>
      <c r="D52" s="239" t="s">
        <v>165</v>
      </c>
      <c r="E52" s="240" t="s">
        <v>161</v>
      </c>
      <c r="F52" s="238" t="e">
        <f t="array" aca="1" ref="F52" ca="1">$C52*(1+_xludf.XLOOKUP($U52,METRICS!#REF!,METRICS!#REF!,0,0))</f>
        <v>#NAME?</v>
      </c>
      <c r="G52" s="238" t="e">
        <f t="array" aca="1" ref="G52" ca="1">$C52*(1+_xludf.XLOOKUP($U52,METRICS!#REF!,METRICS!#REF!,0,0))</f>
        <v>#NAME?</v>
      </c>
      <c r="H52" s="238" t="e">
        <f t="array" aca="1" ref="H52" ca="1">$C52*(1+_xludf.XLOOKUP($U52,METRICS!#REF!,METRICS!#REF!,0,0))</f>
        <v>#NAME?</v>
      </c>
      <c r="I52" s="238" t="e">
        <f t="array" aca="1" ref="I52" ca="1">$C52*(1+_xludf.XLOOKUP($U52,METRICS!#REF!,METRICS!#REF!,0,0))</f>
        <v>#NAME?</v>
      </c>
      <c r="J52" s="238" t="e">
        <f t="array" aca="1" ref="J52" ca="1">$C52*(1+_xludf.XLOOKUP($U52,METRICS!#REF!,METRICS!#REF!,0,0))</f>
        <v>#NAME?</v>
      </c>
      <c r="K52" s="238" t="e">
        <f t="array" aca="1" ref="K52" ca="1">$C52*(1+_xludf.XLOOKUP($U52,METRICS!#REF!,METRICS!#REF!,0,0))</f>
        <v>#NAME?</v>
      </c>
      <c r="L52" s="238" t="e">
        <f t="array" aca="1" ref="L52" ca="1">$C52*(1+_xludf.XLOOKUP($U52,METRICS!#REF!,METRICS!#REF!,0,0))</f>
        <v>#NAME?</v>
      </c>
      <c r="M52" s="238" t="e">
        <f t="array" aca="1" ref="M52" ca="1">$C52*(1+_xludf.XLOOKUP($U52,METRICS!#REF!,METRICS!#REF!,0,0))</f>
        <v>#NAME?</v>
      </c>
      <c r="N52" s="238" t="e">
        <f t="array" aca="1" ref="N52" ca="1">$C52*(1+_xludf.XLOOKUP($U52,METRICS!#REF!,METRICS!#REF!,0,0))</f>
        <v>#NAME?</v>
      </c>
      <c r="O52" s="238" t="e">
        <f t="array" aca="1" ref="O52" ca="1">$C52*(1+_xludf.XLOOKUP($U52,METRICS!#REF!,METRICS!#REF!,0,0))</f>
        <v>#NAME?</v>
      </c>
      <c r="P52" s="238" t="e">
        <f t="array" aca="1" ref="P52" ca="1">$C52*(1+_xludf.XLOOKUP($U52,METRICS!#REF!,METRICS!#REF!,0,0))</f>
        <v>#NAME?</v>
      </c>
      <c r="Q52" s="238" t="e">
        <f t="array" aca="1" ref="Q52" ca="1">$C52*(1+_xludf.XLOOKUP($U52,METRICS!#REF!,METRICS!#REF!,0,0))</f>
        <v>#NAME?</v>
      </c>
      <c r="R52" s="241">
        <v>44182</v>
      </c>
      <c r="S52" s="241" t="s">
        <v>302</v>
      </c>
      <c r="T52" s="242" t="s">
        <v>298</v>
      </c>
      <c r="U52" s="239" t="s">
        <v>299</v>
      </c>
    </row>
    <row r="53" spans="1:21" ht="12" customHeight="1">
      <c r="A53" s="245" t="s">
        <v>385</v>
      </c>
      <c r="B53" s="237" t="s">
        <v>386</v>
      </c>
      <c r="C53" s="238">
        <v>8500</v>
      </c>
      <c r="D53" s="239" t="s">
        <v>165</v>
      </c>
      <c r="E53" s="240" t="s">
        <v>161</v>
      </c>
      <c r="F53" s="238" t="e">
        <f t="array" aca="1" ref="F53" ca="1">$C53*(1+_xludf.XLOOKUP($U53,METRICS!#REF!,METRICS!#REF!,0,0))</f>
        <v>#NAME?</v>
      </c>
      <c r="G53" s="238" t="e">
        <f t="array" aca="1" ref="G53" ca="1">$C53*(1+_xludf.XLOOKUP($U53,METRICS!#REF!,METRICS!#REF!,0,0))</f>
        <v>#NAME?</v>
      </c>
      <c r="H53" s="238" t="e">
        <f t="array" aca="1" ref="H53" ca="1">$C53*(1+_xludf.XLOOKUP($U53,METRICS!#REF!,METRICS!#REF!,0,0))</f>
        <v>#NAME?</v>
      </c>
      <c r="I53" s="238">
        <v>0</v>
      </c>
      <c r="J53" s="238">
        <v>0</v>
      </c>
      <c r="K53" s="238">
        <v>0</v>
      </c>
      <c r="L53" s="238">
        <v>0</v>
      </c>
      <c r="M53" s="238">
        <v>0</v>
      </c>
      <c r="N53" s="238">
        <v>0</v>
      </c>
      <c r="O53" s="238" t="e">
        <f t="array" aca="1" ref="O53" ca="1">$C53*(1+_xludf.XLOOKUP($U53,METRICS!#REF!,METRICS!#REF!,0,0))</f>
        <v>#NAME?</v>
      </c>
      <c r="P53" s="238" t="e">
        <f t="array" aca="1" ref="P53" ca="1">$C53*(1+_xludf.XLOOKUP($U53,METRICS!#REF!,METRICS!#REF!,0,0))</f>
        <v>#NAME?</v>
      </c>
      <c r="Q53" s="238" t="e">
        <f t="array" aca="1" ref="Q53" ca="1">$C53*(1+_xludf.XLOOKUP($U53,METRICS!#REF!,METRICS!#REF!,0,0))</f>
        <v>#NAME?</v>
      </c>
      <c r="R53" s="241">
        <v>44183</v>
      </c>
      <c r="S53" s="241" t="s">
        <v>302</v>
      </c>
      <c r="T53" s="242" t="s">
        <v>298</v>
      </c>
      <c r="U53" s="239"/>
    </row>
    <row r="54" spans="1:21" ht="12" customHeight="1">
      <c r="A54" s="236" t="s">
        <v>387</v>
      </c>
      <c r="B54" s="237" t="s">
        <v>388</v>
      </c>
      <c r="C54" s="238">
        <v>3296</v>
      </c>
      <c r="D54" s="239" t="s">
        <v>176</v>
      </c>
      <c r="E54" s="240" t="s">
        <v>161</v>
      </c>
      <c r="F54" s="238" t="e">
        <f t="array" aca="1" ref="F54" ca="1">$C54*(1+_xludf.XLOOKUP($U54,METRICS!#REF!,METRICS!#REF!,0,0))</f>
        <v>#NAME?</v>
      </c>
      <c r="G54" s="238" t="e">
        <f t="array" aca="1" ref="G54" ca="1">$C54*(1+_xludf.XLOOKUP($U54,METRICS!#REF!,METRICS!#REF!,0,0))</f>
        <v>#NAME?</v>
      </c>
      <c r="H54" s="238" t="e">
        <f t="array" aca="1" ref="H54" ca="1">$C54*(1+_xludf.XLOOKUP($U54,METRICS!#REF!,METRICS!#REF!,0,0))</f>
        <v>#NAME?</v>
      </c>
      <c r="I54" s="238" t="e">
        <f t="array" aca="1" ref="I54" ca="1">$C54*(1+_xludf.XLOOKUP($U54,METRICS!#REF!,METRICS!#REF!,0,0))</f>
        <v>#NAME?</v>
      </c>
      <c r="J54" s="238" t="e">
        <f t="array" aca="1" ref="J54" ca="1">$C54*(1+_xludf.XLOOKUP($U54,METRICS!#REF!,METRICS!#REF!,0,0))</f>
        <v>#NAME?</v>
      </c>
      <c r="K54" s="238" t="e">
        <f t="array" aca="1" ref="K54" ca="1">$C54*(1+_xludf.XLOOKUP($U54,METRICS!#REF!,METRICS!#REF!,0,0))</f>
        <v>#NAME?</v>
      </c>
      <c r="L54" s="238" t="e">
        <f t="array" aca="1" ref="L54" ca="1">$C54*(1+_xludf.XLOOKUP($U54,METRICS!#REF!,METRICS!#REF!,0,0))</f>
        <v>#NAME?</v>
      </c>
      <c r="M54" s="238" t="e">
        <f t="array" aca="1" ref="M54" ca="1">$C54*(1+_xludf.XLOOKUP($U54,METRICS!#REF!,METRICS!#REF!,0,0))</f>
        <v>#NAME?</v>
      </c>
      <c r="N54" s="238" t="e">
        <f t="array" aca="1" ref="N54" ca="1">$C54*(1+_xludf.XLOOKUP($U54,METRICS!#REF!,METRICS!#REF!,0,0))</f>
        <v>#NAME?</v>
      </c>
      <c r="O54" s="238" t="e">
        <f t="array" aca="1" ref="O54" ca="1">$C54*(1+_xludf.XLOOKUP($U54,METRICS!#REF!,METRICS!#REF!,0,0))</f>
        <v>#NAME?</v>
      </c>
      <c r="P54" s="238" t="e">
        <f t="array" aca="1" ref="P54" ca="1">$C54*(1+_xludf.XLOOKUP($U54,METRICS!#REF!,METRICS!#REF!,0,0))</f>
        <v>#NAME?</v>
      </c>
      <c r="Q54" s="238" t="e">
        <f t="array" aca="1" ref="Q54" ca="1">$C54*(1+_xludf.XLOOKUP($U54,METRICS!#REF!,METRICS!#REF!,0,0))</f>
        <v>#NAME?</v>
      </c>
      <c r="R54" s="241"/>
      <c r="S54" s="241" t="s">
        <v>302</v>
      </c>
      <c r="T54" s="242" t="s">
        <v>298</v>
      </c>
      <c r="U54" s="239" t="s">
        <v>299</v>
      </c>
    </row>
    <row r="55" spans="1:21" ht="12" customHeight="1">
      <c r="A55" s="246"/>
      <c r="B55" s="247"/>
      <c r="C55" s="248"/>
      <c r="D55" s="247"/>
      <c r="E55" s="249"/>
      <c r="F55" s="250"/>
      <c r="G55" s="250"/>
      <c r="H55" s="250"/>
      <c r="I55" s="250"/>
      <c r="J55" s="251"/>
      <c r="K55" s="250"/>
      <c r="L55" s="250"/>
      <c r="M55" s="250"/>
      <c r="N55" s="250"/>
      <c r="O55" s="250"/>
      <c r="P55" s="250"/>
      <c r="Q55" s="250"/>
      <c r="R55" s="252"/>
      <c r="S55" s="252" t="s">
        <v>302</v>
      </c>
      <c r="T55" s="253" t="s">
        <v>298</v>
      </c>
      <c r="U55" s="254" t="s">
        <v>299</v>
      </c>
    </row>
    <row r="56" spans="1:21" ht="12" customHeight="1">
      <c r="A56" s="230"/>
      <c r="B56" s="1"/>
      <c r="C56" s="231"/>
      <c r="D56" s="1"/>
      <c r="E56" s="87"/>
      <c r="F56" s="255" t="e">
        <f t="shared" ref="F56:Q56" ca="1" si="0">SUM(F7:F55)</f>
        <v>#NAME?</v>
      </c>
      <c r="G56" s="256" t="e">
        <f t="shared" ca="1" si="0"/>
        <v>#NAME?</v>
      </c>
      <c r="H56" s="256" t="e">
        <f t="shared" ca="1" si="0"/>
        <v>#NAME?</v>
      </c>
      <c r="I56" s="256" t="e">
        <f t="shared" ca="1" si="0"/>
        <v>#NAME?</v>
      </c>
      <c r="J56" s="256" t="e">
        <f t="shared" ca="1" si="0"/>
        <v>#NAME?</v>
      </c>
      <c r="K56" s="256" t="e">
        <f t="shared" ca="1" si="0"/>
        <v>#NAME?</v>
      </c>
      <c r="L56" s="256" t="e">
        <f t="shared" ca="1" si="0"/>
        <v>#NAME?</v>
      </c>
      <c r="M56" s="256" t="e">
        <f t="shared" ca="1" si="0"/>
        <v>#NAME?</v>
      </c>
      <c r="N56" s="256" t="e">
        <f t="shared" ca="1" si="0"/>
        <v>#NAME?</v>
      </c>
      <c r="O56" s="256" t="e">
        <f t="shared" ca="1" si="0"/>
        <v>#NAME?</v>
      </c>
      <c r="P56" s="256" t="e">
        <f t="shared" ca="1" si="0"/>
        <v>#NAME?</v>
      </c>
      <c r="Q56" s="257" t="e">
        <f t="shared" ca="1" si="0"/>
        <v>#NAME?</v>
      </c>
      <c r="R56" s="258"/>
      <c r="S56" s="259"/>
      <c r="T56" s="259"/>
      <c r="U56" s="260"/>
    </row>
    <row r="57" spans="1:21" ht="15" customHeight="1">
      <c r="A57" s="163"/>
      <c r="B57" s="163"/>
      <c r="C57" s="261"/>
      <c r="D57" s="163"/>
      <c r="E57" s="262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163"/>
      <c r="S57" s="163"/>
      <c r="T57" s="163"/>
      <c r="U57" s="163"/>
    </row>
    <row r="58" spans="1:21" ht="12" customHeight="1">
      <c r="A58" s="163"/>
      <c r="B58" s="163"/>
      <c r="C58" s="261"/>
      <c r="D58" s="163"/>
      <c r="E58" s="264" t="s">
        <v>209</v>
      </c>
      <c r="F58" s="265" t="e">
        <f t="shared" ref="F58:Q58" ca="1" si="1">SUMIF($E$4:$E$55,$E58,F$4:F$55)</f>
        <v>#NAME?</v>
      </c>
      <c r="G58" s="265" t="e">
        <f t="shared" ca="1" si="1"/>
        <v>#NAME?</v>
      </c>
      <c r="H58" s="265" t="e">
        <f t="shared" ca="1" si="1"/>
        <v>#NAME?</v>
      </c>
      <c r="I58" s="265" t="e">
        <f t="shared" ca="1" si="1"/>
        <v>#NAME?</v>
      </c>
      <c r="J58" s="265" t="e">
        <f t="shared" ca="1" si="1"/>
        <v>#NAME?</v>
      </c>
      <c r="K58" s="265" t="e">
        <f t="shared" ca="1" si="1"/>
        <v>#NAME?</v>
      </c>
      <c r="L58" s="265" t="e">
        <f t="shared" ca="1" si="1"/>
        <v>#NAME?</v>
      </c>
      <c r="M58" s="265" t="e">
        <f t="shared" ca="1" si="1"/>
        <v>#NAME?</v>
      </c>
      <c r="N58" s="265" t="e">
        <f t="shared" ca="1" si="1"/>
        <v>#NAME?</v>
      </c>
      <c r="O58" s="265" t="e">
        <f t="shared" ca="1" si="1"/>
        <v>#NAME?</v>
      </c>
      <c r="P58" s="265" t="e">
        <f t="shared" ca="1" si="1"/>
        <v>#NAME?</v>
      </c>
      <c r="Q58" s="266" t="e">
        <f t="shared" ca="1" si="1"/>
        <v>#NAME?</v>
      </c>
      <c r="R58" s="163"/>
      <c r="S58" s="163"/>
      <c r="T58" s="163"/>
      <c r="U58" s="163"/>
    </row>
    <row r="59" spans="1:21" ht="12" customHeight="1">
      <c r="A59" s="163"/>
      <c r="B59" s="163"/>
      <c r="C59" s="261"/>
      <c r="D59" s="163"/>
      <c r="E59" s="267" t="s">
        <v>153</v>
      </c>
      <c r="F59" s="268">
        <f t="shared" ref="F59:Q59" si="2">SUMIF($E$4:$E$55,$E59,F$4:F$55)</f>
        <v>0</v>
      </c>
      <c r="G59" s="268">
        <f t="shared" si="2"/>
        <v>0</v>
      </c>
      <c r="H59" s="268">
        <f t="shared" si="2"/>
        <v>0</v>
      </c>
      <c r="I59" s="268">
        <f t="shared" si="2"/>
        <v>0</v>
      </c>
      <c r="J59" s="268">
        <f t="shared" si="2"/>
        <v>0</v>
      </c>
      <c r="K59" s="268">
        <f t="shared" si="2"/>
        <v>0</v>
      </c>
      <c r="L59" s="268">
        <f t="shared" si="2"/>
        <v>0</v>
      </c>
      <c r="M59" s="268">
        <f t="shared" si="2"/>
        <v>0</v>
      </c>
      <c r="N59" s="268">
        <f t="shared" si="2"/>
        <v>0</v>
      </c>
      <c r="O59" s="268">
        <f t="shared" si="2"/>
        <v>0</v>
      </c>
      <c r="P59" s="268">
        <f t="shared" si="2"/>
        <v>0</v>
      </c>
      <c r="Q59" s="269">
        <f t="shared" si="2"/>
        <v>0</v>
      </c>
      <c r="R59" s="163"/>
      <c r="S59" s="163"/>
      <c r="T59" s="163"/>
      <c r="U59" s="163"/>
    </row>
    <row r="60" spans="1:21" ht="12" customHeight="1">
      <c r="A60" s="163"/>
      <c r="B60" s="163"/>
      <c r="C60" s="261"/>
      <c r="D60" s="163"/>
      <c r="E60" s="267" t="s">
        <v>161</v>
      </c>
      <c r="F60" s="268" t="e">
        <f t="shared" ref="F60:Q60" ca="1" si="3">SUMIF($E$4:$E$55,$E60,F$4:F$55)</f>
        <v>#NAME?</v>
      </c>
      <c r="G60" s="268" t="e">
        <f t="shared" ca="1" si="3"/>
        <v>#NAME?</v>
      </c>
      <c r="H60" s="268" t="e">
        <f t="shared" ca="1" si="3"/>
        <v>#NAME?</v>
      </c>
      <c r="I60" s="268" t="e">
        <f t="shared" ca="1" si="3"/>
        <v>#NAME?</v>
      </c>
      <c r="J60" s="268" t="e">
        <f t="shared" ca="1" si="3"/>
        <v>#NAME?</v>
      </c>
      <c r="K60" s="268" t="e">
        <f t="shared" ca="1" si="3"/>
        <v>#NAME?</v>
      </c>
      <c r="L60" s="268" t="e">
        <f t="shared" ca="1" si="3"/>
        <v>#NAME?</v>
      </c>
      <c r="M60" s="268" t="e">
        <f t="shared" ca="1" si="3"/>
        <v>#NAME?</v>
      </c>
      <c r="N60" s="268" t="e">
        <f t="shared" ca="1" si="3"/>
        <v>#NAME?</v>
      </c>
      <c r="O60" s="268" t="e">
        <f t="shared" ca="1" si="3"/>
        <v>#NAME?</v>
      </c>
      <c r="P60" s="268" t="e">
        <f t="shared" ca="1" si="3"/>
        <v>#NAME?</v>
      </c>
      <c r="Q60" s="269" t="e">
        <f t="shared" ca="1" si="3"/>
        <v>#NAME?</v>
      </c>
      <c r="R60" s="163"/>
      <c r="S60" s="163"/>
      <c r="T60" s="163"/>
      <c r="U60" s="163"/>
    </row>
    <row r="61" spans="1:21" ht="12" customHeight="1">
      <c r="A61" s="163"/>
      <c r="B61" s="163"/>
      <c r="C61" s="261"/>
      <c r="D61" s="163"/>
      <c r="E61" s="267" t="s">
        <v>230</v>
      </c>
      <c r="F61" s="268" t="e">
        <f t="shared" ref="F61:Q61" ca="1" si="4">SUMIF($E$4:$E$55,$E61,F$4:F$55)</f>
        <v>#NAME?</v>
      </c>
      <c r="G61" s="268" t="e">
        <f t="shared" ca="1" si="4"/>
        <v>#NAME?</v>
      </c>
      <c r="H61" s="268" t="e">
        <f t="shared" ca="1" si="4"/>
        <v>#NAME?</v>
      </c>
      <c r="I61" s="268" t="e">
        <f t="shared" ca="1" si="4"/>
        <v>#NAME?</v>
      </c>
      <c r="J61" s="268" t="e">
        <f t="shared" ca="1" si="4"/>
        <v>#NAME?</v>
      </c>
      <c r="K61" s="268" t="e">
        <f t="shared" ca="1" si="4"/>
        <v>#NAME?</v>
      </c>
      <c r="L61" s="268" t="e">
        <f t="shared" ca="1" si="4"/>
        <v>#NAME?</v>
      </c>
      <c r="M61" s="268" t="e">
        <f t="shared" ca="1" si="4"/>
        <v>#NAME?</v>
      </c>
      <c r="N61" s="268" t="e">
        <f t="shared" ca="1" si="4"/>
        <v>#NAME?</v>
      </c>
      <c r="O61" s="268" t="e">
        <f t="shared" ca="1" si="4"/>
        <v>#NAME?</v>
      </c>
      <c r="P61" s="268" t="e">
        <f t="shared" ca="1" si="4"/>
        <v>#NAME?</v>
      </c>
      <c r="Q61" s="269" t="e">
        <f t="shared" ca="1" si="4"/>
        <v>#NAME?</v>
      </c>
      <c r="R61" s="163"/>
      <c r="S61" s="163"/>
      <c r="T61" s="163"/>
      <c r="U61" s="163"/>
    </row>
    <row r="62" spans="1:21" ht="12" customHeight="1">
      <c r="A62" s="163"/>
      <c r="B62" s="163"/>
      <c r="C62" s="261"/>
      <c r="D62" s="163"/>
      <c r="E62" s="270" t="s">
        <v>101</v>
      </c>
      <c r="F62" s="268" t="e">
        <f t="shared" ref="F62:Q62" ca="1" si="5">SUMIF($E$4:$E$55,$E62,F$4:F$55)</f>
        <v>#NAME?</v>
      </c>
      <c r="G62" s="268" t="e">
        <f t="shared" ca="1" si="5"/>
        <v>#NAME?</v>
      </c>
      <c r="H62" s="268" t="e">
        <f t="shared" ca="1" si="5"/>
        <v>#NAME?</v>
      </c>
      <c r="I62" s="268" t="e">
        <f t="shared" ca="1" si="5"/>
        <v>#NAME?</v>
      </c>
      <c r="J62" s="268" t="e">
        <f t="shared" ca="1" si="5"/>
        <v>#NAME?</v>
      </c>
      <c r="K62" s="268" t="e">
        <f t="shared" ca="1" si="5"/>
        <v>#NAME?</v>
      </c>
      <c r="L62" s="268" t="e">
        <f t="shared" ca="1" si="5"/>
        <v>#NAME?</v>
      </c>
      <c r="M62" s="268" t="e">
        <f t="shared" ca="1" si="5"/>
        <v>#NAME?</v>
      </c>
      <c r="N62" s="268" t="e">
        <f t="shared" ca="1" si="5"/>
        <v>#NAME?</v>
      </c>
      <c r="O62" s="268" t="e">
        <f t="shared" ca="1" si="5"/>
        <v>#NAME?</v>
      </c>
      <c r="P62" s="268" t="e">
        <f t="shared" ca="1" si="5"/>
        <v>#NAME?</v>
      </c>
      <c r="Q62" s="269" t="e">
        <f t="shared" ca="1" si="5"/>
        <v>#NAME?</v>
      </c>
      <c r="R62" s="163"/>
      <c r="S62" s="163"/>
      <c r="T62" s="163"/>
      <c r="U62" s="163"/>
    </row>
    <row r="63" spans="1:21" ht="12" customHeight="1">
      <c r="A63" s="163"/>
      <c r="B63" s="163"/>
      <c r="C63" s="261"/>
      <c r="D63" s="163"/>
      <c r="E63" s="87"/>
      <c r="F63" s="271" t="e">
        <f t="shared" ref="F63:Q63" ca="1" si="6">SUM(F58:F62)</f>
        <v>#NAME?</v>
      </c>
      <c r="G63" s="272" t="e">
        <f t="shared" ca="1" si="6"/>
        <v>#NAME?</v>
      </c>
      <c r="H63" s="272" t="e">
        <f t="shared" ca="1" si="6"/>
        <v>#NAME?</v>
      </c>
      <c r="I63" s="272" t="e">
        <f t="shared" ca="1" si="6"/>
        <v>#NAME?</v>
      </c>
      <c r="J63" s="272" t="e">
        <f t="shared" ca="1" si="6"/>
        <v>#NAME?</v>
      </c>
      <c r="K63" s="272" t="e">
        <f t="shared" ca="1" si="6"/>
        <v>#NAME?</v>
      </c>
      <c r="L63" s="272" t="e">
        <f t="shared" ca="1" si="6"/>
        <v>#NAME?</v>
      </c>
      <c r="M63" s="272" t="e">
        <f t="shared" ca="1" si="6"/>
        <v>#NAME?</v>
      </c>
      <c r="N63" s="272" t="e">
        <f t="shared" ca="1" si="6"/>
        <v>#NAME?</v>
      </c>
      <c r="O63" s="272" t="e">
        <f t="shared" ca="1" si="6"/>
        <v>#NAME?</v>
      </c>
      <c r="P63" s="272" t="e">
        <f t="shared" ca="1" si="6"/>
        <v>#NAME?</v>
      </c>
      <c r="Q63" s="273" t="e">
        <f t="shared" ca="1" si="6"/>
        <v>#NAME?</v>
      </c>
      <c r="R63" s="163"/>
      <c r="S63" s="163"/>
      <c r="T63" s="163"/>
      <c r="U63" s="163"/>
    </row>
    <row r="64" spans="1:21" ht="12" customHeight="1">
      <c r="A64" s="163"/>
      <c r="B64" s="163"/>
      <c r="C64" s="261"/>
      <c r="D64" s="163"/>
      <c r="E64" s="87"/>
      <c r="F64" s="274" t="e">
        <f t="shared" ref="F64:Q64" ca="1" si="7">F56-F63</f>
        <v>#NAME?</v>
      </c>
      <c r="G64" s="274" t="e">
        <f t="shared" ca="1" si="7"/>
        <v>#NAME?</v>
      </c>
      <c r="H64" s="274" t="e">
        <f t="shared" ca="1" si="7"/>
        <v>#NAME?</v>
      </c>
      <c r="I64" s="274" t="e">
        <f t="shared" ca="1" si="7"/>
        <v>#NAME?</v>
      </c>
      <c r="J64" s="274" t="e">
        <f t="shared" ca="1" si="7"/>
        <v>#NAME?</v>
      </c>
      <c r="K64" s="274" t="e">
        <f t="shared" ca="1" si="7"/>
        <v>#NAME?</v>
      </c>
      <c r="L64" s="274" t="e">
        <f t="shared" ca="1" si="7"/>
        <v>#NAME?</v>
      </c>
      <c r="M64" s="274" t="e">
        <f t="shared" ca="1" si="7"/>
        <v>#NAME?</v>
      </c>
      <c r="N64" s="274" t="e">
        <f t="shared" ca="1" si="7"/>
        <v>#NAME?</v>
      </c>
      <c r="O64" s="274" t="e">
        <f t="shared" ca="1" si="7"/>
        <v>#NAME?</v>
      </c>
      <c r="P64" s="274" t="e">
        <f t="shared" ca="1" si="7"/>
        <v>#NAME?</v>
      </c>
      <c r="Q64" s="274" t="e">
        <f t="shared" ca="1" si="7"/>
        <v>#NAME?</v>
      </c>
      <c r="R64" s="163"/>
      <c r="S64" s="163"/>
      <c r="T64" s="163"/>
      <c r="U64" s="163"/>
    </row>
    <row r="65" spans="1:21" ht="15.75" customHeight="1">
      <c r="A65" s="163"/>
      <c r="B65" s="163"/>
      <c r="C65" s="261"/>
      <c r="D65" s="163"/>
      <c r="E65" s="262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</row>
    <row r="66" spans="1:21" ht="15" customHeight="1">
      <c r="A66" s="163"/>
      <c r="B66" s="163"/>
      <c r="C66" s="261"/>
      <c r="D66" s="163"/>
      <c r="E66" s="262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</row>
    <row r="67" spans="1:21" ht="12" customHeight="1">
      <c r="A67" s="163"/>
      <c r="B67" s="163"/>
      <c r="C67" s="261"/>
      <c r="D67" s="275" t="s">
        <v>147</v>
      </c>
      <c r="E67" s="276" t="s">
        <v>146</v>
      </c>
      <c r="F67" s="277">
        <f t="shared" ref="F67:Q67" si="8">SUMIF($D$4:$D$55,$D67,F$4:F$55)</f>
        <v>0</v>
      </c>
      <c r="G67" s="277">
        <f t="shared" si="8"/>
        <v>0</v>
      </c>
      <c r="H67" s="277">
        <f t="shared" si="8"/>
        <v>0</v>
      </c>
      <c r="I67" s="277">
        <f t="shared" si="8"/>
        <v>0</v>
      </c>
      <c r="J67" s="277">
        <f t="shared" si="8"/>
        <v>0</v>
      </c>
      <c r="K67" s="277">
        <f t="shared" si="8"/>
        <v>0</v>
      </c>
      <c r="L67" s="277">
        <f t="shared" si="8"/>
        <v>0</v>
      </c>
      <c r="M67" s="277">
        <f t="shared" si="8"/>
        <v>0</v>
      </c>
      <c r="N67" s="277">
        <f t="shared" si="8"/>
        <v>0</v>
      </c>
      <c r="O67" s="277">
        <f t="shared" si="8"/>
        <v>0</v>
      </c>
      <c r="P67" s="277">
        <f t="shared" si="8"/>
        <v>0</v>
      </c>
      <c r="Q67" s="278">
        <f t="shared" si="8"/>
        <v>0</v>
      </c>
      <c r="R67" s="163"/>
      <c r="S67" s="163"/>
      <c r="T67" s="163"/>
      <c r="U67" s="163"/>
    </row>
    <row r="68" spans="1:21" ht="12" customHeight="1">
      <c r="A68" s="163"/>
      <c r="B68" s="163"/>
      <c r="C68" s="261"/>
      <c r="D68" s="279" t="s">
        <v>208</v>
      </c>
      <c r="E68" s="280" t="s">
        <v>207</v>
      </c>
      <c r="F68" s="281" t="e">
        <f t="shared" ref="F68:Q68" ca="1" si="9">SUMIF($D$4:$D$55,$D68,F$4:F$55)</f>
        <v>#NAME?</v>
      </c>
      <c r="G68" s="281" t="e">
        <f t="shared" ca="1" si="9"/>
        <v>#NAME?</v>
      </c>
      <c r="H68" s="281" t="e">
        <f t="shared" ca="1" si="9"/>
        <v>#NAME?</v>
      </c>
      <c r="I68" s="281" t="e">
        <f t="shared" ca="1" si="9"/>
        <v>#NAME?</v>
      </c>
      <c r="J68" s="281" t="e">
        <f t="shared" ca="1" si="9"/>
        <v>#NAME?</v>
      </c>
      <c r="K68" s="281" t="e">
        <f t="shared" ca="1" si="9"/>
        <v>#NAME?</v>
      </c>
      <c r="L68" s="281" t="e">
        <f t="shared" ca="1" si="9"/>
        <v>#NAME?</v>
      </c>
      <c r="M68" s="281" t="e">
        <f t="shared" ca="1" si="9"/>
        <v>#NAME?</v>
      </c>
      <c r="N68" s="281" t="e">
        <f t="shared" ca="1" si="9"/>
        <v>#NAME?</v>
      </c>
      <c r="O68" s="281" t="e">
        <f t="shared" ca="1" si="9"/>
        <v>#NAME?</v>
      </c>
      <c r="P68" s="281" t="e">
        <f t="shared" ca="1" si="9"/>
        <v>#NAME?</v>
      </c>
      <c r="Q68" s="282" t="e">
        <f t="shared" ca="1" si="9"/>
        <v>#NAME?</v>
      </c>
      <c r="R68" s="163"/>
      <c r="S68" s="163"/>
      <c r="T68" s="163"/>
      <c r="U68" s="163"/>
    </row>
    <row r="69" spans="1:21" ht="12" customHeight="1">
      <c r="A69" s="163"/>
      <c r="B69" s="163"/>
      <c r="C69" s="261"/>
      <c r="D69" s="283" t="s">
        <v>213</v>
      </c>
      <c r="E69" s="280" t="s">
        <v>212</v>
      </c>
      <c r="F69" s="281" t="e">
        <f t="shared" ref="F69:Q69" ca="1" si="10">SUMIF($D$4:$D$55,$D69,F$4:F$55)</f>
        <v>#NAME?</v>
      </c>
      <c r="G69" s="281" t="e">
        <f t="shared" ca="1" si="10"/>
        <v>#NAME?</v>
      </c>
      <c r="H69" s="281" t="e">
        <f t="shared" ca="1" si="10"/>
        <v>#NAME?</v>
      </c>
      <c r="I69" s="281" t="e">
        <f t="shared" ca="1" si="10"/>
        <v>#NAME?</v>
      </c>
      <c r="J69" s="281" t="e">
        <f t="shared" ca="1" si="10"/>
        <v>#NAME?</v>
      </c>
      <c r="K69" s="281" t="e">
        <f t="shared" ca="1" si="10"/>
        <v>#NAME?</v>
      </c>
      <c r="L69" s="281" t="e">
        <f t="shared" ca="1" si="10"/>
        <v>#NAME?</v>
      </c>
      <c r="M69" s="281" t="e">
        <f t="shared" ca="1" si="10"/>
        <v>#NAME?</v>
      </c>
      <c r="N69" s="281" t="e">
        <f t="shared" ca="1" si="10"/>
        <v>#NAME?</v>
      </c>
      <c r="O69" s="281" t="e">
        <f t="shared" ca="1" si="10"/>
        <v>#NAME?</v>
      </c>
      <c r="P69" s="281" t="e">
        <f t="shared" ca="1" si="10"/>
        <v>#NAME?</v>
      </c>
      <c r="Q69" s="282" t="e">
        <f t="shared" ca="1" si="10"/>
        <v>#NAME?</v>
      </c>
      <c r="R69" s="163"/>
      <c r="S69" s="163"/>
      <c r="T69" s="163"/>
      <c r="U69" s="163"/>
    </row>
    <row r="70" spans="1:21" ht="12" customHeight="1">
      <c r="D70" s="279" t="s">
        <v>222</v>
      </c>
      <c r="E70" s="280" t="s">
        <v>221</v>
      </c>
      <c r="F70" s="281" t="e">
        <f t="shared" ref="F70:Q70" ca="1" si="11">SUMIF($D$4:$D$55,$D70,F$4:F$55)</f>
        <v>#NAME?</v>
      </c>
      <c r="G70" s="281" t="e">
        <f t="shared" ca="1" si="11"/>
        <v>#NAME?</v>
      </c>
      <c r="H70" s="281" t="e">
        <f t="shared" ca="1" si="11"/>
        <v>#NAME?</v>
      </c>
      <c r="I70" s="281" t="e">
        <f t="shared" ca="1" si="11"/>
        <v>#NAME?</v>
      </c>
      <c r="J70" s="281" t="e">
        <f t="shared" ca="1" si="11"/>
        <v>#NAME?</v>
      </c>
      <c r="K70" s="281" t="e">
        <f t="shared" ca="1" si="11"/>
        <v>#NAME?</v>
      </c>
      <c r="L70" s="281" t="e">
        <f t="shared" ca="1" si="11"/>
        <v>#NAME?</v>
      </c>
      <c r="M70" s="281" t="e">
        <f t="shared" ca="1" si="11"/>
        <v>#NAME?</v>
      </c>
      <c r="N70" s="281" t="e">
        <f t="shared" ca="1" si="11"/>
        <v>#NAME?</v>
      </c>
      <c r="O70" s="281" t="e">
        <f t="shared" ca="1" si="11"/>
        <v>#NAME?</v>
      </c>
      <c r="P70" s="281" t="e">
        <f t="shared" ca="1" si="11"/>
        <v>#NAME?</v>
      </c>
      <c r="Q70" s="282" t="e">
        <f t="shared" ca="1" si="11"/>
        <v>#NAME?</v>
      </c>
    </row>
    <row r="71" spans="1:21" ht="12" customHeight="1">
      <c r="D71" s="283" t="s">
        <v>224</v>
      </c>
      <c r="E71" s="280" t="s">
        <v>223</v>
      </c>
      <c r="F71" s="281" t="e">
        <f t="shared" ref="F71:Q71" ca="1" si="12">SUMIF($D$4:$D$55,$D71,F$4:F$55)</f>
        <v>#NAME?</v>
      </c>
      <c r="G71" s="281" t="e">
        <f t="shared" ca="1" si="12"/>
        <v>#NAME?</v>
      </c>
      <c r="H71" s="281" t="e">
        <f t="shared" ca="1" si="12"/>
        <v>#NAME?</v>
      </c>
      <c r="I71" s="281" t="e">
        <f t="shared" ca="1" si="12"/>
        <v>#NAME?</v>
      </c>
      <c r="J71" s="281" t="e">
        <f t="shared" ca="1" si="12"/>
        <v>#NAME?</v>
      </c>
      <c r="K71" s="281" t="e">
        <f t="shared" ca="1" si="12"/>
        <v>#NAME?</v>
      </c>
      <c r="L71" s="281" t="e">
        <f t="shared" ca="1" si="12"/>
        <v>#NAME?</v>
      </c>
      <c r="M71" s="281" t="e">
        <f t="shared" ca="1" si="12"/>
        <v>#NAME?</v>
      </c>
      <c r="N71" s="281" t="e">
        <f t="shared" ca="1" si="12"/>
        <v>#NAME?</v>
      </c>
      <c r="O71" s="281" t="e">
        <f t="shared" ca="1" si="12"/>
        <v>#NAME?</v>
      </c>
      <c r="P71" s="281" t="e">
        <f t="shared" ca="1" si="12"/>
        <v>#NAME?</v>
      </c>
      <c r="Q71" s="282" t="e">
        <f t="shared" ca="1" si="12"/>
        <v>#NAME?</v>
      </c>
    </row>
    <row r="72" spans="1:21" ht="12" customHeight="1">
      <c r="D72" s="279" t="s">
        <v>226</v>
      </c>
      <c r="E72" s="280" t="s">
        <v>225</v>
      </c>
      <c r="F72" s="281" t="e">
        <f t="shared" ref="F72:Q72" ca="1" si="13">SUMIF($D$4:$D$55,$D72,F$4:F$55)</f>
        <v>#NAME?</v>
      </c>
      <c r="G72" s="281" t="e">
        <f t="shared" ca="1" si="13"/>
        <v>#NAME?</v>
      </c>
      <c r="H72" s="281" t="e">
        <f t="shared" ca="1" si="13"/>
        <v>#NAME?</v>
      </c>
      <c r="I72" s="281" t="e">
        <f t="shared" ca="1" si="13"/>
        <v>#NAME?</v>
      </c>
      <c r="J72" s="281" t="e">
        <f t="shared" ca="1" si="13"/>
        <v>#NAME?</v>
      </c>
      <c r="K72" s="281" t="e">
        <f t="shared" ca="1" si="13"/>
        <v>#NAME?</v>
      </c>
      <c r="L72" s="281" t="e">
        <f t="shared" ca="1" si="13"/>
        <v>#NAME?</v>
      </c>
      <c r="M72" s="281" t="e">
        <f t="shared" ca="1" si="13"/>
        <v>#NAME?</v>
      </c>
      <c r="N72" s="281" t="e">
        <f t="shared" ca="1" si="13"/>
        <v>#NAME?</v>
      </c>
      <c r="O72" s="281" t="e">
        <f t="shared" ca="1" si="13"/>
        <v>#NAME?</v>
      </c>
      <c r="P72" s="281" t="e">
        <f t="shared" ca="1" si="13"/>
        <v>#NAME?</v>
      </c>
      <c r="Q72" s="282" t="e">
        <f t="shared" ca="1" si="13"/>
        <v>#NAME?</v>
      </c>
    </row>
    <row r="73" spans="1:21" ht="12" customHeight="1">
      <c r="D73" s="284" t="s">
        <v>210</v>
      </c>
      <c r="E73" s="285" t="s">
        <v>389</v>
      </c>
      <c r="F73" s="281">
        <f t="shared" ref="F73:Q73" si="14">SUMIF($D$4:$D$55,$D73,F$4:F$55)</f>
        <v>0</v>
      </c>
      <c r="G73" s="281">
        <f t="shared" si="14"/>
        <v>0</v>
      </c>
      <c r="H73" s="281">
        <f t="shared" si="14"/>
        <v>0</v>
      </c>
      <c r="I73" s="281">
        <f t="shared" si="14"/>
        <v>0</v>
      </c>
      <c r="J73" s="281">
        <f t="shared" si="14"/>
        <v>0</v>
      </c>
      <c r="K73" s="281">
        <f t="shared" si="14"/>
        <v>0</v>
      </c>
      <c r="L73" s="281">
        <f t="shared" si="14"/>
        <v>0</v>
      </c>
      <c r="M73" s="281">
        <f t="shared" si="14"/>
        <v>0</v>
      </c>
      <c r="N73" s="281">
        <f t="shared" si="14"/>
        <v>0</v>
      </c>
      <c r="O73" s="281">
        <f t="shared" si="14"/>
        <v>0</v>
      </c>
      <c r="P73" s="281">
        <f t="shared" si="14"/>
        <v>0</v>
      </c>
      <c r="Q73" s="282">
        <f t="shared" si="14"/>
        <v>0</v>
      </c>
    </row>
    <row r="74" spans="1:21" ht="12" customHeight="1">
      <c r="D74" s="279" t="s">
        <v>115</v>
      </c>
      <c r="E74" s="280" t="s">
        <v>114</v>
      </c>
      <c r="F74" s="281">
        <f t="shared" ref="F74:Q74" si="15">SUMIF($D$4:$D$55,$D74,F$4:F$55)</f>
        <v>0</v>
      </c>
      <c r="G74" s="281">
        <f t="shared" si="15"/>
        <v>0</v>
      </c>
      <c r="H74" s="281">
        <f t="shared" si="15"/>
        <v>0</v>
      </c>
      <c r="I74" s="281">
        <f t="shared" si="15"/>
        <v>0</v>
      </c>
      <c r="J74" s="281">
        <f t="shared" si="15"/>
        <v>0</v>
      </c>
      <c r="K74" s="281">
        <f t="shared" si="15"/>
        <v>0</v>
      </c>
      <c r="L74" s="281">
        <f t="shared" si="15"/>
        <v>0</v>
      </c>
      <c r="M74" s="281">
        <f t="shared" si="15"/>
        <v>0</v>
      </c>
      <c r="N74" s="281">
        <f t="shared" si="15"/>
        <v>0</v>
      </c>
      <c r="O74" s="281">
        <f t="shared" si="15"/>
        <v>0</v>
      </c>
      <c r="P74" s="281">
        <f t="shared" si="15"/>
        <v>0</v>
      </c>
      <c r="Q74" s="282">
        <f t="shared" si="15"/>
        <v>0</v>
      </c>
    </row>
    <row r="75" spans="1:21" ht="12" customHeight="1">
      <c r="D75" s="279" t="s">
        <v>134</v>
      </c>
      <c r="E75" s="280" t="s">
        <v>133</v>
      </c>
      <c r="F75" s="281">
        <f t="shared" ref="F75:Q75" si="16">SUMIF($D$4:$D$55,$D75,F$4:F$55)</f>
        <v>0</v>
      </c>
      <c r="G75" s="281">
        <f t="shared" si="16"/>
        <v>0</v>
      </c>
      <c r="H75" s="281">
        <f t="shared" si="16"/>
        <v>0</v>
      </c>
      <c r="I75" s="281">
        <f t="shared" si="16"/>
        <v>0</v>
      </c>
      <c r="J75" s="281">
        <f t="shared" si="16"/>
        <v>0</v>
      </c>
      <c r="K75" s="281">
        <f t="shared" si="16"/>
        <v>0</v>
      </c>
      <c r="L75" s="281">
        <f t="shared" si="16"/>
        <v>0</v>
      </c>
      <c r="M75" s="281">
        <f t="shared" si="16"/>
        <v>0</v>
      </c>
      <c r="N75" s="281">
        <f t="shared" si="16"/>
        <v>0</v>
      </c>
      <c r="O75" s="281">
        <f t="shared" si="16"/>
        <v>0</v>
      </c>
      <c r="P75" s="281">
        <f t="shared" si="16"/>
        <v>0</v>
      </c>
      <c r="Q75" s="282">
        <f t="shared" si="16"/>
        <v>0</v>
      </c>
    </row>
    <row r="76" spans="1:21" ht="12" customHeight="1">
      <c r="D76" s="279" t="s">
        <v>136</v>
      </c>
      <c r="E76" s="280" t="s">
        <v>135</v>
      </c>
      <c r="F76" s="281">
        <f t="shared" ref="F76:Q76" si="17">SUMIF($D$4:$D$55,$D76,F$4:F$55)</f>
        <v>0</v>
      </c>
      <c r="G76" s="281">
        <f t="shared" si="17"/>
        <v>0</v>
      </c>
      <c r="H76" s="281">
        <f t="shared" si="17"/>
        <v>0</v>
      </c>
      <c r="I76" s="281">
        <f t="shared" si="17"/>
        <v>0</v>
      </c>
      <c r="J76" s="281">
        <f t="shared" si="17"/>
        <v>0</v>
      </c>
      <c r="K76" s="281">
        <f t="shared" si="17"/>
        <v>0</v>
      </c>
      <c r="L76" s="281">
        <f t="shared" si="17"/>
        <v>0</v>
      </c>
      <c r="M76" s="281">
        <f t="shared" si="17"/>
        <v>0</v>
      </c>
      <c r="N76" s="281">
        <f t="shared" si="17"/>
        <v>0</v>
      </c>
      <c r="O76" s="281">
        <f t="shared" si="17"/>
        <v>0</v>
      </c>
      <c r="P76" s="281">
        <f t="shared" si="17"/>
        <v>0</v>
      </c>
      <c r="Q76" s="282">
        <f t="shared" si="17"/>
        <v>0</v>
      </c>
    </row>
    <row r="77" spans="1:21" ht="12" customHeight="1">
      <c r="D77" s="279" t="s">
        <v>165</v>
      </c>
      <c r="E77" s="280" t="s">
        <v>164</v>
      </c>
      <c r="F77" s="281" t="e">
        <f t="shared" ref="F77:Q77" ca="1" si="18">SUMIF($D$4:$D$55,$D77,F$4:F$55)</f>
        <v>#NAME?</v>
      </c>
      <c r="G77" s="281" t="e">
        <f t="shared" ca="1" si="18"/>
        <v>#NAME?</v>
      </c>
      <c r="H77" s="281" t="e">
        <f t="shared" ca="1" si="18"/>
        <v>#NAME?</v>
      </c>
      <c r="I77" s="281" t="e">
        <f t="shared" ca="1" si="18"/>
        <v>#NAME?</v>
      </c>
      <c r="J77" s="281" t="e">
        <f t="shared" ca="1" si="18"/>
        <v>#NAME?</v>
      </c>
      <c r="K77" s="281" t="e">
        <f t="shared" ca="1" si="18"/>
        <v>#NAME?</v>
      </c>
      <c r="L77" s="281" t="e">
        <f t="shared" ca="1" si="18"/>
        <v>#NAME?</v>
      </c>
      <c r="M77" s="281" t="e">
        <f t="shared" ca="1" si="18"/>
        <v>#NAME?</v>
      </c>
      <c r="N77" s="281" t="e">
        <f t="shared" ca="1" si="18"/>
        <v>#NAME?</v>
      </c>
      <c r="O77" s="281" t="e">
        <f t="shared" ca="1" si="18"/>
        <v>#NAME?</v>
      </c>
      <c r="P77" s="281" t="e">
        <f t="shared" ca="1" si="18"/>
        <v>#NAME?</v>
      </c>
      <c r="Q77" s="282" t="e">
        <f t="shared" ca="1" si="18"/>
        <v>#NAME?</v>
      </c>
    </row>
    <row r="78" spans="1:21" ht="12" customHeight="1">
      <c r="D78" s="279" t="s">
        <v>167</v>
      </c>
      <c r="E78" s="280" t="s">
        <v>166</v>
      </c>
      <c r="F78" s="281" t="e">
        <f t="shared" ref="F78:Q78" ca="1" si="19">SUMIF($D$4:$D$55,$D78,F$4:F$55)</f>
        <v>#NAME?</v>
      </c>
      <c r="G78" s="281" t="e">
        <f t="shared" ca="1" si="19"/>
        <v>#NAME?</v>
      </c>
      <c r="H78" s="281" t="e">
        <f t="shared" ca="1" si="19"/>
        <v>#NAME?</v>
      </c>
      <c r="I78" s="281" t="e">
        <f t="shared" ca="1" si="19"/>
        <v>#NAME?</v>
      </c>
      <c r="J78" s="281" t="e">
        <f t="shared" ca="1" si="19"/>
        <v>#NAME?</v>
      </c>
      <c r="K78" s="281" t="e">
        <f t="shared" ca="1" si="19"/>
        <v>#NAME?</v>
      </c>
      <c r="L78" s="281" t="e">
        <f t="shared" ca="1" si="19"/>
        <v>#NAME?</v>
      </c>
      <c r="M78" s="281" t="e">
        <f t="shared" ca="1" si="19"/>
        <v>#NAME?</v>
      </c>
      <c r="N78" s="281" t="e">
        <f t="shared" ca="1" si="19"/>
        <v>#NAME?</v>
      </c>
      <c r="O78" s="281" t="e">
        <f t="shared" ca="1" si="19"/>
        <v>#NAME?</v>
      </c>
      <c r="P78" s="281" t="e">
        <f t="shared" ca="1" si="19"/>
        <v>#NAME?</v>
      </c>
      <c r="Q78" s="282" t="e">
        <f t="shared" ca="1" si="19"/>
        <v>#NAME?</v>
      </c>
    </row>
    <row r="79" spans="1:21" ht="12" customHeight="1">
      <c r="D79" s="279" t="s">
        <v>172</v>
      </c>
      <c r="E79" s="280" t="s">
        <v>171</v>
      </c>
      <c r="F79" s="281">
        <f t="shared" ref="F79:Q79" si="20">SUMIF($D$4:$D$55,$D79,F$4:F$55)</f>
        <v>0</v>
      </c>
      <c r="G79" s="281">
        <f t="shared" si="20"/>
        <v>0</v>
      </c>
      <c r="H79" s="281">
        <f t="shared" si="20"/>
        <v>0</v>
      </c>
      <c r="I79" s="281">
        <f t="shared" si="20"/>
        <v>0</v>
      </c>
      <c r="J79" s="281">
        <f t="shared" si="20"/>
        <v>0</v>
      </c>
      <c r="K79" s="281">
        <f t="shared" si="20"/>
        <v>0</v>
      </c>
      <c r="L79" s="281">
        <f t="shared" si="20"/>
        <v>0</v>
      </c>
      <c r="M79" s="281">
        <f t="shared" si="20"/>
        <v>0</v>
      </c>
      <c r="N79" s="281">
        <f t="shared" si="20"/>
        <v>0</v>
      </c>
      <c r="O79" s="281">
        <f t="shared" si="20"/>
        <v>0</v>
      </c>
      <c r="P79" s="281">
        <f t="shared" si="20"/>
        <v>0</v>
      </c>
      <c r="Q79" s="282">
        <f t="shared" si="20"/>
        <v>0</v>
      </c>
    </row>
    <row r="80" spans="1:21" ht="12" customHeight="1">
      <c r="D80" s="279" t="s">
        <v>176</v>
      </c>
      <c r="E80" s="280" t="s">
        <v>175</v>
      </c>
      <c r="F80" s="281" t="e">
        <f t="shared" ref="F80:Q80" ca="1" si="21">SUMIF($D$4:$D$55,$D80,F$4:F$55)</f>
        <v>#NAME?</v>
      </c>
      <c r="G80" s="281" t="e">
        <f t="shared" ca="1" si="21"/>
        <v>#NAME?</v>
      </c>
      <c r="H80" s="281" t="e">
        <f t="shared" ca="1" si="21"/>
        <v>#NAME?</v>
      </c>
      <c r="I80" s="281" t="e">
        <f t="shared" ca="1" si="21"/>
        <v>#NAME?</v>
      </c>
      <c r="J80" s="281" t="e">
        <f t="shared" ca="1" si="21"/>
        <v>#NAME?</v>
      </c>
      <c r="K80" s="281" t="e">
        <f t="shared" ca="1" si="21"/>
        <v>#NAME?</v>
      </c>
      <c r="L80" s="281" t="e">
        <f t="shared" ca="1" si="21"/>
        <v>#NAME?</v>
      </c>
      <c r="M80" s="281" t="e">
        <f t="shared" ca="1" si="21"/>
        <v>#NAME?</v>
      </c>
      <c r="N80" s="281" t="e">
        <f t="shared" ca="1" si="21"/>
        <v>#NAME?</v>
      </c>
      <c r="O80" s="281" t="e">
        <f t="shared" ca="1" si="21"/>
        <v>#NAME?</v>
      </c>
      <c r="P80" s="281" t="e">
        <f t="shared" ca="1" si="21"/>
        <v>#NAME?</v>
      </c>
      <c r="Q80" s="282" t="e">
        <f t="shared" ca="1" si="21"/>
        <v>#NAME?</v>
      </c>
    </row>
    <row r="81" spans="4:17" ht="12" customHeight="1">
      <c r="D81" s="279" t="s">
        <v>228</v>
      </c>
      <c r="E81" s="280" t="s">
        <v>227</v>
      </c>
      <c r="F81" s="281" t="e">
        <f t="shared" ref="F81:Q81" ca="1" si="22">SUMIF($D$4:$D$55,$D81,F$4:F$55)</f>
        <v>#NAME?</v>
      </c>
      <c r="G81" s="281" t="e">
        <f t="shared" ca="1" si="22"/>
        <v>#NAME?</v>
      </c>
      <c r="H81" s="281" t="e">
        <f t="shared" ca="1" si="22"/>
        <v>#NAME?</v>
      </c>
      <c r="I81" s="281" t="e">
        <f t="shared" ca="1" si="22"/>
        <v>#NAME?</v>
      </c>
      <c r="J81" s="281" t="e">
        <f t="shared" ca="1" si="22"/>
        <v>#NAME?</v>
      </c>
      <c r="K81" s="281" t="e">
        <f t="shared" ca="1" si="22"/>
        <v>#NAME?</v>
      </c>
      <c r="L81" s="281" t="e">
        <f t="shared" ca="1" si="22"/>
        <v>#NAME?</v>
      </c>
      <c r="M81" s="281" t="e">
        <f t="shared" ca="1" si="22"/>
        <v>#NAME?</v>
      </c>
      <c r="N81" s="281" t="e">
        <f t="shared" ca="1" si="22"/>
        <v>#NAME?</v>
      </c>
      <c r="O81" s="281" t="e">
        <f t="shared" ca="1" si="22"/>
        <v>#NAME?</v>
      </c>
      <c r="P81" s="281" t="e">
        <f t="shared" ca="1" si="22"/>
        <v>#NAME?</v>
      </c>
      <c r="Q81" s="282" t="e">
        <f t="shared" ca="1" si="22"/>
        <v>#NAME?</v>
      </c>
    </row>
    <row r="82" spans="4:17" ht="12" customHeight="1">
      <c r="D82" s="279" t="s">
        <v>174</v>
      </c>
      <c r="E82" s="280" t="s">
        <v>390</v>
      </c>
      <c r="F82" s="281" t="e">
        <f t="shared" ref="F82:Q82" ca="1" si="23">SUMIF($D$4:$D$55,$D82,F$4:F$55)</f>
        <v>#NAME?</v>
      </c>
      <c r="G82" s="281" t="e">
        <f t="shared" ca="1" si="23"/>
        <v>#NAME?</v>
      </c>
      <c r="H82" s="281" t="e">
        <f t="shared" ca="1" si="23"/>
        <v>#NAME?</v>
      </c>
      <c r="I82" s="281" t="e">
        <f t="shared" ca="1" si="23"/>
        <v>#NAME?</v>
      </c>
      <c r="J82" s="281" t="e">
        <f t="shared" ca="1" si="23"/>
        <v>#NAME?</v>
      </c>
      <c r="K82" s="281" t="e">
        <f t="shared" ca="1" si="23"/>
        <v>#NAME?</v>
      </c>
      <c r="L82" s="281" t="e">
        <f t="shared" ca="1" si="23"/>
        <v>#NAME?</v>
      </c>
      <c r="M82" s="281" t="e">
        <f t="shared" ca="1" si="23"/>
        <v>#NAME?</v>
      </c>
      <c r="N82" s="281" t="e">
        <f t="shared" ca="1" si="23"/>
        <v>#NAME?</v>
      </c>
      <c r="O82" s="281" t="e">
        <f t="shared" ca="1" si="23"/>
        <v>#NAME?</v>
      </c>
      <c r="P82" s="281" t="e">
        <f t="shared" ca="1" si="23"/>
        <v>#NAME?</v>
      </c>
      <c r="Q82" s="282" t="e">
        <f t="shared" ca="1" si="23"/>
        <v>#NAME?</v>
      </c>
    </row>
    <row r="83" spans="4:17" ht="12" customHeight="1">
      <c r="D83" s="279" t="s">
        <v>178</v>
      </c>
      <c r="E83" s="280" t="s">
        <v>177</v>
      </c>
      <c r="F83" s="281" t="e">
        <f t="shared" ref="F83:Q83" ca="1" si="24">SUMIF($D$4:$D$55,$D83,F$4:F$55)</f>
        <v>#NAME?</v>
      </c>
      <c r="G83" s="281" t="e">
        <f t="shared" ca="1" si="24"/>
        <v>#NAME?</v>
      </c>
      <c r="H83" s="281" t="e">
        <f t="shared" ca="1" si="24"/>
        <v>#NAME?</v>
      </c>
      <c r="I83" s="281" t="e">
        <f t="shared" ca="1" si="24"/>
        <v>#NAME?</v>
      </c>
      <c r="J83" s="281" t="e">
        <f t="shared" ca="1" si="24"/>
        <v>#NAME?</v>
      </c>
      <c r="K83" s="281" t="e">
        <f t="shared" ca="1" si="24"/>
        <v>#NAME?</v>
      </c>
      <c r="L83" s="281" t="e">
        <f t="shared" ca="1" si="24"/>
        <v>#NAME?</v>
      </c>
      <c r="M83" s="281" t="e">
        <f t="shared" ca="1" si="24"/>
        <v>#NAME?</v>
      </c>
      <c r="N83" s="281" t="e">
        <f t="shared" ca="1" si="24"/>
        <v>#NAME?</v>
      </c>
      <c r="O83" s="281" t="e">
        <f t="shared" ca="1" si="24"/>
        <v>#NAME?</v>
      </c>
      <c r="P83" s="281" t="e">
        <f t="shared" ca="1" si="24"/>
        <v>#NAME?</v>
      </c>
      <c r="Q83" s="282" t="e">
        <f t="shared" ca="1" si="24"/>
        <v>#NAME?</v>
      </c>
    </row>
    <row r="84" spans="4:17" ht="12" customHeight="1">
      <c r="D84" s="284" t="s">
        <v>229</v>
      </c>
      <c r="E84" s="280" t="s">
        <v>391</v>
      </c>
      <c r="F84" s="281" t="e">
        <f t="shared" ref="F84:Q84" ca="1" si="25">SUMIF($D$4:$D$55,$D84,F$4:F$55)</f>
        <v>#NAME?</v>
      </c>
      <c r="G84" s="281" t="e">
        <f t="shared" ca="1" si="25"/>
        <v>#NAME?</v>
      </c>
      <c r="H84" s="281" t="e">
        <f t="shared" ca="1" si="25"/>
        <v>#NAME?</v>
      </c>
      <c r="I84" s="281" t="e">
        <f t="shared" ca="1" si="25"/>
        <v>#NAME?</v>
      </c>
      <c r="J84" s="281" t="e">
        <f t="shared" ca="1" si="25"/>
        <v>#NAME?</v>
      </c>
      <c r="K84" s="281" t="e">
        <f t="shared" ca="1" si="25"/>
        <v>#NAME?</v>
      </c>
      <c r="L84" s="281" t="e">
        <f t="shared" ca="1" si="25"/>
        <v>#NAME?</v>
      </c>
      <c r="M84" s="281" t="e">
        <f t="shared" ca="1" si="25"/>
        <v>#NAME?</v>
      </c>
      <c r="N84" s="281" t="e">
        <f t="shared" ca="1" si="25"/>
        <v>#NAME?</v>
      </c>
      <c r="O84" s="281" t="e">
        <f t="shared" ca="1" si="25"/>
        <v>#NAME?</v>
      </c>
      <c r="P84" s="281" t="e">
        <f t="shared" ca="1" si="25"/>
        <v>#NAME?</v>
      </c>
      <c r="Q84" s="282" t="e">
        <f t="shared" ca="1" si="25"/>
        <v>#NAME?</v>
      </c>
    </row>
    <row r="85" spans="4:17" ht="12" customHeight="1">
      <c r="D85" s="279" t="s">
        <v>188</v>
      </c>
      <c r="E85" s="280" t="s">
        <v>187</v>
      </c>
      <c r="F85" s="281" t="e">
        <f t="shared" ref="F85:Q85" ca="1" si="26">SUMIF($D$4:$D$55,$D85,F$4:F$55)</f>
        <v>#NAME?</v>
      </c>
      <c r="G85" s="281" t="e">
        <f t="shared" ca="1" si="26"/>
        <v>#NAME?</v>
      </c>
      <c r="H85" s="281" t="e">
        <f t="shared" ca="1" si="26"/>
        <v>#NAME?</v>
      </c>
      <c r="I85" s="281" t="e">
        <f t="shared" ca="1" si="26"/>
        <v>#NAME?</v>
      </c>
      <c r="J85" s="281" t="e">
        <f t="shared" ca="1" si="26"/>
        <v>#NAME?</v>
      </c>
      <c r="K85" s="281" t="e">
        <f t="shared" ca="1" si="26"/>
        <v>#NAME?</v>
      </c>
      <c r="L85" s="281" t="e">
        <f t="shared" ca="1" si="26"/>
        <v>#NAME?</v>
      </c>
      <c r="M85" s="281" t="e">
        <f t="shared" ca="1" si="26"/>
        <v>#NAME?</v>
      </c>
      <c r="N85" s="281" t="e">
        <f t="shared" ca="1" si="26"/>
        <v>#NAME?</v>
      </c>
      <c r="O85" s="281" t="e">
        <f t="shared" ca="1" si="26"/>
        <v>#NAME?</v>
      </c>
      <c r="P85" s="281" t="e">
        <f t="shared" ca="1" si="26"/>
        <v>#NAME?</v>
      </c>
      <c r="Q85" s="282" t="e">
        <f t="shared" ca="1" si="26"/>
        <v>#NAME?</v>
      </c>
    </row>
    <row r="86" spans="4:17" ht="12" customHeight="1">
      <c r="D86" s="286" t="s">
        <v>220</v>
      </c>
      <c r="E86" s="280" t="s">
        <v>218</v>
      </c>
      <c r="F86" s="281" t="e">
        <f t="shared" ref="F86:Q86" ca="1" si="27">SUMIF($D$4:$D$55,$D86,F$4:F$55)</f>
        <v>#NAME?</v>
      </c>
      <c r="G86" s="281" t="e">
        <f t="shared" ca="1" si="27"/>
        <v>#NAME?</v>
      </c>
      <c r="H86" s="281" t="e">
        <f t="shared" ca="1" si="27"/>
        <v>#NAME?</v>
      </c>
      <c r="I86" s="281" t="e">
        <f t="shared" ca="1" si="27"/>
        <v>#NAME?</v>
      </c>
      <c r="J86" s="281" t="e">
        <f t="shared" ca="1" si="27"/>
        <v>#NAME?</v>
      </c>
      <c r="K86" s="281" t="e">
        <f t="shared" ca="1" si="27"/>
        <v>#NAME?</v>
      </c>
      <c r="L86" s="281" t="e">
        <f t="shared" ca="1" si="27"/>
        <v>#NAME?</v>
      </c>
      <c r="M86" s="281" t="e">
        <f t="shared" ca="1" si="27"/>
        <v>#NAME?</v>
      </c>
      <c r="N86" s="281" t="e">
        <f t="shared" ca="1" si="27"/>
        <v>#NAME?</v>
      </c>
      <c r="O86" s="281" t="e">
        <f t="shared" ca="1" si="27"/>
        <v>#NAME?</v>
      </c>
      <c r="P86" s="281" t="e">
        <f t="shared" ca="1" si="27"/>
        <v>#NAME?</v>
      </c>
      <c r="Q86" s="282" t="e">
        <f t="shared" ca="1" si="27"/>
        <v>#NAME?</v>
      </c>
    </row>
    <row r="87" spans="4:17" ht="12" customHeight="1">
      <c r="D87" s="286" t="s">
        <v>232</v>
      </c>
      <c r="E87" s="280" t="s">
        <v>392</v>
      </c>
      <c r="F87" s="281" t="e">
        <f t="shared" ref="F87:Q87" ca="1" si="28">SUMIF($D$4:$D$55,$D87,F$4:F$55)</f>
        <v>#NAME?</v>
      </c>
      <c r="G87" s="281" t="e">
        <f t="shared" ca="1" si="28"/>
        <v>#NAME?</v>
      </c>
      <c r="H87" s="281" t="e">
        <f t="shared" ca="1" si="28"/>
        <v>#NAME?</v>
      </c>
      <c r="I87" s="281" t="e">
        <f t="shared" ca="1" si="28"/>
        <v>#NAME?</v>
      </c>
      <c r="J87" s="281" t="e">
        <f t="shared" ca="1" si="28"/>
        <v>#NAME?</v>
      </c>
      <c r="K87" s="281" t="e">
        <f t="shared" ca="1" si="28"/>
        <v>#NAME?</v>
      </c>
      <c r="L87" s="281" t="e">
        <f t="shared" ca="1" si="28"/>
        <v>#NAME?</v>
      </c>
      <c r="M87" s="281" t="e">
        <f t="shared" ca="1" si="28"/>
        <v>#NAME?</v>
      </c>
      <c r="N87" s="281" t="e">
        <f t="shared" ca="1" si="28"/>
        <v>#NAME?</v>
      </c>
      <c r="O87" s="281" t="e">
        <f t="shared" ca="1" si="28"/>
        <v>#NAME?</v>
      </c>
      <c r="P87" s="281" t="e">
        <f t="shared" ca="1" si="28"/>
        <v>#NAME?</v>
      </c>
      <c r="Q87" s="282" t="e">
        <f t="shared" ca="1" si="28"/>
        <v>#NAME?</v>
      </c>
    </row>
    <row r="88" spans="4:17" ht="12" customHeight="1">
      <c r="D88" s="286" t="s">
        <v>211</v>
      </c>
      <c r="E88" s="280" t="s">
        <v>393</v>
      </c>
      <c r="F88" s="281">
        <f t="shared" ref="F88:Q88" si="29">SUMIF($D$4:$D$55,$D88,F$4:F$55)</f>
        <v>0</v>
      </c>
      <c r="G88" s="281">
        <f t="shared" si="29"/>
        <v>0</v>
      </c>
      <c r="H88" s="281">
        <f t="shared" si="29"/>
        <v>0</v>
      </c>
      <c r="I88" s="281">
        <f t="shared" si="29"/>
        <v>0</v>
      </c>
      <c r="J88" s="281">
        <f t="shared" si="29"/>
        <v>0</v>
      </c>
      <c r="K88" s="281">
        <f t="shared" si="29"/>
        <v>0</v>
      </c>
      <c r="L88" s="281">
        <f t="shared" si="29"/>
        <v>0</v>
      </c>
      <c r="M88" s="281">
        <f t="shared" si="29"/>
        <v>0</v>
      </c>
      <c r="N88" s="281">
        <f t="shared" si="29"/>
        <v>0</v>
      </c>
      <c r="O88" s="281">
        <f t="shared" si="29"/>
        <v>0</v>
      </c>
      <c r="P88" s="281">
        <f t="shared" si="29"/>
        <v>0</v>
      </c>
      <c r="Q88" s="282">
        <f t="shared" si="29"/>
        <v>0</v>
      </c>
    </row>
    <row r="89" spans="4:17" ht="12" customHeight="1">
      <c r="D89" s="286" t="s">
        <v>186</v>
      </c>
      <c r="E89" s="280" t="s">
        <v>185</v>
      </c>
      <c r="F89" s="281">
        <f t="shared" ref="F89:Q89" si="30">SUMIF($D$4:$D$55,$D89,F$4:F$55)</f>
        <v>0</v>
      </c>
      <c r="G89" s="281">
        <f t="shared" si="30"/>
        <v>0</v>
      </c>
      <c r="H89" s="281">
        <f t="shared" si="30"/>
        <v>0</v>
      </c>
      <c r="I89" s="281">
        <f t="shared" si="30"/>
        <v>0</v>
      </c>
      <c r="J89" s="281">
        <f t="shared" si="30"/>
        <v>0</v>
      </c>
      <c r="K89" s="281">
        <f t="shared" si="30"/>
        <v>0</v>
      </c>
      <c r="L89" s="281">
        <f t="shared" si="30"/>
        <v>0</v>
      </c>
      <c r="M89" s="281">
        <f t="shared" si="30"/>
        <v>0</v>
      </c>
      <c r="N89" s="281">
        <f t="shared" si="30"/>
        <v>0</v>
      </c>
      <c r="O89" s="281">
        <f t="shared" si="30"/>
        <v>0</v>
      </c>
      <c r="P89" s="281">
        <f t="shared" si="30"/>
        <v>0</v>
      </c>
      <c r="Q89" s="282">
        <f t="shared" si="30"/>
        <v>0</v>
      </c>
    </row>
    <row r="90" spans="4:17" ht="12" customHeight="1">
      <c r="D90" s="286" t="s">
        <v>211</v>
      </c>
      <c r="E90" s="280" t="s">
        <v>179</v>
      </c>
      <c r="F90" s="281">
        <f t="shared" ref="F90:Q90" si="31">SUMIF($D$4:$D$55,$D90,F$4:F$55)</f>
        <v>0</v>
      </c>
      <c r="G90" s="281">
        <f t="shared" si="31"/>
        <v>0</v>
      </c>
      <c r="H90" s="281">
        <f t="shared" si="31"/>
        <v>0</v>
      </c>
      <c r="I90" s="281">
        <f t="shared" si="31"/>
        <v>0</v>
      </c>
      <c r="J90" s="281">
        <f t="shared" si="31"/>
        <v>0</v>
      </c>
      <c r="K90" s="281">
        <f t="shared" si="31"/>
        <v>0</v>
      </c>
      <c r="L90" s="281">
        <f t="shared" si="31"/>
        <v>0</v>
      </c>
      <c r="M90" s="281">
        <f t="shared" si="31"/>
        <v>0</v>
      </c>
      <c r="N90" s="281">
        <f t="shared" si="31"/>
        <v>0</v>
      </c>
      <c r="O90" s="281">
        <f t="shared" si="31"/>
        <v>0</v>
      </c>
      <c r="P90" s="281">
        <f t="shared" si="31"/>
        <v>0</v>
      </c>
      <c r="Q90" s="282">
        <f t="shared" si="31"/>
        <v>0</v>
      </c>
    </row>
    <row r="91" spans="4:17" ht="12" customHeight="1">
      <c r="D91" s="279" t="s">
        <v>194</v>
      </c>
      <c r="E91" s="280" t="s">
        <v>193</v>
      </c>
      <c r="F91" s="281" t="e">
        <f t="shared" ref="F91:Q91" ca="1" si="32">SUMIF($D$4:$D$55,$D91,F$4:F$55)</f>
        <v>#NAME?</v>
      </c>
      <c r="G91" s="281" t="e">
        <f t="shared" ca="1" si="32"/>
        <v>#NAME?</v>
      </c>
      <c r="H91" s="281" t="e">
        <f t="shared" ca="1" si="32"/>
        <v>#NAME?</v>
      </c>
      <c r="I91" s="281" t="e">
        <f t="shared" ca="1" si="32"/>
        <v>#NAME?</v>
      </c>
      <c r="J91" s="281" t="e">
        <f t="shared" ca="1" si="32"/>
        <v>#NAME?</v>
      </c>
      <c r="K91" s="281" t="e">
        <f t="shared" ca="1" si="32"/>
        <v>#NAME?</v>
      </c>
      <c r="L91" s="281" t="e">
        <f t="shared" ca="1" si="32"/>
        <v>#NAME?</v>
      </c>
      <c r="M91" s="281" t="e">
        <f t="shared" ca="1" si="32"/>
        <v>#NAME?</v>
      </c>
      <c r="N91" s="281" t="e">
        <f t="shared" ca="1" si="32"/>
        <v>#NAME?</v>
      </c>
      <c r="O91" s="281" t="e">
        <f t="shared" ca="1" si="32"/>
        <v>#NAME?</v>
      </c>
      <c r="P91" s="281" t="e">
        <f t="shared" ca="1" si="32"/>
        <v>#NAME?</v>
      </c>
      <c r="Q91" s="282" t="e">
        <f t="shared" ca="1" si="32"/>
        <v>#NAME?</v>
      </c>
    </row>
    <row r="92" spans="4:17" ht="12" customHeight="1">
      <c r="D92" s="279" t="s">
        <v>196</v>
      </c>
      <c r="E92" s="280" t="s">
        <v>195</v>
      </c>
      <c r="F92" s="281" t="e">
        <f t="shared" ref="F92:Q92" ca="1" si="33">SUMIF($D$4:$D$55,$D92,F$4:F$55)</f>
        <v>#NAME?</v>
      </c>
      <c r="G92" s="281" t="e">
        <f t="shared" ca="1" si="33"/>
        <v>#NAME?</v>
      </c>
      <c r="H92" s="281" t="e">
        <f t="shared" ca="1" si="33"/>
        <v>#NAME?</v>
      </c>
      <c r="I92" s="281" t="e">
        <f t="shared" ca="1" si="33"/>
        <v>#NAME?</v>
      </c>
      <c r="J92" s="281" t="e">
        <f t="shared" ca="1" si="33"/>
        <v>#NAME?</v>
      </c>
      <c r="K92" s="281" t="e">
        <f t="shared" ca="1" si="33"/>
        <v>#NAME?</v>
      </c>
      <c r="L92" s="281" t="e">
        <f t="shared" ca="1" si="33"/>
        <v>#NAME?</v>
      </c>
      <c r="M92" s="281" t="e">
        <f t="shared" ca="1" si="33"/>
        <v>#NAME?</v>
      </c>
      <c r="N92" s="281" t="e">
        <f t="shared" ca="1" si="33"/>
        <v>#NAME?</v>
      </c>
      <c r="O92" s="281" t="e">
        <f t="shared" ca="1" si="33"/>
        <v>#NAME?</v>
      </c>
      <c r="P92" s="281" t="e">
        <f t="shared" ca="1" si="33"/>
        <v>#NAME?</v>
      </c>
      <c r="Q92" s="282" t="e">
        <f t="shared" ca="1" si="33"/>
        <v>#NAME?</v>
      </c>
    </row>
    <row r="93" spans="4:17" ht="12" customHeight="1">
      <c r="D93" s="284" t="s">
        <v>206</v>
      </c>
      <c r="E93" s="285" t="s">
        <v>205</v>
      </c>
      <c r="F93" s="281" t="e">
        <f t="shared" ref="F93:Q93" ca="1" si="34">SUMIF($D$4:$D$55,$D93,F$4:F$55)</f>
        <v>#NAME?</v>
      </c>
      <c r="G93" s="281" t="e">
        <f t="shared" ca="1" si="34"/>
        <v>#NAME?</v>
      </c>
      <c r="H93" s="281" t="e">
        <f t="shared" ca="1" si="34"/>
        <v>#NAME?</v>
      </c>
      <c r="I93" s="281" t="e">
        <f t="shared" ca="1" si="34"/>
        <v>#NAME?</v>
      </c>
      <c r="J93" s="281" t="e">
        <f t="shared" ca="1" si="34"/>
        <v>#NAME?</v>
      </c>
      <c r="K93" s="281" t="e">
        <f t="shared" ca="1" si="34"/>
        <v>#NAME?</v>
      </c>
      <c r="L93" s="281" t="e">
        <f t="shared" ca="1" si="34"/>
        <v>#NAME?</v>
      </c>
      <c r="M93" s="281" t="e">
        <f t="shared" ca="1" si="34"/>
        <v>#NAME?</v>
      </c>
      <c r="N93" s="281" t="e">
        <f t="shared" ca="1" si="34"/>
        <v>#NAME?</v>
      </c>
      <c r="O93" s="281" t="e">
        <f t="shared" ca="1" si="34"/>
        <v>#NAME?</v>
      </c>
      <c r="P93" s="281" t="e">
        <f t="shared" ca="1" si="34"/>
        <v>#NAME?</v>
      </c>
      <c r="Q93" s="282" t="e">
        <f t="shared" ca="1" si="34"/>
        <v>#NAME?</v>
      </c>
    </row>
    <row r="94" spans="4:17" ht="12" customHeight="1">
      <c r="D94" s="287" t="s">
        <v>200</v>
      </c>
      <c r="E94" s="288" t="s">
        <v>199</v>
      </c>
      <c r="F94" s="289">
        <f t="shared" ref="F94:Q94" si="35">SUMIF($D$4:$D$55,$D94,F$4:F$55)</f>
        <v>8750</v>
      </c>
      <c r="G94" s="289">
        <f t="shared" si="35"/>
        <v>12250</v>
      </c>
      <c r="H94" s="289" t="e">
        <f t="shared" ca="1" si="35"/>
        <v>#NAME?</v>
      </c>
      <c r="I94" s="289" t="e">
        <f t="shared" ca="1" si="35"/>
        <v>#NAME?</v>
      </c>
      <c r="J94" s="289" t="e">
        <f t="shared" ca="1" si="35"/>
        <v>#NAME?</v>
      </c>
      <c r="K94" s="289" t="e">
        <f t="shared" ca="1" si="35"/>
        <v>#NAME?</v>
      </c>
      <c r="L94" s="289" t="e">
        <f t="shared" ca="1" si="35"/>
        <v>#NAME?</v>
      </c>
      <c r="M94" s="289" t="e">
        <f t="shared" ca="1" si="35"/>
        <v>#NAME?</v>
      </c>
      <c r="N94" s="289" t="e">
        <f t="shared" ca="1" si="35"/>
        <v>#NAME?</v>
      </c>
      <c r="O94" s="289" t="e">
        <f t="shared" ca="1" si="35"/>
        <v>#NAME?</v>
      </c>
      <c r="P94" s="289" t="e">
        <f t="shared" ca="1" si="35"/>
        <v>#NAME?</v>
      </c>
      <c r="Q94" s="290" t="e">
        <f t="shared" ca="1" si="35"/>
        <v>#NAME?</v>
      </c>
    </row>
    <row r="95" spans="4:17" ht="12" customHeight="1">
      <c r="D95" s="1"/>
      <c r="E95" s="8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4:17" ht="12" customHeight="1">
      <c r="D96" s="1"/>
      <c r="E96" s="87"/>
      <c r="F96" s="291" t="e">
        <f t="shared" ref="F96:Q96" ca="1" si="36">SUM(F67:F94)</f>
        <v>#NAME?</v>
      </c>
      <c r="G96" s="291" t="e">
        <f t="shared" ca="1" si="36"/>
        <v>#NAME?</v>
      </c>
      <c r="H96" s="291" t="e">
        <f t="shared" ca="1" si="36"/>
        <v>#NAME?</v>
      </c>
      <c r="I96" s="291" t="e">
        <f t="shared" ca="1" si="36"/>
        <v>#NAME?</v>
      </c>
      <c r="J96" s="291" t="e">
        <f t="shared" ca="1" si="36"/>
        <v>#NAME?</v>
      </c>
      <c r="K96" s="291" t="e">
        <f t="shared" ca="1" si="36"/>
        <v>#NAME?</v>
      </c>
      <c r="L96" s="291" t="e">
        <f t="shared" ca="1" si="36"/>
        <v>#NAME?</v>
      </c>
      <c r="M96" s="291" t="e">
        <f t="shared" ca="1" si="36"/>
        <v>#NAME?</v>
      </c>
      <c r="N96" s="291" t="e">
        <f t="shared" ca="1" si="36"/>
        <v>#NAME?</v>
      </c>
      <c r="O96" s="291" t="e">
        <f t="shared" ca="1" si="36"/>
        <v>#NAME?</v>
      </c>
      <c r="P96" s="291" t="e">
        <f t="shared" ca="1" si="36"/>
        <v>#NAME?</v>
      </c>
      <c r="Q96" s="291" t="e">
        <f t="shared" ca="1" si="36"/>
        <v>#NAME?</v>
      </c>
    </row>
    <row r="97" spans="4:17" ht="12" customHeight="1">
      <c r="D97" s="292" t="s">
        <v>394</v>
      </c>
      <c r="E97" s="87"/>
      <c r="F97" s="243" t="e">
        <f t="shared" ref="F97:Q97" ca="1" si="37">F96-F63</f>
        <v>#NAME?</v>
      </c>
      <c r="G97" s="243" t="e">
        <f t="shared" ca="1" si="37"/>
        <v>#NAME?</v>
      </c>
      <c r="H97" s="243" t="e">
        <f t="shared" ca="1" si="37"/>
        <v>#NAME?</v>
      </c>
      <c r="I97" s="243" t="e">
        <f t="shared" ca="1" si="37"/>
        <v>#NAME?</v>
      </c>
      <c r="J97" s="243" t="e">
        <f t="shared" ca="1" si="37"/>
        <v>#NAME?</v>
      </c>
      <c r="K97" s="243" t="e">
        <f t="shared" ca="1" si="37"/>
        <v>#NAME?</v>
      </c>
      <c r="L97" s="243" t="e">
        <f t="shared" ca="1" si="37"/>
        <v>#NAME?</v>
      </c>
      <c r="M97" s="243" t="e">
        <f t="shared" ca="1" si="37"/>
        <v>#NAME?</v>
      </c>
      <c r="N97" s="243" t="e">
        <f t="shared" ca="1" si="37"/>
        <v>#NAME?</v>
      </c>
      <c r="O97" s="243" t="e">
        <f t="shared" ca="1" si="37"/>
        <v>#NAME?</v>
      </c>
      <c r="P97" s="243" t="e">
        <f t="shared" ca="1" si="37"/>
        <v>#NAME?</v>
      </c>
      <c r="Q97" s="243" t="e">
        <f t="shared" ca="1" si="37"/>
        <v>#NAME?</v>
      </c>
    </row>
  </sheetData>
  <autoFilter ref="D1:D1012" xr:uid="{00000000-0009-0000-0000-000004000000}"/>
  <mergeCells count="20">
    <mergeCell ref="S4:S5"/>
    <mergeCell ref="T4:T5"/>
    <mergeCell ref="U4:U5"/>
    <mergeCell ref="I4:I5"/>
    <mergeCell ref="J4:J5"/>
    <mergeCell ref="K4:K5"/>
    <mergeCell ref="L4:L5"/>
    <mergeCell ref="M4:M5"/>
    <mergeCell ref="N4:N5"/>
    <mergeCell ref="O4:O5"/>
    <mergeCell ref="G4:G5"/>
    <mergeCell ref="H4:H5"/>
    <mergeCell ref="P4:P5"/>
    <mergeCell ref="Q4:Q5"/>
    <mergeCell ref="R4:R5"/>
    <mergeCell ref="A4:A5"/>
    <mergeCell ref="B4:B5"/>
    <mergeCell ref="C4:C5"/>
    <mergeCell ref="E4:E5"/>
    <mergeCell ref="F4:F5"/>
  </mergeCells>
  <dataValidations count="1">
    <dataValidation type="list" allowBlank="1" showErrorMessage="1" sqref="E7:E54" xr:uid="{00000000-0002-0000-0400-000000000000}">
      <formula1>$E$58:$E$63</formula1>
    </dataValidation>
  </dataValidations>
  <pageMargins left="0.511811024" right="0.511811024" top="0.78740157499999996" bottom="0.78740157499999996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2000000}">
          <x14:formula1>
            <xm:f>METRICS!#REF!</xm:f>
          </x14:formula1>
          <xm:sqref>U7:U55</xm:sqref>
        </x14:dataValidation>
        <x14:dataValidation type="list" allowBlank="1" showErrorMessage="1" xr:uid="{00000000-0002-0000-0400-000001000000}">
          <x14:formula1>
            <xm:f>METRICS!$B$2:$B$98</xm:f>
          </x14:formula1>
          <xm:sqref>D7:D33 D35:D54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B2:P34"/>
  <sheetViews>
    <sheetView showGridLines="0" workbookViewId="0">
      <pane xSplit="1" ySplit="2" topLeftCell="U3" activePane="bottomRight" state="frozen"/>
      <selection pane="topRight" activeCell="B1" sqref="B1"/>
      <selection pane="bottomLeft" activeCell="A3" sqref="A3"/>
      <selection pane="bottomRight" activeCell="U32" sqref="U32:V36"/>
    </sheetView>
  </sheetViews>
  <sheetFormatPr defaultColWidth="12.5703125" defaultRowHeight="15" customHeight="1"/>
  <cols>
    <col min="1" max="1" width="1.5703125" customWidth="1"/>
    <col min="2" max="2" width="7.85546875" customWidth="1"/>
    <col min="3" max="3" width="50.5703125" customWidth="1"/>
    <col min="4" max="15" width="10.5703125" customWidth="1"/>
    <col min="16" max="16" width="12" customWidth="1"/>
    <col min="17" max="26" width="9.140625" customWidth="1"/>
  </cols>
  <sheetData>
    <row r="2" spans="2:16" ht="12.75" customHeight="1">
      <c r="B2" s="202" t="s">
        <v>267</v>
      </c>
      <c r="C2" s="202" t="s">
        <v>268</v>
      </c>
      <c r="D2" s="202" t="s">
        <v>0</v>
      </c>
      <c r="E2" s="202" t="s">
        <v>1</v>
      </c>
      <c r="F2" s="202" t="s">
        <v>2</v>
      </c>
      <c r="G2" s="202" t="s">
        <v>3</v>
      </c>
      <c r="H2" s="202" t="s">
        <v>60</v>
      </c>
      <c r="I2" s="202" t="s">
        <v>5</v>
      </c>
      <c r="J2" s="202" t="s">
        <v>6</v>
      </c>
      <c r="K2" s="202" t="s">
        <v>7</v>
      </c>
      <c r="L2" s="202" t="s">
        <v>8</v>
      </c>
      <c r="M2" s="202" t="s">
        <v>9</v>
      </c>
      <c r="N2" s="202" t="s">
        <v>10</v>
      </c>
      <c r="O2" s="202" t="s">
        <v>11</v>
      </c>
      <c r="P2" s="202" t="s">
        <v>61</v>
      </c>
    </row>
    <row r="3" spans="2:16" ht="4.5" customHeight="1">
      <c r="B3" s="76"/>
      <c r="C3" s="1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2:16" ht="12.75" customHeight="1">
      <c r="B4" s="293">
        <v>0.13</v>
      </c>
      <c r="C4" s="294" t="s">
        <v>395</v>
      </c>
      <c r="D4" s="205">
        <f>'04 -Base Orçado 2026'!E11*'Base Gorjeta'!$B$4</f>
        <v>225671.23078500005</v>
      </c>
      <c r="E4" s="205">
        <f>'04 -Base Orçado 2026'!F11*'Base Gorjeta'!$B$4</f>
        <v>346397.62138800003</v>
      </c>
      <c r="F4" s="205">
        <f>'04 -Base Orçado 2026'!G11*'Base Gorjeta'!$B$4</f>
        <v>349098.31736519997</v>
      </c>
      <c r="G4" s="205">
        <f>'04 -Base Orçado 2026'!H11*'Base Gorjeta'!$B$4</f>
        <v>358175.58801960002</v>
      </c>
      <c r="H4" s="205">
        <f>'04 -Base Orçado 2026'!I11*'Base Gorjeta'!$B$4</f>
        <v>402573.98355720012</v>
      </c>
      <c r="I4" s="205">
        <f>'04 -Base Orçado 2026'!J11*'Base Gorjeta'!$B$4</f>
        <v>341348.69953079999</v>
      </c>
      <c r="J4" s="205">
        <f>'04 -Base Orçado 2026'!K11*'Base Gorjeta'!$B$4</f>
        <v>329398.24115639995</v>
      </c>
      <c r="K4" s="205">
        <f>'04 -Base Orçado 2026'!L11*'Base Gorjeta'!$B$4</f>
        <v>336939.21574560012</v>
      </c>
      <c r="L4" s="205">
        <f>'04 -Base Orçado 2026'!M11*'Base Gorjeta'!$B$4</f>
        <v>332791.5659328</v>
      </c>
      <c r="M4" s="205">
        <f>'04 -Base Orçado 2026'!N11*'Base Gorjeta'!$B$4</f>
        <v>323307.47100600001</v>
      </c>
      <c r="N4" s="205">
        <f>'04 -Base Orçado 2026'!O11*'Base Gorjeta'!$B$4</f>
        <v>382185.48106440005</v>
      </c>
      <c r="O4" s="205">
        <f>'04 -Base Orçado 2026'!P11*'Base Gorjeta'!$B$4</f>
        <v>271999.00876200001</v>
      </c>
      <c r="P4" s="206">
        <f t="shared" ref="P4:P5" si="0">SUM(D4:O4)</f>
        <v>3999886.4243130004</v>
      </c>
    </row>
    <row r="5" spans="2:16" ht="12.75" customHeight="1">
      <c r="B5" s="295">
        <v>0.67</v>
      </c>
      <c r="C5" s="296" t="s">
        <v>396</v>
      </c>
      <c r="D5" s="209">
        <f t="shared" ref="D5:O5" si="1">D4*67%</f>
        <v>151199.72462595004</v>
      </c>
      <c r="E5" s="209">
        <f t="shared" si="1"/>
        <v>232086.40632996004</v>
      </c>
      <c r="F5" s="209">
        <f t="shared" si="1"/>
        <v>233895.872634684</v>
      </c>
      <c r="G5" s="209">
        <f t="shared" si="1"/>
        <v>239977.64397313204</v>
      </c>
      <c r="H5" s="209">
        <f t="shared" si="1"/>
        <v>269724.5689833241</v>
      </c>
      <c r="I5" s="209">
        <f t="shared" si="1"/>
        <v>228703.62868563601</v>
      </c>
      <c r="J5" s="209">
        <f t="shared" si="1"/>
        <v>220696.82157478799</v>
      </c>
      <c r="K5" s="209">
        <f t="shared" si="1"/>
        <v>225749.27454955209</v>
      </c>
      <c r="L5" s="209">
        <f t="shared" si="1"/>
        <v>222970.34917497603</v>
      </c>
      <c r="M5" s="209">
        <f t="shared" si="1"/>
        <v>216616.00557402</v>
      </c>
      <c r="N5" s="209">
        <f t="shared" si="1"/>
        <v>256064.27231314805</v>
      </c>
      <c r="O5" s="209">
        <f t="shared" si="1"/>
        <v>182239.33587054003</v>
      </c>
      <c r="P5" s="210">
        <f t="shared" si="0"/>
        <v>2679923.9042897108</v>
      </c>
    </row>
    <row r="6" spans="2:16" ht="4.5" customHeight="1">
      <c r="B6" s="208"/>
      <c r="C6" s="296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10"/>
    </row>
    <row r="7" spans="2:16" ht="12.75" customHeight="1">
      <c r="B7" s="297">
        <v>0.33</v>
      </c>
      <c r="C7" s="298" t="s">
        <v>397</v>
      </c>
      <c r="D7" s="299">
        <f t="shared" ref="D7:O7" si="2">D4-D5</f>
        <v>74471.506159050012</v>
      </c>
      <c r="E7" s="299">
        <f t="shared" si="2"/>
        <v>114311.21505803999</v>
      </c>
      <c r="F7" s="299">
        <f t="shared" si="2"/>
        <v>115202.44473051597</v>
      </c>
      <c r="G7" s="299">
        <f t="shared" si="2"/>
        <v>118197.94404646798</v>
      </c>
      <c r="H7" s="299">
        <f t="shared" si="2"/>
        <v>132849.41457387601</v>
      </c>
      <c r="I7" s="299">
        <f t="shared" si="2"/>
        <v>112645.07084516398</v>
      </c>
      <c r="J7" s="299">
        <f t="shared" si="2"/>
        <v>108701.41958161196</v>
      </c>
      <c r="K7" s="299">
        <f t="shared" si="2"/>
        <v>111189.94119604802</v>
      </c>
      <c r="L7" s="299">
        <f t="shared" si="2"/>
        <v>109821.21675782398</v>
      </c>
      <c r="M7" s="299">
        <f t="shared" si="2"/>
        <v>106691.46543198</v>
      </c>
      <c r="N7" s="299">
        <f t="shared" si="2"/>
        <v>126121.20875125201</v>
      </c>
      <c r="O7" s="299">
        <f t="shared" si="2"/>
        <v>89759.672891459981</v>
      </c>
      <c r="P7" s="300">
        <f>SUM(D7:O7)</f>
        <v>1319962.5200232898</v>
      </c>
    </row>
    <row r="8" spans="2:16" ht="12.75" customHeight="1">
      <c r="B8" s="208"/>
      <c r="C8" s="296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10"/>
    </row>
    <row r="9" spans="2:16" ht="12.75" customHeight="1">
      <c r="B9" s="301">
        <v>0.1111</v>
      </c>
      <c r="C9" s="76" t="s">
        <v>276</v>
      </c>
      <c r="D9" s="209">
        <f>D5*$B9</f>
        <v>16798.289405943051</v>
      </c>
      <c r="E9" s="209">
        <f t="shared" ref="E9:O9" si="3">E5*$B9</f>
        <v>25784.799743258562</v>
      </c>
      <c r="F9" s="209">
        <f t="shared" si="3"/>
        <v>25985.831449713394</v>
      </c>
      <c r="G9" s="209">
        <f t="shared" si="3"/>
        <v>26661.516245414972</v>
      </c>
      <c r="H9" s="209">
        <f t="shared" si="3"/>
        <v>29966.39961404731</v>
      </c>
      <c r="I9" s="209">
        <f t="shared" si="3"/>
        <v>25408.97314697416</v>
      </c>
      <c r="J9" s="209">
        <f t="shared" si="3"/>
        <v>24519.416876958945</v>
      </c>
      <c r="K9" s="209">
        <f t="shared" si="3"/>
        <v>25080.744402455239</v>
      </c>
      <c r="L9" s="209">
        <f t="shared" si="3"/>
        <v>24772.005793339838</v>
      </c>
      <c r="M9" s="209">
        <f t="shared" si="3"/>
        <v>24066.038219273625</v>
      </c>
      <c r="N9" s="209">
        <f t="shared" si="3"/>
        <v>28448.74065399075</v>
      </c>
      <c r="O9" s="209">
        <f t="shared" si="3"/>
        <v>20246.790215216999</v>
      </c>
      <c r="P9" s="210">
        <f>SUM(D9:O9)</f>
        <v>297739.54576658679</v>
      </c>
    </row>
    <row r="10" spans="2:16" ht="12.75" customHeight="1">
      <c r="B10" s="301">
        <v>8.3299999999999999E-2</v>
      </c>
      <c r="C10" s="76" t="s">
        <v>277</v>
      </c>
      <c r="D10" s="209">
        <f>D5*$B10</f>
        <v>12594.937061341638</v>
      </c>
      <c r="E10" s="209">
        <f t="shared" ref="E10:O10" si="4">E5*$B10</f>
        <v>19332.797647285672</v>
      </c>
      <c r="F10" s="209">
        <f t="shared" si="4"/>
        <v>19483.526190469176</v>
      </c>
      <c r="G10" s="209">
        <f t="shared" si="4"/>
        <v>19990.137742961899</v>
      </c>
      <c r="H10" s="209">
        <f t="shared" si="4"/>
        <v>22468.056596310897</v>
      </c>
      <c r="I10" s="209">
        <f t="shared" si="4"/>
        <v>19051.012269513478</v>
      </c>
      <c r="J10" s="209">
        <f t="shared" si="4"/>
        <v>18384.045237179838</v>
      </c>
      <c r="K10" s="209">
        <f t="shared" si="4"/>
        <v>18804.914569977689</v>
      </c>
      <c r="L10" s="209">
        <f t="shared" si="4"/>
        <v>18573.430086275504</v>
      </c>
      <c r="M10" s="209">
        <f t="shared" si="4"/>
        <v>18044.113264315867</v>
      </c>
      <c r="N10" s="209">
        <f t="shared" si="4"/>
        <v>21330.153883685231</v>
      </c>
      <c r="O10" s="209">
        <f t="shared" si="4"/>
        <v>15180.536678015984</v>
      </c>
      <c r="P10" s="210">
        <f>SUM(D10:O10)</f>
        <v>223237.66122733289</v>
      </c>
    </row>
    <row r="11" spans="2:16" ht="12.75" customHeight="1">
      <c r="B11" s="301">
        <v>0.08</v>
      </c>
      <c r="C11" s="76" t="s">
        <v>110</v>
      </c>
      <c r="D11" s="209">
        <f>(D5+D9+D10)*8%</f>
        <v>14447.436087458776</v>
      </c>
      <c r="E11" s="209">
        <f>(E5+E9+E10)*8%</f>
        <v>22176.320297640345</v>
      </c>
      <c r="F11" s="209">
        <f t="shared" ref="F11:O11" si="5">(F5+F9+F10)*8%</f>
        <v>22349.218421989324</v>
      </c>
      <c r="G11" s="209">
        <f t="shared" si="5"/>
        <v>22930.343836920714</v>
      </c>
      <c r="H11" s="209">
        <f t="shared" si="5"/>
        <v>25772.722015494583</v>
      </c>
      <c r="I11" s="209">
        <f t="shared" si="5"/>
        <v>21853.089128169893</v>
      </c>
      <c r="J11" s="209">
        <f t="shared" si="5"/>
        <v>21088.022695114141</v>
      </c>
      <c r="K11" s="209">
        <f t="shared" si="5"/>
        <v>21570.794681758802</v>
      </c>
      <c r="L11" s="209">
        <f t="shared" si="5"/>
        <v>21305.26280436731</v>
      </c>
      <c r="M11" s="209">
        <f t="shared" si="5"/>
        <v>20698.09256460876</v>
      </c>
      <c r="N11" s="209">
        <f t="shared" si="5"/>
        <v>24467.453348065923</v>
      </c>
      <c r="O11" s="209">
        <f t="shared" si="5"/>
        <v>17413.333021101844</v>
      </c>
      <c r="P11" s="210">
        <f t="shared" ref="P11:P12" si="6">SUM(D11:O11)</f>
        <v>256072.08890269039</v>
      </c>
    </row>
    <row r="12" spans="2:16" ht="12.75" customHeight="1">
      <c r="B12" s="388">
        <v>0.25800000000000001</v>
      </c>
      <c r="C12" s="296" t="s">
        <v>108</v>
      </c>
      <c r="D12" s="209">
        <f>(D5+D9+D10)*25.8%</f>
        <v>46592.981382054553</v>
      </c>
      <c r="E12" s="209">
        <f>(E5+E9+E10)*27%</f>
        <v>74845.081004536158</v>
      </c>
      <c r="F12" s="209">
        <f t="shared" ref="F12:O12" si="7">(F5+F9+F10)*27%</f>
        <v>75428.61217421398</v>
      </c>
      <c r="G12" s="209">
        <f t="shared" si="7"/>
        <v>77389.910449607414</v>
      </c>
      <c r="H12" s="209">
        <f t="shared" si="7"/>
        <v>86982.936802294222</v>
      </c>
      <c r="I12" s="209">
        <f t="shared" si="7"/>
        <v>73754.175807573396</v>
      </c>
      <c r="J12" s="209">
        <f t="shared" si="7"/>
        <v>71172.076596010229</v>
      </c>
      <c r="K12" s="209">
        <f t="shared" si="7"/>
        <v>72801.432050935953</v>
      </c>
      <c r="L12" s="209">
        <f t="shared" si="7"/>
        <v>71905.261964739679</v>
      </c>
      <c r="M12" s="209">
        <f t="shared" si="7"/>
        <v>69856.062405554563</v>
      </c>
      <c r="N12" s="209">
        <f t="shared" si="7"/>
        <v>82577.655049722496</v>
      </c>
      <c r="O12" s="209">
        <f t="shared" si="7"/>
        <v>58769.998946218722</v>
      </c>
      <c r="P12" s="210">
        <f t="shared" si="6"/>
        <v>862076.18463346141</v>
      </c>
    </row>
    <row r="13" spans="2:16" ht="4.5" customHeight="1">
      <c r="B13" s="208"/>
      <c r="C13" s="296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10"/>
    </row>
    <row r="14" spans="2:16" ht="12.75" customHeight="1">
      <c r="B14" s="302" t="s">
        <v>398</v>
      </c>
      <c r="C14" s="298" t="s">
        <v>61</v>
      </c>
      <c r="D14" s="299">
        <f>SUM(D9:D12)</f>
        <v>90433.64393679802</v>
      </c>
      <c r="E14" s="299">
        <f>SUM(E9:E12)</f>
        <v>142138.99869272072</v>
      </c>
      <c r="F14" s="299">
        <f t="shared" ref="F14:O14" si="8">SUM(F9:F12)</f>
        <v>143247.18823638587</v>
      </c>
      <c r="G14" s="299">
        <f t="shared" si="8"/>
        <v>146971.908274905</v>
      </c>
      <c r="H14" s="299">
        <f t="shared" si="8"/>
        <v>165190.115028147</v>
      </c>
      <c r="I14" s="299">
        <f t="shared" si="8"/>
        <v>140067.25035223091</v>
      </c>
      <c r="J14" s="299">
        <f t="shared" si="8"/>
        <v>135163.56140526314</v>
      </c>
      <c r="K14" s="299">
        <f t="shared" si="8"/>
        <v>138257.88570512767</v>
      </c>
      <c r="L14" s="299">
        <f t="shared" si="8"/>
        <v>136555.96064872234</v>
      </c>
      <c r="M14" s="299">
        <f t="shared" si="8"/>
        <v>132664.3064537528</v>
      </c>
      <c r="N14" s="299">
        <f t="shared" si="8"/>
        <v>156824.00293546441</v>
      </c>
      <c r="O14" s="299">
        <f t="shared" si="8"/>
        <v>111610.65886055355</v>
      </c>
      <c r="P14" s="300">
        <f>SUM(D14:O14)</f>
        <v>1639125.4805300713</v>
      </c>
    </row>
    <row r="15" spans="2:16" ht="12.75" customHeight="1">
      <c r="B15" s="213"/>
      <c r="C15" s="214"/>
      <c r="D15" s="303">
        <f t="shared" ref="D15:P15" si="9">D14/D4</f>
        <v>0.40073182400000001</v>
      </c>
      <c r="E15" s="303">
        <f t="shared" si="9"/>
        <v>0.4103348</v>
      </c>
      <c r="F15" s="303">
        <f t="shared" si="9"/>
        <v>0.41033480000000006</v>
      </c>
      <c r="G15" s="303">
        <f t="shared" si="9"/>
        <v>0.41033480000000006</v>
      </c>
      <c r="H15" s="303">
        <f t="shared" si="9"/>
        <v>0.4103348</v>
      </c>
      <c r="I15" s="303">
        <f t="shared" si="9"/>
        <v>0.4103348</v>
      </c>
      <c r="J15" s="303">
        <f t="shared" si="9"/>
        <v>0.4103348</v>
      </c>
      <c r="K15" s="303">
        <f t="shared" si="9"/>
        <v>0.4103348</v>
      </c>
      <c r="L15" s="303">
        <f t="shared" si="9"/>
        <v>0.41033480000000011</v>
      </c>
      <c r="M15" s="303">
        <f t="shared" si="9"/>
        <v>0.41033479999999994</v>
      </c>
      <c r="N15" s="303">
        <f t="shared" si="9"/>
        <v>0.41033480000000006</v>
      </c>
      <c r="O15" s="303">
        <f t="shared" si="9"/>
        <v>0.41033480000000011</v>
      </c>
      <c r="P15" s="304">
        <f t="shared" si="9"/>
        <v>0.40979300576305711</v>
      </c>
    </row>
    <row r="18" spans="3:16" ht="12.75" customHeight="1">
      <c r="C18" s="305" t="s">
        <v>276</v>
      </c>
      <c r="D18" s="306">
        <f>-D9</f>
        <v>-16798.289405943051</v>
      </c>
      <c r="E18" s="306">
        <f>-E9</f>
        <v>-25784.799743258562</v>
      </c>
      <c r="F18" s="306">
        <f t="shared" ref="F18:O18" si="10">-F9</f>
        <v>-25985.831449713394</v>
      </c>
      <c r="G18" s="306">
        <f t="shared" si="10"/>
        <v>-26661.516245414972</v>
      </c>
      <c r="H18" s="306">
        <f t="shared" si="10"/>
        <v>-29966.39961404731</v>
      </c>
      <c r="I18" s="306">
        <f t="shared" si="10"/>
        <v>-25408.97314697416</v>
      </c>
      <c r="J18" s="306">
        <f t="shared" si="10"/>
        <v>-24519.416876958945</v>
      </c>
      <c r="K18" s="306">
        <f t="shared" si="10"/>
        <v>-25080.744402455239</v>
      </c>
      <c r="L18" s="306">
        <f t="shared" si="10"/>
        <v>-24772.005793339838</v>
      </c>
      <c r="M18" s="306">
        <f t="shared" si="10"/>
        <v>-24066.038219273625</v>
      </c>
      <c r="N18" s="306">
        <f t="shared" si="10"/>
        <v>-28448.74065399075</v>
      </c>
      <c r="O18" s="306">
        <f t="shared" si="10"/>
        <v>-20246.790215216999</v>
      </c>
      <c r="P18" s="307">
        <f t="shared" ref="P18:P21" si="11">SUM(D18:O18)</f>
        <v>-297739.54576658679</v>
      </c>
    </row>
    <row r="19" spans="3:16" ht="12.75" customHeight="1">
      <c r="C19" s="308" t="s">
        <v>277</v>
      </c>
      <c r="D19" s="309">
        <f>-D10</f>
        <v>-12594.937061341638</v>
      </c>
      <c r="E19" s="309">
        <f t="shared" ref="E19:O19" si="12">-E10</f>
        <v>-19332.797647285672</v>
      </c>
      <c r="F19" s="309">
        <f t="shared" si="12"/>
        <v>-19483.526190469176</v>
      </c>
      <c r="G19" s="309">
        <f t="shared" si="12"/>
        <v>-19990.137742961899</v>
      </c>
      <c r="H19" s="309">
        <f t="shared" si="12"/>
        <v>-22468.056596310897</v>
      </c>
      <c r="I19" s="309">
        <f t="shared" si="12"/>
        <v>-19051.012269513478</v>
      </c>
      <c r="J19" s="309">
        <f t="shared" si="12"/>
        <v>-18384.045237179838</v>
      </c>
      <c r="K19" s="309">
        <f t="shared" si="12"/>
        <v>-18804.914569977689</v>
      </c>
      <c r="L19" s="309">
        <f t="shared" si="12"/>
        <v>-18573.430086275504</v>
      </c>
      <c r="M19" s="309">
        <f t="shared" si="12"/>
        <v>-18044.113264315867</v>
      </c>
      <c r="N19" s="309">
        <f t="shared" si="12"/>
        <v>-21330.153883685231</v>
      </c>
      <c r="O19" s="309">
        <f t="shared" si="12"/>
        <v>-15180.536678015984</v>
      </c>
      <c r="P19" s="310">
        <f t="shared" si="11"/>
        <v>-223237.66122733289</v>
      </c>
    </row>
    <row r="20" spans="3:16" ht="12.75" customHeight="1">
      <c r="C20" s="308" t="s">
        <v>110</v>
      </c>
      <c r="D20" s="309">
        <f t="shared" ref="D20:O20" si="13">-D11</f>
        <v>-14447.436087458776</v>
      </c>
      <c r="E20" s="309">
        <f t="shared" si="13"/>
        <v>-22176.320297640345</v>
      </c>
      <c r="F20" s="309">
        <f t="shared" si="13"/>
        <v>-22349.218421989324</v>
      </c>
      <c r="G20" s="309">
        <f t="shared" si="13"/>
        <v>-22930.343836920714</v>
      </c>
      <c r="H20" s="309">
        <f t="shared" si="13"/>
        <v>-25772.722015494583</v>
      </c>
      <c r="I20" s="309">
        <f t="shared" si="13"/>
        <v>-21853.089128169893</v>
      </c>
      <c r="J20" s="309">
        <f t="shared" si="13"/>
        <v>-21088.022695114141</v>
      </c>
      <c r="K20" s="309">
        <f t="shared" si="13"/>
        <v>-21570.794681758802</v>
      </c>
      <c r="L20" s="309">
        <f t="shared" si="13"/>
        <v>-21305.26280436731</v>
      </c>
      <c r="M20" s="309">
        <f t="shared" si="13"/>
        <v>-20698.09256460876</v>
      </c>
      <c r="N20" s="309">
        <f t="shared" si="13"/>
        <v>-24467.453348065923</v>
      </c>
      <c r="O20" s="309">
        <f t="shared" si="13"/>
        <v>-17413.333021101844</v>
      </c>
      <c r="P20" s="310">
        <f t="shared" si="11"/>
        <v>-256072.08890269039</v>
      </c>
    </row>
    <row r="21" spans="3:16" ht="12.75" customHeight="1">
      <c r="C21" s="311" t="s">
        <v>108</v>
      </c>
      <c r="D21" s="312">
        <f>-D12</f>
        <v>-46592.981382054553</v>
      </c>
      <c r="E21" s="312">
        <f t="shared" ref="E21:O21" si="14">-E12</f>
        <v>-74845.081004536158</v>
      </c>
      <c r="F21" s="312">
        <f t="shared" si="14"/>
        <v>-75428.61217421398</v>
      </c>
      <c r="G21" s="312">
        <f t="shared" si="14"/>
        <v>-77389.910449607414</v>
      </c>
      <c r="H21" s="312">
        <f t="shared" si="14"/>
        <v>-86982.936802294222</v>
      </c>
      <c r="I21" s="312">
        <f t="shared" si="14"/>
        <v>-73754.175807573396</v>
      </c>
      <c r="J21" s="312">
        <f t="shared" si="14"/>
        <v>-71172.076596010229</v>
      </c>
      <c r="K21" s="312">
        <f t="shared" si="14"/>
        <v>-72801.432050935953</v>
      </c>
      <c r="L21" s="312">
        <f t="shared" si="14"/>
        <v>-71905.261964739679</v>
      </c>
      <c r="M21" s="312">
        <f t="shared" si="14"/>
        <v>-69856.062405554563</v>
      </c>
      <c r="N21" s="312">
        <f t="shared" si="14"/>
        <v>-82577.655049722496</v>
      </c>
      <c r="O21" s="312">
        <f t="shared" si="14"/>
        <v>-58769.998946218722</v>
      </c>
      <c r="P21" s="313">
        <f t="shared" si="11"/>
        <v>-862076.18463346141</v>
      </c>
    </row>
    <row r="22" spans="3:16" ht="4.5" customHeight="1">
      <c r="C22" s="23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</row>
    <row r="23" spans="3:16" ht="12.75" customHeight="1">
      <c r="C23" s="315" t="s">
        <v>61</v>
      </c>
      <c r="D23" s="316">
        <f t="shared" ref="D23:P23" si="15">SUM(D18:D21)</f>
        <v>-90433.64393679802</v>
      </c>
      <c r="E23" s="316">
        <f t="shared" si="15"/>
        <v>-142138.99869272072</v>
      </c>
      <c r="F23" s="316">
        <f t="shared" si="15"/>
        <v>-143247.18823638587</v>
      </c>
      <c r="G23" s="316">
        <f t="shared" si="15"/>
        <v>-146971.908274905</v>
      </c>
      <c r="H23" s="316">
        <f t="shared" si="15"/>
        <v>-165190.115028147</v>
      </c>
      <c r="I23" s="316">
        <f t="shared" si="15"/>
        <v>-140067.25035223091</v>
      </c>
      <c r="J23" s="316">
        <f t="shared" si="15"/>
        <v>-135163.56140526314</v>
      </c>
      <c r="K23" s="316">
        <f t="shared" si="15"/>
        <v>-138257.88570512767</v>
      </c>
      <c r="L23" s="316">
        <f t="shared" si="15"/>
        <v>-136555.96064872234</v>
      </c>
      <c r="M23" s="316">
        <f t="shared" si="15"/>
        <v>-132664.3064537528</v>
      </c>
      <c r="N23" s="316">
        <f t="shared" si="15"/>
        <v>-156824.00293546441</v>
      </c>
      <c r="O23" s="316">
        <f t="shared" si="15"/>
        <v>-111610.65886055355</v>
      </c>
      <c r="P23" s="317">
        <f t="shared" si="15"/>
        <v>-1639125.4805300715</v>
      </c>
    </row>
    <row r="24" spans="3:16" ht="12.75" customHeight="1">
      <c r="C24" s="296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76"/>
    </row>
    <row r="25" spans="3:16" ht="12.75" customHeight="1">
      <c r="C25" s="222" t="s">
        <v>52</v>
      </c>
      <c r="D25" s="223">
        <f t="shared" ref="D25:P25" si="16">D14+D23</f>
        <v>0</v>
      </c>
      <c r="E25" s="223">
        <f t="shared" si="16"/>
        <v>0</v>
      </c>
      <c r="F25" s="223">
        <f t="shared" si="16"/>
        <v>0</v>
      </c>
      <c r="G25" s="223">
        <f t="shared" si="16"/>
        <v>0</v>
      </c>
      <c r="H25" s="223">
        <f t="shared" si="16"/>
        <v>0</v>
      </c>
      <c r="I25" s="223">
        <f t="shared" si="16"/>
        <v>0</v>
      </c>
      <c r="J25" s="223">
        <f t="shared" si="16"/>
        <v>0</v>
      </c>
      <c r="K25" s="223">
        <f t="shared" si="16"/>
        <v>0</v>
      </c>
      <c r="L25" s="223">
        <f t="shared" si="16"/>
        <v>0</v>
      </c>
      <c r="M25" s="223">
        <f t="shared" si="16"/>
        <v>0</v>
      </c>
      <c r="N25" s="223">
        <f t="shared" si="16"/>
        <v>0</v>
      </c>
      <c r="O25" s="223">
        <f t="shared" si="16"/>
        <v>0</v>
      </c>
      <c r="P25" s="223">
        <f t="shared" si="16"/>
        <v>0</v>
      </c>
    </row>
    <row r="31" spans="3:16" ht="15" customHeight="1">
      <c r="D31" s="338"/>
    </row>
    <row r="32" spans="3:16" ht="15" customHeight="1">
      <c r="D32" s="337"/>
    </row>
    <row r="33" spans="4:4" ht="15" customHeight="1">
      <c r="D33" s="338"/>
    </row>
    <row r="34" spans="4:4" ht="15" customHeight="1">
      <c r="D34" s="337"/>
    </row>
  </sheetData>
  <pageMargins left="0.511811024" right="0.511811024" top="0.78740157499999996" bottom="0.78740157499999996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B1:E122"/>
  <sheetViews>
    <sheetView showGridLines="0" zoomScale="112" zoomScaleNormal="112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69" sqref="C69"/>
    </sheetView>
  </sheetViews>
  <sheetFormatPr defaultColWidth="12.5703125" defaultRowHeight="15" customHeight="1"/>
  <cols>
    <col min="1" max="1" width="2" customWidth="1"/>
    <col min="2" max="2" width="13.42578125" hidden="1" customWidth="1"/>
    <col min="3" max="3" width="57.5703125" bestFit="1" customWidth="1"/>
    <col min="4" max="4" width="36.5703125" customWidth="1"/>
    <col min="5" max="5" width="34.7109375" customWidth="1"/>
    <col min="6" max="6" width="10.140625" customWidth="1"/>
    <col min="7" max="15" width="8.5703125" customWidth="1"/>
  </cols>
  <sheetData>
    <row r="1" spans="2:5" ht="12.75" customHeight="1">
      <c r="B1" s="318" t="s">
        <v>59</v>
      </c>
      <c r="C1" s="318" t="s">
        <v>58</v>
      </c>
      <c r="D1" s="318"/>
      <c r="E1" s="318" t="s">
        <v>399</v>
      </c>
    </row>
    <row r="2" spans="2:5" ht="12.75" customHeight="1">
      <c r="B2" s="1" t="s">
        <v>65</v>
      </c>
      <c r="C2" s="477" t="s">
        <v>607</v>
      </c>
      <c r="D2" s="478" t="s">
        <v>29</v>
      </c>
      <c r="E2" s="479" t="s">
        <v>84</v>
      </c>
    </row>
    <row r="3" spans="2:5" ht="12.75" customHeight="1">
      <c r="B3" s="1" t="s">
        <v>70</v>
      </c>
      <c r="C3" s="477" t="s">
        <v>608</v>
      </c>
      <c r="D3" s="478" t="s">
        <v>31</v>
      </c>
      <c r="E3" s="479" t="s">
        <v>84</v>
      </c>
    </row>
    <row r="4" spans="2:5" ht="12.75" customHeight="1">
      <c r="B4" s="1" t="s">
        <v>72</v>
      </c>
      <c r="C4" s="477" t="s">
        <v>609</v>
      </c>
      <c r="D4" s="478" t="s">
        <v>435</v>
      </c>
      <c r="E4" s="479" t="s">
        <v>84</v>
      </c>
    </row>
    <row r="5" spans="2:5" ht="12.75" customHeight="1">
      <c r="B5" s="1" t="s">
        <v>74</v>
      </c>
      <c r="C5" s="477" t="s">
        <v>610</v>
      </c>
      <c r="D5" s="478" t="s">
        <v>169</v>
      </c>
      <c r="E5" s="479" t="s">
        <v>84</v>
      </c>
    </row>
    <row r="6" spans="2:5" ht="12.75" customHeight="1">
      <c r="B6" s="1" t="s">
        <v>76</v>
      </c>
      <c r="C6" s="477" t="s">
        <v>611</v>
      </c>
      <c r="D6" s="478" t="s">
        <v>29</v>
      </c>
      <c r="E6" s="479" t="s">
        <v>84</v>
      </c>
    </row>
    <row r="7" spans="2:5" ht="12.75" customHeight="1">
      <c r="B7" s="1" t="s">
        <v>78</v>
      </c>
      <c r="C7" s="477" t="s">
        <v>616</v>
      </c>
      <c r="D7" s="478" t="s">
        <v>438</v>
      </c>
      <c r="E7" s="479" t="s">
        <v>84</v>
      </c>
    </row>
    <row r="8" spans="2:5" ht="12.75" customHeight="1">
      <c r="B8" s="1" t="s">
        <v>80</v>
      </c>
      <c r="C8" s="477" t="s">
        <v>617</v>
      </c>
      <c r="D8" s="478" t="s">
        <v>437</v>
      </c>
      <c r="E8" s="479" t="s">
        <v>84</v>
      </c>
    </row>
    <row r="9" spans="2:5" ht="12.75" customHeight="1">
      <c r="B9" s="1" t="s">
        <v>81</v>
      </c>
      <c r="C9" s="477" t="s">
        <v>619</v>
      </c>
      <c r="D9" s="478" t="s">
        <v>191</v>
      </c>
      <c r="E9" s="479" t="s">
        <v>84</v>
      </c>
    </row>
    <row r="10" spans="2:5" ht="12.75" customHeight="1">
      <c r="B10" s="1" t="s">
        <v>83</v>
      </c>
      <c r="C10" s="477" t="s">
        <v>620</v>
      </c>
      <c r="D10" s="478" t="s">
        <v>30</v>
      </c>
      <c r="E10" s="479" t="s">
        <v>84</v>
      </c>
    </row>
    <row r="11" spans="2:5" ht="12.75" customHeight="1">
      <c r="B11" s="1" t="s">
        <v>85</v>
      </c>
      <c r="C11" s="477" t="s">
        <v>623</v>
      </c>
      <c r="D11" s="478" t="s">
        <v>437</v>
      </c>
      <c r="E11" s="479" t="s">
        <v>84</v>
      </c>
    </row>
    <row r="12" spans="2:5" ht="12.75" customHeight="1">
      <c r="B12" s="1" t="s">
        <v>86</v>
      </c>
      <c r="C12" s="477" t="s">
        <v>633</v>
      </c>
      <c r="D12" s="478" t="s">
        <v>436</v>
      </c>
      <c r="E12" s="479" t="s">
        <v>84</v>
      </c>
    </row>
    <row r="13" spans="2:5" ht="12.75" customHeight="1">
      <c r="B13" s="1" t="s">
        <v>87</v>
      </c>
      <c r="C13" s="477" t="s">
        <v>413</v>
      </c>
      <c r="D13" s="478" t="s">
        <v>32</v>
      </c>
      <c r="E13" s="479" t="s">
        <v>84</v>
      </c>
    </row>
    <row r="14" spans="2:5" ht="12.75" customHeight="1">
      <c r="B14" s="1" t="s">
        <v>88</v>
      </c>
      <c r="C14" s="477" t="s">
        <v>636</v>
      </c>
      <c r="D14" s="478" t="s">
        <v>437</v>
      </c>
      <c r="E14" s="479" t="s">
        <v>84</v>
      </c>
    </row>
    <row r="15" spans="2:5" ht="12.75" customHeight="1">
      <c r="B15" s="1" t="s">
        <v>89</v>
      </c>
      <c r="C15" s="477" t="s">
        <v>641</v>
      </c>
      <c r="D15" s="478" t="s">
        <v>28</v>
      </c>
      <c r="E15" s="479" t="s">
        <v>84</v>
      </c>
    </row>
    <row r="16" spans="2:5" ht="12.75" customHeight="1">
      <c r="B16" s="1"/>
      <c r="C16" s="607" t="s">
        <v>23</v>
      </c>
      <c r="D16" s="607" t="s">
        <v>73</v>
      </c>
      <c r="E16" s="480" t="s">
        <v>67</v>
      </c>
    </row>
    <row r="17" spans="2:5" ht="12.75" customHeight="1">
      <c r="B17" s="1"/>
      <c r="C17" s="607" t="s">
        <v>21</v>
      </c>
      <c r="D17" s="607" t="s">
        <v>69</v>
      </c>
      <c r="E17" s="480" t="s">
        <v>67</v>
      </c>
    </row>
    <row r="18" spans="2:5" ht="12.75" customHeight="1">
      <c r="B18" s="1"/>
      <c r="C18" s="607" t="s">
        <v>22</v>
      </c>
      <c r="D18" s="607" t="s">
        <v>2607</v>
      </c>
      <c r="E18" s="480" t="s">
        <v>67</v>
      </c>
    </row>
    <row r="19" spans="2:5" ht="12.75" customHeight="1">
      <c r="B19" s="1"/>
      <c r="C19" s="480" t="s">
        <v>622</v>
      </c>
      <c r="D19" s="480" t="s">
        <v>682</v>
      </c>
      <c r="E19" s="480" t="s">
        <v>67</v>
      </c>
    </row>
    <row r="20" spans="2:5" ht="12.75" customHeight="1">
      <c r="B20" s="1"/>
      <c r="C20" s="480" t="s">
        <v>663</v>
      </c>
      <c r="D20" s="480" t="s">
        <v>154</v>
      </c>
      <c r="E20" s="480" t="s">
        <v>153</v>
      </c>
    </row>
    <row r="21" spans="2:5" ht="12.75" customHeight="1">
      <c r="B21" s="1"/>
      <c r="C21" s="480" t="s">
        <v>157</v>
      </c>
      <c r="D21" s="481" t="s">
        <v>157</v>
      </c>
      <c r="E21" s="480" t="s">
        <v>153</v>
      </c>
    </row>
    <row r="22" spans="2:5" ht="12.75" customHeight="1">
      <c r="B22" s="1"/>
      <c r="C22" s="480" t="s">
        <v>1733</v>
      </c>
      <c r="D22" s="481" t="s">
        <v>140</v>
      </c>
      <c r="E22" s="480" t="s">
        <v>101</v>
      </c>
    </row>
    <row r="23" spans="2:5" ht="12.75" customHeight="1">
      <c r="B23" s="1"/>
      <c r="C23" s="482" t="s">
        <v>1732</v>
      </c>
      <c r="D23" s="481" t="s">
        <v>140</v>
      </c>
      <c r="E23" s="480" t="s">
        <v>101</v>
      </c>
    </row>
    <row r="24" spans="2:5" ht="12.75" customHeight="1">
      <c r="B24" s="1" t="s">
        <v>90</v>
      </c>
      <c r="C24" s="482" t="s">
        <v>605</v>
      </c>
      <c r="D24" s="480" t="s">
        <v>656</v>
      </c>
      <c r="E24" s="479" t="s">
        <v>101</v>
      </c>
    </row>
    <row r="25" spans="2:5" ht="12.6" customHeight="1">
      <c r="B25" s="1" t="s">
        <v>91</v>
      </c>
      <c r="C25" s="477" t="s">
        <v>644</v>
      </c>
      <c r="D25" s="480" t="s">
        <v>655</v>
      </c>
      <c r="E25" s="479" t="s">
        <v>101</v>
      </c>
    </row>
    <row r="26" spans="2:5" ht="12.6" customHeight="1">
      <c r="B26" s="1" t="s">
        <v>91</v>
      </c>
      <c r="C26" s="477" t="s">
        <v>108</v>
      </c>
      <c r="D26" s="480" t="s">
        <v>655</v>
      </c>
      <c r="E26" s="479" t="s">
        <v>101</v>
      </c>
    </row>
    <row r="27" spans="2:5" ht="12.6" customHeight="1">
      <c r="B27" s="1"/>
      <c r="C27" s="477" t="s">
        <v>1322</v>
      </c>
      <c r="D27" s="480" t="s">
        <v>655</v>
      </c>
      <c r="E27" s="479" t="s">
        <v>101</v>
      </c>
    </row>
    <row r="28" spans="2:5" ht="12.75" customHeight="1">
      <c r="B28" s="1" t="s">
        <v>92</v>
      </c>
      <c r="C28" s="477" t="s">
        <v>643</v>
      </c>
      <c r="D28" s="480" t="s">
        <v>654</v>
      </c>
      <c r="E28" s="479" t="s">
        <v>101</v>
      </c>
    </row>
    <row r="29" spans="2:5" ht="12.75" customHeight="1">
      <c r="B29" s="1" t="s">
        <v>93</v>
      </c>
      <c r="C29" s="477" t="s">
        <v>647</v>
      </c>
      <c r="D29" s="480" t="s">
        <v>110</v>
      </c>
      <c r="E29" s="479" t="s">
        <v>101</v>
      </c>
    </row>
    <row r="30" spans="2:5" ht="12.75" customHeight="1">
      <c r="B30" s="1" t="s">
        <v>94</v>
      </c>
      <c r="C30" s="477" t="s">
        <v>648</v>
      </c>
      <c r="D30" s="480" t="s">
        <v>102</v>
      </c>
      <c r="E30" s="479" t="s">
        <v>101</v>
      </c>
    </row>
    <row r="31" spans="2:5" ht="12.75" customHeight="1">
      <c r="B31" s="1" t="s">
        <v>95</v>
      </c>
      <c r="C31" s="477" t="s">
        <v>649</v>
      </c>
      <c r="D31" s="480" t="s">
        <v>653</v>
      </c>
      <c r="E31" s="479" t="s">
        <v>101</v>
      </c>
    </row>
    <row r="32" spans="2:5" ht="12.75" customHeight="1">
      <c r="B32" s="1"/>
      <c r="C32" s="477" t="s">
        <v>124</v>
      </c>
      <c r="D32" s="480" t="s">
        <v>124</v>
      </c>
      <c r="E32" s="479" t="s">
        <v>101</v>
      </c>
    </row>
    <row r="33" spans="2:5" ht="12.75" customHeight="1">
      <c r="B33" s="1" t="s">
        <v>97</v>
      </c>
      <c r="C33" s="477" t="s">
        <v>650</v>
      </c>
      <c r="D33" s="480" t="s">
        <v>102</v>
      </c>
      <c r="E33" s="479" t="s">
        <v>101</v>
      </c>
    </row>
    <row r="34" spans="2:5" ht="12.75" customHeight="1">
      <c r="B34" s="1"/>
      <c r="C34" s="477" t="s">
        <v>664</v>
      </c>
      <c r="D34" s="480" t="s">
        <v>544</v>
      </c>
      <c r="E34" s="479" t="s">
        <v>101</v>
      </c>
    </row>
    <row r="35" spans="2:5" ht="12.75" customHeight="1">
      <c r="B35" s="1"/>
      <c r="C35" s="477" t="s">
        <v>283</v>
      </c>
      <c r="D35" s="607" t="s">
        <v>2228</v>
      </c>
      <c r="E35" s="479" t="s">
        <v>161</v>
      </c>
    </row>
    <row r="36" spans="2:5" ht="12.75" customHeight="1">
      <c r="B36" s="1"/>
      <c r="C36" s="477" t="s">
        <v>542</v>
      </c>
      <c r="D36" s="480" t="s">
        <v>120</v>
      </c>
      <c r="E36" s="479" t="s">
        <v>101</v>
      </c>
    </row>
    <row r="37" spans="2:5" ht="12.75" customHeight="1">
      <c r="B37" s="1"/>
      <c r="C37" s="477" t="s">
        <v>680</v>
      </c>
      <c r="D37" s="480" t="s">
        <v>142</v>
      </c>
      <c r="E37" s="479" t="s">
        <v>101</v>
      </c>
    </row>
    <row r="38" spans="2:5" ht="12.75" customHeight="1">
      <c r="B38" s="1" t="s">
        <v>111</v>
      </c>
      <c r="C38" s="477" t="s">
        <v>651</v>
      </c>
      <c r="D38" s="480" t="s">
        <v>114</v>
      </c>
      <c r="E38" s="479" t="s">
        <v>101</v>
      </c>
    </row>
    <row r="39" spans="2:5" ht="12.75" customHeight="1">
      <c r="B39" s="1" t="s">
        <v>113</v>
      </c>
      <c r="C39" s="477" t="s">
        <v>642</v>
      </c>
      <c r="D39" s="480" t="s">
        <v>106</v>
      </c>
      <c r="E39" s="479" t="s">
        <v>101</v>
      </c>
    </row>
    <row r="40" spans="2:5" ht="12.75" customHeight="1">
      <c r="B40" s="1" t="s">
        <v>115</v>
      </c>
      <c r="C40" s="477" t="s">
        <v>651</v>
      </c>
      <c r="D40" s="480" t="s">
        <v>114</v>
      </c>
      <c r="E40" s="479" t="s">
        <v>101</v>
      </c>
    </row>
    <row r="41" spans="2:5" ht="12.75" customHeight="1">
      <c r="B41" s="1" t="s">
        <v>119</v>
      </c>
      <c r="C41" s="477" t="s">
        <v>645</v>
      </c>
      <c r="D41" s="480" t="s">
        <v>120</v>
      </c>
      <c r="E41" s="479" t="s">
        <v>101</v>
      </c>
    </row>
    <row r="42" spans="2:5" ht="12.75" customHeight="1">
      <c r="B42" s="1" t="s">
        <v>121</v>
      </c>
      <c r="C42" s="477" t="s">
        <v>652</v>
      </c>
      <c r="D42" s="480" t="s">
        <v>114</v>
      </c>
      <c r="E42" s="479" t="s">
        <v>101</v>
      </c>
    </row>
    <row r="43" spans="2:5" ht="12.75" customHeight="1">
      <c r="B43" s="1" t="s">
        <v>122</v>
      </c>
      <c r="C43" s="477" t="s">
        <v>642</v>
      </c>
      <c r="D43" s="480" t="s">
        <v>106</v>
      </c>
      <c r="E43" s="479" t="s">
        <v>101</v>
      </c>
    </row>
    <row r="44" spans="2:5" ht="12.75" customHeight="1">
      <c r="B44" s="1" t="s">
        <v>123</v>
      </c>
      <c r="C44" s="477" t="s">
        <v>110</v>
      </c>
      <c r="D44" s="480" t="s">
        <v>110</v>
      </c>
      <c r="E44" s="479" t="s">
        <v>101</v>
      </c>
    </row>
    <row r="45" spans="2:5" ht="12.75" customHeight="1">
      <c r="B45" s="1"/>
      <c r="C45" s="477" t="s">
        <v>1329</v>
      </c>
      <c r="D45" s="480" t="s">
        <v>1326</v>
      </c>
      <c r="E45" s="479" t="s">
        <v>101</v>
      </c>
    </row>
    <row r="46" spans="2:5" ht="12.75" customHeight="1">
      <c r="B46" s="1" t="s">
        <v>125</v>
      </c>
      <c r="C46" s="480" t="s">
        <v>657</v>
      </c>
      <c r="D46" s="480" t="s">
        <v>164</v>
      </c>
      <c r="E46" s="480" t="s">
        <v>161</v>
      </c>
    </row>
    <row r="47" spans="2:5" ht="12.75" customHeight="1">
      <c r="B47" s="1" t="s">
        <v>126</v>
      </c>
      <c r="C47" s="480" t="s">
        <v>661</v>
      </c>
      <c r="D47" s="480" t="s">
        <v>1727</v>
      </c>
      <c r="E47" s="480" t="s">
        <v>161</v>
      </c>
    </row>
    <row r="48" spans="2:5" ht="12.75" customHeight="1">
      <c r="B48" s="1" t="s">
        <v>128</v>
      </c>
      <c r="C48" s="480" t="s">
        <v>662</v>
      </c>
      <c r="D48" s="480" t="s">
        <v>193</v>
      </c>
      <c r="E48" s="479" t="s">
        <v>161</v>
      </c>
    </row>
    <row r="49" spans="2:5" ht="12.75" customHeight="1">
      <c r="B49" s="1"/>
      <c r="C49" s="607" t="s">
        <v>2227</v>
      </c>
      <c r="D49" s="480" t="s">
        <v>2226</v>
      </c>
      <c r="E49" s="479" t="s">
        <v>161</v>
      </c>
    </row>
    <row r="50" spans="2:5" ht="12.75" customHeight="1">
      <c r="B50" s="1" t="s">
        <v>129</v>
      </c>
      <c r="C50" s="480" t="s">
        <v>612</v>
      </c>
      <c r="D50" s="480" t="s">
        <v>201</v>
      </c>
      <c r="E50" s="479" t="s">
        <v>161</v>
      </c>
    </row>
    <row r="51" spans="2:5" ht="12.75" customHeight="1">
      <c r="B51" s="1" t="s">
        <v>131</v>
      </c>
      <c r="C51" s="480" t="s">
        <v>632</v>
      </c>
      <c r="D51" s="480" t="s">
        <v>166</v>
      </c>
      <c r="E51" s="479" t="s">
        <v>161</v>
      </c>
    </row>
    <row r="52" spans="2:5" ht="12.75" customHeight="1">
      <c r="B52" s="1" t="s">
        <v>132</v>
      </c>
      <c r="C52" s="477" t="s">
        <v>646</v>
      </c>
      <c r="D52" s="480" t="s">
        <v>444</v>
      </c>
      <c r="E52" s="479" t="s">
        <v>161</v>
      </c>
    </row>
    <row r="53" spans="2:5" ht="12.75" customHeight="1">
      <c r="B53" s="1" t="s">
        <v>134</v>
      </c>
      <c r="C53" s="477" t="s">
        <v>668</v>
      </c>
      <c r="D53" s="480" t="s">
        <v>546</v>
      </c>
      <c r="E53" s="480" t="s">
        <v>161</v>
      </c>
    </row>
    <row r="54" spans="2:5" ht="15" customHeight="1">
      <c r="C54" s="477" t="s">
        <v>1722</v>
      </c>
      <c r="D54" t="s">
        <v>173</v>
      </c>
      <c r="E54" s="480" t="s">
        <v>161</v>
      </c>
    </row>
    <row r="55" spans="2:5" ht="12.75" customHeight="1">
      <c r="B55" s="1" t="s">
        <v>138</v>
      </c>
      <c r="C55" s="477" t="s">
        <v>615</v>
      </c>
      <c r="D55" s="480" t="s">
        <v>181</v>
      </c>
      <c r="E55" s="480" t="s">
        <v>161</v>
      </c>
    </row>
    <row r="56" spans="2:5" ht="12.75" customHeight="1">
      <c r="B56" s="1" t="s">
        <v>139</v>
      </c>
      <c r="C56" s="477" t="s">
        <v>629</v>
      </c>
      <c r="D56" s="480" t="s">
        <v>197</v>
      </c>
      <c r="E56" s="480" t="s">
        <v>161</v>
      </c>
    </row>
    <row r="57" spans="2:5" ht="12.75" customHeight="1">
      <c r="B57" s="1" t="s">
        <v>141</v>
      </c>
      <c r="C57" s="477" t="s">
        <v>640</v>
      </c>
      <c r="D57" s="480" t="s">
        <v>130</v>
      </c>
      <c r="E57" s="480" t="s">
        <v>161</v>
      </c>
    </row>
    <row r="58" spans="2:5" ht="12.75" customHeight="1">
      <c r="B58" s="1" t="s">
        <v>143</v>
      </c>
      <c r="C58" s="477" t="s">
        <v>624</v>
      </c>
      <c r="D58" s="480" t="s">
        <v>195</v>
      </c>
      <c r="E58" s="480" t="s">
        <v>161</v>
      </c>
    </row>
    <row r="59" spans="2:5" ht="12.75" customHeight="1">
      <c r="B59" s="1" t="s">
        <v>145</v>
      </c>
      <c r="C59" s="477" t="s">
        <v>625</v>
      </c>
      <c r="D59" s="480" t="s">
        <v>195</v>
      </c>
      <c r="E59" s="480" t="s">
        <v>161</v>
      </c>
    </row>
    <row r="60" spans="2:5" ht="12.75" customHeight="1">
      <c r="B60" s="1" t="s">
        <v>147</v>
      </c>
      <c r="C60" s="477" t="s">
        <v>627</v>
      </c>
      <c r="D60" s="480" t="s">
        <v>195</v>
      </c>
      <c r="E60" s="480" t="s">
        <v>161</v>
      </c>
    </row>
    <row r="61" spans="2:5" ht="12.75" customHeight="1">
      <c r="B61" s="1" t="s">
        <v>155</v>
      </c>
      <c r="C61" s="477" t="s">
        <v>635</v>
      </c>
      <c r="D61" s="480" t="s">
        <v>195</v>
      </c>
      <c r="E61" s="479" t="s">
        <v>161</v>
      </c>
    </row>
    <row r="62" spans="2:5" ht="12.75" customHeight="1">
      <c r="B62" s="1" t="s">
        <v>156</v>
      </c>
      <c r="C62" s="477" t="s">
        <v>671</v>
      </c>
      <c r="D62" s="480" t="s">
        <v>201</v>
      </c>
      <c r="E62" s="479" t="s">
        <v>161</v>
      </c>
    </row>
    <row r="63" spans="2:5" ht="12.75" customHeight="1">
      <c r="B63" s="1" t="s">
        <v>158</v>
      </c>
      <c r="C63" s="477" t="s">
        <v>626</v>
      </c>
      <c r="D63" s="480" t="s">
        <v>195</v>
      </c>
      <c r="E63" s="479" t="s">
        <v>161</v>
      </c>
    </row>
    <row r="64" spans="2:5" ht="13.5" customHeight="1">
      <c r="B64" s="1" t="s">
        <v>159</v>
      </c>
      <c r="C64" s="477" t="s">
        <v>673</v>
      </c>
      <c r="D64" s="480" t="s">
        <v>554</v>
      </c>
      <c r="E64" s="479" t="s">
        <v>161</v>
      </c>
    </row>
    <row r="65" spans="2:5" ht="12.75" customHeight="1">
      <c r="B65" s="1" t="s">
        <v>160</v>
      </c>
      <c r="C65" s="477" t="s">
        <v>618</v>
      </c>
      <c r="D65" s="480" t="s">
        <v>189</v>
      </c>
      <c r="E65" s="479" t="s">
        <v>161</v>
      </c>
    </row>
    <row r="66" spans="2:5" ht="12.75" customHeight="1">
      <c r="B66" s="1" t="s">
        <v>163</v>
      </c>
      <c r="C66" s="477" t="s">
        <v>674</v>
      </c>
      <c r="D66" s="480" t="s">
        <v>183</v>
      </c>
      <c r="E66" s="479" t="s">
        <v>161</v>
      </c>
    </row>
    <row r="67" spans="2:5" ht="12.75" customHeight="1">
      <c r="B67" s="1" t="s">
        <v>165</v>
      </c>
      <c r="C67" s="477" t="s">
        <v>677</v>
      </c>
      <c r="D67" s="480" t="s">
        <v>201</v>
      </c>
      <c r="E67" s="479" t="s">
        <v>161</v>
      </c>
    </row>
    <row r="68" spans="2:5" ht="12.75" customHeight="1">
      <c r="B68" s="1"/>
      <c r="C68" s="477" t="s">
        <v>1318</v>
      </c>
      <c r="D68" s="480" t="s">
        <v>177</v>
      </c>
      <c r="E68" s="479" t="s">
        <v>161</v>
      </c>
    </row>
    <row r="69" spans="2:5" ht="12.75" customHeight="1">
      <c r="B69" s="1"/>
      <c r="C69" s="477" t="s">
        <v>1718</v>
      </c>
      <c r="D69" s="480" t="s">
        <v>551</v>
      </c>
      <c r="E69" s="479" t="s">
        <v>161</v>
      </c>
    </row>
    <row r="70" spans="2:5" ht="12.75" customHeight="1">
      <c r="B70" s="1"/>
      <c r="C70" s="477" t="s">
        <v>1721</v>
      </c>
      <c r="D70" s="480" t="s">
        <v>195</v>
      </c>
      <c r="E70" s="479" t="s">
        <v>161</v>
      </c>
    </row>
    <row r="71" spans="2:5" ht="12.75" customHeight="1">
      <c r="B71" s="1"/>
      <c r="C71" s="477" t="s">
        <v>1736</v>
      </c>
      <c r="D71" s="480" t="s">
        <v>1738</v>
      </c>
      <c r="E71" s="479" t="s">
        <v>161</v>
      </c>
    </row>
    <row r="72" spans="2:5" ht="12.75" customHeight="1">
      <c r="B72" s="1"/>
      <c r="C72" s="477" t="s">
        <v>2634</v>
      </c>
      <c r="D72" s="480" t="s">
        <v>207</v>
      </c>
      <c r="E72" s="479" t="s">
        <v>161</v>
      </c>
    </row>
    <row r="73" spans="2:5" ht="12.6" customHeight="1">
      <c r="B73" s="1"/>
      <c r="C73" s="477" t="s">
        <v>349</v>
      </c>
      <c r="D73" s="480" t="s">
        <v>221</v>
      </c>
      <c r="E73" s="479" t="s">
        <v>209</v>
      </c>
    </row>
    <row r="74" spans="2:5" ht="12.75" customHeight="1">
      <c r="B74" s="1" t="s">
        <v>168</v>
      </c>
      <c r="C74" s="477" t="s">
        <v>660</v>
      </c>
      <c r="D74" s="480" t="s">
        <v>212</v>
      </c>
      <c r="E74" s="479" t="s">
        <v>209</v>
      </c>
    </row>
    <row r="75" spans="2:5" ht="12.75" customHeight="1">
      <c r="B75" s="1" t="s">
        <v>170</v>
      </c>
      <c r="C75" s="477" t="s">
        <v>613</v>
      </c>
      <c r="D75" s="480" t="s">
        <v>175</v>
      </c>
      <c r="E75" s="479" t="s">
        <v>209</v>
      </c>
    </row>
    <row r="76" spans="2:5" ht="12.75" customHeight="1">
      <c r="B76" s="1" t="s">
        <v>172</v>
      </c>
      <c r="C76" s="477" t="s">
        <v>1737</v>
      </c>
      <c r="D76" s="607" t="s">
        <v>1739</v>
      </c>
      <c r="E76" s="479" t="s">
        <v>209</v>
      </c>
    </row>
    <row r="77" spans="2:5" ht="12.75" customHeight="1">
      <c r="B77" s="1" t="s">
        <v>174</v>
      </c>
      <c r="C77" s="477" t="s">
        <v>637</v>
      </c>
      <c r="D77" s="607" t="s">
        <v>2231</v>
      </c>
      <c r="E77" s="479" t="s">
        <v>209</v>
      </c>
    </row>
    <row r="78" spans="2:5" ht="12.75" customHeight="1">
      <c r="B78" s="1" t="s">
        <v>176</v>
      </c>
      <c r="C78" s="477" t="s">
        <v>667</v>
      </c>
      <c r="D78" s="480" t="s">
        <v>1728</v>
      </c>
      <c r="E78" s="479" t="s">
        <v>209</v>
      </c>
    </row>
    <row r="79" spans="2:5" ht="12.75" customHeight="1">
      <c r="B79" s="1" t="s">
        <v>178</v>
      </c>
      <c r="C79" s="477" t="s">
        <v>630</v>
      </c>
      <c r="D79" s="480" t="s">
        <v>216</v>
      </c>
      <c r="E79" s="479" t="s">
        <v>209</v>
      </c>
    </row>
    <row r="80" spans="2:5" ht="12.75" customHeight="1">
      <c r="B80" s="1" t="s">
        <v>180</v>
      </c>
      <c r="C80" s="477" t="s">
        <v>614</v>
      </c>
      <c r="D80" s="480" t="s">
        <v>225</v>
      </c>
      <c r="E80" s="479" t="s">
        <v>209</v>
      </c>
    </row>
    <row r="81" spans="2:5" ht="12.75" customHeight="1">
      <c r="B81" s="1" t="s">
        <v>182</v>
      </c>
      <c r="C81" s="477" t="s">
        <v>628</v>
      </c>
      <c r="D81" s="480" t="s">
        <v>214</v>
      </c>
      <c r="E81" s="479" t="s">
        <v>209</v>
      </c>
    </row>
    <row r="82" spans="2:5" ht="12.75" customHeight="1">
      <c r="B82" s="1" t="s">
        <v>184</v>
      </c>
      <c r="C82" s="477" t="s">
        <v>675</v>
      </c>
      <c r="D82" s="480" t="s">
        <v>223</v>
      </c>
      <c r="E82" s="479" t="s">
        <v>209</v>
      </c>
    </row>
    <row r="83" spans="2:5" ht="12.75" customHeight="1">
      <c r="B83" s="1" t="s">
        <v>186</v>
      </c>
      <c r="C83" s="477" t="s">
        <v>678</v>
      </c>
      <c r="D83" s="480" t="s">
        <v>552</v>
      </c>
      <c r="E83" s="479" t="s">
        <v>209</v>
      </c>
    </row>
    <row r="84" spans="2:5" ht="12.75" customHeight="1">
      <c r="B84" s="1"/>
      <c r="C84" s="477" t="s">
        <v>1274</v>
      </c>
      <c r="D84" s="480" t="s">
        <v>1275</v>
      </c>
      <c r="E84" s="479" t="s">
        <v>209</v>
      </c>
    </row>
    <row r="85" spans="2:5" ht="12.75" customHeight="1">
      <c r="B85" s="1"/>
      <c r="C85" s="477" t="s">
        <v>1323</v>
      </c>
      <c r="D85" s="480" t="s">
        <v>547</v>
      </c>
      <c r="E85" s="479" t="s">
        <v>209</v>
      </c>
    </row>
    <row r="86" spans="2:5" ht="12.75" customHeight="1">
      <c r="B86" s="1"/>
      <c r="C86" s="477" t="s">
        <v>1719</v>
      </c>
      <c r="D86" s="480" t="s">
        <v>231</v>
      </c>
      <c r="E86" s="479" t="s">
        <v>230</v>
      </c>
    </row>
    <row r="87" spans="2:5" ht="12.75" customHeight="1">
      <c r="B87" s="1" t="s">
        <v>188</v>
      </c>
      <c r="C87" s="477" t="s">
        <v>604</v>
      </c>
      <c r="D87" s="480" t="s">
        <v>231</v>
      </c>
      <c r="E87" s="479" t="s">
        <v>230</v>
      </c>
    </row>
    <row r="88" spans="2:5" ht="12.75" customHeight="1">
      <c r="B88" s="1" t="s">
        <v>190</v>
      </c>
      <c r="C88" s="477" t="s">
        <v>631</v>
      </c>
      <c r="D88" s="480" t="s">
        <v>2618</v>
      </c>
      <c r="E88" s="479" t="s">
        <v>230</v>
      </c>
    </row>
    <row r="89" spans="2:5" ht="12.75" customHeight="1">
      <c r="B89" s="1" t="s">
        <v>192</v>
      </c>
      <c r="C89" s="477" t="s">
        <v>621</v>
      </c>
      <c r="D89" s="480" t="s">
        <v>2617</v>
      </c>
      <c r="E89" s="479" t="s">
        <v>230</v>
      </c>
    </row>
    <row r="90" spans="2:5" ht="12.75" customHeight="1">
      <c r="B90" s="1" t="s">
        <v>194</v>
      </c>
      <c r="C90" s="477" t="s">
        <v>606</v>
      </c>
      <c r="D90" s="480" t="s">
        <v>231</v>
      </c>
      <c r="E90" s="479" t="s">
        <v>230</v>
      </c>
    </row>
    <row r="91" spans="2:5" ht="12.75" customHeight="1">
      <c r="B91" s="1" t="s">
        <v>196</v>
      </c>
      <c r="C91" s="477" t="s">
        <v>676</v>
      </c>
      <c r="D91" s="480" t="s">
        <v>231</v>
      </c>
      <c r="E91" s="479" t="s">
        <v>230</v>
      </c>
    </row>
    <row r="92" spans="2:5" ht="12.75" customHeight="1">
      <c r="B92" s="1" t="s">
        <v>167</v>
      </c>
      <c r="C92" s="477" t="s">
        <v>659</v>
      </c>
      <c r="D92" s="480" t="s">
        <v>231</v>
      </c>
      <c r="E92" s="479" t="s">
        <v>230</v>
      </c>
    </row>
    <row r="93" spans="2:5" ht="12.75" customHeight="1">
      <c r="B93" s="1" t="s">
        <v>136</v>
      </c>
      <c r="C93" s="477" t="s">
        <v>639</v>
      </c>
      <c r="D93" s="480" t="s">
        <v>231</v>
      </c>
      <c r="E93" s="479" t="s">
        <v>230</v>
      </c>
    </row>
    <row r="94" spans="2:5" ht="12.75" customHeight="1">
      <c r="B94" s="1" t="s">
        <v>198</v>
      </c>
      <c r="C94" s="477" t="s">
        <v>665</v>
      </c>
      <c r="D94" s="607" t="s">
        <v>234</v>
      </c>
      <c r="E94" s="479" t="s">
        <v>233</v>
      </c>
    </row>
    <row r="95" spans="2:5" ht="12.75" customHeight="1">
      <c r="B95" s="1" t="s">
        <v>200</v>
      </c>
      <c r="C95" s="477" t="s">
        <v>672</v>
      </c>
      <c r="D95" s="480" t="s">
        <v>238</v>
      </c>
      <c r="E95" s="479" t="s">
        <v>233</v>
      </c>
    </row>
    <row r="96" spans="2:5" ht="12.75" customHeight="1">
      <c r="B96" s="1" t="s">
        <v>202</v>
      </c>
      <c r="C96" s="477" t="s">
        <v>658</v>
      </c>
      <c r="D96" s="480" t="s">
        <v>245</v>
      </c>
      <c r="E96" s="479" t="s">
        <v>242</v>
      </c>
    </row>
    <row r="97" spans="2:5" ht="12.75" customHeight="1">
      <c r="B97" s="1" t="s">
        <v>203</v>
      </c>
      <c r="C97" s="477" t="s">
        <v>666</v>
      </c>
      <c r="D97" s="480" t="s">
        <v>243</v>
      </c>
      <c r="E97" s="479" t="s">
        <v>242</v>
      </c>
    </row>
    <row r="98" spans="2:5" ht="12.75" customHeight="1">
      <c r="B98" s="1" t="s">
        <v>204</v>
      </c>
      <c r="C98" s="477" t="s">
        <v>669</v>
      </c>
      <c r="D98" s="480" t="s">
        <v>234</v>
      </c>
      <c r="E98" s="479" t="s">
        <v>242</v>
      </c>
    </row>
    <row r="99" spans="2:5" ht="12.75" customHeight="1">
      <c r="B99" s="1"/>
      <c r="C99" s="477" t="s">
        <v>1717</v>
      </c>
      <c r="D99" s="480" t="s">
        <v>243</v>
      </c>
      <c r="E99" s="479" t="s">
        <v>242</v>
      </c>
    </row>
    <row r="100" spans="2:5" ht="12.75" customHeight="1">
      <c r="B100" s="1"/>
      <c r="C100" s="477" t="s">
        <v>2192</v>
      </c>
      <c r="D100" s="480" t="s">
        <v>2202</v>
      </c>
      <c r="E100" s="479" t="s">
        <v>209</v>
      </c>
    </row>
    <row r="101" spans="2:5" ht="12.75" customHeight="1">
      <c r="B101" s="1"/>
      <c r="C101" s="477" t="s">
        <v>1315</v>
      </c>
      <c r="D101" s="480" t="s">
        <v>162</v>
      </c>
      <c r="E101" s="479" t="s">
        <v>161</v>
      </c>
    </row>
    <row r="102" spans="2:5" ht="12.75" customHeight="1">
      <c r="B102" s="1"/>
      <c r="C102" s="477" t="s">
        <v>1274</v>
      </c>
      <c r="D102" s="480" t="s">
        <v>1275</v>
      </c>
      <c r="E102" s="479" t="s">
        <v>209</v>
      </c>
    </row>
    <row r="103" spans="2:5" ht="12.75" customHeight="1">
      <c r="B103" s="1"/>
      <c r="C103" s="477" t="s">
        <v>2199</v>
      </c>
      <c r="D103" s="480" t="s">
        <v>2198</v>
      </c>
      <c r="E103" s="479" t="s">
        <v>209</v>
      </c>
    </row>
    <row r="104" spans="2:5" ht="15" customHeight="1">
      <c r="C104" s="477" t="s">
        <v>670</v>
      </c>
      <c r="D104" s="480" t="s">
        <v>1273</v>
      </c>
      <c r="E104" s="479" t="s">
        <v>284</v>
      </c>
    </row>
    <row r="105" spans="2:5" ht="15" customHeight="1">
      <c r="C105" s="480" t="s">
        <v>17</v>
      </c>
      <c r="D105" s="480" t="s">
        <v>17</v>
      </c>
      <c r="E105" s="479" t="s">
        <v>66</v>
      </c>
    </row>
    <row r="106" spans="2:5" ht="15" customHeight="1">
      <c r="C106" s="480" t="s">
        <v>16</v>
      </c>
      <c r="D106" s="480" t="s">
        <v>16</v>
      </c>
      <c r="E106" s="479" t="s">
        <v>66</v>
      </c>
    </row>
    <row r="107" spans="2:5" ht="15" customHeight="1">
      <c r="C107" s="480" t="s">
        <v>17</v>
      </c>
      <c r="D107" s="480" t="s">
        <v>17</v>
      </c>
      <c r="E107" s="479" t="s">
        <v>66</v>
      </c>
    </row>
    <row r="108" spans="2:5" ht="15" customHeight="1">
      <c r="C108" s="480" t="s">
        <v>17</v>
      </c>
      <c r="D108" s="480" t="s">
        <v>17</v>
      </c>
      <c r="E108" s="479" t="s">
        <v>66</v>
      </c>
    </row>
    <row r="109" spans="2:5" ht="15" customHeight="1">
      <c r="C109" s="477" t="s">
        <v>1294</v>
      </c>
      <c r="D109" s="112" t="s">
        <v>1296</v>
      </c>
      <c r="E109" s="479" t="s">
        <v>66</v>
      </c>
    </row>
    <row r="110" spans="2:5" ht="15" customHeight="1">
      <c r="C110" s="477" t="s">
        <v>15</v>
      </c>
      <c r="D110" s="112" t="s">
        <v>1296</v>
      </c>
      <c r="E110" s="479" t="s">
        <v>66</v>
      </c>
    </row>
    <row r="111" spans="2:5" ht="15" customHeight="1">
      <c r="C111" s="480" t="s">
        <v>16</v>
      </c>
      <c r="D111" s="480" t="s">
        <v>16</v>
      </c>
      <c r="E111" s="479" t="s">
        <v>66</v>
      </c>
    </row>
    <row r="112" spans="2:5" ht="15" customHeight="1">
      <c r="C112" s="480" t="s">
        <v>17</v>
      </c>
      <c r="D112" s="480" t="s">
        <v>17</v>
      </c>
      <c r="E112" s="479" t="s">
        <v>66</v>
      </c>
    </row>
    <row r="113" spans="3:5" ht="15" customHeight="1">
      <c r="C113" s="480" t="s">
        <v>16</v>
      </c>
      <c r="D113" s="480" t="s">
        <v>16</v>
      </c>
      <c r="E113" s="479" t="s">
        <v>66</v>
      </c>
    </row>
    <row r="114" spans="3:5" ht="15" customHeight="1">
      <c r="C114" s="477" t="s">
        <v>18</v>
      </c>
      <c r="D114" s="480" t="s">
        <v>18</v>
      </c>
      <c r="E114" s="479" t="s">
        <v>66</v>
      </c>
    </row>
    <row r="115" spans="3:5" ht="15" customHeight="1">
      <c r="C115" s="480" t="s">
        <v>548</v>
      </c>
      <c r="D115" s="480" t="s">
        <v>548</v>
      </c>
      <c r="E115" s="479" t="s">
        <v>66</v>
      </c>
    </row>
    <row r="116" spans="3:5" ht="15" customHeight="1">
      <c r="C116" s="480" t="s">
        <v>548</v>
      </c>
      <c r="D116" s="480" t="s">
        <v>548</v>
      </c>
      <c r="E116" s="479" t="s">
        <v>66</v>
      </c>
    </row>
    <row r="117" spans="3:5" ht="15" customHeight="1">
      <c r="C117" s="480" t="s">
        <v>548</v>
      </c>
      <c r="D117" s="480" t="s">
        <v>548</v>
      </c>
      <c r="E117" s="479" t="s">
        <v>66</v>
      </c>
    </row>
    <row r="118" spans="3:5" ht="15" customHeight="1">
      <c r="C118" s="480" t="s">
        <v>548</v>
      </c>
      <c r="D118" s="480" t="s">
        <v>548</v>
      </c>
      <c r="E118" s="479" t="s">
        <v>66</v>
      </c>
    </row>
    <row r="119" spans="3:5" ht="15" customHeight="1">
      <c r="C119" s="480" t="s">
        <v>1720</v>
      </c>
      <c r="D119" s="480" t="s">
        <v>1723</v>
      </c>
      <c r="E119" s="479" t="s">
        <v>1723</v>
      </c>
    </row>
    <row r="120" spans="3:5" ht="15" customHeight="1">
      <c r="C120" s="607" t="s">
        <v>2200</v>
      </c>
      <c r="D120" s="480" t="s">
        <v>1723</v>
      </c>
      <c r="E120" s="479" t="s">
        <v>1723</v>
      </c>
    </row>
    <row r="121" spans="3:5" ht="15" customHeight="1">
      <c r="C121" s="480" t="s">
        <v>2193</v>
      </c>
      <c r="D121" s="480" t="s">
        <v>1723</v>
      </c>
      <c r="E121" s="479" t="s">
        <v>1723</v>
      </c>
    </row>
    <row r="122" spans="3:5" ht="15" customHeight="1">
      <c r="C122" s="607" t="s">
        <v>2232</v>
      </c>
      <c r="D122" s="480" t="s">
        <v>2231</v>
      </c>
      <c r="E122" s="479" t="s">
        <v>209</v>
      </c>
    </row>
  </sheetData>
  <autoFilter ref="C1:E122" xr:uid="{00000000-0001-0000-0600-000000000000}"/>
  <pageMargins left="0.511811024" right="0.511811024" top="0.78740157499999996" bottom="0.78740157499999996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B2:E12"/>
  <sheetViews>
    <sheetView showGridLines="0" workbookViewId="0">
      <selection activeCell="C15" sqref="C15"/>
    </sheetView>
  </sheetViews>
  <sheetFormatPr defaultColWidth="12.5703125" defaultRowHeight="15" customHeight="1"/>
  <cols>
    <col min="1" max="1" width="1.5703125" customWidth="1"/>
    <col min="2" max="2" width="3.42578125" customWidth="1"/>
    <col min="3" max="3" width="55.42578125" customWidth="1"/>
    <col min="4" max="4" width="1.5703125" customWidth="1"/>
    <col min="5" max="5" width="10.5703125" customWidth="1"/>
    <col min="6" max="24" width="9.42578125" customWidth="1"/>
  </cols>
  <sheetData>
    <row r="2" spans="2:5" ht="12.75" customHeight="1">
      <c r="B2" s="77" t="s">
        <v>415</v>
      </c>
      <c r="C2" s="1"/>
      <c r="D2" s="1"/>
      <c r="E2" s="1"/>
    </row>
    <row r="3" spans="2:5" ht="12.75" customHeight="1">
      <c r="B3" s="76"/>
      <c r="C3" s="1"/>
      <c r="D3" s="1"/>
      <c r="E3" s="1"/>
    </row>
    <row r="4" spans="2:5" ht="12.75" customHeight="1">
      <c r="B4" s="224" t="s">
        <v>267</v>
      </c>
      <c r="C4" s="224" t="s">
        <v>284</v>
      </c>
      <c r="D4" s="225"/>
      <c r="E4" s="224" t="s">
        <v>61</v>
      </c>
    </row>
    <row r="5" spans="2:5" ht="4.5" customHeight="1">
      <c r="B5" s="76"/>
      <c r="C5" s="221"/>
      <c r="D5" s="221"/>
      <c r="E5" s="79"/>
    </row>
    <row r="6" spans="2:5" ht="12.75" customHeight="1">
      <c r="B6" s="75">
        <v>1</v>
      </c>
      <c r="C6" s="1"/>
      <c r="D6" s="1"/>
      <c r="E6" s="226"/>
    </row>
    <row r="7" spans="2:5" ht="12.75" customHeight="1">
      <c r="B7" s="75">
        <f t="shared" ref="B7:B10" si="0">B6+1</f>
        <v>2</v>
      </c>
      <c r="C7" s="1"/>
      <c r="D7" s="1"/>
      <c r="E7" s="226"/>
    </row>
    <row r="8" spans="2:5" ht="12.75" customHeight="1">
      <c r="B8" s="75">
        <f t="shared" si="0"/>
        <v>3</v>
      </c>
      <c r="C8" s="1"/>
      <c r="D8" s="1"/>
      <c r="E8" s="226"/>
    </row>
    <row r="9" spans="2:5" ht="12.75" customHeight="1">
      <c r="B9" s="75">
        <f t="shared" si="0"/>
        <v>4</v>
      </c>
      <c r="C9" s="1"/>
      <c r="D9" s="1"/>
      <c r="E9" s="226"/>
    </row>
    <row r="10" spans="2:5" ht="12.75" customHeight="1">
      <c r="B10" s="75">
        <f t="shared" si="0"/>
        <v>5</v>
      </c>
      <c r="C10" s="1"/>
      <c r="D10" s="1"/>
      <c r="E10" s="226"/>
    </row>
    <row r="11" spans="2:5" ht="4.5" customHeight="1">
      <c r="B11" s="76"/>
      <c r="C11" s="1"/>
      <c r="D11" s="1"/>
      <c r="E11" s="227"/>
    </row>
    <row r="12" spans="2:5" ht="12.75" customHeight="1">
      <c r="B12" s="76"/>
      <c r="C12" s="228"/>
      <c r="D12" s="225"/>
      <c r="E12" s="229">
        <f>SUM(E6:E10)</f>
        <v>0</v>
      </c>
    </row>
  </sheetData>
  <pageMargins left="0.511811024" right="0.511811024" top="0.78740157499999996" bottom="0.78740157499999996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26C1-1D37-4362-95FC-1FB62069EE2D}">
  <sheetPr filterMode="1">
    <tabColor theme="1"/>
  </sheetPr>
  <dimension ref="A2:K79"/>
  <sheetViews>
    <sheetView workbookViewId="0">
      <selection activeCell="B65" sqref="B65"/>
    </sheetView>
  </sheetViews>
  <sheetFormatPr defaultRowHeight="12.75"/>
  <cols>
    <col min="1" max="1" width="57.28515625" bestFit="1" customWidth="1"/>
    <col min="2" max="2" width="35.140625" bestFit="1" customWidth="1"/>
    <col min="3" max="3" width="33.5703125" customWidth="1"/>
    <col min="7" max="7" width="35.140625" bestFit="1" customWidth="1"/>
    <col min="9" max="9" width="36.42578125" bestFit="1" customWidth="1"/>
    <col min="11" max="11" width="34" bestFit="1" customWidth="1"/>
  </cols>
  <sheetData>
    <row r="2" spans="1:11">
      <c r="A2" t="s">
        <v>642</v>
      </c>
      <c r="B2" t="s">
        <v>106</v>
      </c>
      <c r="C2" s="1" t="s">
        <v>101</v>
      </c>
    </row>
    <row r="3" spans="1:11" hidden="1">
      <c r="A3" t="s">
        <v>657</v>
      </c>
      <c r="B3" t="s">
        <v>164</v>
      </c>
      <c r="C3" t="s">
        <v>161</v>
      </c>
    </row>
    <row r="4" spans="1:11" hidden="1">
      <c r="A4" t="s">
        <v>658</v>
      </c>
      <c r="B4" t="s">
        <v>245</v>
      </c>
      <c r="C4" t="s">
        <v>242</v>
      </c>
    </row>
    <row r="5" spans="1:11" hidden="1">
      <c r="A5" t="s">
        <v>659</v>
      </c>
      <c r="B5" t="s">
        <v>223</v>
      </c>
      <c r="C5" t="s">
        <v>209</v>
      </c>
      <c r="K5" s="349" t="s">
        <v>84</v>
      </c>
    </row>
    <row r="6" spans="1:11" hidden="1">
      <c r="A6" t="s">
        <v>660</v>
      </c>
      <c r="B6" t="s">
        <v>212</v>
      </c>
      <c r="C6" t="s">
        <v>209</v>
      </c>
      <c r="G6" s="475" t="s">
        <v>161</v>
      </c>
      <c r="I6" s="475" t="s">
        <v>209</v>
      </c>
      <c r="K6" s="169" t="s">
        <v>29</v>
      </c>
    </row>
    <row r="7" spans="1:11" hidden="1">
      <c r="A7" t="s">
        <v>661</v>
      </c>
      <c r="B7" t="s">
        <v>223</v>
      </c>
      <c r="C7" t="s">
        <v>161</v>
      </c>
      <c r="G7" s="393" t="s">
        <v>162</v>
      </c>
      <c r="I7" s="391" t="s">
        <v>547</v>
      </c>
      <c r="K7" s="169" t="s">
        <v>31</v>
      </c>
    </row>
    <row r="8" spans="1:11">
      <c r="A8" t="s">
        <v>643</v>
      </c>
      <c r="B8" t="s">
        <v>654</v>
      </c>
      <c r="C8" s="1" t="s">
        <v>101</v>
      </c>
      <c r="G8" s="394" t="s">
        <v>164</v>
      </c>
      <c r="I8" s="169" t="s">
        <v>552</v>
      </c>
      <c r="K8" s="474" t="s">
        <v>435</v>
      </c>
    </row>
    <row r="9" spans="1:11">
      <c r="A9" t="s">
        <v>644</v>
      </c>
      <c r="B9" t="s">
        <v>655</v>
      </c>
      <c r="C9" s="1" t="s">
        <v>101</v>
      </c>
      <c r="G9" s="395" t="s">
        <v>166</v>
      </c>
      <c r="I9" s="146" t="s">
        <v>212</v>
      </c>
      <c r="K9" s="169" t="s">
        <v>169</v>
      </c>
    </row>
    <row r="10" spans="1:11" hidden="1">
      <c r="A10" t="s">
        <v>613</v>
      </c>
      <c r="B10" t="s">
        <v>175</v>
      </c>
      <c r="C10" t="s">
        <v>209</v>
      </c>
      <c r="G10" s="395" t="s">
        <v>173</v>
      </c>
      <c r="I10" s="178" t="s">
        <v>214</v>
      </c>
      <c r="K10" s="169" t="s">
        <v>29</v>
      </c>
    </row>
    <row r="11" spans="1:11">
      <c r="A11" t="s">
        <v>645</v>
      </c>
      <c r="B11" t="s">
        <v>120</v>
      </c>
      <c r="C11" s="1" t="s">
        <v>101</v>
      </c>
      <c r="G11" s="395" t="s">
        <v>175</v>
      </c>
      <c r="I11" s="169" t="s">
        <v>216</v>
      </c>
      <c r="K11" s="169" t="s">
        <v>438</v>
      </c>
    </row>
    <row r="12" spans="1:11" hidden="1">
      <c r="A12" t="s">
        <v>662</v>
      </c>
      <c r="B12" t="s">
        <v>164</v>
      </c>
      <c r="C12" t="s">
        <v>161</v>
      </c>
      <c r="G12" s="395" t="s">
        <v>177</v>
      </c>
      <c r="I12" s="146" t="s">
        <v>553</v>
      </c>
      <c r="K12" s="169" t="s">
        <v>437</v>
      </c>
    </row>
    <row r="13" spans="1:11" hidden="1">
      <c r="A13" t="s">
        <v>663</v>
      </c>
      <c r="B13" t="s">
        <v>154</v>
      </c>
      <c r="C13" t="s">
        <v>153</v>
      </c>
      <c r="G13" s="396" t="s">
        <v>181</v>
      </c>
      <c r="I13" s="146" t="s">
        <v>221</v>
      </c>
      <c r="K13" s="169" t="s">
        <v>191</v>
      </c>
    </row>
    <row r="14" spans="1:11" hidden="1">
      <c r="A14" t="s">
        <v>612</v>
      </c>
      <c r="B14" t="s">
        <v>201</v>
      </c>
      <c r="C14" t="s">
        <v>161</v>
      </c>
      <c r="G14" s="396" t="s">
        <v>183</v>
      </c>
      <c r="I14" s="146" t="s">
        <v>223</v>
      </c>
      <c r="K14" s="169" t="s">
        <v>30</v>
      </c>
    </row>
    <row r="15" spans="1:11" hidden="1">
      <c r="A15" t="s">
        <v>638</v>
      </c>
      <c r="B15" t="s">
        <v>553</v>
      </c>
      <c r="C15" t="s">
        <v>209</v>
      </c>
      <c r="G15" s="396" t="s">
        <v>189</v>
      </c>
      <c r="I15" s="146" t="s">
        <v>225</v>
      </c>
      <c r="K15" s="169" t="s">
        <v>437</v>
      </c>
    </row>
    <row r="16" spans="1:11" hidden="1">
      <c r="A16" t="s">
        <v>620</v>
      </c>
      <c r="B16" t="s">
        <v>30</v>
      </c>
      <c r="C16" s="1" t="s">
        <v>84</v>
      </c>
      <c r="G16" s="395" t="s">
        <v>193</v>
      </c>
      <c r="I16" s="146" t="s">
        <v>227</v>
      </c>
      <c r="K16" s="169" t="s">
        <v>436</v>
      </c>
    </row>
    <row r="17" spans="1:11">
      <c r="A17" t="s">
        <v>664</v>
      </c>
      <c r="B17" t="s">
        <v>544</v>
      </c>
      <c r="C17" s="1" t="s">
        <v>101</v>
      </c>
      <c r="G17" s="395" t="s">
        <v>195</v>
      </c>
      <c r="I17" s="146" t="s">
        <v>554</v>
      </c>
      <c r="K17" s="169" t="s">
        <v>32</v>
      </c>
    </row>
    <row r="18" spans="1:11" hidden="1">
      <c r="A18" t="s">
        <v>637</v>
      </c>
      <c r="B18" t="s">
        <v>553</v>
      </c>
      <c r="C18" t="s">
        <v>209</v>
      </c>
      <c r="G18" s="396" t="s">
        <v>197</v>
      </c>
      <c r="K18" s="169" t="s">
        <v>437</v>
      </c>
    </row>
    <row r="19" spans="1:11" hidden="1">
      <c r="A19" t="s">
        <v>665</v>
      </c>
      <c r="B19" t="s">
        <v>234</v>
      </c>
      <c r="C19" t="s">
        <v>233</v>
      </c>
      <c r="G19" s="369" t="s">
        <v>444</v>
      </c>
      <c r="K19" s="169" t="s">
        <v>28</v>
      </c>
    </row>
    <row r="20" spans="1:11" hidden="1">
      <c r="A20" t="s">
        <v>636</v>
      </c>
      <c r="B20" t="s">
        <v>437</v>
      </c>
      <c r="C20" s="1" t="s">
        <v>84</v>
      </c>
      <c r="G20" s="155" t="s">
        <v>130</v>
      </c>
    </row>
    <row r="21" spans="1:11" hidden="1">
      <c r="A21" t="s">
        <v>609</v>
      </c>
      <c r="B21" t="s">
        <v>435</v>
      </c>
      <c r="C21" s="1" t="s">
        <v>84</v>
      </c>
      <c r="G21" s="396" t="s">
        <v>551</v>
      </c>
    </row>
    <row r="22" spans="1:11" hidden="1">
      <c r="A22" t="s">
        <v>632</v>
      </c>
      <c r="B22" t="s">
        <v>166</v>
      </c>
      <c r="C22" t="s">
        <v>161</v>
      </c>
      <c r="G22" s="395" t="s">
        <v>207</v>
      </c>
    </row>
    <row r="23" spans="1:11" hidden="1">
      <c r="A23" t="s">
        <v>610</v>
      </c>
      <c r="B23" t="s">
        <v>169</v>
      </c>
      <c r="C23" s="1" t="s">
        <v>84</v>
      </c>
      <c r="G23" s="405" t="s">
        <v>546</v>
      </c>
    </row>
    <row r="24" spans="1:11" hidden="1">
      <c r="A24" t="s">
        <v>646</v>
      </c>
      <c r="B24" t="s">
        <v>444</v>
      </c>
      <c r="C24" t="s">
        <v>161</v>
      </c>
    </row>
    <row r="25" spans="1:11" hidden="1">
      <c r="A25" t="s">
        <v>666</v>
      </c>
      <c r="B25" t="s">
        <v>243</v>
      </c>
      <c r="C25" t="s">
        <v>242</v>
      </c>
    </row>
    <row r="26" spans="1:11" hidden="1">
      <c r="A26" t="s">
        <v>667</v>
      </c>
      <c r="B26" t="s">
        <v>223</v>
      </c>
      <c r="C26" t="s">
        <v>209</v>
      </c>
    </row>
    <row r="27" spans="1:11" hidden="1">
      <c r="A27" t="s">
        <v>668</v>
      </c>
      <c r="B27" t="s">
        <v>546</v>
      </c>
      <c r="C27" t="s">
        <v>161</v>
      </c>
    </row>
    <row r="28" spans="1:11" hidden="1">
      <c r="A28" t="s">
        <v>639</v>
      </c>
      <c r="B28" t="s">
        <v>223</v>
      </c>
      <c r="C28" t="s">
        <v>161</v>
      </c>
    </row>
    <row r="29" spans="1:11" hidden="1">
      <c r="A29" t="s">
        <v>619</v>
      </c>
      <c r="B29" t="s">
        <v>191</v>
      </c>
      <c r="C29" s="1" t="s">
        <v>84</v>
      </c>
    </row>
    <row r="30" spans="1:11" hidden="1">
      <c r="A30" t="s">
        <v>623</v>
      </c>
      <c r="B30" t="s">
        <v>437</v>
      </c>
      <c r="C30" s="1" t="s">
        <v>84</v>
      </c>
    </row>
    <row r="31" spans="1:11">
      <c r="A31" t="s">
        <v>605</v>
      </c>
      <c r="B31" t="s">
        <v>656</v>
      </c>
      <c r="C31" s="1" t="s">
        <v>101</v>
      </c>
    </row>
    <row r="32" spans="1:11" hidden="1">
      <c r="A32" t="s">
        <v>615</v>
      </c>
      <c r="B32" t="s">
        <v>181</v>
      </c>
      <c r="C32" t="s">
        <v>161</v>
      </c>
    </row>
    <row r="33" spans="1:3" hidden="1">
      <c r="A33" t="s">
        <v>629</v>
      </c>
      <c r="B33" t="s">
        <v>197</v>
      </c>
      <c r="C33" t="s">
        <v>161</v>
      </c>
    </row>
    <row r="34" spans="1:3" hidden="1">
      <c r="A34" t="s">
        <v>640</v>
      </c>
      <c r="B34" t="s">
        <v>130</v>
      </c>
      <c r="C34" t="s">
        <v>161</v>
      </c>
    </row>
    <row r="35" spans="1:3" hidden="1">
      <c r="A35" t="s">
        <v>611</v>
      </c>
      <c r="B35" t="s">
        <v>29</v>
      </c>
      <c r="C35" s="1" t="s">
        <v>84</v>
      </c>
    </row>
    <row r="36" spans="1:3" hidden="1">
      <c r="A36" t="s">
        <v>630</v>
      </c>
      <c r="B36" t="s">
        <v>216</v>
      </c>
      <c r="C36" t="s">
        <v>209</v>
      </c>
    </row>
    <row r="37" spans="1:3">
      <c r="A37" t="s">
        <v>647</v>
      </c>
      <c r="B37" t="s">
        <v>110</v>
      </c>
      <c r="C37" s="1" t="s">
        <v>101</v>
      </c>
    </row>
    <row r="38" spans="1:3" hidden="1">
      <c r="A38" t="s">
        <v>607</v>
      </c>
      <c r="B38" t="s">
        <v>29</v>
      </c>
      <c r="C38" s="1" t="s">
        <v>84</v>
      </c>
    </row>
    <row r="39" spans="1:3" hidden="1">
      <c r="A39" t="s">
        <v>604</v>
      </c>
      <c r="B39" t="s">
        <v>231</v>
      </c>
      <c r="C39" t="s">
        <v>230</v>
      </c>
    </row>
    <row r="40" spans="1:3" hidden="1">
      <c r="A40" t="s">
        <v>633</v>
      </c>
      <c r="B40" t="s">
        <v>436</v>
      </c>
      <c r="C40" s="1" t="s">
        <v>84</v>
      </c>
    </row>
    <row r="41" spans="1:3" hidden="1">
      <c r="A41" t="s">
        <v>413</v>
      </c>
      <c r="B41" t="s">
        <v>32</v>
      </c>
      <c r="C41" s="1" t="s">
        <v>84</v>
      </c>
    </row>
    <row r="42" spans="1:3">
      <c r="A42" t="s">
        <v>108</v>
      </c>
      <c r="B42" t="s">
        <v>655</v>
      </c>
      <c r="C42" s="1" t="s">
        <v>101</v>
      </c>
    </row>
    <row r="43" spans="1:3" hidden="1">
      <c r="A43" t="s">
        <v>669</v>
      </c>
      <c r="B43" t="s">
        <v>234</v>
      </c>
      <c r="C43" t="s">
        <v>242</v>
      </c>
    </row>
    <row r="44" spans="1:3" hidden="1">
      <c r="A44" t="s">
        <v>617</v>
      </c>
      <c r="B44" t="s">
        <v>437</v>
      </c>
      <c r="C44" s="1" t="s">
        <v>84</v>
      </c>
    </row>
    <row r="45" spans="1:3" hidden="1">
      <c r="A45" t="s">
        <v>616</v>
      </c>
      <c r="B45" t="s">
        <v>438</v>
      </c>
      <c r="C45" s="1" t="s">
        <v>84</v>
      </c>
    </row>
    <row r="46" spans="1:3" hidden="1">
      <c r="A46" t="s">
        <v>631</v>
      </c>
      <c r="B46" t="s">
        <v>231</v>
      </c>
      <c r="C46" t="s">
        <v>230</v>
      </c>
    </row>
    <row r="47" spans="1:3" hidden="1">
      <c r="A47" t="s">
        <v>621</v>
      </c>
      <c r="B47" t="s">
        <v>231</v>
      </c>
      <c r="C47" t="s">
        <v>230</v>
      </c>
    </row>
    <row r="48" spans="1:3" hidden="1">
      <c r="A48" t="s">
        <v>624</v>
      </c>
      <c r="B48" t="s">
        <v>195</v>
      </c>
      <c r="C48" t="s">
        <v>161</v>
      </c>
    </row>
    <row r="49" spans="1:3" hidden="1">
      <c r="A49" t="s">
        <v>625</v>
      </c>
      <c r="B49" t="s">
        <v>195</v>
      </c>
      <c r="C49" t="s">
        <v>161</v>
      </c>
    </row>
    <row r="50" spans="1:3" hidden="1">
      <c r="A50" t="s">
        <v>627</v>
      </c>
      <c r="B50" t="s">
        <v>195</v>
      </c>
      <c r="C50" t="s">
        <v>161</v>
      </c>
    </row>
    <row r="51" spans="1:3" hidden="1">
      <c r="A51" t="s">
        <v>635</v>
      </c>
      <c r="B51" t="s">
        <v>195</v>
      </c>
      <c r="C51" t="s">
        <v>161</v>
      </c>
    </row>
    <row r="52" spans="1:3" hidden="1">
      <c r="A52" t="s">
        <v>608</v>
      </c>
      <c r="B52" t="s">
        <v>31</v>
      </c>
      <c r="C52" s="1" t="s">
        <v>84</v>
      </c>
    </row>
    <row r="53" spans="1:3" hidden="1">
      <c r="A53" t="s">
        <v>606</v>
      </c>
      <c r="B53" t="s">
        <v>231</v>
      </c>
      <c r="C53" t="s">
        <v>230</v>
      </c>
    </row>
    <row r="54" spans="1:3" hidden="1">
      <c r="A54" t="s">
        <v>670</v>
      </c>
      <c r="B54" t="s">
        <v>681</v>
      </c>
      <c r="C54" t="s">
        <v>683</v>
      </c>
    </row>
    <row r="55" spans="1:3" hidden="1">
      <c r="A55" t="s">
        <v>671</v>
      </c>
      <c r="B55" t="s">
        <v>201</v>
      </c>
      <c r="C55" t="s">
        <v>161</v>
      </c>
    </row>
    <row r="56" spans="1:3" hidden="1">
      <c r="A56" t="s">
        <v>626</v>
      </c>
      <c r="B56" t="s">
        <v>195</v>
      </c>
      <c r="C56" t="s">
        <v>161</v>
      </c>
    </row>
    <row r="57" spans="1:3" hidden="1">
      <c r="A57" t="s">
        <v>672</v>
      </c>
      <c r="B57" t="s">
        <v>238</v>
      </c>
      <c r="C57" t="s">
        <v>233</v>
      </c>
    </row>
    <row r="58" spans="1:3">
      <c r="A58" t="s">
        <v>283</v>
      </c>
      <c r="B58" t="s">
        <v>544</v>
      </c>
      <c r="C58" s="1" t="s">
        <v>101</v>
      </c>
    </row>
    <row r="59" spans="1:3" hidden="1">
      <c r="A59" t="s">
        <v>673</v>
      </c>
      <c r="B59" t="s">
        <v>554</v>
      </c>
      <c r="C59" t="s">
        <v>161</v>
      </c>
    </row>
    <row r="60" spans="1:3" hidden="1">
      <c r="A60" t="s">
        <v>634</v>
      </c>
      <c r="B60" t="s">
        <v>73</v>
      </c>
      <c r="C60" t="s">
        <v>67</v>
      </c>
    </row>
    <row r="61" spans="1:3" hidden="1">
      <c r="A61" t="s">
        <v>622</v>
      </c>
      <c r="B61" t="s">
        <v>682</v>
      </c>
      <c r="C61" t="s">
        <v>67</v>
      </c>
    </row>
    <row r="62" spans="1:3" hidden="1">
      <c r="A62" t="s">
        <v>641</v>
      </c>
      <c r="B62" t="s">
        <v>28</v>
      </c>
      <c r="C62" s="1" t="s">
        <v>84</v>
      </c>
    </row>
    <row r="63" spans="1:3" hidden="1">
      <c r="A63" t="s">
        <v>614</v>
      </c>
      <c r="B63" t="s">
        <v>225</v>
      </c>
      <c r="C63" t="s">
        <v>209</v>
      </c>
    </row>
    <row r="64" spans="1:3" hidden="1">
      <c r="A64" t="s">
        <v>618</v>
      </c>
      <c r="B64" t="s">
        <v>189</v>
      </c>
      <c r="C64" t="s">
        <v>161</v>
      </c>
    </row>
    <row r="65" spans="1:3">
      <c r="A65" t="s">
        <v>542</v>
      </c>
      <c r="B65" t="s">
        <v>120</v>
      </c>
      <c r="C65" s="1" t="s">
        <v>101</v>
      </c>
    </row>
    <row r="66" spans="1:3" hidden="1">
      <c r="A66" t="s">
        <v>674</v>
      </c>
      <c r="B66" t="s">
        <v>183</v>
      </c>
      <c r="C66" t="s">
        <v>161</v>
      </c>
    </row>
    <row r="67" spans="1:3">
      <c r="A67" t="s">
        <v>648</v>
      </c>
      <c r="B67" t="s">
        <v>102</v>
      </c>
      <c r="C67" s="1" t="s">
        <v>101</v>
      </c>
    </row>
    <row r="68" spans="1:3" hidden="1">
      <c r="A68" t="s">
        <v>628</v>
      </c>
      <c r="B68" t="s">
        <v>214</v>
      </c>
      <c r="C68" t="s">
        <v>209</v>
      </c>
    </row>
    <row r="69" spans="1:3">
      <c r="A69" t="s">
        <v>649</v>
      </c>
      <c r="B69" t="s">
        <v>653</v>
      </c>
      <c r="C69" s="1" t="s">
        <v>101</v>
      </c>
    </row>
    <row r="70" spans="1:3">
      <c r="A70" t="s">
        <v>650</v>
      </c>
      <c r="B70" t="s">
        <v>102</v>
      </c>
      <c r="C70" s="1" t="s">
        <v>101</v>
      </c>
    </row>
    <row r="71" spans="1:3" hidden="1">
      <c r="A71" t="s">
        <v>675</v>
      </c>
      <c r="B71" t="s">
        <v>223</v>
      </c>
      <c r="C71" t="s">
        <v>209</v>
      </c>
    </row>
    <row r="72" spans="1:3" hidden="1">
      <c r="A72" t="s">
        <v>676</v>
      </c>
      <c r="B72" t="s">
        <v>231</v>
      </c>
      <c r="C72" t="s">
        <v>230</v>
      </c>
    </row>
    <row r="73" spans="1:3" hidden="1">
      <c r="A73" t="s">
        <v>677</v>
      </c>
      <c r="B73" t="s">
        <v>201</v>
      </c>
      <c r="C73" t="s">
        <v>161</v>
      </c>
    </row>
    <row r="74" spans="1:3">
      <c r="A74" t="s">
        <v>651</v>
      </c>
      <c r="B74" t="s">
        <v>114</v>
      </c>
      <c r="C74" s="1" t="s">
        <v>101</v>
      </c>
    </row>
    <row r="75" spans="1:3" hidden="1">
      <c r="A75" t="s">
        <v>678</v>
      </c>
      <c r="B75" t="s">
        <v>552</v>
      </c>
      <c r="C75" t="s">
        <v>209</v>
      </c>
    </row>
    <row r="76" spans="1:3">
      <c r="A76" t="s">
        <v>110</v>
      </c>
      <c r="B76" t="s">
        <v>110</v>
      </c>
      <c r="C76" s="1" t="s">
        <v>101</v>
      </c>
    </row>
    <row r="77" spans="1:3">
      <c r="A77" t="s">
        <v>679</v>
      </c>
      <c r="B77" t="s">
        <v>544</v>
      </c>
      <c r="C77" s="1" t="s">
        <v>101</v>
      </c>
    </row>
    <row r="78" spans="1:3">
      <c r="A78" t="s">
        <v>680</v>
      </c>
      <c r="B78" t="s">
        <v>142</v>
      </c>
      <c r="C78" s="1" t="s">
        <v>101</v>
      </c>
    </row>
    <row r="79" spans="1:3">
      <c r="A79" t="s">
        <v>652</v>
      </c>
      <c r="B79" t="s">
        <v>114</v>
      </c>
      <c r="C79" s="1" t="s">
        <v>101</v>
      </c>
    </row>
  </sheetData>
  <autoFilter ref="A1:D79" xr:uid="{B1A326C1-1D37-4362-95FC-1FB62069EE2D}">
    <filterColumn colId="2">
      <filters>
        <filter val="PESSOAL"/>
      </filters>
    </filterColumn>
  </autoFilter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501E-FB34-4A5B-BDDE-0982A4079175}">
  <sheetPr>
    <tabColor theme="1"/>
  </sheetPr>
  <dimension ref="A1:V75"/>
  <sheetViews>
    <sheetView topLeftCell="A24" workbookViewId="0">
      <selection activeCell="K62" sqref="K62"/>
    </sheetView>
  </sheetViews>
  <sheetFormatPr defaultRowHeight="12.75"/>
  <cols>
    <col min="1" max="3" width="16.5703125" customWidth="1"/>
    <col min="4" max="4" width="8.42578125" style="333" hidden="1" customWidth="1"/>
    <col min="5" max="5" width="16.5703125" customWidth="1"/>
    <col min="6" max="6" width="10.42578125" style="333" customWidth="1"/>
    <col min="7" max="7" width="16.5703125" customWidth="1"/>
    <col min="8" max="8" width="12.42578125" style="333" bestFit="1" customWidth="1"/>
    <col min="9" max="9" width="13.140625" bestFit="1" customWidth="1"/>
    <col min="10" max="10" width="8.42578125" style="333" customWidth="1"/>
    <col min="11" max="13" width="8.85546875" customWidth="1"/>
    <col min="15" max="15" width="35.7109375" customWidth="1"/>
    <col min="18" max="18" width="11.140625" customWidth="1"/>
    <col min="19" max="19" width="12.140625" bestFit="1" customWidth="1"/>
    <col min="20" max="20" width="1.85546875" customWidth="1"/>
    <col min="21" max="21" width="12.7109375" bestFit="1" customWidth="1"/>
    <col min="22" max="22" width="11.140625" bestFit="1" customWidth="1"/>
  </cols>
  <sheetData>
    <row r="1" spans="1:12" ht="29.45" customHeight="1">
      <c r="A1" s="879" t="s">
        <v>416</v>
      </c>
      <c r="B1" s="879"/>
      <c r="C1" s="879"/>
      <c r="D1" s="879"/>
      <c r="E1" s="879"/>
      <c r="F1" s="879"/>
      <c r="G1" s="879"/>
      <c r="H1" s="879"/>
      <c r="I1" s="879"/>
      <c r="J1" s="879"/>
    </row>
    <row r="3" spans="1:12" ht="15.6" customHeight="1">
      <c r="A3" s="880" t="s">
        <v>417</v>
      </c>
      <c r="B3" s="880"/>
      <c r="C3" s="880"/>
      <c r="D3" s="880"/>
      <c r="E3" s="880"/>
      <c r="F3" s="880"/>
      <c r="G3" s="880"/>
      <c r="H3" s="881"/>
      <c r="I3" s="319" t="s">
        <v>19</v>
      </c>
      <c r="J3" s="320">
        <v>0.15</v>
      </c>
    </row>
    <row r="4" spans="1:12" ht="15.6" customHeight="1">
      <c r="A4" s="882"/>
      <c r="B4" s="882"/>
      <c r="C4" s="882"/>
      <c r="D4" s="882"/>
      <c r="E4" s="882"/>
      <c r="F4" s="882"/>
      <c r="G4" s="882"/>
      <c r="H4" s="883"/>
      <c r="I4" s="319" t="s">
        <v>418</v>
      </c>
      <c r="J4" s="320">
        <v>0.05</v>
      </c>
    </row>
    <row r="5" spans="1:12" ht="36">
      <c r="A5" s="321" t="s">
        <v>419</v>
      </c>
      <c r="B5" s="321" t="s">
        <v>420</v>
      </c>
      <c r="C5" s="322" t="s">
        <v>421</v>
      </c>
      <c r="D5" s="323" t="s">
        <v>422</v>
      </c>
      <c r="E5" s="322" t="s">
        <v>423</v>
      </c>
      <c r="F5" s="323" t="s">
        <v>424</v>
      </c>
      <c r="G5" s="322" t="s">
        <v>425</v>
      </c>
      <c r="H5" s="323" t="s">
        <v>426</v>
      </c>
      <c r="I5" s="322" t="s">
        <v>427</v>
      </c>
      <c r="J5" s="323" t="s">
        <v>428</v>
      </c>
      <c r="K5" s="322" t="s">
        <v>446</v>
      </c>
      <c r="L5" s="322" t="s">
        <v>447</v>
      </c>
    </row>
    <row r="6" spans="1:12">
      <c r="A6" s="324" t="s">
        <v>401</v>
      </c>
      <c r="B6" s="325" t="s">
        <v>429</v>
      </c>
      <c r="C6" s="326">
        <v>1322282.8600000001</v>
      </c>
      <c r="D6" s="327"/>
      <c r="E6" s="326">
        <v>1120264.4099999999</v>
      </c>
      <c r="F6" s="327">
        <f t="shared" ref="F6:F12" si="0">E6/C6-1</f>
        <v>-0.1527800564547892</v>
      </c>
      <c r="G6" s="326">
        <v>1653269.09</v>
      </c>
      <c r="H6" s="327">
        <f t="shared" ref="H6:H12" si="1">G6/E6-1</f>
        <v>0.47578471228948538</v>
      </c>
      <c r="I6" s="326">
        <f>(G6*$J$4)+G6</f>
        <v>1735932.5445000001</v>
      </c>
      <c r="J6" s="327">
        <f t="shared" ref="J6:J18" si="2">I6/G6-1</f>
        <v>5.0000000000000044E-2</v>
      </c>
      <c r="K6" s="326">
        <f>I6/L6</f>
        <v>5786.4418150000001</v>
      </c>
      <c r="L6" s="326">
        <v>300</v>
      </c>
    </row>
    <row r="7" spans="1:12">
      <c r="A7" s="324" t="s">
        <v>402</v>
      </c>
      <c r="B7" s="325" t="s">
        <v>429</v>
      </c>
      <c r="C7" s="326">
        <v>918921.51</v>
      </c>
      <c r="D7" s="327"/>
      <c r="E7" s="326">
        <v>1270528.6200000001</v>
      </c>
      <c r="F7" s="327">
        <f t="shared" si="0"/>
        <v>0.3826301878601146</v>
      </c>
      <c r="G7" s="326">
        <v>1965042.1</v>
      </c>
      <c r="H7" s="327">
        <f t="shared" si="1"/>
        <v>0.54663347922064109</v>
      </c>
      <c r="I7" s="326">
        <f>(G7*$J$3)+(G7*$J$4)+G7</f>
        <v>2358050.52</v>
      </c>
      <c r="J7" s="327">
        <f t="shared" si="2"/>
        <v>0.19999999999999996</v>
      </c>
      <c r="K7" s="326">
        <f t="shared" ref="K7:K17" si="3">I7/L7</f>
        <v>7860.1684000000005</v>
      </c>
      <c r="L7" s="326">
        <v>300</v>
      </c>
    </row>
    <row r="8" spans="1:12">
      <c r="A8" s="324" t="s">
        <v>403</v>
      </c>
      <c r="B8" s="325" t="s">
        <v>429</v>
      </c>
      <c r="C8" s="326">
        <v>1464783.48</v>
      </c>
      <c r="D8" s="327"/>
      <c r="E8" s="326">
        <v>2640318.41</v>
      </c>
      <c r="F8" s="327">
        <f t="shared" si="0"/>
        <v>0.80253153182748904</v>
      </c>
      <c r="G8" s="326">
        <v>1980362.59</v>
      </c>
      <c r="H8" s="327">
        <f t="shared" si="1"/>
        <v>-0.24995311834378342</v>
      </c>
      <c r="I8" s="326">
        <f t="shared" ref="I8:I17" si="4">(G8*$J$3)+(G8*$J$4)+G8</f>
        <v>2376435.108</v>
      </c>
      <c r="J8" s="327">
        <f t="shared" si="2"/>
        <v>0.19999999999999996</v>
      </c>
      <c r="K8" s="326">
        <f t="shared" si="3"/>
        <v>7921.4503599999998</v>
      </c>
      <c r="L8" s="326">
        <v>300</v>
      </c>
    </row>
    <row r="9" spans="1:12">
      <c r="A9" s="324" t="s">
        <v>404</v>
      </c>
      <c r="B9" s="325" t="s">
        <v>429</v>
      </c>
      <c r="C9" s="326">
        <v>1227283.6499999999</v>
      </c>
      <c r="D9" s="327"/>
      <c r="E9" s="326">
        <v>2240216.2799999998</v>
      </c>
      <c r="F9" s="327">
        <f t="shared" si="0"/>
        <v>0.82534516776134015</v>
      </c>
      <c r="G9" s="326">
        <v>2031856.07</v>
      </c>
      <c r="H9" s="327">
        <f t="shared" si="1"/>
        <v>-9.300897054457602E-2</v>
      </c>
      <c r="I9" s="326">
        <f t="shared" si="4"/>
        <v>2438227.284</v>
      </c>
      <c r="J9" s="327">
        <f t="shared" si="2"/>
        <v>0.19999999999999996</v>
      </c>
      <c r="K9" s="326">
        <f t="shared" si="3"/>
        <v>8127.4242800000002</v>
      </c>
      <c r="L9" s="326">
        <v>300</v>
      </c>
    </row>
    <row r="10" spans="1:12">
      <c r="A10" s="324" t="s">
        <v>405</v>
      </c>
      <c r="B10" s="325" t="s">
        <v>429</v>
      </c>
      <c r="C10" s="326">
        <v>1404645.74</v>
      </c>
      <c r="D10" s="327"/>
      <c r="E10" s="326">
        <v>2334035.34</v>
      </c>
      <c r="F10" s="327">
        <f t="shared" si="0"/>
        <v>0.66165409080299487</v>
      </c>
      <c r="G10" s="326">
        <v>2283718.9900000002</v>
      </c>
      <c r="H10" s="327">
        <f t="shared" si="1"/>
        <v>-2.1557664161160339E-2</v>
      </c>
      <c r="I10" s="326">
        <f t="shared" si="4"/>
        <v>2740462.7880000002</v>
      </c>
      <c r="J10" s="327">
        <f t="shared" si="2"/>
        <v>0.19999999999999996</v>
      </c>
      <c r="K10" s="326">
        <f t="shared" si="3"/>
        <v>9134.8759600000012</v>
      </c>
      <c r="L10" s="326">
        <v>300</v>
      </c>
    </row>
    <row r="11" spans="1:12">
      <c r="A11" s="324" t="s">
        <v>406</v>
      </c>
      <c r="B11" s="325" t="s">
        <v>429</v>
      </c>
      <c r="C11" s="326">
        <v>1381876.95</v>
      </c>
      <c r="D11" s="327"/>
      <c r="E11" s="326">
        <v>2132518.5099999998</v>
      </c>
      <c r="F11" s="327">
        <f t="shared" si="0"/>
        <v>0.54320434247057947</v>
      </c>
      <c r="G11" s="326">
        <v>1936400.61</v>
      </c>
      <c r="H11" s="327">
        <f t="shared" si="1"/>
        <v>-9.1965391662649498E-2</v>
      </c>
      <c r="I11" s="326">
        <f t="shared" si="4"/>
        <v>2323680.7319999998</v>
      </c>
      <c r="J11" s="327">
        <f t="shared" si="2"/>
        <v>0.19999999999999996</v>
      </c>
      <c r="K11" s="326">
        <f t="shared" si="3"/>
        <v>7745.6024399999997</v>
      </c>
      <c r="L11" s="326">
        <v>300</v>
      </c>
    </row>
    <row r="12" spans="1:12">
      <c r="A12" s="324" t="s">
        <v>407</v>
      </c>
      <c r="B12" s="325" t="s">
        <v>429</v>
      </c>
      <c r="C12" s="326">
        <v>2087776.5</v>
      </c>
      <c r="D12" s="327"/>
      <c r="E12" s="326">
        <v>1418791.13</v>
      </c>
      <c r="F12" s="327">
        <f t="shared" si="0"/>
        <v>-0.32042959100267687</v>
      </c>
      <c r="G12" s="326">
        <v>1868608.13</v>
      </c>
      <c r="H12" s="327">
        <f t="shared" si="1"/>
        <v>0.31704243879788008</v>
      </c>
      <c r="I12" s="326">
        <f t="shared" si="4"/>
        <v>2242329.7560000001</v>
      </c>
      <c r="J12" s="327">
        <f t="shared" si="2"/>
        <v>0.20000000000000018</v>
      </c>
      <c r="K12" s="326">
        <f t="shared" si="3"/>
        <v>7474.4325200000003</v>
      </c>
      <c r="L12" s="326">
        <v>300</v>
      </c>
    </row>
    <row r="13" spans="1:12">
      <c r="A13" s="324" t="s">
        <v>408</v>
      </c>
      <c r="B13" s="328">
        <v>977236.42</v>
      </c>
      <c r="C13" s="326">
        <v>1929018.8</v>
      </c>
      <c r="D13" s="327">
        <f t="shared" ref="D13:D18" si="5">C13/B13-1</f>
        <v>0.97395303789435106</v>
      </c>
      <c r="E13" s="326">
        <v>1580067.78</v>
      </c>
      <c r="F13" s="327">
        <f>E13/C13-1</f>
        <v>-0.18089560350578238</v>
      </c>
      <c r="G13" s="326">
        <v>1911386.52</v>
      </c>
      <c r="H13" s="327">
        <f>G13/E13-1</f>
        <v>0.20968640978173725</v>
      </c>
      <c r="I13" s="326">
        <f t="shared" si="4"/>
        <v>2293663.824</v>
      </c>
      <c r="J13" s="327">
        <f t="shared" si="2"/>
        <v>0.19999999999999996</v>
      </c>
      <c r="K13" s="326">
        <f t="shared" si="3"/>
        <v>7645.5460800000001</v>
      </c>
      <c r="L13" s="326">
        <v>300</v>
      </c>
    </row>
    <row r="14" spans="1:12">
      <c r="A14" s="324" t="s">
        <v>409</v>
      </c>
      <c r="B14" s="328">
        <v>1414841.48</v>
      </c>
      <c r="C14" s="326">
        <v>1983126.53</v>
      </c>
      <c r="D14" s="327">
        <f t="shared" si="5"/>
        <v>0.40165987358527255</v>
      </c>
      <c r="E14" s="326">
        <v>1474543.16</v>
      </c>
      <c r="F14" s="327">
        <f t="shared" ref="F14:H18" si="6">E14/C14-1</f>
        <v>-0.25645533066415083</v>
      </c>
      <c r="G14" s="326">
        <v>1887857.76</v>
      </c>
      <c r="H14" s="327">
        <f t="shared" si="6"/>
        <v>0.28030010325367494</v>
      </c>
      <c r="I14" s="326">
        <f t="shared" si="4"/>
        <v>2265429.3119999999</v>
      </c>
      <c r="J14" s="327">
        <f t="shared" si="2"/>
        <v>0.19999999999999996</v>
      </c>
      <c r="K14" s="326">
        <f t="shared" si="3"/>
        <v>7551.4310399999995</v>
      </c>
      <c r="L14" s="326">
        <v>300</v>
      </c>
    </row>
    <row r="15" spans="1:12">
      <c r="A15" s="324" t="s">
        <v>410</v>
      </c>
      <c r="B15" s="328">
        <v>1489723.8</v>
      </c>
      <c r="C15" s="326">
        <v>1517413.09</v>
      </c>
      <c r="D15" s="327">
        <f t="shared" si="5"/>
        <v>1.8586861537689181E-2</v>
      </c>
      <c r="E15" s="326">
        <v>2041858.27</v>
      </c>
      <c r="F15" s="327">
        <f t="shared" si="6"/>
        <v>0.34561793585160117</v>
      </c>
      <c r="G15" s="326">
        <v>1834056.45</v>
      </c>
      <c r="H15" s="327">
        <f t="shared" si="6"/>
        <v>-0.10177093241638169</v>
      </c>
      <c r="I15" s="326">
        <f t="shared" si="4"/>
        <v>2200867.7399999998</v>
      </c>
      <c r="J15" s="327">
        <f t="shared" si="2"/>
        <v>0.19999999999999996</v>
      </c>
      <c r="K15" s="326">
        <f t="shared" si="3"/>
        <v>7336.2257999999993</v>
      </c>
      <c r="L15" s="326">
        <v>300</v>
      </c>
    </row>
    <row r="16" spans="1:12">
      <c r="A16" s="324" t="s">
        <v>411</v>
      </c>
      <c r="B16" s="328">
        <v>1372618.68</v>
      </c>
      <c r="C16" s="326">
        <v>1468264.3</v>
      </c>
      <c r="D16" s="327">
        <f t="shared" si="5"/>
        <v>6.9681129503497807E-2</v>
      </c>
      <c r="E16" s="326">
        <v>2096203.83</v>
      </c>
      <c r="F16" s="327">
        <f t="shared" si="6"/>
        <v>0.42767472450293864</v>
      </c>
      <c r="G16" s="326">
        <v>2168059.23</v>
      </c>
      <c r="H16" s="327">
        <f t="shared" si="6"/>
        <v>3.4278822971141931E-2</v>
      </c>
      <c r="I16" s="326">
        <f t="shared" si="4"/>
        <v>2601671.0759999999</v>
      </c>
      <c r="J16" s="327">
        <f t="shared" si="2"/>
        <v>0.19999999999999996</v>
      </c>
      <c r="K16" s="326">
        <f t="shared" si="3"/>
        <v>8672.2369199999994</v>
      </c>
      <c r="L16" s="326">
        <v>300</v>
      </c>
    </row>
    <row r="17" spans="1:12">
      <c r="A17" s="324" t="s">
        <v>412</v>
      </c>
      <c r="B17" s="328">
        <v>1346340.91</v>
      </c>
      <c r="C17" s="326">
        <v>1565698.26</v>
      </c>
      <c r="D17" s="327">
        <f t="shared" si="5"/>
        <v>0.16292853345739911</v>
      </c>
      <c r="E17" s="326">
        <v>1660180.66</v>
      </c>
      <c r="F17" s="327">
        <f t="shared" si="6"/>
        <v>6.0345216197659868E-2</v>
      </c>
      <c r="G17" s="326">
        <v>1542994.15</v>
      </c>
      <c r="H17" s="327">
        <f t="shared" si="6"/>
        <v>-7.0586601099184021E-2</v>
      </c>
      <c r="I17" s="326">
        <f t="shared" si="4"/>
        <v>1851592.98</v>
      </c>
      <c r="J17" s="327">
        <f t="shared" si="2"/>
        <v>0.19999999999999996</v>
      </c>
      <c r="K17" s="326">
        <f t="shared" si="3"/>
        <v>6171.9766</v>
      </c>
      <c r="L17" s="326">
        <v>300</v>
      </c>
    </row>
    <row r="18" spans="1:12" ht="15">
      <c r="A18" s="329" t="s">
        <v>430</v>
      </c>
      <c r="B18" s="330">
        <f>SUM(B13:B17)</f>
        <v>6600761.29</v>
      </c>
      <c r="C18" s="331">
        <f>SUM(C6:C17)</f>
        <v>18271091.670000002</v>
      </c>
      <c r="D18" s="332">
        <f t="shared" si="5"/>
        <v>1.768027939092462</v>
      </c>
      <c r="E18" s="331">
        <f>SUM(E6:E17)</f>
        <v>22009526.400000002</v>
      </c>
      <c r="F18" s="332">
        <f t="shared" si="6"/>
        <v>0.20460927007105312</v>
      </c>
      <c r="G18" s="331">
        <f>SUM(G6:G17)</f>
        <v>23063611.689999998</v>
      </c>
      <c r="H18" s="332">
        <f t="shared" si="6"/>
        <v>4.7892229521122154E-2</v>
      </c>
      <c r="I18" s="331">
        <f>SUM(I6:I17)</f>
        <v>27428343.664500002</v>
      </c>
      <c r="J18" s="332">
        <f t="shared" si="2"/>
        <v>0.18924754861323301</v>
      </c>
      <c r="K18" s="331">
        <f>SUM(K6:K17)</f>
        <v>91427.812214999998</v>
      </c>
      <c r="L18" s="331">
        <f>SUM(L6:L17)</f>
        <v>3600</v>
      </c>
    </row>
    <row r="20" spans="1:12" ht="15">
      <c r="A20" s="877" t="s">
        <v>431</v>
      </c>
      <c r="B20" s="878"/>
      <c r="E20" s="331">
        <f>E18-C18</f>
        <v>3738434.7300000004</v>
      </c>
      <c r="G20" s="331">
        <f>G18-E18</f>
        <v>1054085.2899999954</v>
      </c>
      <c r="I20" s="331">
        <f>I18-G18</f>
        <v>4364731.9745000042</v>
      </c>
    </row>
    <row r="23" spans="1:12" ht="15.75">
      <c r="A23" s="884" t="s">
        <v>432</v>
      </c>
      <c r="B23" s="885"/>
      <c r="C23" s="885"/>
      <c r="D23" s="885"/>
      <c r="E23" s="885"/>
      <c r="G23" s="886" t="s">
        <v>433</v>
      </c>
      <c r="H23" s="886"/>
      <c r="I23" s="886"/>
      <c r="J23" s="887"/>
    </row>
    <row r="24" spans="1:12" ht="36">
      <c r="A24" s="885"/>
      <c r="B24" s="885"/>
      <c r="C24" s="885"/>
      <c r="D24" s="885"/>
      <c r="E24" s="885"/>
      <c r="G24" s="321" t="s">
        <v>419</v>
      </c>
      <c r="H24" s="322" t="s">
        <v>425</v>
      </c>
      <c r="I24" s="322" t="s">
        <v>427</v>
      </c>
      <c r="J24" s="323" t="s">
        <v>428</v>
      </c>
    </row>
    <row r="25" spans="1:12">
      <c r="A25" s="885"/>
      <c r="B25" s="885"/>
      <c r="C25" s="885"/>
      <c r="D25" s="885"/>
      <c r="E25" s="885"/>
      <c r="G25" s="324" t="s">
        <v>401</v>
      </c>
      <c r="H25" s="326">
        <v>78595</v>
      </c>
      <c r="I25" s="326">
        <f>(H25*J25)+H25</f>
        <v>82524.75</v>
      </c>
      <c r="J25" s="334">
        <v>0.05</v>
      </c>
    </row>
    <row r="26" spans="1:12">
      <c r="A26" s="885"/>
      <c r="B26" s="885"/>
      <c r="C26" s="885"/>
      <c r="D26" s="885"/>
      <c r="E26" s="885"/>
      <c r="G26" s="324" t="s">
        <v>402</v>
      </c>
      <c r="H26" s="326">
        <v>315825</v>
      </c>
      <c r="I26" s="326">
        <f t="shared" ref="I26:I36" si="7">(H26*J26)+H26</f>
        <v>347407.5</v>
      </c>
      <c r="J26" s="334">
        <v>0.1</v>
      </c>
    </row>
    <row r="27" spans="1:12">
      <c r="A27" s="885"/>
      <c r="B27" s="885"/>
      <c r="C27" s="885"/>
      <c r="D27" s="885"/>
      <c r="E27" s="885"/>
      <c r="G27" s="324" t="s">
        <v>403</v>
      </c>
      <c r="H27" s="326">
        <v>75515</v>
      </c>
      <c r="I27" s="326">
        <f t="shared" si="7"/>
        <v>90618</v>
      </c>
      <c r="J27" s="334">
        <v>0.2</v>
      </c>
    </row>
    <row r="28" spans="1:12">
      <c r="A28" s="885"/>
      <c r="B28" s="885"/>
      <c r="C28" s="885"/>
      <c r="D28" s="885"/>
      <c r="E28" s="885"/>
      <c r="G28" s="324" t="s">
        <v>404</v>
      </c>
      <c r="H28" s="326">
        <v>106513.55</v>
      </c>
      <c r="I28" s="326">
        <f t="shared" si="7"/>
        <v>117164.905</v>
      </c>
      <c r="J28" s="334">
        <v>0.1</v>
      </c>
    </row>
    <row r="29" spans="1:12">
      <c r="A29" s="885"/>
      <c r="B29" s="885"/>
      <c r="C29" s="885"/>
      <c r="D29" s="885"/>
      <c r="E29" s="885"/>
      <c r="G29" s="324" t="s">
        <v>405</v>
      </c>
      <c r="H29" s="326">
        <v>133779.97</v>
      </c>
      <c r="I29" s="326">
        <f t="shared" si="7"/>
        <v>147157.967</v>
      </c>
      <c r="J29" s="334">
        <v>0.1</v>
      </c>
    </row>
    <row r="30" spans="1:12">
      <c r="A30" s="885"/>
      <c r="B30" s="885"/>
      <c r="C30" s="885"/>
      <c r="D30" s="885"/>
      <c r="E30" s="885"/>
      <c r="G30" s="324" t="s">
        <v>406</v>
      </c>
      <c r="H30" s="326">
        <v>171415</v>
      </c>
      <c r="I30" s="326">
        <f t="shared" si="7"/>
        <v>188556.5</v>
      </c>
      <c r="J30" s="334">
        <v>0.1</v>
      </c>
    </row>
    <row r="31" spans="1:12">
      <c r="A31" s="885"/>
      <c r="B31" s="885"/>
      <c r="C31" s="885"/>
      <c r="D31" s="885"/>
      <c r="E31" s="885"/>
      <c r="G31" s="324" t="s">
        <v>407</v>
      </c>
      <c r="H31" s="326">
        <v>144690.72</v>
      </c>
      <c r="I31" s="326">
        <f t="shared" si="7"/>
        <v>159159.79200000002</v>
      </c>
      <c r="J31" s="334">
        <v>0.1</v>
      </c>
    </row>
    <row r="32" spans="1:12">
      <c r="A32" s="885"/>
      <c r="B32" s="885"/>
      <c r="C32" s="885"/>
      <c r="D32" s="885"/>
      <c r="E32" s="885"/>
      <c r="G32" s="324" t="s">
        <v>408</v>
      </c>
      <c r="H32" s="326">
        <v>189695</v>
      </c>
      <c r="I32" s="326">
        <f t="shared" si="7"/>
        <v>208664.5</v>
      </c>
      <c r="J32" s="334">
        <v>0.1</v>
      </c>
    </row>
    <row r="33" spans="1:10">
      <c r="A33" s="885"/>
      <c r="B33" s="885"/>
      <c r="C33" s="885"/>
      <c r="D33" s="885"/>
      <c r="E33" s="885"/>
      <c r="G33" s="324" t="s">
        <v>409</v>
      </c>
      <c r="H33" s="326">
        <v>330117.21999999997</v>
      </c>
      <c r="I33" s="326">
        <f t="shared" si="7"/>
        <v>396140.66399999999</v>
      </c>
      <c r="J33" s="334">
        <v>0.2</v>
      </c>
    </row>
    <row r="34" spans="1:10">
      <c r="A34" s="885"/>
      <c r="B34" s="885"/>
      <c r="C34" s="885"/>
      <c r="D34" s="885"/>
      <c r="E34" s="885"/>
      <c r="G34" s="324" t="s">
        <v>410</v>
      </c>
      <c r="H34" s="326">
        <v>182325</v>
      </c>
      <c r="I34" s="326">
        <f t="shared" si="7"/>
        <v>218790</v>
      </c>
      <c r="J34" s="334">
        <v>0.2</v>
      </c>
    </row>
    <row r="35" spans="1:10">
      <c r="A35" s="885"/>
      <c r="B35" s="885"/>
      <c r="C35" s="885"/>
      <c r="D35" s="885"/>
      <c r="E35" s="885"/>
      <c r="G35" s="324" t="s">
        <v>411</v>
      </c>
      <c r="H35" s="326">
        <v>179365</v>
      </c>
      <c r="I35" s="326">
        <f t="shared" si="7"/>
        <v>215238</v>
      </c>
      <c r="J35" s="334">
        <v>0.2</v>
      </c>
    </row>
    <row r="36" spans="1:10">
      <c r="A36" s="885"/>
      <c r="B36" s="885"/>
      <c r="C36" s="885"/>
      <c r="D36" s="885"/>
      <c r="E36" s="885"/>
      <c r="G36" s="324" t="s">
        <v>412</v>
      </c>
      <c r="H36" s="326">
        <v>330970</v>
      </c>
      <c r="I36" s="326">
        <f t="shared" si="7"/>
        <v>364067</v>
      </c>
      <c r="J36" s="334">
        <v>0.1</v>
      </c>
    </row>
    <row r="37" spans="1:10" ht="15">
      <c r="A37" s="885"/>
      <c r="B37" s="885"/>
      <c r="C37" s="885"/>
      <c r="D37" s="885"/>
      <c r="E37" s="885"/>
      <c r="G37" s="329" t="s">
        <v>430</v>
      </c>
      <c r="H37" s="331">
        <f>SUM(H25:H36)</f>
        <v>2238806.46</v>
      </c>
      <c r="I37" s="331">
        <f>SUM(I25:I36)</f>
        <v>2535489.5779999997</v>
      </c>
      <c r="J37" s="332">
        <v>0.1</v>
      </c>
    </row>
    <row r="39" spans="1:10" ht="15">
      <c r="G39" s="877" t="s">
        <v>431</v>
      </c>
      <c r="H39" s="878"/>
      <c r="I39" s="331">
        <f>I37-H37</f>
        <v>296683.11799999978</v>
      </c>
    </row>
    <row r="42" spans="1:10" ht="15.75">
      <c r="G42" s="895" t="s">
        <v>434</v>
      </c>
      <c r="H42" s="896"/>
      <c r="I42" s="896"/>
      <c r="J42" s="897"/>
    </row>
    <row r="43" spans="1:10" ht="36">
      <c r="G43" s="321" t="s">
        <v>419</v>
      </c>
      <c r="H43" s="322" t="s">
        <v>425</v>
      </c>
      <c r="I43" s="322" t="s">
        <v>427</v>
      </c>
      <c r="J43" s="323" t="s">
        <v>428</v>
      </c>
    </row>
    <row r="44" spans="1:10">
      <c r="G44" s="324" t="s">
        <v>401</v>
      </c>
      <c r="H44" s="326">
        <f>H25+G6</f>
        <v>1731864.09</v>
      </c>
      <c r="I44" s="326">
        <f>I25+I6</f>
        <v>1818457.2945000001</v>
      </c>
      <c r="J44" s="335">
        <f>I44/H44-1</f>
        <v>5.0000000000000044E-2</v>
      </c>
    </row>
    <row r="45" spans="1:10">
      <c r="G45" s="324" t="s">
        <v>402</v>
      </c>
      <c r="H45" s="326">
        <f t="shared" ref="H45:H55" si="8">H26+G7</f>
        <v>2280867.1</v>
      </c>
      <c r="I45" s="326">
        <f t="shared" ref="I45:I55" si="9">I26+I7</f>
        <v>2705458.02</v>
      </c>
      <c r="J45" s="335">
        <f t="shared" ref="J45:J56" si="10">I45/H45-1</f>
        <v>0.18615329231589151</v>
      </c>
    </row>
    <row r="46" spans="1:10">
      <c r="G46" s="324" t="s">
        <v>403</v>
      </c>
      <c r="H46" s="326">
        <f t="shared" si="8"/>
        <v>2055877.59</v>
      </c>
      <c r="I46" s="326">
        <f t="shared" si="9"/>
        <v>2467053.108</v>
      </c>
      <c r="J46" s="335">
        <f t="shared" si="10"/>
        <v>0.19999999999999996</v>
      </c>
    </row>
    <row r="47" spans="1:10">
      <c r="G47" s="324" t="s">
        <v>404</v>
      </c>
      <c r="H47" s="326">
        <f t="shared" si="8"/>
        <v>2138369.62</v>
      </c>
      <c r="I47" s="326">
        <f t="shared" si="9"/>
        <v>2555392.1889999998</v>
      </c>
      <c r="J47" s="335">
        <f t="shared" si="10"/>
        <v>0.19501893643625534</v>
      </c>
    </row>
    <row r="48" spans="1:10">
      <c r="G48" s="324" t="s">
        <v>405</v>
      </c>
      <c r="H48" s="326">
        <f t="shared" si="8"/>
        <v>2417498.9600000004</v>
      </c>
      <c r="I48" s="326">
        <f t="shared" si="9"/>
        <v>2887620.7550000004</v>
      </c>
      <c r="J48" s="335">
        <f t="shared" si="10"/>
        <v>0.1944661829347798</v>
      </c>
    </row>
    <row r="49" spans="7:19">
      <c r="G49" s="324" t="s">
        <v>406</v>
      </c>
      <c r="H49" s="326">
        <f t="shared" si="8"/>
        <v>2107815.6100000003</v>
      </c>
      <c r="I49" s="326">
        <f t="shared" si="9"/>
        <v>2512237.2319999998</v>
      </c>
      <c r="J49" s="335">
        <f t="shared" si="10"/>
        <v>0.19186764728438432</v>
      </c>
    </row>
    <row r="50" spans="7:19">
      <c r="G50" s="324" t="s">
        <v>407</v>
      </c>
      <c r="H50" s="326">
        <f t="shared" si="8"/>
        <v>2013298.8499999999</v>
      </c>
      <c r="I50" s="326">
        <f t="shared" si="9"/>
        <v>2401489.548</v>
      </c>
      <c r="J50" s="335">
        <f t="shared" si="10"/>
        <v>0.19281325174352526</v>
      </c>
    </row>
    <row r="51" spans="7:19">
      <c r="G51" s="324" t="s">
        <v>408</v>
      </c>
      <c r="H51" s="326">
        <f t="shared" si="8"/>
        <v>2101081.52</v>
      </c>
      <c r="I51" s="326">
        <f t="shared" si="9"/>
        <v>2502328.324</v>
      </c>
      <c r="J51" s="335">
        <f t="shared" si="10"/>
        <v>0.19097155449732384</v>
      </c>
    </row>
    <row r="52" spans="7:19">
      <c r="G52" s="324" t="s">
        <v>409</v>
      </c>
      <c r="H52" s="326">
        <f t="shared" si="8"/>
        <v>2217974.98</v>
      </c>
      <c r="I52" s="326">
        <f t="shared" si="9"/>
        <v>2661569.9759999998</v>
      </c>
      <c r="J52" s="335">
        <f t="shared" si="10"/>
        <v>0.19999999999999996</v>
      </c>
    </row>
    <row r="53" spans="7:19">
      <c r="G53" s="324" t="s">
        <v>410</v>
      </c>
      <c r="H53" s="326">
        <f t="shared" si="8"/>
        <v>2016381.45</v>
      </c>
      <c r="I53" s="326">
        <f t="shared" si="9"/>
        <v>2419657.7399999998</v>
      </c>
      <c r="J53" s="335">
        <f t="shared" si="10"/>
        <v>0.19999999999999996</v>
      </c>
    </row>
    <row r="54" spans="7:19">
      <c r="G54" s="324" t="s">
        <v>411</v>
      </c>
      <c r="H54" s="326">
        <f t="shared" si="8"/>
        <v>2347424.23</v>
      </c>
      <c r="I54" s="326">
        <f t="shared" si="9"/>
        <v>2816909.0759999999</v>
      </c>
      <c r="J54" s="335">
        <f t="shared" si="10"/>
        <v>0.19999999999999996</v>
      </c>
    </row>
    <row r="55" spans="7:19">
      <c r="G55" s="324" t="s">
        <v>412</v>
      </c>
      <c r="H55" s="326">
        <f t="shared" si="8"/>
        <v>1873964.15</v>
      </c>
      <c r="I55" s="326">
        <f t="shared" si="9"/>
        <v>2215659.98</v>
      </c>
      <c r="J55" s="335">
        <f t="shared" si="10"/>
        <v>0.18233850951737796</v>
      </c>
    </row>
    <row r="56" spans="7:19" ht="15">
      <c r="G56" s="329" t="s">
        <v>430</v>
      </c>
      <c r="H56" s="331">
        <f>SUM(H44:H55)</f>
        <v>25302418.150000002</v>
      </c>
      <c r="I56" s="331">
        <f>SUM(I44:I55)</f>
        <v>29963833.242500003</v>
      </c>
      <c r="J56" s="336">
        <f t="shared" si="10"/>
        <v>0.18422804748802246</v>
      </c>
    </row>
    <row r="58" spans="7:19" ht="15">
      <c r="G58" s="877" t="s">
        <v>431</v>
      </c>
      <c r="H58" s="878"/>
      <c r="I58" s="331">
        <f>I56-H56</f>
        <v>4661415.0925000012</v>
      </c>
      <c r="J58" s="336">
        <f>J56</f>
        <v>0.18422804748802246</v>
      </c>
    </row>
    <row r="64" spans="7:19" ht="16.5" thickBot="1">
      <c r="O64" s="888" t="s">
        <v>592</v>
      </c>
      <c r="P64" s="889"/>
      <c r="Q64" s="889"/>
      <c r="R64" s="889"/>
      <c r="S64" s="890"/>
    </row>
    <row r="65" spans="14:22" ht="30">
      <c r="N65" s="454"/>
      <c r="O65" s="455" t="s">
        <v>593</v>
      </c>
      <c r="P65" s="456" t="s">
        <v>579</v>
      </c>
      <c r="Q65" s="456" t="s">
        <v>580</v>
      </c>
      <c r="R65" s="456" t="s">
        <v>590</v>
      </c>
      <c r="S65" s="457" t="s">
        <v>591</v>
      </c>
      <c r="T65" s="454"/>
    </row>
    <row r="66" spans="14:22">
      <c r="N66" s="454"/>
      <c r="O66" s="458" t="s">
        <v>594</v>
      </c>
      <c r="P66" s="465" t="s">
        <v>581</v>
      </c>
      <c r="Q66" s="465" t="s">
        <v>582</v>
      </c>
      <c r="R66" s="452"/>
      <c r="S66" s="459"/>
      <c r="T66" s="454"/>
    </row>
    <row r="67" spans="14:22">
      <c r="N67" s="454"/>
      <c r="O67" s="458" t="s">
        <v>577</v>
      </c>
      <c r="P67" s="465" t="s">
        <v>583</v>
      </c>
      <c r="Q67" s="465" t="s">
        <v>584</v>
      </c>
      <c r="R67" s="452"/>
      <c r="S67" s="459"/>
      <c r="T67" s="454"/>
    </row>
    <row r="68" spans="14:22">
      <c r="N68" s="454"/>
      <c r="O68" s="458" t="s">
        <v>578</v>
      </c>
      <c r="P68" s="467" t="s">
        <v>585</v>
      </c>
      <c r="Q68" s="467" t="s">
        <v>586</v>
      </c>
      <c r="R68" s="453"/>
      <c r="S68" s="460"/>
      <c r="T68" s="454"/>
    </row>
    <row r="69" spans="14:22">
      <c r="N69" s="454"/>
      <c r="O69" s="458" t="s">
        <v>599</v>
      </c>
      <c r="P69" s="467" t="s">
        <v>587</v>
      </c>
      <c r="Q69" s="467" t="s">
        <v>588</v>
      </c>
      <c r="R69" s="465" t="s">
        <v>589</v>
      </c>
      <c r="S69" s="466" t="s">
        <v>597</v>
      </c>
      <c r="T69" s="454"/>
      <c r="U69" s="471"/>
      <c r="V69" s="462"/>
    </row>
    <row r="70" spans="14:22" ht="13.5" thickBot="1">
      <c r="O70" s="461" t="s">
        <v>598</v>
      </c>
      <c r="P70" s="468"/>
      <c r="Q70" s="468"/>
      <c r="R70" s="469" t="s">
        <v>595</v>
      </c>
      <c r="S70" s="470" t="s">
        <v>596</v>
      </c>
      <c r="U70" s="463"/>
      <c r="V70" s="464"/>
    </row>
    <row r="72" spans="14:22" ht="13.5" thickBot="1"/>
    <row r="73" spans="14:22">
      <c r="O73" s="472" t="s">
        <v>602</v>
      </c>
      <c r="P73" s="891" t="s">
        <v>600</v>
      </c>
      <c r="Q73" s="891"/>
      <c r="R73" s="891"/>
      <c r="S73" s="892"/>
    </row>
    <row r="74" spans="14:22" ht="13.5" thickBot="1">
      <c r="O74" s="473" t="s">
        <v>603</v>
      </c>
      <c r="P74" s="893" t="s">
        <v>601</v>
      </c>
      <c r="Q74" s="893"/>
      <c r="R74" s="893"/>
      <c r="S74" s="894"/>
    </row>
    <row r="75" spans="14:22">
      <c r="R75" s="337"/>
    </row>
  </sheetData>
  <mergeCells count="11">
    <mergeCell ref="O64:S64"/>
    <mergeCell ref="P73:S73"/>
    <mergeCell ref="P74:S74"/>
    <mergeCell ref="G42:J42"/>
    <mergeCell ref="G58:H58"/>
    <mergeCell ref="G39:H39"/>
    <mergeCell ref="A1:J1"/>
    <mergeCell ref="A3:H4"/>
    <mergeCell ref="A20:B20"/>
    <mergeCell ref="A23:E37"/>
    <mergeCell ref="G23:J23"/>
  </mergeCells>
  <conditionalFormatting sqref="D13:D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ignoredErrors>
    <ignoredError sqref="I6:I17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6322fe-81b4-4fde-85b8-0916ed89c0e9">
      <Terms xmlns="http://schemas.microsoft.com/office/infopath/2007/PartnerControls"/>
    </lcf76f155ced4ddcb4097134ff3c332f>
    <TaxCatchAll xmlns="0a45fe00-553b-43b5-bc36-958d8237a7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49227BE0D027478EA35A483E790325" ma:contentTypeVersion="11" ma:contentTypeDescription="Crie um novo documento." ma:contentTypeScope="" ma:versionID="bd20c5966c75bf8c06f73e13316478bc">
  <xsd:schema xmlns:xsd="http://www.w3.org/2001/XMLSchema" xmlns:xs="http://www.w3.org/2001/XMLSchema" xmlns:p="http://schemas.microsoft.com/office/2006/metadata/properties" xmlns:ns2="f16322fe-81b4-4fde-85b8-0916ed89c0e9" xmlns:ns3="0a45fe00-553b-43b5-bc36-958d8237a78b" targetNamespace="http://schemas.microsoft.com/office/2006/metadata/properties" ma:root="true" ma:fieldsID="e9d8147ef63fa86238017c184f1823f7" ns2:_="" ns3:_="">
    <xsd:import namespace="f16322fe-81b4-4fde-85b8-0916ed89c0e9"/>
    <xsd:import namespace="0a45fe00-553b-43b5-bc36-958d8237a7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322fe-81b4-4fde-85b8-0916ed89c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f571059-9c1e-42cd-bd46-f527d45ff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5fe00-553b-43b5-bc36-958d8237a7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f18486-53fe-4ec2-b25c-f067440b286b}" ma:internalName="TaxCatchAll" ma:showField="CatchAllData" ma:web="0a45fe00-553b-43b5-bc36-958d8237a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0B1734-3B2A-4038-9AAA-C66899395542}">
  <ds:schemaRefs>
    <ds:schemaRef ds:uri="http://schemas.microsoft.com/office/2006/metadata/properties"/>
    <ds:schemaRef ds:uri="http://schemas.microsoft.com/office/infopath/2007/PartnerControls"/>
    <ds:schemaRef ds:uri="f16322fe-81b4-4fde-85b8-0916ed89c0e9"/>
    <ds:schemaRef ds:uri="0a45fe00-553b-43b5-bc36-958d8237a78b"/>
  </ds:schemaRefs>
</ds:datastoreItem>
</file>

<file path=customXml/itemProps2.xml><?xml version="1.0" encoding="utf-8"?>
<ds:datastoreItem xmlns:ds="http://schemas.openxmlformats.org/officeDocument/2006/customXml" ds:itemID="{2E8FF279-99EA-4D13-A800-E8CB742095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C27318-4E1F-4C84-B2C6-223FD8CE3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6322fe-81b4-4fde-85b8-0916ed89c0e9"/>
    <ds:schemaRef ds:uri="0a45fe00-553b-43b5-bc36-958d8237a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 01-INDIC</vt:lpstr>
      <vt:lpstr>02-Res M</vt:lpstr>
      <vt:lpstr>03- BD x RE 2026</vt:lpstr>
      <vt:lpstr>04 -Base Orçado 2026</vt:lpstr>
      <vt:lpstr>Base Realizado</vt:lpstr>
      <vt:lpstr>Planilha2</vt:lpstr>
      <vt:lpstr>Planilha3</vt:lpstr>
      <vt:lpstr>B. Despesa</vt:lpstr>
      <vt:lpstr>Planilha5</vt:lpstr>
      <vt:lpstr>Planilha4</vt:lpstr>
      <vt:lpstr>B.Receita</vt:lpstr>
      <vt:lpstr>Base Folha</vt:lpstr>
      <vt:lpstr>Serv</vt:lpstr>
      <vt:lpstr>Base Gorjeta</vt:lpstr>
      <vt:lpstr>METRICS</vt:lpstr>
      <vt:lpstr>INVESTIMENTO</vt:lpstr>
      <vt:lpstr>Planilha1</vt:lpstr>
      <vt:lpstr>Base Faturamento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fcosta</dc:creator>
  <cp:lastModifiedBy>Johnny</cp:lastModifiedBy>
  <cp:lastPrinted>2026-04-06T21:35:19Z</cp:lastPrinted>
  <dcterms:created xsi:type="dcterms:W3CDTF">2008-01-28T13:23:27Z</dcterms:created>
  <dcterms:modified xsi:type="dcterms:W3CDTF">2026-05-21T19:37:50Z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0x010100D949227BE0D027478EA35A483E790325</vt:lpwstr>
  </property>
  <property fmtid="{D5CDD505-2E9C-101B-9397-08002B2CF9AE}" pid="3" name="MediaServiceImageTags">
    <vt:lpwstr/>
  </property>
</Properties>
</file>